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uuji\Dropbox\Kaissa Consumer\Mosaic\buckets\AGENTICS\TENB\source\"/>
    </mc:Choice>
  </mc:AlternateContent>
  <xr:revisionPtr revIDLastSave="0" documentId="8_{3B5AC4C3-36D4-42DB-9285-ED7F37C49A53}" xr6:coauthVersionLast="47" xr6:coauthVersionMax="47" xr10:uidLastSave="{00000000-0000-0000-0000-000000000000}"/>
  <bookViews>
    <workbookView xWindow="2400" yWindow="-16200" windowWidth="19410" windowHeight="15585" xr2:uid="{9EFC1F7C-ED7A-40DB-8905-B8264ED6FAF0}"/>
  </bookViews>
  <sheets>
    <sheet name="Disclaimer" sheetId="1" r:id="rId1"/>
    <sheet name="Income Statement" sheetId="2" r:id="rId2"/>
    <sheet name="Revenue Build" sheetId="3" r:id="rId3"/>
    <sheet name="Balance Sheet" sheetId="4" r:id="rId4"/>
    <sheet name="Cash Flow" sheetId="5" r:id="rId5"/>
  </sheets>
  <externalReferences>
    <externalReference r:id="rId6"/>
    <externalReference r:id="rId7"/>
  </externalReferences>
  <definedNames>
    <definedName name="\0">#REF!</definedName>
    <definedName name="\1">#N/A</definedName>
    <definedName name="\2">#N/A</definedName>
    <definedName name="\3">#N/A</definedName>
    <definedName name="\4">#N/A</definedName>
    <definedName name="\5">#N/A</definedName>
    <definedName name="\6">#N/A</definedName>
    <definedName name="\a">#N/A</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#N/A</definedName>
    <definedName name="\l">#REF!</definedName>
    <definedName name="\m">#REF!</definedName>
    <definedName name="\n">#REF!</definedName>
    <definedName name="\o">#REF!</definedName>
    <definedName name="\p">#REF!</definedName>
    <definedName name="\PRINJV">#REF!</definedName>
    <definedName name="\q">#REF!</definedName>
    <definedName name="\r">#REF!</definedName>
    <definedName name="\s">#REF!</definedName>
    <definedName name="\t">#REF!</definedName>
    <definedName name="\u">#REF!</definedName>
    <definedName name="\v">#N/A</definedName>
    <definedName name="\w">#REF!</definedName>
    <definedName name="\x">#REF!</definedName>
    <definedName name="\y">#REF!</definedName>
    <definedName name="\z">#REF!</definedName>
    <definedName name="_">#REF!</definedName>
    <definedName name="_.4">#REF!</definedName>
    <definedName name="_????_3">#REF!</definedName>
    <definedName name="_????1_3">#REF!</definedName>
    <definedName name="_????8_3">#REF!</definedName>
    <definedName name="_??_3">#REF!</definedName>
    <definedName name="_??1???_3">#REF!</definedName>
    <definedName name="__">#REF!</definedName>
    <definedName name="___">#REF!</definedName>
    <definedName name="____">#REF!</definedName>
    <definedName name="_____">#REF!</definedName>
    <definedName name="______">#REF!</definedName>
    <definedName name="________">#REF!</definedName>
    <definedName name="__________">#REF!</definedName>
    <definedName name="____________">#REF!</definedName>
    <definedName name="_____________">#REF!</definedName>
    <definedName name="______________">#REF!</definedName>
    <definedName name="_______________________________________________tax2">#REF!</definedName>
    <definedName name="______________________________________________tax2">#REF!</definedName>
    <definedName name="_____________________________________________tax2">#REF!</definedName>
    <definedName name="____________________________________________tax2">#REF!</definedName>
    <definedName name="___________________________________________tax2">#REF!</definedName>
    <definedName name="__________________________________________tax2">#REF!</definedName>
    <definedName name="_________________________________________tax2">#REF!</definedName>
    <definedName name="________________________________________tax2">#REF!</definedName>
    <definedName name="_______________________________________tax2">#REF!</definedName>
    <definedName name="______________________________________tax2">#REF!</definedName>
    <definedName name="_____________________________________tax2">#REF!</definedName>
    <definedName name="____________________________________tax2">#REF!</definedName>
    <definedName name="___________________________________tax2">#REF!</definedName>
    <definedName name="__________________________________aud02">#REF!</definedName>
    <definedName name="__________________________________aud03">#REF!</definedName>
    <definedName name="__________________________________aud04">#REF!</definedName>
    <definedName name="__________________________________hkd03">#REF!</definedName>
    <definedName name="__________________________________hkd04">#REF!</definedName>
    <definedName name="__________________________________sgd02">#REF!</definedName>
    <definedName name="__________________________________sgd03">#REF!</definedName>
    <definedName name="__________________________________sgd04">#REF!</definedName>
    <definedName name="__________________________________tax2">#REF!</definedName>
    <definedName name="__________________________________thb02">#REF!</definedName>
    <definedName name="__________________________________thb03">#REF!</definedName>
    <definedName name="__________________________________thb04">#REF!</definedName>
    <definedName name="__________________________________twd02">#REF!</definedName>
    <definedName name="__________________________________twd03">#REF!</definedName>
    <definedName name="__________________________________twd04">#REF!</definedName>
    <definedName name="_________________________________aud02">#REF!</definedName>
    <definedName name="_________________________________aud03">#REF!</definedName>
    <definedName name="_________________________________aud04">#REF!</definedName>
    <definedName name="_________________________________hkd03">#REF!</definedName>
    <definedName name="_________________________________hkd04">#REF!</definedName>
    <definedName name="_________________________________sgd02">#REF!</definedName>
    <definedName name="_________________________________sgd03">#REF!</definedName>
    <definedName name="_________________________________sgd04">#REF!</definedName>
    <definedName name="_________________________________tax2">#REF!</definedName>
    <definedName name="_________________________________thb02">#REF!</definedName>
    <definedName name="_________________________________thb03">#REF!</definedName>
    <definedName name="_________________________________thb04">#REF!</definedName>
    <definedName name="_________________________________twd02">#REF!</definedName>
    <definedName name="_________________________________twd03">#REF!</definedName>
    <definedName name="_________________________________twd04">#REF!</definedName>
    <definedName name="________________________________aud02">#REF!</definedName>
    <definedName name="________________________________aud03">#REF!</definedName>
    <definedName name="________________________________aud04">#REF!</definedName>
    <definedName name="________________________________hkd03">#REF!</definedName>
    <definedName name="________________________________hkd04">#REF!</definedName>
    <definedName name="________________________________sgd02">#REF!</definedName>
    <definedName name="________________________________sgd03">#REF!</definedName>
    <definedName name="________________________________sgd04">#REF!</definedName>
    <definedName name="________________________________tax2">#REF!</definedName>
    <definedName name="________________________________thb02">#REF!</definedName>
    <definedName name="________________________________thb03">#REF!</definedName>
    <definedName name="________________________________thb04">#REF!</definedName>
    <definedName name="________________________________twd02">#REF!</definedName>
    <definedName name="________________________________twd03">#REF!</definedName>
    <definedName name="________________________________twd04">#REF!</definedName>
    <definedName name="_______________________________aud02">#REF!</definedName>
    <definedName name="_______________________________aud03">#REF!</definedName>
    <definedName name="_______________________________aud04">#REF!</definedName>
    <definedName name="_______________________________hkd03">#REF!</definedName>
    <definedName name="_______________________________hkd04">#REF!</definedName>
    <definedName name="_______________________________sgd02">#REF!</definedName>
    <definedName name="_______________________________sgd03">#REF!</definedName>
    <definedName name="_______________________________sgd04">#REF!</definedName>
    <definedName name="_______________________________tax2">#REF!</definedName>
    <definedName name="_______________________________thb02">#REF!</definedName>
    <definedName name="_______________________________thb03">#REF!</definedName>
    <definedName name="_______________________________thb04">#REF!</definedName>
    <definedName name="_______________________________twd02">#REF!</definedName>
    <definedName name="_______________________________twd03">#REF!</definedName>
    <definedName name="_______________________________twd04">#REF!</definedName>
    <definedName name="______________________________aud02">#REF!</definedName>
    <definedName name="______________________________aud03">#REF!</definedName>
    <definedName name="______________________________aud04">#REF!</definedName>
    <definedName name="______________________________hkd03">#REF!</definedName>
    <definedName name="______________________________hkd04">#REF!</definedName>
    <definedName name="______________________________sgd02">#REF!</definedName>
    <definedName name="______________________________sgd03">#REF!</definedName>
    <definedName name="______________________________sgd04">#REF!</definedName>
    <definedName name="______________________________tax2">#REF!</definedName>
    <definedName name="______________________________thb02">#REF!</definedName>
    <definedName name="______________________________thb03">#REF!</definedName>
    <definedName name="______________________________thb04">#REF!</definedName>
    <definedName name="______________________________twd02">#REF!</definedName>
    <definedName name="______________________________twd03">#REF!</definedName>
    <definedName name="______________________________twd04">#REF!</definedName>
    <definedName name="_____________________________aud02">#REF!</definedName>
    <definedName name="_____________________________aud03">#REF!</definedName>
    <definedName name="_____________________________aud04">#REF!</definedName>
    <definedName name="_____________________________hkd03">#REF!</definedName>
    <definedName name="_____________________________hkd04">#REF!</definedName>
    <definedName name="_____________________________sgd02">#REF!</definedName>
    <definedName name="_____________________________sgd03">#REF!</definedName>
    <definedName name="_____________________________sgd04">#REF!</definedName>
    <definedName name="_____________________________tax2">#REF!</definedName>
    <definedName name="_____________________________thb02">#REF!</definedName>
    <definedName name="_____________________________thb03">#REF!</definedName>
    <definedName name="_____________________________thb04">#REF!</definedName>
    <definedName name="_____________________________twd02">#REF!</definedName>
    <definedName name="_____________________________twd03">#REF!</definedName>
    <definedName name="_____________________________twd04">#REF!</definedName>
    <definedName name="____________________________aud02">#REF!</definedName>
    <definedName name="____________________________aud03">#REF!</definedName>
    <definedName name="____________________________aud04">#REF!</definedName>
    <definedName name="____________________________hkd03">#REF!</definedName>
    <definedName name="____________________________hkd04">#REF!</definedName>
    <definedName name="____________________________sgd02">#REF!</definedName>
    <definedName name="____________________________sgd03">#REF!</definedName>
    <definedName name="____________________________sgd04">#REF!</definedName>
    <definedName name="____________________________tax2">#REF!</definedName>
    <definedName name="____________________________thb02">#REF!</definedName>
    <definedName name="____________________________thb03">#REF!</definedName>
    <definedName name="____________________________thb04">#REF!</definedName>
    <definedName name="____________________________twd02">#REF!</definedName>
    <definedName name="____________________________twd03">#REF!</definedName>
    <definedName name="____________________________twd04">#REF!</definedName>
    <definedName name="___________________________aud02">#REF!</definedName>
    <definedName name="___________________________aud03">#REF!</definedName>
    <definedName name="___________________________aud04">#REF!</definedName>
    <definedName name="___________________________hkd03">#REF!</definedName>
    <definedName name="___________________________hkd04">#REF!</definedName>
    <definedName name="___________________________sgd02">#REF!</definedName>
    <definedName name="___________________________sgd03">#REF!</definedName>
    <definedName name="___________________________sgd04">#REF!</definedName>
    <definedName name="___________________________tax2">#REF!</definedName>
    <definedName name="___________________________thb02">#REF!</definedName>
    <definedName name="___________________________thb03">#REF!</definedName>
    <definedName name="___________________________thb04">#REF!</definedName>
    <definedName name="___________________________twd02">#REF!</definedName>
    <definedName name="___________________________twd03">#REF!</definedName>
    <definedName name="___________________________twd04">#REF!</definedName>
    <definedName name="__________________________aud02">#REF!</definedName>
    <definedName name="__________________________aud03">#REF!</definedName>
    <definedName name="__________________________aud04">#REF!</definedName>
    <definedName name="__________________________hkd03">#REF!</definedName>
    <definedName name="__________________________hkd04">#REF!</definedName>
    <definedName name="__________________________sgd02">#REF!</definedName>
    <definedName name="__________________________sgd03">#REF!</definedName>
    <definedName name="__________________________sgd04">#REF!</definedName>
    <definedName name="__________________________tax2">#REF!</definedName>
    <definedName name="__________________________thb02">#REF!</definedName>
    <definedName name="__________________________thb03">#REF!</definedName>
    <definedName name="__________________________thb04">#REF!</definedName>
    <definedName name="__________________________twd02">#REF!</definedName>
    <definedName name="__________________________twd03">#REF!</definedName>
    <definedName name="__________________________twd04">#REF!</definedName>
    <definedName name="_________________________aud02">#REF!</definedName>
    <definedName name="_________________________aud03">#REF!</definedName>
    <definedName name="_________________________aud04">#REF!</definedName>
    <definedName name="_________________________hkd03">#REF!</definedName>
    <definedName name="_________________________hkd04">#REF!</definedName>
    <definedName name="_________________________sgd02">#REF!</definedName>
    <definedName name="_________________________sgd03">#REF!</definedName>
    <definedName name="_________________________sgd04">#REF!</definedName>
    <definedName name="_________________________tax2">#REF!</definedName>
    <definedName name="_________________________thb02">#REF!</definedName>
    <definedName name="_________________________thb03">#REF!</definedName>
    <definedName name="_________________________thb04">#REF!</definedName>
    <definedName name="_________________________twd02">#REF!</definedName>
    <definedName name="_________________________twd03">#REF!</definedName>
    <definedName name="_________________________twd04">#REF!</definedName>
    <definedName name="________________________aud02">#REF!</definedName>
    <definedName name="________________________aud03">#REF!</definedName>
    <definedName name="________________________aud04">#REF!</definedName>
    <definedName name="________________________hkd03">#REF!</definedName>
    <definedName name="________________________hkd04">#REF!</definedName>
    <definedName name="________________________sgd02">#REF!</definedName>
    <definedName name="________________________sgd03">#REF!</definedName>
    <definedName name="________________________sgd04">#REF!</definedName>
    <definedName name="________________________tax2">#REF!</definedName>
    <definedName name="________________________thb02">#REF!</definedName>
    <definedName name="________________________thb03">#REF!</definedName>
    <definedName name="________________________thb04">#REF!</definedName>
    <definedName name="________________________twd02">#REF!</definedName>
    <definedName name="________________________twd03">#REF!</definedName>
    <definedName name="________________________twd04">#REF!</definedName>
    <definedName name="_______________________aud02">#REF!</definedName>
    <definedName name="_______________________aud03">#REF!</definedName>
    <definedName name="_______________________aud04">#REF!</definedName>
    <definedName name="_______________________hkd03">#REF!</definedName>
    <definedName name="_______________________hkd04">#REF!</definedName>
    <definedName name="_______________________sgd02">#REF!</definedName>
    <definedName name="_______________________sgd03">#REF!</definedName>
    <definedName name="_______________________sgd04">#REF!</definedName>
    <definedName name="_______________________tax2">#REF!</definedName>
    <definedName name="_______________________thb02">#REF!</definedName>
    <definedName name="_______________________thb03">#REF!</definedName>
    <definedName name="_______________________thb04">#REF!</definedName>
    <definedName name="_______________________twd02">#REF!</definedName>
    <definedName name="_______________________twd03">#REF!</definedName>
    <definedName name="_______________________twd04">#REF!</definedName>
    <definedName name="______________________aud02">#REF!</definedName>
    <definedName name="______________________aud03">#REF!</definedName>
    <definedName name="______________________aud04">#REF!</definedName>
    <definedName name="______________________cad03">#REF!</definedName>
    <definedName name="______________________cad03a">#REF!</definedName>
    <definedName name="______________________eur03">#REF!</definedName>
    <definedName name="______________________gbp03">#REF!</definedName>
    <definedName name="______________________hkd02">#REF!</definedName>
    <definedName name="______________________hkd03">#REF!</definedName>
    <definedName name="______________________hkd04">#REF!</definedName>
    <definedName name="______________________idr03">#REF!</definedName>
    <definedName name="______________________myr03">#REF!</definedName>
    <definedName name="______________________sgd02">#REF!</definedName>
    <definedName name="______________________sgd03">#REF!</definedName>
    <definedName name="______________________sgd04">#REF!</definedName>
    <definedName name="______________________tax2">#REF!</definedName>
    <definedName name="______________________thb02">#REF!</definedName>
    <definedName name="______________________thb03">#REF!</definedName>
    <definedName name="______________________thb04">#REF!</definedName>
    <definedName name="______________________twd02">#REF!</definedName>
    <definedName name="______________________twd03">#REF!</definedName>
    <definedName name="______________________twd04">#REF!</definedName>
    <definedName name="_____________________a1">{"'1-TheatreBkgs'!$A$1:$L$102"}</definedName>
    <definedName name="_____________________a2">{"'1-TheatreBkgs'!$A$1:$L$102"}</definedName>
    <definedName name="_____________________a3">{"'1-TheatreBkgs'!$A$1:$L$102"}</definedName>
    <definedName name="_____________________aud02">#REF!</definedName>
    <definedName name="_____________________aud03">#REF!</definedName>
    <definedName name="_____________________aud04">#REF!</definedName>
    <definedName name="_____________________cad03">#REF!</definedName>
    <definedName name="_____________________eur03">#REF!</definedName>
    <definedName name="_____________________gbp03">#REF!</definedName>
    <definedName name="_____________________hkd02">#REF!</definedName>
    <definedName name="_____________________hkd03">#REF!</definedName>
    <definedName name="_____________________hkd04">#REF!</definedName>
    <definedName name="_____________________idr03">#REF!</definedName>
    <definedName name="_____________________myr03">#REF!</definedName>
    <definedName name="_____________________Q1">{"'Standalone List Price Trends'!$A$1:$X$56"}</definedName>
    <definedName name="_____________________Q2">{"'Standalone List Price Trends'!$A$1:$X$56"}</definedName>
    <definedName name="_____________________Q3">{"'Standalone List Price Trends'!$A$1:$X$56"}</definedName>
    <definedName name="_____________________Q4">{"'Standalone List Price Trends'!$A$1:$X$56"}</definedName>
    <definedName name="_____________________Q5">{"'Standalone List Price Trends'!$A$1:$X$56"}</definedName>
    <definedName name="_____________________Q9">{"'Standalone List Price Trends'!$A$1:$X$56"}</definedName>
    <definedName name="_____________________rw1">{"'Standalone List Price Trends'!$A$1:$X$56"}</definedName>
    <definedName name="_____________________rw2">{"'Standalone List Price Trends'!$A$1:$X$56"}</definedName>
    <definedName name="_____________________rw3">{"'Standalone List Price Trends'!$A$1:$X$56"}</definedName>
    <definedName name="_____________________rw4">{"'Standalone List Price Trends'!$A$1:$X$56"}</definedName>
    <definedName name="_____________________sex2">{"'1-TheatreBkgs'!$A$1:$L$102"}</definedName>
    <definedName name="_____________________sex3">{"'1-TheatreBkgs'!$A$1:$L$102"}</definedName>
    <definedName name="_____________________sex4">{"'1-TheatreBkgs'!$A$1:$L$102"}</definedName>
    <definedName name="_____________________sex5">{"'1-TheatreBkgs'!$A$1:$L$102"}</definedName>
    <definedName name="_____________________sex6">{"'1-TheatreBkgs'!$A$1:$L$102"}</definedName>
    <definedName name="_____________________sgd02">#REF!</definedName>
    <definedName name="_____________________sgd03">#REF!</definedName>
    <definedName name="_____________________sgd04">#REF!</definedName>
    <definedName name="_____________________tax2">#REF!</definedName>
    <definedName name="_____________________thb02">#REF!</definedName>
    <definedName name="_____________________thb03">#REF!</definedName>
    <definedName name="_____________________thb04">#REF!</definedName>
    <definedName name="_____________________twd02">#REF!</definedName>
    <definedName name="_____________________twd03">#REF!</definedName>
    <definedName name="_____________________twd04">#REF!</definedName>
    <definedName name="_____________________v1">{"'1-TheatreBkgs'!$A$1:$L$102"}</definedName>
    <definedName name="_____________________V2">{"'1-TheatreBkgs'!$A$1:$L$102"}</definedName>
    <definedName name="_____________________v3">{"'1-TheatreBkgs'!$A$1:$L$102"}</definedName>
    <definedName name="____________________aud02">#REF!</definedName>
    <definedName name="____________________aud03">#REF!</definedName>
    <definedName name="____________________aud04">#REF!</definedName>
    <definedName name="____________________cad03">#REF!</definedName>
    <definedName name="____________________eur03">#REF!</definedName>
    <definedName name="____________________gbp03">#REF!</definedName>
    <definedName name="____________________hc4">{"'1-TheatreBkgs'!$A$1:$L$102"}</definedName>
    <definedName name="____________________hkd02">#REF!</definedName>
    <definedName name="____________________hkd03">#REF!</definedName>
    <definedName name="____________________hkd04">#REF!</definedName>
    <definedName name="____________________idr03">#REF!</definedName>
    <definedName name="____________________myr03">#REF!</definedName>
    <definedName name="____________________New1">#REF!</definedName>
    <definedName name="____________________sgd02">#REF!</definedName>
    <definedName name="____________________sgd03">#REF!</definedName>
    <definedName name="____________________sgd04">#REF!</definedName>
    <definedName name="____________________tax2">#REF!</definedName>
    <definedName name="____________________thb02">#REF!</definedName>
    <definedName name="____________________thb03">#REF!</definedName>
    <definedName name="____________________thb04">#REF!</definedName>
    <definedName name="____________________twd02">#REF!</definedName>
    <definedName name="____________________twd03">#REF!</definedName>
    <definedName name="____________________twd04">#REF!</definedName>
    <definedName name="___________________aud02">#REF!</definedName>
    <definedName name="___________________aud03">#REF!</definedName>
    <definedName name="___________________aud04">#REF!</definedName>
    <definedName name="___________________cad03">#REF!</definedName>
    <definedName name="___________________eur03">#REF!</definedName>
    <definedName name="___________________gbp03">#REF!</definedName>
    <definedName name="___________________hkd02">#REF!</definedName>
    <definedName name="___________________hkd03">#REF!</definedName>
    <definedName name="___________________hkd04">#REF!</definedName>
    <definedName name="___________________idr03">#REF!</definedName>
    <definedName name="___________________myr03">#REF!</definedName>
    <definedName name="___________________New1">#REF!</definedName>
    <definedName name="___________________sgd02">#REF!</definedName>
    <definedName name="___________________sgd03">#REF!</definedName>
    <definedName name="___________________sgd04">#REF!</definedName>
    <definedName name="___________________tax2">#REF!</definedName>
    <definedName name="___________________thb02">#REF!</definedName>
    <definedName name="___________________thb03">#REF!</definedName>
    <definedName name="___________________thb04">#REF!</definedName>
    <definedName name="___________________twd02">#REF!</definedName>
    <definedName name="___________________twd03">#REF!</definedName>
    <definedName name="___________________twd04">#REF!</definedName>
    <definedName name="___________________Z04">#REF!</definedName>
    <definedName name="___________________Z05">#REF!</definedName>
    <definedName name="__________________aud02">#REF!</definedName>
    <definedName name="__________________aud03">#REF!</definedName>
    <definedName name="__________________aud04">#REF!</definedName>
    <definedName name="__________________cad03">#REF!</definedName>
    <definedName name="__________________eur03">#REF!</definedName>
    <definedName name="__________________gbp03">#REF!</definedName>
    <definedName name="__________________hkd02">#REF!</definedName>
    <definedName name="__________________hkd03">#REF!</definedName>
    <definedName name="__________________hkd04">#REF!</definedName>
    <definedName name="__________________idr03">#REF!</definedName>
    <definedName name="__________________myr03">#REF!</definedName>
    <definedName name="__________________New1">#REF!</definedName>
    <definedName name="__________________sgd02">#REF!</definedName>
    <definedName name="__________________sgd03">#REF!</definedName>
    <definedName name="__________________sgd04">#REF!</definedName>
    <definedName name="__________________tax2">#REF!</definedName>
    <definedName name="__________________thb02">#REF!</definedName>
    <definedName name="__________________thb03">#REF!</definedName>
    <definedName name="__________________thb04">#REF!</definedName>
    <definedName name="__________________twd02">#REF!</definedName>
    <definedName name="__________________twd03">#REF!</definedName>
    <definedName name="__________________twd04">#REF!</definedName>
    <definedName name="__________________Z04">#REF!</definedName>
    <definedName name="__________________Z05">#REF!</definedName>
    <definedName name="_________________aud02">#REF!</definedName>
    <definedName name="_________________aud03">#REF!</definedName>
    <definedName name="_________________aud04">#REF!</definedName>
    <definedName name="_________________cad03">#REF!</definedName>
    <definedName name="_________________eur03">#REF!</definedName>
    <definedName name="_________________gbp03">#REF!</definedName>
    <definedName name="_________________hkd02">#REF!</definedName>
    <definedName name="_________________hkd03">#REF!</definedName>
    <definedName name="_________________hkd04">#REF!</definedName>
    <definedName name="_________________idr03">#REF!</definedName>
    <definedName name="_________________myr03">#REF!</definedName>
    <definedName name="_________________New1">#REF!</definedName>
    <definedName name="_________________sep97">#REF!</definedName>
    <definedName name="_________________sgd02">#REF!</definedName>
    <definedName name="_________________sgd03">#REF!</definedName>
    <definedName name="_________________sgd04">#REF!</definedName>
    <definedName name="_________________Sht1">#REF!</definedName>
    <definedName name="_________________ST1">#REF!</definedName>
    <definedName name="_________________tax2">#REF!</definedName>
    <definedName name="_________________thb02">#REF!</definedName>
    <definedName name="_________________thb03">#REF!</definedName>
    <definedName name="_________________thb04">#REF!</definedName>
    <definedName name="_________________TOT1">#REF!</definedName>
    <definedName name="_________________twd02">#REF!</definedName>
    <definedName name="_________________twd03">#REF!</definedName>
    <definedName name="_________________twd04">#REF!</definedName>
    <definedName name="_________________Z04">#REF!</definedName>
    <definedName name="_________________Z05">#REF!</definedName>
    <definedName name="________________aud02">#REF!</definedName>
    <definedName name="________________aud03">#REF!</definedName>
    <definedName name="________________aud04">#REF!</definedName>
    <definedName name="________________DAT1">#REF!</definedName>
    <definedName name="________________DAT10">#REF!</definedName>
    <definedName name="________________DAT11">#REF!</definedName>
    <definedName name="________________DAT12">#REF!</definedName>
    <definedName name="________________DAT13">#REF!</definedName>
    <definedName name="________________DAT14">#REF!</definedName>
    <definedName name="________________DAT15">#REF!</definedName>
    <definedName name="________________DAT16">#REF!</definedName>
    <definedName name="________________DAT17">#REF!</definedName>
    <definedName name="________________DAT18">#REF!</definedName>
    <definedName name="________________DAT19">#REF!</definedName>
    <definedName name="________________DAT2">#REF!</definedName>
    <definedName name="________________DAT20">#REF!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FST1">#REF!</definedName>
    <definedName name="________________hkd03">#REF!</definedName>
    <definedName name="________________hkd04">#REF!</definedName>
    <definedName name="________________ILT1">#REF!</definedName>
    <definedName name="________________New1">#REF!</definedName>
    <definedName name="________________PSM2">#REF!</definedName>
    <definedName name="________________PSM3">#REF!</definedName>
    <definedName name="________________sep97">#REF!</definedName>
    <definedName name="________________sgd02">#REF!</definedName>
    <definedName name="________________sgd03">#REF!</definedName>
    <definedName name="________________sgd04">#REF!</definedName>
    <definedName name="________________Sht1">#REF!</definedName>
    <definedName name="________________ST1">#REF!</definedName>
    <definedName name="________________tax2">#REF!</definedName>
    <definedName name="________________thb02">#REF!</definedName>
    <definedName name="________________thb03">#REF!</definedName>
    <definedName name="________________thb04">#REF!</definedName>
    <definedName name="________________TLT1">#REF!</definedName>
    <definedName name="________________TOT1">#REF!</definedName>
    <definedName name="________________twd02">#REF!</definedName>
    <definedName name="________________twd03">#REF!</definedName>
    <definedName name="________________twd04">#REF!</definedName>
    <definedName name="________________UER1">#REF!</definedName>
    <definedName name="________________Z04">#REF!</definedName>
    <definedName name="________________Z05">#REF!</definedName>
    <definedName name="_______________aud02">#REF!</definedName>
    <definedName name="_______________aud03">#REF!</definedName>
    <definedName name="_______________aud04">#REF!</definedName>
    <definedName name="_______________DAT1">#REF!</definedName>
    <definedName name="_______________DAT10">#REF!</definedName>
    <definedName name="_______________DAT11">#REF!</definedName>
    <definedName name="_______________DAT12">#REF!</definedName>
    <definedName name="_______________DAT13">#REF!</definedName>
    <definedName name="_______________DAT14">#REF!</definedName>
    <definedName name="_______________DAT15">#REF!</definedName>
    <definedName name="_______________DAT16">#REF!</definedName>
    <definedName name="_______________DAT17">#REF!</definedName>
    <definedName name="_______________DAT18">#REF!</definedName>
    <definedName name="_______________DAT19">#REF!</definedName>
    <definedName name="_______________DAT2">#REF!</definedName>
    <definedName name="_______________DAT20">#REF!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ST1">#REF!</definedName>
    <definedName name="_______________hkd03">#REF!</definedName>
    <definedName name="_______________hkd04">#REF!</definedName>
    <definedName name="_______________ILT1">#REF!</definedName>
    <definedName name="_______________New1">#REF!</definedName>
    <definedName name="_______________sep97">#REF!</definedName>
    <definedName name="_______________sgd02">#REF!</definedName>
    <definedName name="_______________sgd03">#REF!</definedName>
    <definedName name="_______________sgd04">#REF!</definedName>
    <definedName name="_______________Sht1">#REF!</definedName>
    <definedName name="_______________ST1">#REF!</definedName>
    <definedName name="_______________tax2">#REF!</definedName>
    <definedName name="_______________thb02">#REF!</definedName>
    <definedName name="_______________thb03">#REF!</definedName>
    <definedName name="_______________thb04">#REF!</definedName>
    <definedName name="_______________TLT1">#REF!</definedName>
    <definedName name="_______________TOT1">#REF!</definedName>
    <definedName name="_______________twd02">#REF!</definedName>
    <definedName name="_______________twd03">#REF!</definedName>
    <definedName name="_______________twd04">#REF!</definedName>
    <definedName name="_______________UER1">#REF!</definedName>
    <definedName name="_______________Z04">#REF!</definedName>
    <definedName name="_______________Z05">#REF!</definedName>
    <definedName name="______________aud02">#REF!</definedName>
    <definedName name="______________aud03">#REF!</definedName>
    <definedName name="______________aud04">#REF!</definedName>
    <definedName name="______________DAT1">#REF!</definedName>
    <definedName name="______________DAT10">#REF!</definedName>
    <definedName name="______________DAT11">#REF!</definedName>
    <definedName name="______________DAT12">#REF!</definedName>
    <definedName name="______________DAT13">#REF!</definedName>
    <definedName name="______________DAT14">#REF!</definedName>
    <definedName name="______________DAT15">#REF!</definedName>
    <definedName name="______________DAT16">#REF!</definedName>
    <definedName name="______________DAT17">#REF!</definedName>
    <definedName name="______________DAT18">#REF!</definedName>
    <definedName name="______________DAT19">#REF!</definedName>
    <definedName name="______________DAT2">#REF!</definedName>
    <definedName name="______________DAT20">#REF!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ST1">#REF!</definedName>
    <definedName name="______________hkd03">#REF!</definedName>
    <definedName name="______________hkd04">#REF!</definedName>
    <definedName name="______________ILF99">#REF!</definedName>
    <definedName name="______________ILT1">#REF!</definedName>
    <definedName name="______________New1">#REF!</definedName>
    <definedName name="______________pg3">#REF!</definedName>
    <definedName name="______________pg7">#REF!</definedName>
    <definedName name="______________pg9">#REF!</definedName>
    <definedName name="______________PSM2">#REF!</definedName>
    <definedName name="______________PSM3">#REF!</definedName>
    <definedName name="______________sep97">#REF!</definedName>
    <definedName name="______________sgd02">#REF!</definedName>
    <definedName name="______________sgd03">#REF!</definedName>
    <definedName name="______________sgd04">#REF!</definedName>
    <definedName name="______________sht1">#REF!</definedName>
    <definedName name="______________ST1">#REF!</definedName>
    <definedName name="______________tax2">#REF!</definedName>
    <definedName name="______________thb02">#REF!</definedName>
    <definedName name="______________thb03">#REF!</definedName>
    <definedName name="______________thb04">#REF!</definedName>
    <definedName name="______________TLT1">#REF!</definedName>
    <definedName name="______________TOT1">#REF!</definedName>
    <definedName name="______________TS1">#REF!</definedName>
    <definedName name="______________twd02">#REF!</definedName>
    <definedName name="______________twd03">#REF!</definedName>
    <definedName name="______________twd04">#REF!</definedName>
    <definedName name="______________UER1">#REF!</definedName>
    <definedName name="______________Z04">#REF!</definedName>
    <definedName name="______________Z05">#REF!</definedName>
    <definedName name="_____________a1">{"'1-TheatreBkgs'!$A$1:$L$102"}</definedName>
    <definedName name="_____________a2">{"'1-TheatreBkgs'!$A$1:$L$102"}</definedName>
    <definedName name="_____________a3">{"'1-TheatreBkgs'!$A$1:$L$102"}</definedName>
    <definedName name="_____________aud02">#REF!</definedName>
    <definedName name="_____________aud03">#REF!</definedName>
    <definedName name="_____________aud04">#REF!</definedName>
    <definedName name="_____________DAT1">#REF!</definedName>
    <definedName name="_____________DAT10">#REF!</definedName>
    <definedName name="_____________DAT11">#REF!</definedName>
    <definedName name="_____________DAT12">#REF!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ST1">#REF!</definedName>
    <definedName name="_____________hc4">{"'1-TheatreBkgs'!$A$1:$L$102"}</definedName>
    <definedName name="_____________hkd03">#REF!</definedName>
    <definedName name="_____________hkd04">#REF!</definedName>
    <definedName name="_____________ILT1">#REF!</definedName>
    <definedName name="_____________mv1">#REF!</definedName>
    <definedName name="_____________New1">#REF!</definedName>
    <definedName name="_____________new2">#REF!</definedName>
    <definedName name="_____________oe1">#REF!</definedName>
    <definedName name="_____________old2">#REF!</definedName>
    <definedName name="_____________pd123">#REF!</definedName>
    <definedName name="_____________pg3">#REF!</definedName>
    <definedName name="_____________pg5">#REF!</definedName>
    <definedName name="_____________pg7">#REF!</definedName>
    <definedName name="_____________pg9">#REF!</definedName>
    <definedName name="_____________PSM2">#REF!</definedName>
    <definedName name="_____________PSM3">#REF!</definedName>
    <definedName name="_____________Q1">{"'Standalone List Price Trends'!$A$1:$X$56"}</definedName>
    <definedName name="_____________Q2">{"'Standalone List Price Trends'!$A$1:$X$56"}</definedName>
    <definedName name="_____________Q3">{"'Standalone List Price Trends'!$A$1:$X$56"}</definedName>
    <definedName name="_____________Q4">{"'Standalone List Price Trends'!$A$1:$X$56"}</definedName>
    <definedName name="_____________Q5">{"'Standalone List Price Trends'!$A$1:$X$56"}</definedName>
    <definedName name="_____________Q9">{"'Standalone List Price Trends'!$A$1:$X$56"}</definedName>
    <definedName name="_____________rw1">{"'Standalone List Price Trends'!$A$1:$X$56"}</definedName>
    <definedName name="_____________rw2">{"'Standalone List Price Trends'!$A$1:$X$56"}</definedName>
    <definedName name="_____________rw3">{"'Standalone List Price Trends'!$A$1:$X$56"}</definedName>
    <definedName name="_____________rw4">{"'Standalone List Price Trends'!$A$1:$X$56"}</definedName>
    <definedName name="_____________sep97">#REF!</definedName>
    <definedName name="_____________sex2">{"'1-TheatreBkgs'!$A$1:$L$102"}</definedName>
    <definedName name="_____________sex3">{"'1-TheatreBkgs'!$A$1:$L$102"}</definedName>
    <definedName name="_____________sex4">{"'1-TheatreBkgs'!$A$1:$L$102"}</definedName>
    <definedName name="_____________sex5">{"'1-TheatreBkgs'!$A$1:$L$102"}</definedName>
    <definedName name="_____________sex6">{"'1-TheatreBkgs'!$A$1:$L$102"}</definedName>
    <definedName name="_____________sgd02">#REF!</definedName>
    <definedName name="_____________sgd03">#REF!</definedName>
    <definedName name="_____________sgd04">#REF!</definedName>
    <definedName name="_____________sht1">#REF!</definedName>
    <definedName name="_____________ST1">#REF!</definedName>
    <definedName name="_____________tax2">#REF!</definedName>
    <definedName name="_____________thb02">#REF!</definedName>
    <definedName name="_____________thb03">#REF!</definedName>
    <definedName name="_____________thb04">#REF!</definedName>
    <definedName name="_____________TLT1">#REF!</definedName>
    <definedName name="_____________TOT1">#REF!</definedName>
    <definedName name="_____________TS1">#REF!</definedName>
    <definedName name="_____________twd02">#REF!</definedName>
    <definedName name="_____________twd03">#REF!</definedName>
    <definedName name="_____________twd04">#REF!</definedName>
    <definedName name="_____________UER1">#REF!</definedName>
    <definedName name="_____________v1">{"'1-TheatreBkgs'!$A$1:$L$102"}</definedName>
    <definedName name="_____________V2">{"'1-TheatreBkgs'!$A$1:$L$102"}</definedName>
    <definedName name="_____________v3">{"'1-TheatreBkgs'!$A$1:$L$102"}</definedName>
    <definedName name="_____________Z04">#REF!</definedName>
    <definedName name="_____________Z05">#REF!</definedName>
    <definedName name="____________aud02">#REF!</definedName>
    <definedName name="____________aud03">#REF!</definedName>
    <definedName name="____________aud04">#REF!</definedName>
    <definedName name="____________cad03">#REF!</definedName>
    <definedName name="____________DAT1">#REF!</definedName>
    <definedName name="____________DAT10">#REF!</definedName>
    <definedName name="____________DAT11">#REF!</definedName>
    <definedName name="____________DAT12">#REF!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eur03">#REF!</definedName>
    <definedName name="____________FST1">#REF!</definedName>
    <definedName name="____________gbp03">#REF!</definedName>
    <definedName name="____________hkd02">#REF!</definedName>
    <definedName name="____________hkd03">#REF!</definedName>
    <definedName name="____________hkd04">#REF!</definedName>
    <definedName name="____________idr03">#REF!</definedName>
    <definedName name="____________ILF2000">#REF!</definedName>
    <definedName name="____________ILF99">#REF!</definedName>
    <definedName name="____________ILT1">#REF!</definedName>
    <definedName name="____________MAT1">#REF!</definedName>
    <definedName name="____________mv1">#REF!</definedName>
    <definedName name="____________myr03">#REF!</definedName>
    <definedName name="____________New1">#REF!</definedName>
    <definedName name="____________oe1">#REF!</definedName>
    <definedName name="____________pd123">#REF!</definedName>
    <definedName name="____________pg3">#REF!</definedName>
    <definedName name="____________pg5">#REF!</definedName>
    <definedName name="____________pg7">#REF!</definedName>
    <definedName name="____________pg9">#REF!</definedName>
    <definedName name="____________PSM2">#REF!</definedName>
    <definedName name="____________PSM3">#REF!</definedName>
    <definedName name="____________q1">#REF!</definedName>
    <definedName name="____________q2">#REF!</definedName>
    <definedName name="____________sep97">#REF!</definedName>
    <definedName name="____________sgd02">#REF!</definedName>
    <definedName name="____________sgd03">#REF!</definedName>
    <definedName name="____________sgd04">#REF!</definedName>
    <definedName name="____________sht1">#REF!</definedName>
    <definedName name="____________ST1">#REF!</definedName>
    <definedName name="____________tax2">#REF!</definedName>
    <definedName name="____________thb02">#REF!</definedName>
    <definedName name="____________thb03">#REF!</definedName>
    <definedName name="____________thb04">#REF!</definedName>
    <definedName name="____________TLT1">#REF!</definedName>
    <definedName name="____________TOT1">#REF!</definedName>
    <definedName name="____________TS1">#REF!</definedName>
    <definedName name="____________twd02">#REF!</definedName>
    <definedName name="____________twd03">#REF!</definedName>
    <definedName name="____________twd04">#REF!</definedName>
    <definedName name="____________UER1">#REF!</definedName>
    <definedName name="____________Z04">#REF!</definedName>
    <definedName name="____________Z05">#REF!</definedName>
    <definedName name="___________ACK1">#REF!</definedName>
    <definedName name="___________ake1">#REF!</definedName>
    <definedName name="___________ake2">#REF!</definedName>
    <definedName name="___________ake3">#REF!</definedName>
    <definedName name="___________aud02">#REF!</definedName>
    <definedName name="___________aud03">#REF!</definedName>
    <definedName name="___________aud04">#REF!</definedName>
    <definedName name="___________cad03">#REF!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20">#REF!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e1">{"'Sheet3'!$CL$329:$CU$335"}</definedName>
    <definedName name="___________eur03">#REF!</definedName>
    <definedName name="___________FST1">#REF!</definedName>
    <definedName name="___________gbp03">#REF!</definedName>
    <definedName name="___________hkd02">#REF!</definedName>
    <definedName name="___________hkd03">#REF!</definedName>
    <definedName name="___________hkd04">#REF!</definedName>
    <definedName name="___________I8">{"'Sheet3'!$CL$329:$CU$335"}</definedName>
    <definedName name="___________idr03">#REF!</definedName>
    <definedName name="___________ILF2000">#REF!</definedName>
    <definedName name="___________ILF99">#REF!</definedName>
    <definedName name="___________ILT1">#REF!</definedName>
    <definedName name="___________MAT1">#REF!</definedName>
    <definedName name="___________mv1">#REF!</definedName>
    <definedName name="___________myr03">#REF!</definedName>
    <definedName name="___________New1">#REF!</definedName>
    <definedName name="___________new2">#REF!</definedName>
    <definedName name="___________oe1">#REF!</definedName>
    <definedName name="___________old2">#REF!</definedName>
    <definedName name="___________P1">#REF!</definedName>
    <definedName name="___________pd123">#REF!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q1">#REF!</definedName>
    <definedName name="___________q2">#REF!</definedName>
    <definedName name="___________sep97">#REF!</definedName>
    <definedName name="___________sgd02">#REF!</definedName>
    <definedName name="___________sgd03">#REF!</definedName>
    <definedName name="___________sgd04">#REF!</definedName>
    <definedName name="___________sht1">#REF!</definedName>
    <definedName name="___________ST1">#REF!</definedName>
    <definedName name="___________tax2">#REF!</definedName>
    <definedName name="___________thb02">#REF!</definedName>
    <definedName name="___________thb03">#REF!</definedName>
    <definedName name="___________thb04">#REF!</definedName>
    <definedName name="___________TLT1">#REF!</definedName>
    <definedName name="___________TOT1">#REF!</definedName>
    <definedName name="___________TS1">#REF!</definedName>
    <definedName name="___________twd02">#REF!</definedName>
    <definedName name="___________twd03">#REF!</definedName>
    <definedName name="___________twd04">#REF!</definedName>
    <definedName name="___________UER1">#REF!</definedName>
    <definedName name="___________wrn3">#REF!</definedName>
    <definedName name="___________wrn4">#REF!</definedName>
    <definedName name="___________Z04">#REF!</definedName>
    <definedName name="___________Z05">#REF!</definedName>
    <definedName name="__________ACK1">#REF!</definedName>
    <definedName name="__________ake1">#REF!</definedName>
    <definedName name="__________ake2">#REF!</definedName>
    <definedName name="__________ake3">#REF!</definedName>
    <definedName name="__________aud02">#REF!</definedName>
    <definedName name="__________aud03">#REF!</definedName>
    <definedName name="__________aud04">#REF!</definedName>
    <definedName name="__________cad03">#REF!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eur03">#REF!</definedName>
    <definedName name="__________FST1">#REF!</definedName>
    <definedName name="__________gbp03">#REF!</definedName>
    <definedName name="__________hkd02">#REF!</definedName>
    <definedName name="__________hkd03">#REF!</definedName>
    <definedName name="__________hkd04">#REF!</definedName>
    <definedName name="__________idr03">#REF!</definedName>
    <definedName name="__________ILF2000">#REF!</definedName>
    <definedName name="__________ILT1">#REF!</definedName>
    <definedName name="__________MAT1">#REF!</definedName>
    <definedName name="__________mv1">#REF!</definedName>
    <definedName name="__________myr03">#REF!</definedName>
    <definedName name="__________New1">#REF!</definedName>
    <definedName name="__________new2">#REF!</definedName>
    <definedName name="__________oe1">#REF!</definedName>
    <definedName name="__________old2">#REF!</definedName>
    <definedName name="__________P1">#REF!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PSM3">#REF!</definedName>
    <definedName name="__________sb1">#REF!</definedName>
    <definedName name="__________sep97">#REF!</definedName>
    <definedName name="__________sgd02">#REF!</definedName>
    <definedName name="__________sgd03">#REF!</definedName>
    <definedName name="__________sgd04">#REF!</definedName>
    <definedName name="__________sht1">#REF!</definedName>
    <definedName name="__________ST1">#REF!</definedName>
    <definedName name="__________tax2">#REF!</definedName>
    <definedName name="__________ted2">#REF!</definedName>
    <definedName name="__________thb02">#REF!</definedName>
    <definedName name="__________thb03">#REF!</definedName>
    <definedName name="__________thb04">#REF!</definedName>
    <definedName name="__________TLT1">#REF!</definedName>
    <definedName name="__________TOT1">#REF!</definedName>
    <definedName name="__________TS1">#REF!</definedName>
    <definedName name="__________twd02">#REF!</definedName>
    <definedName name="__________twd03">#REF!</definedName>
    <definedName name="__________twd04">#REF!</definedName>
    <definedName name="__________UER1">#REF!</definedName>
    <definedName name="__________wrn3">#REF!</definedName>
    <definedName name="__________wrn4">#REF!</definedName>
    <definedName name="__________Z04">#REF!</definedName>
    <definedName name="__________Z05">#REF!</definedName>
    <definedName name="__________zz04">#REF!</definedName>
    <definedName name="_________aa1">#REF!</definedName>
    <definedName name="_________aaa2">#REF!</definedName>
    <definedName name="_________ACK1">#REF!</definedName>
    <definedName name="_________ake1">#REF!</definedName>
    <definedName name="_________ake2">#REF!</definedName>
    <definedName name="_________ake3">#REF!</definedName>
    <definedName name="_________aud02">#REF!</definedName>
    <definedName name="_________aud03">#REF!</definedName>
    <definedName name="_________aud04">#REF!</definedName>
    <definedName name="_________cad03">#REF!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eur03">#REF!</definedName>
    <definedName name="_________FST1">#REF!</definedName>
    <definedName name="_________gbp03">#REF!</definedName>
    <definedName name="_________hkd02">#REF!</definedName>
    <definedName name="_________hkd03">#REF!</definedName>
    <definedName name="_________hkd04">#REF!</definedName>
    <definedName name="_________idr03">#REF!</definedName>
    <definedName name="_________ILF2000">#REF!</definedName>
    <definedName name="_________ILF99">#REF!</definedName>
    <definedName name="_________ILT1">#REF!</definedName>
    <definedName name="_________IS2">#REF!</definedName>
    <definedName name="_________jyr6">#REF!</definedName>
    <definedName name="_________lbg2">#REF!</definedName>
    <definedName name="_________LG2">#REF!</definedName>
    <definedName name="_________MAT1">#REF!</definedName>
    <definedName name="_________mv1">#REF!</definedName>
    <definedName name="_________myr03">#REF!</definedName>
    <definedName name="_________New1">#REF!</definedName>
    <definedName name="_________new2">#REF!</definedName>
    <definedName name="_________oe1">#REF!</definedName>
    <definedName name="_________old2">#REF!</definedName>
    <definedName name="_________old3">#REF!</definedName>
    <definedName name="_________old4">#REF!</definedName>
    <definedName name="_________old5">#REF!</definedName>
    <definedName name="_________old8">#REF!</definedName>
    <definedName name="_________old9">#REF!</definedName>
    <definedName name="_________P1">#REF!</definedName>
    <definedName name="_________pd123">#REF!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PSM2">#REF!</definedName>
    <definedName name="_________PSM3">#REF!</definedName>
    <definedName name="_________q1">#REF!</definedName>
    <definedName name="_________q2">#REF!</definedName>
    <definedName name="_________sep97">#REF!</definedName>
    <definedName name="_________sgd02">#REF!</definedName>
    <definedName name="_________sgd03">#REF!</definedName>
    <definedName name="_________sgd04">#REF!</definedName>
    <definedName name="_________sht1">#REF!</definedName>
    <definedName name="_________ST1">#REF!</definedName>
    <definedName name="_________tax2">#REF!</definedName>
    <definedName name="_________thb02">#REF!</definedName>
    <definedName name="_________thb03">#REF!</definedName>
    <definedName name="_________thb04">#REF!</definedName>
    <definedName name="_________TLT1">#REF!</definedName>
    <definedName name="_________TOT1">#REF!</definedName>
    <definedName name="_________TS1">#REF!</definedName>
    <definedName name="_________twd02">#REF!</definedName>
    <definedName name="_________twd03">#REF!</definedName>
    <definedName name="_________twd04">#REF!</definedName>
    <definedName name="_________UER1">#REF!</definedName>
    <definedName name="_________wpl2">#REF!</definedName>
    <definedName name="_________wrn3">#REF!</definedName>
    <definedName name="_________wrn4">#REF!</definedName>
    <definedName name="_________Z04">#REF!</definedName>
    <definedName name="_________Z05">#REF!</definedName>
    <definedName name="_________zz04">#REF!</definedName>
    <definedName name="________a1">{"'Sheet1'!$L$16"}</definedName>
    <definedName name="________aa1">#REF!</definedName>
    <definedName name="________aaa2">#REF!</definedName>
    <definedName name="________ACK1">#REF!</definedName>
    <definedName name="________ake1">#REF!</definedName>
    <definedName name="________ake2">#REF!</definedName>
    <definedName name="________ake3">#REF!</definedName>
    <definedName name="________aud02">#REF!</definedName>
    <definedName name="________aud03">#REF!</definedName>
    <definedName name="________aud04">#REF!</definedName>
    <definedName name="________cad03">#REF!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e1">{"'Sheet3'!$CL$329:$CU$335"}</definedName>
    <definedName name="________eur03">#REF!</definedName>
    <definedName name="________FST1">#REF!</definedName>
    <definedName name="________gbp03">#REF!</definedName>
    <definedName name="________hkd02">#REF!</definedName>
    <definedName name="________hkd03">#REF!</definedName>
    <definedName name="________hkd04">#REF!</definedName>
    <definedName name="________I8">{"'Sheet3'!$CL$329:$CU$335"}</definedName>
    <definedName name="________idr03">#REF!</definedName>
    <definedName name="________ILF2000">#REF!</definedName>
    <definedName name="________ILF99">#REF!</definedName>
    <definedName name="________ILT1">#REF!</definedName>
    <definedName name="________IS2">#REF!</definedName>
    <definedName name="________jyr6">#REF!</definedName>
    <definedName name="________lbg2">#REF!</definedName>
    <definedName name="________LG2">#REF!</definedName>
    <definedName name="________MAT1">#REF!</definedName>
    <definedName name="________myr03">#REF!</definedName>
    <definedName name="________New1">#REF!</definedName>
    <definedName name="________new2">#REF!</definedName>
    <definedName name="________old2">#REF!</definedName>
    <definedName name="________old3">#REF!</definedName>
    <definedName name="________old4">#REF!</definedName>
    <definedName name="________old5">#REF!</definedName>
    <definedName name="________old8">#REF!</definedName>
    <definedName name="________old9">#REF!</definedName>
    <definedName name="________P1">#REF!</definedName>
    <definedName name="________pd123">#REF!</definedName>
    <definedName name="________PG1">#REF!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q1">#REF!</definedName>
    <definedName name="________q2">#REF!</definedName>
    <definedName name="________RNG1">#REF!</definedName>
    <definedName name="________RNG2">#REF!</definedName>
    <definedName name="________sb1">#REF!</definedName>
    <definedName name="________sep97">#REF!</definedName>
    <definedName name="________sgd02">#REF!</definedName>
    <definedName name="________sgd03">#REF!</definedName>
    <definedName name="________sgd04">#REF!</definedName>
    <definedName name="________sht1">#REF!</definedName>
    <definedName name="________ST1">#REF!</definedName>
    <definedName name="________tax2">#REF!</definedName>
    <definedName name="________ted2">#REF!</definedName>
    <definedName name="________thb02">#REF!</definedName>
    <definedName name="________thb03">#REF!</definedName>
    <definedName name="________thb04">#REF!</definedName>
    <definedName name="________TLT1">#REF!</definedName>
    <definedName name="________TOP1">#REF!</definedName>
    <definedName name="________TOT1">#REF!</definedName>
    <definedName name="________TS1">#REF!</definedName>
    <definedName name="________twd02">#REF!</definedName>
    <definedName name="________twd03">#REF!</definedName>
    <definedName name="________twd04">#REF!</definedName>
    <definedName name="________UER1">#REF!</definedName>
    <definedName name="________wpl2">#REF!</definedName>
    <definedName name="________wrn3">#REF!</definedName>
    <definedName name="________wrn4">#REF!</definedName>
    <definedName name="________Z04">#REF!</definedName>
    <definedName name="________Z05">#REF!</definedName>
    <definedName name="________zz04">#REF!</definedName>
    <definedName name="_______a1">{"'1-TheatreBkgs'!$A$1:$L$102"}</definedName>
    <definedName name="_______a2">{"'1-TheatreBkgs'!$A$1:$L$102"}</definedName>
    <definedName name="_______a3">{"'1-TheatreBkgs'!$A$1:$L$102"}</definedName>
    <definedName name="_______aa1">#REF!</definedName>
    <definedName name="_______aaa2">#REF!</definedName>
    <definedName name="_______ACK1">#REF!</definedName>
    <definedName name="_______ake1">#REF!</definedName>
    <definedName name="_______ake2">#REF!</definedName>
    <definedName name="_______ake3">#REF!</definedName>
    <definedName name="_______aud02">#REF!</definedName>
    <definedName name="_______aud03">#REF!</definedName>
    <definedName name="_______aud04">#REF!</definedName>
    <definedName name="_______cad03">#REF!</definedName>
    <definedName name="_______col1">#REF!</definedName>
    <definedName name="_______col10">#REF!</definedName>
    <definedName name="_______col11">#REF!</definedName>
    <definedName name="_______col12">#REF!</definedName>
    <definedName name="_______col13">#REF!</definedName>
    <definedName name="_______col2">#REF!</definedName>
    <definedName name="_______col3">#REF!</definedName>
    <definedName name="_______col4">#REF!</definedName>
    <definedName name="_______col5">#REF!</definedName>
    <definedName name="_______col6">#REF!</definedName>
    <definedName name="_______col7">#REF!</definedName>
    <definedName name="_______col8">#REF!</definedName>
    <definedName name="_______col9">#REF!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eur03">#REF!</definedName>
    <definedName name="_______FST1">#REF!</definedName>
    <definedName name="_______gbp03">#REF!</definedName>
    <definedName name="_______hc4">{"'1-TheatreBkgs'!$A$1:$L$102"}</definedName>
    <definedName name="_______hkd02">#REF!</definedName>
    <definedName name="_______hkd03">#REF!</definedName>
    <definedName name="_______hkd04">#REF!</definedName>
    <definedName name="_______idr03">#REF!</definedName>
    <definedName name="_______ILF2000">#REF!</definedName>
    <definedName name="_______ILF99">#REF!</definedName>
    <definedName name="_______ILT1">#REF!</definedName>
    <definedName name="_______IS2">#REF!</definedName>
    <definedName name="_______jyr6">#REF!</definedName>
    <definedName name="_______lbg2">#REF!</definedName>
    <definedName name="_______LG2">#REF!</definedName>
    <definedName name="_______MAT1">#REF!</definedName>
    <definedName name="_______mer1">#REF!</definedName>
    <definedName name="_______mer2">#REF!</definedName>
    <definedName name="_______mk1">#REF!</definedName>
    <definedName name="_______ms1">#REF!</definedName>
    <definedName name="_______mv1">#REF!</definedName>
    <definedName name="_______myr03">#REF!</definedName>
    <definedName name="_______New1">#REF!</definedName>
    <definedName name="_______new2">"0MB5TOIC7ZU0LX8WJX6QNRCYX"</definedName>
    <definedName name="_______oe1">#REF!</definedName>
    <definedName name="_______OK2">#REF!</definedName>
    <definedName name="_______old2">#REF!</definedName>
    <definedName name="_______old3">#REF!</definedName>
    <definedName name="_______old4">#REF!</definedName>
    <definedName name="_______old5">#REF!</definedName>
    <definedName name="_______old8">#REF!</definedName>
    <definedName name="_______old9">#REF!</definedName>
    <definedName name="_______P1">#REF!</definedName>
    <definedName name="_______PG1">#REF!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prc1">#REF!</definedName>
    <definedName name="_______prc2">#REF!</definedName>
    <definedName name="_______prc3">#REF!</definedName>
    <definedName name="_______PSM3">#REF!</definedName>
    <definedName name="_______Q1">{"'Standalone List Price Trends'!$A$1:$X$56"}</definedName>
    <definedName name="_______Q2">{"'Standalone List Price Trends'!$A$1:$X$56"}</definedName>
    <definedName name="_______Q3">{"'Standalone List Price Trends'!$A$1:$X$56"}</definedName>
    <definedName name="_______Q4">{"'Standalone List Price Trends'!$A$1:$X$56"}</definedName>
    <definedName name="_______Q5">{"'Standalone List Price Trends'!$A$1:$X$56"}</definedName>
    <definedName name="_______Q9">{"'Standalone List Price Trends'!$A$1:$X$56"}</definedName>
    <definedName name="_______qt1">#REF!</definedName>
    <definedName name="_______QTR1">#REF!</definedName>
    <definedName name="_______QUO1">#REF!</definedName>
    <definedName name="_______RNG1">#REF!</definedName>
    <definedName name="_______RNG2">#REF!</definedName>
    <definedName name="_______rw1">{"'Standalone List Price Trends'!$A$1:$X$56"}</definedName>
    <definedName name="_______rw2">{"'Standalone List Price Trends'!$A$1:$X$56"}</definedName>
    <definedName name="_______rw3">{"'Standalone List Price Trends'!$A$1:$X$56"}</definedName>
    <definedName name="_______rw4">{"'Standalone List Price Trends'!$A$1:$X$56"}</definedName>
    <definedName name="_______sb1">#REF!</definedName>
    <definedName name="_______sep97">#REF!</definedName>
    <definedName name="_______sex2">{"'1-TheatreBkgs'!$A$1:$L$102"}</definedName>
    <definedName name="_______sex3">{"'1-TheatreBkgs'!$A$1:$L$102"}</definedName>
    <definedName name="_______sex4">{"'1-TheatreBkgs'!$A$1:$L$102"}</definedName>
    <definedName name="_______sex5">{"'1-TheatreBkgs'!$A$1:$L$102"}</definedName>
    <definedName name="_______sex6">{"'1-TheatreBkgs'!$A$1:$L$102"}</definedName>
    <definedName name="_______sgd02">#REF!</definedName>
    <definedName name="_______sgd03">#REF!</definedName>
    <definedName name="_______sgd04">#REF!</definedName>
    <definedName name="_______sht1">#REF!</definedName>
    <definedName name="_______ST1">#REF!</definedName>
    <definedName name="_______tab1">#REF!</definedName>
    <definedName name="_______tax2">#REF!</definedName>
    <definedName name="_______tc1">#REF!</definedName>
    <definedName name="_______tc2">#REF!</definedName>
    <definedName name="_______tc3">#REF!</definedName>
    <definedName name="_______tc4">#REF!</definedName>
    <definedName name="_______tc5">#REF!</definedName>
    <definedName name="_______ted2">#REF!</definedName>
    <definedName name="_______thb02">#REF!</definedName>
    <definedName name="_______thb03">#REF!</definedName>
    <definedName name="_______thb04">#REF!</definedName>
    <definedName name="_______TLT1">#REF!</definedName>
    <definedName name="_______TOP1">#REF!</definedName>
    <definedName name="_______TOT1">#REF!</definedName>
    <definedName name="_______TS1">#REF!</definedName>
    <definedName name="_______twd02">#REF!</definedName>
    <definedName name="_______twd03">#REF!</definedName>
    <definedName name="_______twd04">#REF!</definedName>
    <definedName name="_______UER1">#REF!</definedName>
    <definedName name="_______v1">{"'1-TheatreBkgs'!$A$1:$L$102"}</definedName>
    <definedName name="_______V2">{"'1-TheatreBkgs'!$A$1:$L$102"}</definedName>
    <definedName name="_______v3">{"'1-TheatreBkgs'!$A$1:$L$102"}</definedName>
    <definedName name="_______Vac1">#REF!</definedName>
    <definedName name="_______wk1">#REF!</definedName>
    <definedName name="_______wk2">#REF!</definedName>
    <definedName name="_______wk3">#REF!</definedName>
    <definedName name="_______wk4">#REF!</definedName>
    <definedName name="_______wpl2">#REF!</definedName>
    <definedName name="_______wrn3">#REF!</definedName>
    <definedName name="_______wrn4">#REF!</definedName>
    <definedName name="_______Z04">#REF!</definedName>
    <definedName name="_______Z05">#REF!</definedName>
    <definedName name="_______zz04">#REF!</definedName>
    <definedName name="______1Table2_">#REF!</definedName>
    <definedName name="______2_0_Table2_">#REF!</definedName>
    <definedName name="______3S">#REF!</definedName>
    <definedName name="______4Table2_">#REF!</definedName>
    <definedName name="______5Table2_">#REF!</definedName>
    <definedName name="______6_0_S">#REF!</definedName>
    <definedName name="______7_0_Table2_">#REF!</definedName>
    <definedName name="______8_0_Table2_">#REF!</definedName>
    <definedName name="______aa1">#REF!</definedName>
    <definedName name="______aaa2">#REF!</definedName>
    <definedName name="______ACK1">#REF!</definedName>
    <definedName name="______ake1">#REF!</definedName>
    <definedName name="______ake2">#REF!</definedName>
    <definedName name="______ake3">#REF!</definedName>
    <definedName name="______aud02">#REF!</definedName>
    <definedName name="______aud03">#REF!</definedName>
    <definedName name="______aud04">#REF!</definedName>
    <definedName name="______cad03">#REF!</definedName>
    <definedName name="______col1">#REF!</definedName>
    <definedName name="______col10">#REF!</definedName>
    <definedName name="______col11">#REF!</definedName>
    <definedName name="______col12">#REF!</definedName>
    <definedName name="______col13">#REF!</definedName>
    <definedName name="______col2">#REF!</definedName>
    <definedName name="______col3">#REF!</definedName>
    <definedName name="______col4">#REF!</definedName>
    <definedName name="______col5">#REF!</definedName>
    <definedName name="______col6">#REF!</definedName>
    <definedName name="______col7">#REF!</definedName>
    <definedName name="______col8">#REF!</definedName>
    <definedName name="______col9">#REF!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e1">{"'Sheet3'!$CL$329:$CU$335"}</definedName>
    <definedName name="______eur03">#REF!</definedName>
    <definedName name="______FST1">#REF!</definedName>
    <definedName name="______gbp03">#REF!</definedName>
    <definedName name="______hkd02">#REF!</definedName>
    <definedName name="______hkd03">#REF!</definedName>
    <definedName name="______hkd04">#REF!</definedName>
    <definedName name="______I8">{"'Sheet3'!$CL$329:$CU$335"}</definedName>
    <definedName name="______idr03">#REF!</definedName>
    <definedName name="______ILF2000">#REF!</definedName>
    <definedName name="______ILF99">#REF!</definedName>
    <definedName name="______ILT1">#REF!</definedName>
    <definedName name="______IS2">#REF!</definedName>
    <definedName name="______jyr6">#REF!</definedName>
    <definedName name="______key1" hidden="1">#REF!</definedName>
    <definedName name="______lbg2">#REF!</definedName>
    <definedName name="______LG2">#REF!</definedName>
    <definedName name="______MAT1">#REF!</definedName>
    <definedName name="______mer1">#REF!</definedName>
    <definedName name="______mer2">#REF!</definedName>
    <definedName name="______mk1">#REF!</definedName>
    <definedName name="______ms1">#REF!</definedName>
    <definedName name="______mv1">#REF!</definedName>
    <definedName name="______myr03">#REF!</definedName>
    <definedName name="______New1">#REF!</definedName>
    <definedName name="______new2">"0MB5TOIC7ZU0LX8WJX6QNRCYX"</definedName>
    <definedName name="______oe1">#REF!</definedName>
    <definedName name="______old2">#REF!</definedName>
    <definedName name="______old3">#REF!</definedName>
    <definedName name="______old4">#REF!</definedName>
    <definedName name="______old5">#REF!</definedName>
    <definedName name="______old8">#REF!</definedName>
    <definedName name="______old9">#REF!</definedName>
    <definedName name="______P1">#REF!</definedName>
    <definedName name="______pd123">#REF!</definedName>
    <definedName name="______PG1">#REF!</definedName>
    <definedName name="______pg10">#REF!</definedName>
    <definedName name="______pg12">#REF!</definedName>
    <definedName name="______PG2">#REF!</definedName>
    <definedName name="______pg3">#REF!</definedName>
    <definedName name="______PG4">#REF!</definedName>
    <definedName name="______pg5">#REF!</definedName>
    <definedName name="______PG6">#REF!</definedName>
    <definedName name="______pg7">#REF!</definedName>
    <definedName name="______pg8">#REF!</definedName>
    <definedName name="______pg9">#REF!</definedName>
    <definedName name="______prc1">#REF!</definedName>
    <definedName name="______prc2">#REF!</definedName>
    <definedName name="______prc3">#REF!</definedName>
    <definedName name="______PSM2">#REF!</definedName>
    <definedName name="______PSM3">#REF!</definedName>
    <definedName name="______q1">#REF!</definedName>
    <definedName name="______q2">#REF!</definedName>
    <definedName name="______qt1">#REF!</definedName>
    <definedName name="______QTR1">#REF!</definedName>
    <definedName name="______QUO1">#REF!</definedName>
    <definedName name="______rd2">#REF!</definedName>
    <definedName name="______RNG1">#REF!</definedName>
    <definedName name="______RNG2">#REF!</definedName>
    <definedName name="______sb1">#REF!</definedName>
    <definedName name="______sep97">#REF!</definedName>
    <definedName name="______sgd02">#REF!</definedName>
    <definedName name="______sgd03">#REF!</definedName>
    <definedName name="______sgd04">#REF!</definedName>
    <definedName name="______sht1">#REF!</definedName>
    <definedName name="______ST1">#REF!</definedName>
    <definedName name="______tab1">#REF!</definedName>
    <definedName name="______tax2">#REF!</definedName>
    <definedName name="______TB112">#REF!</definedName>
    <definedName name="______TB115">#REF!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7">#REF!</definedName>
    <definedName name="______TB229">#REF!</definedName>
    <definedName name="______TB311">#REF!</definedName>
    <definedName name="______TB313">#REF!</definedName>
    <definedName name="______TB317">#REF!</definedName>
    <definedName name="______TB318">#REF!</definedName>
    <definedName name="______TB319">#REF!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10">#REF!</definedName>
    <definedName name="______TB511">#REF!</definedName>
    <definedName name="______TB601">#REF!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200">#REF!</definedName>
    <definedName name="______TBI403">#REF!</definedName>
    <definedName name="______TBI425">#REF!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3">#REF!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9">#REF!</definedName>
    <definedName name="______TBI903">#REF!</definedName>
    <definedName name="______TBI904">#REF!</definedName>
    <definedName name="______TBI905">#REF!</definedName>
    <definedName name="______TBI906">#REF!</definedName>
    <definedName name="______TBI907">#REF!</definedName>
    <definedName name="______tc1">#REF!</definedName>
    <definedName name="______tc2">#REF!</definedName>
    <definedName name="______tc3">#REF!</definedName>
    <definedName name="______tc4">#REF!</definedName>
    <definedName name="______tc5">#REF!</definedName>
    <definedName name="______ted2">#REF!</definedName>
    <definedName name="______thb02">#REF!</definedName>
    <definedName name="______thb03">#REF!</definedName>
    <definedName name="______thb04">#REF!</definedName>
    <definedName name="______TLT1">#REF!</definedName>
    <definedName name="______TOP1">#REF!</definedName>
    <definedName name="______TOT1">#REF!</definedName>
    <definedName name="______TS1">#REF!</definedName>
    <definedName name="______twd02">#REF!</definedName>
    <definedName name="______twd03">#REF!</definedName>
    <definedName name="______twd04">#REF!</definedName>
    <definedName name="______UER1">#REF!</definedName>
    <definedName name="______Vac1">#REF!</definedName>
    <definedName name="______wk1">#REF!</definedName>
    <definedName name="______wk2">#REF!</definedName>
    <definedName name="______wk3">#REF!</definedName>
    <definedName name="______wk4">#REF!</definedName>
    <definedName name="______wpl2">#REF!</definedName>
    <definedName name="______wrn3">#REF!</definedName>
    <definedName name="______wrn4">#REF!</definedName>
    <definedName name="______Z04">#REF!</definedName>
    <definedName name="______Z05">#REF!</definedName>
    <definedName name="_____1Table2_">#REF!</definedName>
    <definedName name="_____2_0_Table2_">#REF!</definedName>
    <definedName name="_____3S">#REF!</definedName>
    <definedName name="_____4Table2_">#REF!</definedName>
    <definedName name="_____5Table2_">#REF!</definedName>
    <definedName name="_____6_0_S">#REF!</definedName>
    <definedName name="_____7_0_Table2_">#REF!</definedName>
    <definedName name="_____8_0_Table2_">#REF!</definedName>
    <definedName name="_____a1">{"'1-TheatreBkgs'!$A$1:$L$102"}</definedName>
    <definedName name="_____a2">{"'1-TheatreBkgs'!$A$1:$L$102"}</definedName>
    <definedName name="_____a3">{"'1-TheatreBkgs'!$A$1:$L$102"}</definedName>
    <definedName name="_____aa1">#REF!</definedName>
    <definedName name="_____aaa2">#REF!</definedName>
    <definedName name="_____ACK1">#REF!</definedName>
    <definedName name="_____ake1">#REF!</definedName>
    <definedName name="_____ake2">#REF!</definedName>
    <definedName name="_____ake3">#REF!</definedName>
    <definedName name="_____AMT13300">#N/A</definedName>
    <definedName name="_____AMT13502">#N/A</definedName>
    <definedName name="_____AMT41301">#N/A</definedName>
    <definedName name="_____AMT85116">#N/A</definedName>
    <definedName name="_____AMT85125">#N/A</definedName>
    <definedName name="_____AMT86106">#N/A</definedName>
    <definedName name="_____aud02">#REF!</definedName>
    <definedName name="_____aud03">#REF!</definedName>
    <definedName name="_____aud04">#REF!</definedName>
    <definedName name="_____cad03">#REF!</definedName>
    <definedName name="_____col1">#REF!</definedName>
    <definedName name="_____col10">#REF!</definedName>
    <definedName name="_____col11">#REF!</definedName>
    <definedName name="_____col12">#REF!</definedName>
    <definedName name="_____col13">#REF!</definedName>
    <definedName name="_____col2">#REF!</definedName>
    <definedName name="_____col3">#REF!</definedName>
    <definedName name="_____col4">#REF!</definedName>
    <definedName name="_____col5">#REF!</definedName>
    <definedName name="_____col6">#REF!</definedName>
    <definedName name="_____col7">#REF!</definedName>
    <definedName name="_____col8">#REF!</definedName>
    <definedName name="_____col9">#REF!</definedName>
    <definedName name="_____d32">16</definedName>
    <definedName name="_____d444">5</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11">{"'OCT  VOIDS'!$A$1:$G$33","'OCT '!$A$1:$G$48","'OCT Adj'!$A$1:$L$37"}</definedName>
    <definedName name="_____DEC2">{"'OCT  VOIDS'!$A$1:$G$33","'OCT '!$A$1:$G$48","'OCT Adj'!$A$1:$L$37"}</definedName>
    <definedName name="_____DEC3">{"'OCT  VOIDS'!$A$1:$G$33","'OCT '!$A$1:$G$48","'OCT Adj'!$A$1:$L$37"}</definedName>
    <definedName name="_____eur03">#REF!</definedName>
    <definedName name="_____FST1">#REF!</definedName>
    <definedName name="_____gbp03">#REF!</definedName>
    <definedName name="_____hkd02">#REF!</definedName>
    <definedName name="_____hkd03">#REF!</definedName>
    <definedName name="_____hkd04">#REF!</definedName>
    <definedName name="_____idr03">#REF!</definedName>
    <definedName name="_____ILF2000">#REF!</definedName>
    <definedName name="_____ILF99">#REF!</definedName>
    <definedName name="_____ILT1">#REF!</definedName>
    <definedName name="_____IS2">#REF!</definedName>
    <definedName name="_____J2">0</definedName>
    <definedName name="_____jyr6">#REF!</definedName>
    <definedName name="_____key1" hidden="1">#REF!</definedName>
    <definedName name="_____lbg2">#REF!</definedName>
    <definedName name="_____LG2">#REF!</definedName>
    <definedName name="_____MAR9091">#REF!</definedName>
    <definedName name="_____MAT1">#REF!</definedName>
    <definedName name="_____mer1">#REF!</definedName>
    <definedName name="_____mer2">#REF!</definedName>
    <definedName name="_____mk1">#REF!</definedName>
    <definedName name="_____ms1">#REF!</definedName>
    <definedName name="_____mv1">#REF!</definedName>
    <definedName name="_____myr03">#REF!</definedName>
    <definedName name="_____new1" hidden="1">{"Central",#N/A,FALSE,"Total"}</definedName>
    <definedName name="_____new2" hidden="1">{"Central",#N/A,FALSE,"Total"}</definedName>
    <definedName name="_____O2">#REF!</definedName>
    <definedName name="_____oe1">#REF!</definedName>
    <definedName name="_____OK2">#REF!</definedName>
    <definedName name="_____old2" hidden="1">{#N/A,#N/A,FALSE,"Income";#N/A,#N/A,FALSE,"Cost of Goods Sold";#N/A,#N/A,FALSE,"Other Costs";#N/A,#N/A,FALSE,"Other Income";#N/A,#N/A,FALSE,"Taxes";#N/A,#N/A,FALSE,"Other Deductions";#N/A,#N/A,FALSE,"Compensation of Officers"}</definedName>
    <definedName name="_____old3" hidden="1">{#N/A,#N/A,FALSE,"Income";#N/A,#N/A,FALSE,"Cost of Goods Sold";#N/A,#N/A,FALSE,"Other Costs";#N/A,#N/A,FALSE,"Other Income";#N/A,#N/A,FALSE,"Taxes";#N/A,#N/A,FALSE,"Other Deductions";#N/A,#N/A,FALSE,"Compensation of Officers"}</definedName>
    <definedName name="_____old4" hidden="1">{#N/A,#N/A,FALSE,"Income";#N/A,#N/A,FALSE,"Cost of Goods Sold";#N/A,#N/A,FALSE,"Other Costs";#N/A,#N/A,FALSE,"Other Income";#N/A,#N/A,FALSE,"Taxes";#N/A,#N/A,FALSE,"Other Deductions";#N/A,#N/A,FALSE,"Compensation of Officers"}</definedName>
    <definedName name="_____old5" hidden="1">{#N/A,#N/A,FALSE,"Income";#N/A,#N/A,FALSE,"Cost of Goods Sold";#N/A,#N/A,FALSE,"Other Costs";#N/A,#N/A,FALSE,"Other Income";#N/A,#N/A,FALSE,"Taxes";#N/A,#N/A,FALSE,"Other Deductions";#N/A,#N/A,FALSE,"Compensation of Officers"}</definedName>
    <definedName name="_____old8" hidden="1">{#N/A,#N/A,FALSE,"Income";#N/A,#N/A,FALSE,"Cost of Goods Sold";#N/A,#N/A,FALSE,"Other Costs";#N/A,#N/A,FALSE,"Other Income";#N/A,#N/A,FALSE,"Taxes";#N/A,#N/A,FALSE,"Other Deductions";#N/A,#N/A,FALSE,"Compensation of Officers"}</definedName>
    <definedName name="_____old9" hidden="1">{#N/A,#N/A,FALSE,"Income";#N/A,#N/A,FALSE,"Cost of Goods Sold";#N/A,#N/A,FALSE,"Other Costs";#N/A,#N/A,FALSE,"Other Income";#N/A,#N/A,FALSE,"Taxes";#N/A,#N/A,FALSE,"Other Deductions";#N/A,#N/A,FALSE,"Compensation of Officers"}</definedName>
    <definedName name="_____OUT13300">#N/A</definedName>
    <definedName name="_____OUT13502">#N/A</definedName>
    <definedName name="_____OUT41301">#N/A</definedName>
    <definedName name="_____OUT85116">#N/A</definedName>
    <definedName name="_____OUT85125">#N/A</definedName>
    <definedName name="_____OUT86106">#N/A</definedName>
    <definedName name="_____P1">#REF!</definedName>
    <definedName name="_____pd123">#REF!</definedName>
    <definedName name="_____PG1">#REF!</definedName>
    <definedName name="_____pg10">#REF!</definedName>
    <definedName name="_____pg12">#REF!</definedName>
    <definedName name="_____PG2">#REF!</definedName>
    <definedName name="_____pg3">#REF!</definedName>
    <definedName name="_____PG4">#REF!</definedName>
    <definedName name="_____pg5">#REF!</definedName>
    <definedName name="_____PG6">#REF!</definedName>
    <definedName name="_____pg7">#REF!</definedName>
    <definedName name="_____pg8">#REF!</definedName>
    <definedName name="_____pg9">#REF!</definedName>
    <definedName name="_____prc1">#REF!</definedName>
    <definedName name="_____prc2">#REF!</definedName>
    <definedName name="_____prc3">#REF!</definedName>
    <definedName name="_____PSM2">#REF!</definedName>
    <definedName name="_____PSM3">#REF!</definedName>
    <definedName name="_____Q1">{"'Standalone List Price Trends'!$A$1:$X$56"}</definedName>
    <definedName name="_____Q2">{"'Standalone List Price Trends'!$A$1:$X$56"}</definedName>
    <definedName name="_____Q3">{"'Standalone List Price Trends'!$A$1:$X$56"}</definedName>
    <definedName name="_____Q5">{"'Standalone List Price Trends'!$A$1:$X$56"}</definedName>
    <definedName name="_____Q9">{"'Standalone List Price Trends'!$A$1:$X$56"}</definedName>
    <definedName name="_____QRA86106">#N/A</definedName>
    <definedName name="_____qt1">#REF!</definedName>
    <definedName name="_____QTR1">#REF!</definedName>
    <definedName name="_____QUO1">#REF!</definedName>
    <definedName name="_____RNG1">#REF!</definedName>
    <definedName name="_____RNG2">#REF!</definedName>
    <definedName name="_____rw1">{"'Standalone List Price Trends'!$A$1:$X$56"}</definedName>
    <definedName name="_____rw2">{"'Standalone List Price Trends'!$A$1:$X$56"}</definedName>
    <definedName name="_____rw3">{"'Standalone List Price Trends'!$A$1:$X$56"}</definedName>
    <definedName name="_____rw4">{"'Standalone List Price Trends'!$A$1:$X$56"}</definedName>
    <definedName name="_____sb1">#REF!</definedName>
    <definedName name="_____sep97">#REF!</definedName>
    <definedName name="_____sgd02">#REF!</definedName>
    <definedName name="_____sgd03">#REF!</definedName>
    <definedName name="_____sgd04">#REF!</definedName>
    <definedName name="_____sht1">#REF!</definedName>
    <definedName name="_____ST1">#REF!</definedName>
    <definedName name="_____tab1">#REF!</definedName>
    <definedName name="_____tax2">#REF!</definedName>
    <definedName name="_____TB111">#REF!</definedName>
    <definedName name="_____TB112">#REF!</definedName>
    <definedName name="_____TB113">#REF!</definedName>
    <definedName name="_____TB114">#REF!</definedName>
    <definedName name="_____TB115">#REF!</definedName>
    <definedName name="_____TB116">#REF!</definedName>
    <definedName name="_____TB117">#REF!</definedName>
    <definedName name="_____TB121">#REF!</definedName>
    <definedName name="_____TB122">#REF!</definedName>
    <definedName name="_____TB123">#REF!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8">#REF!</definedName>
    <definedName name="_____TB229">#REF!</definedName>
    <definedName name="_____TB311">#REF!</definedName>
    <definedName name="_____TB312">#REF!</definedName>
    <definedName name="_____TB313">#REF!</definedName>
    <definedName name="_____TB314">#REF!</definedName>
    <definedName name="_____TB315">#REF!</definedName>
    <definedName name="_____TB316">#REF!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02">#REF!</definedName>
    <definedName name="_____TB503">#REF!</definedName>
    <definedName name="_____TB504">#REF!</definedName>
    <definedName name="_____TB505">#REF!</definedName>
    <definedName name="_____TB506">#REF!</definedName>
    <definedName name="_____TB507">#REF!</definedName>
    <definedName name="_____TB508">#REF!</definedName>
    <definedName name="_____TB509">#REF!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701">#REF!</definedName>
    <definedName name="_____TB811">#REF!</definedName>
    <definedName name="_____TB812">#REF!</definedName>
    <definedName name="_____TB813">#REF!</definedName>
    <definedName name="_____TB814">#REF!</definedName>
    <definedName name="_____TB820">#REF!</definedName>
    <definedName name="_____TB901">#REF!</definedName>
    <definedName name="_____TB902">#REF!</definedName>
    <definedName name="_____TB903">#REF!</definedName>
    <definedName name="_____TB904">#REF!</definedName>
    <definedName name="_____TBI1001">#REF!</definedName>
    <definedName name="_____TBI1002">#REF!</definedName>
    <definedName name="_____TBI1003">#REF!</definedName>
    <definedName name="_____TBI1004">#REF!</definedName>
    <definedName name="_____TBI1005">#REF!</definedName>
    <definedName name="_____TBI101">#REF!</definedName>
    <definedName name="_____TBI102">#REF!</definedName>
    <definedName name="_____TBI1100">#REF!</definedName>
    <definedName name="_____TBI1200">#REF!</definedName>
    <definedName name="_____TBI201">#REF!</definedName>
    <definedName name="_____TBI202">#REF!</definedName>
    <definedName name="_____TBI203">#REF!</definedName>
    <definedName name="_____TBI401">#REF!</definedName>
    <definedName name="_____TBI402">#REF!</definedName>
    <definedName name="_____TBI403">#REF!</definedName>
    <definedName name="_____TBI404">#REF!</definedName>
    <definedName name="_____TBI405">#REF!</definedName>
    <definedName name="_____TBI406">#REF!</definedName>
    <definedName name="_____TBI407">#REF!</definedName>
    <definedName name="_____TBI408">#REF!</definedName>
    <definedName name="_____TBI409">#REF!</definedName>
    <definedName name="_____TBI410">#REF!</definedName>
    <definedName name="_____TBI411">#REF!</definedName>
    <definedName name="_____TBI412">#REF!</definedName>
    <definedName name="_____TBI413">#REF!</definedName>
    <definedName name="_____TBI414">#REF!</definedName>
    <definedName name="_____TBI415">#REF!</definedName>
    <definedName name="_____TBI416">#REF!</definedName>
    <definedName name="_____TBI417">#REF!</definedName>
    <definedName name="_____TBI418">#REF!</definedName>
    <definedName name="_____TBI419">#REF!</definedName>
    <definedName name="_____TBI420">#REF!</definedName>
    <definedName name="_____TBI421">#REF!</definedName>
    <definedName name="_____TBI422">#REF!</definedName>
    <definedName name="_____TBI423">#REF!</definedName>
    <definedName name="_____TBI424">#REF!</definedName>
    <definedName name="_____TBI425">#REF!</definedName>
    <definedName name="_____TBI601">#REF!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0">#REF!</definedName>
    <definedName name="_____TBI611">#REF!</definedName>
    <definedName name="_____TBI612">#REF!</definedName>
    <definedName name="_____TBI613">#REF!</definedName>
    <definedName name="_____TBI614">#REF!</definedName>
    <definedName name="_____TBI701">#REF!</definedName>
    <definedName name="_____TBI702">#REF!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4">#REF!</definedName>
    <definedName name="_____TBI715">#REF!</definedName>
    <definedName name="_____TBI716">#REF!</definedName>
    <definedName name="_____TBI717">#REF!</definedName>
    <definedName name="_____TBI718">#REF!</definedName>
    <definedName name="_____TBI719">#REF!</definedName>
    <definedName name="_____TBI901">#REF!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_tc1">#REF!</definedName>
    <definedName name="_____tc2">#REF!</definedName>
    <definedName name="_____tc3">#REF!</definedName>
    <definedName name="_____tc4">#REF!</definedName>
    <definedName name="_____tc5">#REF!</definedName>
    <definedName name="_____ted2">#REF!</definedName>
    <definedName name="_____thb02">#REF!</definedName>
    <definedName name="_____thb03">#REF!</definedName>
    <definedName name="_____thb04">#REF!</definedName>
    <definedName name="_____TLT1">#REF!</definedName>
    <definedName name="_____TOP1">#REF!</definedName>
    <definedName name="_____TOT1">#REF!</definedName>
    <definedName name="_____TS1">#REF!</definedName>
    <definedName name="_____twd02">#REF!</definedName>
    <definedName name="_____twd03">#REF!</definedName>
    <definedName name="_____twd04">#REF!</definedName>
    <definedName name="_____UER1">#REF!</definedName>
    <definedName name="_____v1">{"'1-TheatreBkgs'!$A$1:$L$102"}</definedName>
    <definedName name="_____V2">{"'1-TheatreBkgs'!$A$1:$L$102"}</definedName>
    <definedName name="_____v3">{"'1-TheatreBkgs'!$A$1:$L$102"}</definedName>
    <definedName name="_____Vac1">#REF!</definedName>
    <definedName name="_____VAR13300">#N/A</definedName>
    <definedName name="_____VAR13502">#N/A</definedName>
    <definedName name="_____wk1">#REF!</definedName>
    <definedName name="_____wk2">#REF!</definedName>
    <definedName name="_____wk3">#REF!</definedName>
    <definedName name="_____wk4">#REF!</definedName>
    <definedName name="_____wpl2">#REF!</definedName>
    <definedName name="_____wrn3">#REF!</definedName>
    <definedName name="_____wrn4">#REF!</definedName>
    <definedName name="_____xlfn.RTD">#NAME?</definedName>
    <definedName name="_____Z04">#REF!</definedName>
    <definedName name="_____Z05">#REF!</definedName>
    <definedName name="_____zz04">#REF!</definedName>
    <definedName name="____1Table2_">#REF!</definedName>
    <definedName name="____2_0_Table2_">#REF!</definedName>
    <definedName name="____3S">#REF!</definedName>
    <definedName name="____4Table2_">#REF!</definedName>
    <definedName name="____5Table2_">#REF!</definedName>
    <definedName name="____6_0_S">#REF!</definedName>
    <definedName name="____7_0_Table2_">#REF!</definedName>
    <definedName name="____8_0_Table2_">#REF!</definedName>
    <definedName name="____a1">{"'1-TheatreBkgs'!$A$1:$L$102"}</definedName>
    <definedName name="____a2">{"'1-TheatreBkgs'!$A$1:$L$102"}</definedName>
    <definedName name="____a3">{"'1-TheatreBkgs'!$A$1:$L$102"}</definedName>
    <definedName name="____aa1">#REF!</definedName>
    <definedName name="____aaa2">#REF!</definedName>
    <definedName name="____ACK1">#REF!</definedName>
    <definedName name="____ake1">#REF!</definedName>
    <definedName name="____ake2">#REF!</definedName>
    <definedName name="____ake3">#REF!</definedName>
    <definedName name="____AMT13300">#N/A</definedName>
    <definedName name="____AMT13502">#N/A</definedName>
    <definedName name="____AMT41301">#N/A</definedName>
    <definedName name="____AMT85116">#N/A</definedName>
    <definedName name="____AMT85125">#N/A</definedName>
    <definedName name="____AMT86106">#N/A</definedName>
    <definedName name="____as1">#REF!</definedName>
    <definedName name="____aud02">#REF!</definedName>
    <definedName name="____aud03">#REF!</definedName>
    <definedName name="____aud04">#REF!</definedName>
    <definedName name="____Caad03">#REF!</definedName>
    <definedName name="____cad03">#REF!</definedName>
    <definedName name="____cad03.1">#REF!</definedName>
    <definedName name="____col1">#REF!</definedName>
    <definedName name="____col10">#REF!</definedName>
    <definedName name="____col11">#REF!</definedName>
    <definedName name="____col12">#REF!</definedName>
    <definedName name="____col13">#REF!</definedName>
    <definedName name="____col2">#REF!</definedName>
    <definedName name="____col3">#REF!</definedName>
    <definedName name="____col4">#REF!</definedName>
    <definedName name="____col5">#REF!</definedName>
    <definedName name="____col6">#REF!</definedName>
    <definedName name="____col7">#REF!</definedName>
    <definedName name="____col8">#REF!</definedName>
    <definedName name="____col9">#REF!</definedName>
    <definedName name="____d32">16</definedName>
    <definedName name="____d444">5</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3">#REF!</definedName>
    <definedName name="____DAT4">#REF!</definedName>
    <definedName name="____DAT5">#REF!</definedName>
    <definedName name="____dat50">#REF!</definedName>
    <definedName name="____DAT6">#REF!</definedName>
    <definedName name="____DAT7">#REF!</definedName>
    <definedName name="____DAT8">#REF!</definedName>
    <definedName name="____DAT9">#REF!</definedName>
    <definedName name="____DD2">#REF!</definedName>
    <definedName name="____DEC11">{"'OCT  VOIDS'!$A$1:$G$33","'OCT '!$A$1:$G$48","'OCT Adj'!$A$1:$L$37"}</definedName>
    <definedName name="____DEC2">{"'OCT  VOIDS'!$A$1:$G$33","'OCT '!$A$1:$G$48","'OCT Adj'!$A$1:$L$37"}</definedName>
    <definedName name="____DEC3">{"'OCT  VOIDS'!$A$1:$G$33","'OCT '!$A$1:$G$48","'OCT Adj'!$A$1:$L$37"}</definedName>
    <definedName name="____eur03">#REF!</definedName>
    <definedName name="____Feb06">#REF!</definedName>
    <definedName name="____FST1">#REF!</definedName>
    <definedName name="____gbp03">#REF!</definedName>
    <definedName name="____gla1" hidden="1">{#N/A,#N/A,FALSE,"Inc Month";#N/A,#N/A,FALSE,"Inc YTD";#N/A,#N/A,FALSE,"Bal Sheet";#N/A,#N/A,FALSE,"Base Cert";#N/A,#N/A,FALSE,"AR-Detail";#N/A,#N/A,FALSE,"PAC Bal";#N/A,#N/A,FALSE,"PAC Cash";#N/A,#N/A,FALSE,"Equity";#N/A,#N/A,FALSE,"PEI Bal";#N/A,#N/A,FALSE,"PEI Cash"}</definedName>
    <definedName name="____gla2" hidden="1">{#N/A,#N/A,FALSE,"Inc Month";#N/A,#N/A,FALSE,"Inc YTD";#N/A,#N/A,FALSE,"Bal Sheet";#N/A,#N/A,FALSE,"Base Cert";#N/A,#N/A,FALSE,"AR-Detail";#N/A,#N/A,FALSE,"PAC Bal";#N/A,#N/A,FALSE,"PAC Cash";#N/A,#N/A,FALSE,"Equity";#N/A,#N/A,FALSE,"PEI Bal";#N/A,#N/A,FALSE,"PEI Cash"}</definedName>
    <definedName name="____hc4">{"'1-TheatreBkgs'!$A$1:$L$102"}</definedName>
    <definedName name="____hkd02">#REF!</definedName>
    <definedName name="____hkd03">#REF!</definedName>
    <definedName name="____hkd04">#REF!</definedName>
    <definedName name="____idr03">#REF!</definedName>
    <definedName name="____ILF2000">#REF!</definedName>
    <definedName name="____ILF99">#REF!</definedName>
    <definedName name="____ILT1">#REF!</definedName>
    <definedName name="____IS2">#REF!</definedName>
    <definedName name="____J2">0</definedName>
    <definedName name="____jan23">#REF!</definedName>
    <definedName name="____jkj1">#REF!</definedName>
    <definedName name="____jyr6">#REF!</definedName>
    <definedName name="____key1" hidden="1">#REF!</definedName>
    <definedName name="____lbg2">#REF!</definedName>
    <definedName name="____LG2">#REF!</definedName>
    <definedName name="____M199" hidden="1">{#N/A,#N/A,FALSE,"Aging Summary";#N/A,#N/A,FALSE,"Ratio Analysis";#N/A,#N/A,FALSE,"Test 120 Day Accts";#N/A,#N/A,FALSE,"Tickmarks"}</definedName>
    <definedName name="____MAR9091">#REF!</definedName>
    <definedName name="____MAT1">#REF!</definedName>
    <definedName name="____mer1">#REF!</definedName>
    <definedName name="____mer2">#REF!</definedName>
    <definedName name="____mk1">#REF!</definedName>
    <definedName name="____ms1">#REF!</definedName>
    <definedName name="____mv1">#REF!</definedName>
    <definedName name="____myr03">#REF!</definedName>
    <definedName name="____neu1">47</definedName>
    <definedName name="____neu2">"5W20QJUQBT31X9QWPI207CDHB"</definedName>
    <definedName name="____new1" hidden="1">{"Central",#N/A,FALSE,"Total"}</definedName>
    <definedName name="____new2" hidden="1">{"Central",#N/A,FALSE,"Total"}</definedName>
    <definedName name="____O1">#REF!</definedName>
    <definedName name="____O2">#REF!</definedName>
    <definedName name="____oe1">#REF!</definedName>
    <definedName name="____old2" hidden="1">{#N/A,#N/A,FALSE,"Income";#N/A,#N/A,FALSE,"Cost of Goods Sold";#N/A,#N/A,FALSE,"Other Costs";#N/A,#N/A,FALSE,"Other Income";#N/A,#N/A,FALSE,"Taxes";#N/A,#N/A,FALSE,"Other Deductions";#N/A,#N/A,FALSE,"Compensation of Officers"}</definedName>
    <definedName name="____old3" hidden="1">{#N/A,#N/A,FALSE,"Income";#N/A,#N/A,FALSE,"Cost of Goods Sold";#N/A,#N/A,FALSE,"Other Costs";#N/A,#N/A,FALSE,"Other Income";#N/A,#N/A,FALSE,"Taxes";#N/A,#N/A,FALSE,"Other Deductions";#N/A,#N/A,FALSE,"Compensation of Officers"}</definedName>
    <definedName name="____old4" hidden="1">{#N/A,#N/A,FALSE,"Income";#N/A,#N/A,FALSE,"Cost of Goods Sold";#N/A,#N/A,FALSE,"Other Costs";#N/A,#N/A,FALSE,"Other Income";#N/A,#N/A,FALSE,"Taxes";#N/A,#N/A,FALSE,"Other Deductions";#N/A,#N/A,FALSE,"Compensation of Officers"}</definedName>
    <definedName name="____old5" hidden="1">{#N/A,#N/A,FALSE,"Income";#N/A,#N/A,FALSE,"Cost of Goods Sold";#N/A,#N/A,FALSE,"Other Costs";#N/A,#N/A,FALSE,"Other Income";#N/A,#N/A,FALSE,"Taxes";#N/A,#N/A,FALSE,"Other Deductions";#N/A,#N/A,FALSE,"Compensation of Officers"}</definedName>
    <definedName name="____old8" hidden="1">{#N/A,#N/A,FALSE,"Income";#N/A,#N/A,FALSE,"Cost of Goods Sold";#N/A,#N/A,FALSE,"Other Costs";#N/A,#N/A,FALSE,"Other Income";#N/A,#N/A,FALSE,"Taxes";#N/A,#N/A,FALSE,"Other Deductions";#N/A,#N/A,FALSE,"Compensation of Officers"}</definedName>
    <definedName name="____old9" hidden="1">{#N/A,#N/A,FALSE,"Income";#N/A,#N/A,FALSE,"Cost of Goods Sold";#N/A,#N/A,FALSE,"Other Costs";#N/A,#N/A,FALSE,"Other Income";#N/A,#N/A,FALSE,"Taxes";#N/A,#N/A,FALSE,"Other Deductions";#N/A,#N/A,FALSE,"Compensation of Officers"}</definedName>
    <definedName name="____OUT13300">#N/A</definedName>
    <definedName name="____OUT13502">#N/A</definedName>
    <definedName name="____OUT41301">#N/A</definedName>
    <definedName name="____OUT85116">#N/A</definedName>
    <definedName name="____OUT85125">#N/A</definedName>
    <definedName name="____OUT86106">#N/A</definedName>
    <definedName name="____P1">#REF!</definedName>
    <definedName name="____pd123">#REF!</definedName>
    <definedName name="____PG1">#REF!</definedName>
    <definedName name="____pg11">#REF!</definedName>
    <definedName name="____pg13">#REF!</definedName>
    <definedName name="____pg14">#REF!</definedName>
    <definedName name="____PG2">#REF!</definedName>
    <definedName name="____pg3">#REF!</definedName>
    <definedName name="____PG4">#REF!</definedName>
    <definedName name="____pg5">#REF!</definedName>
    <definedName name="____PG6">#REF!</definedName>
    <definedName name="____pg7">#REF!</definedName>
    <definedName name="____PG8">#REF!</definedName>
    <definedName name="____pg9">#REF!</definedName>
    <definedName name="____prc1">#REF!</definedName>
    <definedName name="____prc2">#REF!</definedName>
    <definedName name="____prc3">#REF!</definedName>
    <definedName name="____PSM2">#REF!</definedName>
    <definedName name="____PSM3">#REF!</definedName>
    <definedName name="____Q1">{"'Standalone List Price Trends'!$A$1:$X$56"}</definedName>
    <definedName name="____Q2">{"'Standalone List Price Trends'!$A$1:$X$56"}</definedName>
    <definedName name="____Q3">{"'Standalone List Price Trends'!$A$1:$X$56"}</definedName>
    <definedName name="____Q5">{"'Standalone List Price Trends'!$A$1:$X$56"}</definedName>
    <definedName name="____Q9">{"'Standalone List Price Trends'!$A$1:$X$56"}</definedName>
    <definedName name="____QRA86106">#N/A</definedName>
    <definedName name="____qt1">#REF!</definedName>
    <definedName name="____QTR1">#REF!</definedName>
    <definedName name="____QUO1">#REF!</definedName>
    <definedName name="____rd2">#REF!</definedName>
    <definedName name="____RNG1">#REF!</definedName>
    <definedName name="____RNG2">#REF!</definedName>
    <definedName name="____rw1">{"'Standalone List Price Trends'!$A$1:$X$56"}</definedName>
    <definedName name="____rw2">{"'Standalone List Price Trends'!$A$1:$X$56"}</definedName>
    <definedName name="____rw3">{"'Standalone List Price Trends'!$A$1:$X$56"}</definedName>
    <definedName name="____rw4">{"'Standalone List Price Trends'!$A$1:$X$56"}</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b1">#REF!</definedName>
    <definedName name="____sep97">#REF!</definedName>
    <definedName name="____sex2">{"'1-TheatreBkgs'!$A$1:$L$102"}</definedName>
    <definedName name="____sex3">{"'1-TheatreBkgs'!$A$1:$L$102"}</definedName>
    <definedName name="____sex4">{"'1-TheatreBkgs'!$A$1:$L$102"}</definedName>
    <definedName name="____sex5">{"'1-TheatreBkgs'!$A$1:$L$102"}</definedName>
    <definedName name="____sex6">{"'1-TheatreBkgs'!$A$1:$L$102"}</definedName>
    <definedName name="____sgd02">#REF!</definedName>
    <definedName name="____sgd03">#REF!</definedName>
    <definedName name="____sgd04">#REF!</definedName>
    <definedName name="____sht1">#REF!</definedName>
    <definedName name="____ST1">#REF!</definedName>
    <definedName name="____tab1">#REF!</definedName>
    <definedName name="____tax2">#REF!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tc1">#REF!</definedName>
    <definedName name="____tc2">#REF!</definedName>
    <definedName name="____tc3">#REF!</definedName>
    <definedName name="____tc4">#REF!</definedName>
    <definedName name="____tc5">#REF!</definedName>
    <definedName name="____ted2">#REF!</definedName>
    <definedName name="____thb02">#REF!</definedName>
    <definedName name="____thb03">#REF!</definedName>
    <definedName name="____thb04">#REF!</definedName>
    <definedName name="____TLT1">#REF!</definedName>
    <definedName name="____TOP1">#REF!</definedName>
    <definedName name="____TOT1">#REF!</definedName>
    <definedName name="____TS1">#REF!</definedName>
    <definedName name="____twd02">#REF!</definedName>
    <definedName name="____twd03">#REF!</definedName>
    <definedName name="____twd04">#REF!</definedName>
    <definedName name="____UER1">#REF!</definedName>
    <definedName name="____v1">{"'1-TheatreBkgs'!$A$1:$L$102"}</definedName>
    <definedName name="____V2">{"'1-TheatreBkgs'!$A$1:$L$102"}</definedName>
    <definedName name="____v3">{"'1-TheatreBkgs'!$A$1:$L$102"}</definedName>
    <definedName name="____Vac1">#REF!</definedName>
    <definedName name="____VAR13300">#N/A</definedName>
    <definedName name="____VAR13502">#N/A</definedName>
    <definedName name="____vio1">#REF!</definedName>
    <definedName name="____wk1">#REF!</definedName>
    <definedName name="____wk2">#REF!</definedName>
    <definedName name="____wk3">#REF!</definedName>
    <definedName name="____wk4">#REF!</definedName>
    <definedName name="____wpl2">#REF!</definedName>
    <definedName name="____wrn1">#REF!</definedName>
    <definedName name="____wrn3">#REF!</definedName>
    <definedName name="____wrn4">#REF!</definedName>
    <definedName name="____xlfn.RTD">#NAME?</definedName>
    <definedName name="____Z04">#REF!</definedName>
    <definedName name="____Z05">#REF!</definedName>
    <definedName name="____zz04">#REF!</definedName>
    <definedName name="___1Table2_">#REF!</definedName>
    <definedName name="___2_0_Table2_">#REF!</definedName>
    <definedName name="___3S">#REF!</definedName>
    <definedName name="___4Table2_">#REF!</definedName>
    <definedName name="___5Table2_">#REF!</definedName>
    <definedName name="___6_0_S">#REF!</definedName>
    <definedName name="___7_0_Table2_">#REF!</definedName>
    <definedName name="___8_0_Table2_">#REF!</definedName>
    <definedName name="___a1">{"'1-TheatreBkgs'!$A$1:$L$102"}</definedName>
    <definedName name="___a2">#REF!</definedName>
    <definedName name="___a3">#REF!</definedName>
    <definedName name="___aa1" hidden="1">{#N/A,#N/A,FALSE,"Aging Summary";#N/A,#N/A,FALSE,"Ratio Analysis";#N/A,#N/A,FALSE,"Test 120 Day Accts";#N/A,#N/A,FALSE,"Tickmarks"}</definedName>
    <definedName name="___aaa2" hidden="1">{#N/A,#N/A,FALSE,"Aging Summary";#N/A,#N/A,FALSE,"Ratio Analysis";#N/A,#N/A,FALSE,"Test 120 Day Accts";#N/A,#N/A,FALSE,"Tickmarks"}</definedName>
    <definedName name="___ACK1">#REF!</definedName>
    <definedName name="___ake1">#REF!</definedName>
    <definedName name="___ake2">#REF!</definedName>
    <definedName name="___ake3">#REF!</definedName>
    <definedName name="___AMT13300">#N/A</definedName>
    <definedName name="___AMT13502">#N/A</definedName>
    <definedName name="___AMT41301">#N/A</definedName>
    <definedName name="___AMT85116">#N/A</definedName>
    <definedName name="___AMT85125">#N/A</definedName>
    <definedName name="___AMT86106">#N/A</definedName>
    <definedName name="___APS2">clra1b1,clra1b2,clra1b3,clra1b4,clra1b5,clra1b6,clra1b7,clra1b8</definedName>
    <definedName name="___aps4">Indexn1,IndexN2</definedName>
    <definedName name="___aud02">#REF!</definedName>
    <definedName name="___aud03">#REF!</definedName>
    <definedName name="___aud04">#REF!</definedName>
    <definedName name="___cad03">#REF!</definedName>
    <definedName name="___cat1">#REF!</definedName>
    <definedName name="___col1">#REF!</definedName>
    <definedName name="___col10">#REF!</definedName>
    <definedName name="___col11">#REF!</definedName>
    <definedName name="___col12">#REF!</definedName>
    <definedName name="___col13">#REF!</definedName>
    <definedName name="___col2">#REF!</definedName>
    <definedName name="___col3">#REF!</definedName>
    <definedName name="___col4">#REF!</definedName>
    <definedName name="___col5">#REF!</definedName>
    <definedName name="___col6">#REF!</definedName>
    <definedName name="___col7">#REF!</definedName>
    <definedName name="___col8">#REF!</definedName>
    <definedName name="___col9">#REF!</definedName>
    <definedName name="___d32">16</definedName>
    <definedName name="___d444">5</definedName>
    <definedName name="___d5">{"'1-TheatreBkgs'!$A$1:$L$102"}</definedName>
    <definedName name="___d6">{"'1-TheatreBkgs'!$A$1:$L$102"}</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3">#REF!</definedName>
    <definedName name="___DAT4">#REF!</definedName>
    <definedName name="___DAT5">#REF!</definedName>
    <definedName name="___dat50">#REF!</definedName>
    <definedName name="___DAT6">#REF!</definedName>
    <definedName name="___DAT7">#REF!</definedName>
    <definedName name="___DAT8">#REF!</definedName>
    <definedName name="___DAT9">#REF!</definedName>
    <definedName name="___DD2">#REF!</definedName>
    <definedName name="___ddd1">#REF!</definedName>
    <definedName name="___DEC11">{"'OCT  VOIDS'!$A$1:$G$33","'OCT '!$A$1:$G$48","'OCT Adj'!$A$1:$L$37"}</definedName>
    <definedName name="___DEC2">{"'OCT  VOIDS'!$A$1:$G$33","'OCT '!$A$1:$G$48","'OCT Adj'!$A$1:$L$37"}</definedName>
    <definedName name="___DEC3">{"'OCT  VOIDS'!$A$1:$G$33","'OCT '!$A$1:$G$48","'OCT Adj'!$A$1:$L$37"}</definedName>
    <definedName name="___dog1">#REF!</definedName>
    <definedName name="___eur03">#REF!</definedName>
    <definedName name="___FST1">#REF!</definedName>
    <definedName name="___gbp03">#REF!</definedName>
    <definedName name="___gfg2">#REF!</definedName>
    <definedName name="___gla1" hidden="1">{#N/A,#N/A,FALSE,"Inc Month";#N/A,#N/A,FALSE,"Inc YTD";#N/A,#N/A,FALSE,"Bal Sheet";#N/A,#N/A,FALSE,"Base Cert";#N/A,#N/A,FALSE,"AR-Detail";#N/A,#N/A,FALSE,"PAC Bal";#N/A,#N/A,FALSE,"PAC Cash";#N/A,#N/A,FALSE,"Equity";#N/A,#N/A,FALSE,"PEI Bal";#N/A,#N/A,FALSE,"PEI Cash"}</definedName>
    <definedName name="___gla2" hidden="1">{#N/A,#N/A,FALSE,"Inc Month";#N/A,#N/A,FALSE,"Inc YTD";#N/A,#N/A,FALSE,"Bal Sheet";#N/A,#N/A,FALSE,"Base Cert";#N/A,#N/A,FALSE,"AR-Detail";#N/A,#N/A,FALSE,"PAC Bal";#N/A,#N/A,FALSE,"PAC Cash";#N/A,#N/A,FALSE,"Equity";#N/A,#N/A,FALSE,"PEI Bal";#N/A,#N/A,FALSE,"PEI Cash"}</definedName>
    <definedName name="___Grp12">#REF!</definedName>
    <definedName name="___Grp13">#REF!</definedName>
    <definedName name="___Grp14">#REF!</definedName>
    <definedName name="___Grp15">#REF!</definedName>
    <definedName name="___Grp2">#REF!</definedName>
    <definedName name="___hkd02">#REF!</definedName>
    <definedName name="___hkd03">#REF!</definedName>
    <definedName name="___hkd04">#REF!</definedName>
    <definedName name="___idr03">#REF!</definedName>
    <definedName name="___ILF2000">#REF!</definedName>
    <definedName name="___ILF99">#REF!</definedName>
    <definedName name="___ILT1">#REF!</definedName>
    <definedName name="___INDEX_SHEET___ASAP_Utilities">#REF!</definedName>
    <definedName name="___Inv1" hidden="1">{#N/A,#N/A,TRUE,"CPRD";#N/A,#N/A,TRUE,"BCCPDR";#N/A,#N/A,TRUE,"EWRD";#N/A,#N/A,TRUE,"5100";#N/A,#N/A,TRUE,"5110"}</definedName>
    <definedName name="___IS2">#REF!</definedName>
    <definedName name="___J2">0</definedName>
    <definedName name="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key1" hidden="1">#REF!</definedName>
    <definedName name="__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__LG2" hidden="1">{#N/A,#N/A,TRUE,"매출진척-1";#N/A,#N/A,TRUE,"매출진척-2";#N/A,#N/A,TRUE,"제품실적";#N/A,#N/A,TRUE,"RAC";#N/A,#N/A,TRUE,"PAC ";#N/A,#N/A,TRUE,"재고현황";#N/A,#N/A,TRUE,"공지사항"}</definedName>
    <definedName name="___M199" hidden="1">{#N/A,#N/A,FALSE,"Aging Summary";#N/A,#N/A,FALSE,"Ratio Analysis";#N/A,#N/A,FALSE,"Test 120 Day Accts";#N/A,#N/A,FALSE,"Tickmarks"}</definedName>
    <definedName name="___MAR9091">#REF!</definedName>
    <definedName name="___MAT1">#REF!</definedName>
    <definedName name="___me1">36.2</definedName>
    <definedName name="___me2">40</definedName>
    <definedName name="___mer1">#REF!</definedName>
    <definedName name="___mer2">#REF!</definedName>
    <definedName name="___mk1">#REF!</definedName>
    <definedName name="___ms1">#REF!</definedName>
    <definedName name="___mv1">#REF!</definedName>
    <definedName name="___myr03">#REF!</definedName>
    <definedName name="___neu1">47</definedName>
    <definedName name="___neu2">"5W20QJUQBT31X9QWPI207CDHB"</definedName>
    <definedName name="___new1" hidden="1">{"Central",#N/A,FALSE,"Total"}</definedName>
    <definedName name="___new2" hidden="1">{"Central",#N/A,FALSE,"Total"}</definedName>
    <definedName name="___nm1" hidden="1">{#N/A,#N/A,TRUE,"Monthly BCG";#N/A,#N/A,TRUE,"Qrt BCG";#N/A,#N/A,TRUE,"FY BCG";#N/A,#N/A,TRUE,"1Q BCG";#N/A,#N/A,TRUE,"2Q BCG";#N/A,#N/A,TRUE,"3Q BCG";#N/A,#N/A,TRUE,"4Q BCG"}</definedName>
    <definedName name="___nol1">#REF!</definedName>
    <definedName name="___O1">#REF!</definedName>
    <definedName name="___O2">#REF!</definedName>
    <definedName name="___oe1">#REF!</definedName>
    <definedName name="___OK2">#REF!</definedName>
    <definedName name="___old1">#REF!</definedName>
    <definedName name="___old2" hidden="1">{#N/A,#N/A,FALSE,"Income";#N/A,#N/A,FALSE,"Cost of Goods Sold";#N/A,#N/A,FALSE,"Other Costs";#N/A,#N/A,FALSE,"Other Income";#N/A,#N/A,FALSE,"Taxes";#N/A,#N/A,FALSE,"Other Deductions";#N/A,#N/A,FALSE,"Compensation of Officers"}</definedName>
    <definedName name="___old3" hidden="1">{#N/A,#N/A,FALSE,"Income";#N/A,#N/A,FALSE,"Cost of Goods Sold";#N/A,#N/A,FALSE,"Other Costs";#N/A,#N/A,FALSE,"Other Income";#N/A,#N/A,FALSE,"Taxes";#N/A,#N/A,FALSE,"Other Deductions";#N/A,#N/A,FALSE,"Compensation of Officers"}</definedName>
    <definedName name="___old4" hidden="1">{#N/A,#N/A,FALSE,"Income";#N/A,#N/A,FALSE,"Cost of Goods Sold";#N/A,#N/A,FALSE,"Other Costs";#N/A,#N/A,FALSE,"Other Income";#N/A,#N/A,FALSE,"Taxes";#N/A,#N/A,FALSE,"Other Deductions";#N/A,#N/A,FALSE,"Compensation of Officers"}</definedName>
    <definedName name="___old5" hidden="1">{#N/A,#N/A,FALSE,"Income";#N/A,#N/A,FALSE,"Cost of Goods Sold";#N/A,#N/A,FALSE,"Other Costs";#N/A,#N/A,FALSE,"Other Income";#N/A,#N/A,FALSE,"Taxes";#N/A,#N/A,FALSE,"Other Deductions";#N/A,#N/A,FALSE,"Compensation of Officers"}</definedName>
    <definedName name="___old8" hidden="1">{#N/A,#N/A,FALSE,"Income";#N/A,#N/A,FALSE,"Cost of Goods Sold";#N/A,#N/A,FALSE,"Other Costs";#N/A,#N/A,FALSE,"Other Income";#N/A,#N/A,FALSE,"Taxes";#N/A,#N/A,FALSE,"Other Deductions";#N/A,#N/A,FALSE,"Compensation of Officers"}</definedName>
    <definedName name="___old9" hidden="1">{#N/A,#N/A,FALSE,"Income";#N/A,#N/A,FALSE,"Cost of Goods Sold";#N/A,#N/A,FALSE,"Other Costs";#N/A,#N/A,FALSE,"Other Income";#N/A,#N/A,FALSE,"Taxes";#N/A,#N/A,FALSE,"Other Deductions";#N/A,#N/A,FALSE,"Compensation of Officers"}</definedName>
    <definedName name="___OUT13300">#N/A</definedName>
    <definedName name="___OUT13502">#N/A</definedName>
    <definedName name="___OUT41301">#N/A</definedName>
    <definedName name="___OUT85116">#N/A</definedName>
    <definedName name="___OUT85125">#N/A</definedName>
    <definedName name="___OUT86106">#N/A</definedName>
    <definedName name="___P1">#REF!</definedName>
    <definedName name="___pd123">#REF!</definedName>
    <definedName name="___PG1">#REF!</definedName>
    <definedName name="___pg10">#REF!</definedName>
    <definedName name="___pg11">#REF!</definedName>
    <definedName name="___pg12">#REF!</definedName>
    <definedName name="___pg13">#REF!</definedName>
    <definedName name="___pg14">#REF!</definedName>
    <definedName name="___pg2">#REF!</definedName>
    <definedName name="___pg3">#REF!</definedName>
    <definedName name="___pg4">#REF!</definedName>
    <definedName name="___pg5">#REF!</definedName>
    <definedName name="___pg6">#REF!</definedName>
    <definedName name="___pg7">#REF!</definedName>
    <definedName name="___pg8">#REF!</definedName>
    <definedName name="___pg9">#REF!</definedName>
    <definedName name="___prc1">#REF!</definedName>
    <definedName name="___prc2">#REF!</definedName>
    <definedName name="___prc3">#REF!</definedName>
    <definedName name="___prn01">#REF!</definedName>
    <definedName name="___ps3">g1clear,G1Clear2</definedName>
    <definedName name="___PSM2">#REF!</definedName>
    <definedName name="___PSM3">#REF!</definedName>
    <definedName name="___q1">#REF!</definedName>
    <definedName name="___q2">#REF!</definedName>
    <definedName name="___Q3">{"'Standalone List Price Trends'!$A$1:$X$56"}</definedName>
    <definedName name="___Q4">{"'Standalone List Price Trends'!$A$1:$X$56"}</definedName>
    <definedName name="___Q5">{"'Standalone List Price Trends'!$A$1:$X$56"}</definedName>
    <definedName name="___Q9">{"'Standalone List Price Trends'!$A$1:$X$56"}</definedName>
    <definedName name="___QRA86106">#N/A</definedName>
    <definedName name="___qt1">#REF!</definedName>
    <definedName name="___QTR1">#REF!</definedName>
    <definedName name="___QUO1">#REF!</definedName>
    <definedName name="___rd2">#REF!</definedName>
    <definedName name="___RNG1">#REF!</definedName>
    <definedName name="___RNG2">#REF!</definedName>
    <definedName name="___row2" hidden="1">#REF!</definedName>
    <definedName name="___rw1">{"'Standalone List Price Trends'!$A$1:$X$56"}</definedName>
    <definedName name="___rw2">{"'Standalone List Price Trends'!$A$1:$X$56"}</definedName>
    <definedName name="___rw3" hidden="1">#REF!</definedName>
    <definedName name="___rw4">{"'Standalone List Price Trends'!$A$1:$X$56"}</definedName>
    <definedName name="___rwo5" hidden="1">#REF!</definedName>
    <definedName name="___s1" hidden="1">{#N/A,#N/A,FALSE,"UNIT";#N/A,#N/A,FALSE,"UNIT";#N/A,#N/A,FALSE,"계정"}</definedName>
    <definedName name="___s10" hidden="1">{#N/A,#N/A,FALSE,"UNIT";#N/A,#N/A,FALSE,"UNIT";#N/A,#N/A,FALSE,"계정"}</definedName>
    <definedName name="___s11" hidden="1">{#N/A,#N/A,FALSE,"UNIT";#N/A,#N/A,FALSE,"UNIT";#N/A,#N/A,FALSE,"계정"}</definedName>
    <definedName name="___s12" hidden="1">{#N/A,#N/A,FALSE,"UNIT";#N/A,#N/A,FALSE,"UNIT";#N/A,#N/A,FALSE,"계정"}</definedName>
    <definedName name="___s13" hidden="1">{#N/A,#N/A,FALSE,"UNIT";#N/A,#N/A,FALSE,"UNIT";#N/A,#N/A,FALSE,"계정"}</definedName>
    <definedName name="___s14" hidden="1">{#N/A,#N/A,FALSE,"UNIT";#N/A,#N/A,FALSE,"UNIT";#N/A,#N/A,FALSE,"계정"}</definedName>
    <definedName name="___s16" hidden="1">{#N/A,#N/A,FALSE,"UNIT";#N/A,#N/A,FALSE,"UNIT";#N/A,#N/A,FALSE,"계정"}</definedName>
    <definedName name="___s17" hidden="1">{#N/A,#N/A,FALSE,"UNIT";#N/A,#N/A,FALSE,"UNIT";#N/A,#N/A,FALSE,"계정"}</definedName>
    <definedName name="___s2" hidden="1">{#N/A,#N/A,FALSE,"UNIT";#N/A,#N/A,FALSE,"UNIT";#N/A,#N/A,FALSE,"계정"}</definedName>
    <definedName name="___s3" hidden="1">{#N/A,#N/A,FALSE,"UNIT";#N/A,#N/A,FALSE,"UNIT";#N/A,#N/A,FALSE,"계정"}</definedName>
    <definedName name="___s4" hidden="1">{#N/A,#N/A,FALSE,"UNIT";#N/A,#N/A,FALSE,"UNIT";#N/A,#N/A,FALSE,"계정"}</definedName>
    <definedName name="___s5" hidden="1">{#N/A,#N/A,FALSE,"UNIT";#N/A,#N/A,FALSE,"UNIT";#N/A,#N/A,FALSE,"계정"}</definedName>
    <definedName name="___s6" hidden="1">{#N/A,#N/A,FALSE,"UNIT";#N/A,#N/A,FALSE,"UNIT";#N/A,#N/A,FALSE,"계정"}</definedName>
    <definedName name="___s9" hidden="1">{#N/A,#N/A,FALSE,"UNIT";#N/A,#N/A,FALSE,"UNIT";#N/A,#N/A,FALSE,"계정"}</definedName>
    <definedName name="___sb1">#REF!</definedName>
    <definedName name="___Sch10">#REF!</definedName>
    <definedName name="___Sch11">#REF!</definedName>
    <definedName name="___Sch12">#REF!</definedName>
    <definedName name="___Sch13">#REF!</definedName>
    <definedName name="___Sch14">#REF!</definedName>
    <definedName name="___Sch15">#REF!</definedName>
    <definedName name="___Sch2">#REF!</definedName>
    <definedName name="___Sch4">#REF!</definedName>
    <definedName name="___Sch5">#REF!</definedName>
    <definedName name="___Sch6">#REF!</definedName>
    <definedName name="___Sch7">#REF!</definedName>
    <definedName name="___Sch8">#REF!</definedName>
    <definedName name="___Sch9">#REF!</definedName>
    <definedName name="___SEC2">#REF!</definedName>
    <definedName name="___SEC4">#REF!</definedName>
    <definedName name="___SEC5">#REF!</definedName>
    <definedName name="___sep97">#REF!</definedName>
    <definedName name="___sgd02">#REF!</definedName>
    <definedName name="___sgd03">#REF!</definedName>
    <definedName name="___sgd04">#REF!</definedName>
    <definedName name="___sht1">#REF!</definedName>
    <definedName name="___ST1">#REF!</definedName>
    <definedName name="___tab1">#REF!</definedName>
    <definedName name="___tax2">#REF!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tc1">#REF!</definedName>
    <definedName name="___tc2">#REF!</definedName>
    <definedName name="___tc3">#REF!</definedName>
    <definedName name="___tc4">#REF!</definedName>
    <definedName name="___tc5">#REF!</definedName>
    <definedName name="___ted2">#REF!</definedName>
    <definedName name="___thb02">#REF!</definedName>
    <definedName name="___thb03">#REF!</definedName>
    <definedName name="___thb04">#REF!</definedName>
    <definedName name="___thinkcell0kUAAAAAAAAAAAAA41keTJtvmkmjSj6CFieU5g">#REF!</definedName>
    <definedName name="___thinkcellyh9W.42GHk.5NjwSOz9PNg">#REF!</definedName>
    <definedName name="___TLT1">#REF!</definedName>
    <definedName name="___TOP1">#REF!</definedName>
    <definedName name="___TOP10" hidden="1">{#N/A,#N/A,TRUE,"CPRD";#N/A,#N/A,TRUE,"BCCPDR";#N/A,#N/A,TRUE,"EWRD";#N/A,#N/A,TRUE,"5100";#N/A,#N/A,TRUE,"5110"}</definedName>
    <definedName name="___TOT1">#REF!</definedName>
    <definedName name="___TS1">#REF!</definedName>
    <definedName name="___twd02">#REF!</definedName>
    <definedName name="___twd03">#REF!</definedName>
    <definedName name="___twd04">#REF!</definedName>
    <definedName name="___UER1">#REF!</definedName>
    <definedName name="___v3">{"'1-TheatreBkgs'!$A$1:$L$102"}</definedName>
    <definedName name="___Vac1">#REF!</definedName>
    <definedName name="___VAR13300">#N/A</definedName>
    <definedName name="___VAR13502">#N/A</definedName>
    <definedName name="___w1" hidden="1">{#N/A,#N/A,FALSE,"Australia";#N/A,#N/A,FALSE,"Austria";#N/A,#N/A,FALSE,"Belgium";#N/A,#N/A,FALSE,"Canada";#N/A,#N/A,FALSE,"France";#N/A,#N/A,FALSE,"Germany";#N/A,#N/A,FALSE,"Hong Kong";#N/A,#N/A,FALSE,"Italy";#N/A,#N/A,FALSE,"Japan";#N/A,#N/A,FALSE,"Korea";#N/A,#N/A,FALSE,"Mexico";#N/A,#N/A,FALSE,"Poland";#N/A,#N/A,FALSE,"Spain";#N/A,#N/A,FALSE,"Switzerland";#N/A,#N/A,FALSE,"UK"}</definedName>
    <definedName name="___web1">#REF!</definedName>
    <definedName name="___wk1">#REF!</definedName>
    <definedName name="___wk2">#REF!</definedName>
    <definedName name="___wk3">#REF!</definedName>
    <definedName name="___wk4">#REF!</definedName>
    <definedName name="___wpl2" hidden="1">{#N/A,#N/A,FALSE,"Aging Summary";#N/A,#N/A,FALSE,"Ratio Analysis";#N/A,#N/A,FALSE,"Test 120 Day Accts";#N/A,#N/A,FALSE,"Tickmarks"}</definedName>
    <definedName name="___wr1">#REF!</definedName>
    <definedName name="___wrn3">#REF!</definedName>
    <definedName name="___wrn4">#REF!</definedName>
    <definedName name="___www2">#REF!</definedName>
    <definedName name="___x1">#REF!</definedName>
    <definedName name="___xlc_DefaultDisplayOption___">"caption"</definedName>
    <definedName name="___xlc_DisplayNullValuesAs___">"___xlc_DisplayNullValuesAs_empty___"</definedName>
    <definedName name="___xlc_PromptForInsertOnDrill___">FALSE</definedName>
    <definedName name="___xlc_SuppressNULLSOnDrill___">TRUE</definedName>
    <definedName name="___xlc_SuppressZerosOnDrill___">FALSE</definedName>
    <definedName name="___xlfn.BAHTTEXT">#NAME?</definedName>
    <definedName name="___xlfn.RTD">#NAME?</definedName>
    <definedName name="___xz4">{0,0,0,0;0,0,0,0;0,0,0,0;0,0,0,0;0,0,0,0;0,0,0,0}</definedName>
    <definedName name="___Z04">#REF!</definedName>
    <definedName name="___Z04_3">#REF!</definedName>
    <definedName name="___Z05">#REF!</definedName>
    <definedName name="___Z05_3">#REF!</definedName>
    <definedName name="___zz04">#REF!</definedName>
    <definedName name="__1">#REF!</definedName>
    <definedName name="__1_?">#REF!</definedName>
    <definedName name="__1__123Graph_ACHART_3">#REF!</definedName>
    <definedName name="__1__xlfn.IFERROR">#NAME?</definedName>
    <definedName name="__1_154.87">#NAME?</definedName>
    <definedName name="__10">#REF!</definedName>
    <definedName name="__10__123Graph_ACHART_111" hidden="1">#REF!</definedName>
    <definedName name="__10__123Graph_BSENS_COMPARISON">#REF!</definedName>
    <definedName name="__11">#REF!</definedName>
    <definedName name="__11__123Graph_ACHART_112" hidden="1">#REF!</definedName>
    <definedName name="__11__123Graph_BSUPPLIES_BY_B_U">#REF!</definedName>
    <definedName name="__12__123Graph_AChart_1A" hidden="1">#REF!</definedName>
    <definedName name="__12__123Graph_BTAX_CREDIT">#REF!</definedName>
    <definedName name="__123Graph_A" hidden="1">#REF!</definedName>
    <definedName name="__123Graph_AAKTUELLE" hidden="1">#REF!</definedName>
    <definedName name="__123Graph_AChart1">#REF!</definedName>
    <definedName name="__123Graph_AChart2">#REF!</definedName>
    <definedName name="__123Graph_AChart3">#REF!</definedName>
    <definedName name="__123Graph_AChart4">#REF!</definedName>
    <definedName name="__123Graph_AChartn">#REF!</definedName>
    <definedName name="__123Graph_ACurrent">#REF!</definedName>
    <definedName name="__123Graph_AEXH1A">#REF!</definedName>
    <definedName name="__123Graph_AEXH3B">#REF!</definedName>
    <definedName name="__123Graph_AGraph1">#REF!</definedName>
    <definedName name="__123Graph_AGraph2">#REF!</definedName>
    <definedName name="__123Graph_AGraph3">#REF!</definedName>
    <definedName name="__123Graph_AGraph4">#REF!</definedName>
    <definedName name="__123Graph_AGraph5">#REF!</definedName>
    <definedName name="__123Graph_APERCENT" hidden="1">#REF!</definedName>
    <definedName name="__123Graph_ASALESTREND">#REF!</definedName>
    <definedName name="__123Graph_B" hidden="1">#REF!</definedName>
    <definedName name="__123Graph_BAKTUELLE" hidden="1">#REF!</definedName>
    <definedName name="__123Graph_BChart1">#REF!</definedName>
    <definedName name="__123Graph_BChart2">#REF!</definedName>
    <definedName name="__123Graph_BChart3">#REF!</definedName>
    <definedName name="__123Graph_BChart4">#REF!</definedName>
    <definedName name="__123Graph_BCurrent">#REF!</definedName>
    <definedName name="__123Graph_BGraph1">#REF!</definedName>
    <definedName name="__123Graph_BGraph2">#REF!</definedName>
    <definedName name="__123Graph_BGraph3">#REF!</definedName>
    <definedName name="__123Graph_BGraph5">#REF!</definedName>
    <definedName name="__123Graph_C">#REF!</definedName>
    <definedName name="__123Graph_CAKTUELLE" hidden="1">#REF!</definedName>
    <definedName name="__123Graph_CChart1">#REF!</definedName>
    <definedName name="__123Graph_CChart2">#REF!</definedName>
    <definedName name="__123Graph_CChart3">#REF!</definedName>
    <definedName name="__123Graph_CChart4">#REF!</definedName>
    <definedName name="__123Graph_CCurrent">#REF!</definedName>
    <definedName name="__123Graph_CEXH1A">#REF!</definedName>
    <definedName name="__123Graph_CEXH3B">#REF!</definedName>
    <definedName name="__123Graph_CGraph1">#REF!</definedName>
    <definedName name="__123Graph_CGraph2">#REF!</definedName>
    <definedName name="__123Graph_CGraph3">#REF!</definedName>
    <definedName name="__123Graph_D">#REF!</definedName>
    <definedName name="__123Graph_DAKTUELLE" hidden="1">#REF!</definedName>
    <definedName name="__123Graph_DChart1">#REF!</definedName>
    <definedName name="__123Graph_DChart2">#REF!</definedName>
    <definedName name="__123Graph_DChart3">#REF!</definedName>
    <definedName name="__123Graph_DChart4">#REF!</definedName>
    <definedName name="__123Graph_DCurrent">#REF!</definedName>
    <definedName name="__123Graph_DGraph1">#REF!</definedName>
    <definedName name="__123Graph_DGraph2">#REF!</definedName>
    <definedName name="__123Graph_DGraph3">#REF!</definedName>
    <definedName name="__123Graph_E">#REF!</definedName>
    <definedName name="__123Graph_EAKTUELLE" hidden="1">#REF!</definedName>
    <definedName name="__123Graph_EChart1">#REF!</definedName>
    <definedName name="__123Graph_EChart2">#REF!</definedName>
    <definedName name="__123Graph_EChart3">#REF!</definedName>
    <definedName name="__123Graph_EChart4">#REF!</definedName>
    <definedName name="__123Graph_ECurrent">#REF!</definedName>
    <definedName name="__123Graph_EGraph1">#REF!</definedName>
    <definedName name="__123Graph_EGraph2">#REF!</definedName>
    <definedName name="__123Graph_EGraph3">#REF!</definedName>
    <definedName name="__123Graph_F">#REF!</definedName>
    <definedName name="__123Graph_FChart1">#REF!</definedName>
    <definedName name="__123Graph_FChart2">#REF!</definedName>
    <definedName name="__123Graph_FChart3">#REF!</definedName>
    <definedName name="__123Graph_FChart4">#REF!</definedName>
    <definedName name="__123Graph_FCurrent">#REF!</definedName>
    <definedName name="__123Graph_FEXH1A">#REF!</definedName>
    <definedName name="__123Graph_FEXH3B">#REF!</definedName>
    <definedName name="__123Graph_FGraph1">#REF!</definedName>
    <definedName name="__123Graph_FGraph2">#REF!</definedName>
    <definedName name="__123Graph_FGraph3">#REF!</definedName>
    <definedName name="__123Graph_LBL_A" hidden="1">#REF!</definedName>
    <definedName name="__123Graph_LBL_ASALESTREND">#REF!</definedName>
    <definedName name="__123Graph_LBL_B" hidden="1">#REF!</definedName>
    <definedName name="__123Graph_LBL_C" hidden="1">#REF!</definedName>
    <definedName name="__123Graph_LBL_D" hidden="1">#REF!</definedName>
    <definedName name="__123Graph_X" hidden="1">#REF!</definedName>
    <definedName name="__123Graph_XChart1" hidden="1">#REF!</definedName>
    <definedName name="__123Graph_XChart2" hidden="1">#REF!</definedName>
    <definedName name="__123Graph_XChart3" hidden="1">#REF!</definedName>
    <definedName name="__123Graph_XCurrent" hidden="1">#REF!</definedName>
    <definedName name="__123Graph_XEXH1A">#REF!</definedName>
    <definedName name="__123Graph_XEXH3B">#REF!</definedName>
    <definedName name="__123Graph_XGraph1">#REF!</definedName>
    <definedName name="__123Graph_XGraph2">#REF!</definedName>
    <definedName name="__123Graph_XGraph4">#REF!</definedName>
    <definedName name="__123Graph_XGraph5">#REF!</definedName>
    <definedName name="__123Graph_XPERCENT" hidden="1">#REF!</definedName>
    <definedName name="__123Graph_XSALESTREND">#REF!</definedName>
    <definedName name="__123nn">#REF!</definedName>
    <definedName name="__13__123Graph_ACHART_26" hidden="1">#REF!</definedName>
    <definedName name="__13__123Graph_BWAGES_BY_B_U">#REF!</definedName>
    <definedName name="__14__123Graph_CCONTRACT_BY_B_U">#REF!</definedName>
    <definedName name="__15__123Graph_CQRE_S_BY_CO.">#REF!</definedName>
    <definedName name="__16__123Graph_CSENS_COMPARISON">#REF!</definedName>
    <definedName name="__17__123Graph_CSUPPLIES_BY_B_U">#REF!</definedName>
    <definedName name="__18__123Graph_CWAGES_BY_B_U">#REF!</definedName>
    <definedName name="__19__123Graph_DCONTRACT_BY_B_U">#REF!</definedName>
    <definedName name="__1Bp2_" hidden="1">{#N/A,#N/A,FALSE,"BS";#N/A,#N/A,FALSE,"PL";#N/A,#N/A,FALSE,"처분";#N/A,#N/A,FALSE,"현금";#N/A,#N/A,FALSE,"매출";#N/A,#N/A,FALSE,"원가";#N/A,#N/A,FALSE,"경영"}</definedName>
    <definedName name="__1IQ_STOCK____ED_COMP">"c3512"</definedName>
    <definedName name="__1Table2_">#REF!</definedName>
    <definedName name="__2">#REF!</definedName>
    <definedName name="__2_?__C">#REF!</definedName>
    <definedName name="__2__123Graph_ACONTRACT_BY_B_U">#REF!</definedName>
    <definedName name="__2__123Graph_BCHART_3">#REF!</definedName>
    <definedName name="__2_0_Table2_">#REF!</definedName>
    <definedName name="__20__123Graph_DQRE_S_BY_CO.">#REF!</definedName>
    <definedName name="__21__123Graph_DSUPPLIES_BY_B_U">#REF!</definedName>
    <definedName name="__22__123Graph_DWAGES_BY_B_U">#REF!</definedName>
    <definedName name="__23__123Graph_ECONTRACT_BY_B_U">#REF!</definedName>
    <definedName name="__24__123Graph_EQRE_S_BY_CO.">#REF!</definedName>
    <definedName name="__25__123Graph_ESUPPLIES_BY_B_U">#REF!</definedName>
    <definedName name="__26__123Graph_EWAGES_BY_B_U">#REF!</definedName>
    <definedName name="__27__123Graph_FCONTRACT_BY_B_U">#REF!</definedName>
    <definedName name="__28__123Graph_FQRE_S_BY_CO.">#REF!</definedName>
    <definedName name="__29__123Graph_FSUPPLIES_BY_B_U">#REF!</definedName>
    <definedName name="__3">#REF!</definedName>
    <definedName name="__3__123Graph_AQRE_S_BY_CO.">#REF!</definedName>
    <definedName name="__30__123Graph_FWAGES_BY_B_U">#REF!</definedName>
    <definedName name="__31__123Graph_XCONTRACT_BY_B_U">#REF!</definedName>
    <definedName name="__32__123Graph_XQRE_S_BY_CO.">#REF!</definedName>
    <definedName name="__33__123Graph_XQRE_S_BY_TYPE">#REF!</definedName>
    <definedName name="__34__123Graph_XSUPPLIES_BY_B_U">#REF!</definedName>
    <definedName name="__35__123Graph_XTAX_CREDIT">#REF!</definedName>
    <definedName name="__3S">#REF!</definedName>
    <definedName name="__4">#REF!</definedName>
    <definedName name="__4__123Graph_ASENS_COMPARISON">#REF!</definedName>
    <definedName name="__4S" hidden="1">#REF!</definedName>
    <definedName name="__4Table2_">#REF!</definedName>
    <definedName name="__5__123Graph_ASUPPLIES_BY_B_U">#REF!</definedName>
    <definedName name="__5Table2_">#REF!</definedName>
    <definedName name="__6">#REF!</definedName>
    <definedName name="__6__123Graph_ATAX_CREDIT">#REF!</definedName>
    <definedName name="__6_0_S">#REF!</definedName>
    <definedName name="__7">#REF!</definedName>
    <definedName name="__7__123Graph_AWAGES_BY_B_U">#REF!</definedName>
    <definedName name="__7_0_Table2_">#REF!</definedName>
    <definedName name="__8">#REF!</definedName>
    <definedName name="__8__123Graph_BCONTRACT_BY_B_U">#REF!</definedName>
    <definedName name="__8_0_Table2_">#REF!</definedName>
    <definedName name="__9">#REF!</definedName>
    <definedName name="__9__123Graph_BQRE_S_BY_CO.">#REF!</definedName>
    <definedName name="__9_0_Table2_" hidden="1">#REF!</definedName>
    <definedName name="__a1">#REF!</definedName>
    <definedName name="__A20000">#REF!</definedName>
    <definedName name="__aa1" hidden="1">{#N/A,#N/A,FALSE,"Aging Summary";#N/A,#N/A,FALSE,"Ratio Analysis";#N/A,#N/A,FALSE,"Test 120 Day Accts";#N/A,#N/A,FALSE,"Tickmarks"}</definedName>
    <definedName name="__aa2">#REF!</definedName>
    <definedName name="__aa3">#REF!</definedName>
    <definedName name="__aaa2" hidden="1">{#N/A,#N/A,FALSE,"Aging Summary";#N/A,#N/A,FALSE,"Ratio Analysis";#N/A,#N/A,FALSE,"Test 120 Day Accts";#N/A,#N/A,FALSE,"Tickmarks"}</definedName>
    <definedName name="__ACK1">#REF!</definedName>
    <definedName name="__ADD2">#REF!</definedName>
    <definedName name="__ake1">#REF!</definedName>
    <definedName name="__ake2">#REF!</definedName>
    <definedName name="__ake3">#REF!</definedName>
    <definedName name="__AMT13300">#N/A</definedName>
    <definedName name="__AMT13502">#N/A</definedName>
    <definedName name="__AMT41301">#N/A</definedName>
    <definedName name="__AMT85116">#N/A</definedName>
    <definedName name="__AMT85125">#N/A</definedName>
    <definedName name="__AMT86106">#N/A</definedName>
    <definedName name="__Ann2">#REF!</definedName>
    <definedName name="__APG1">#REF!</definedName>
    <definedName name="__APG2">#REF!</definedName>
    <definedName name="__APP1">#REF!</definedName>
    <definedName name="__APS2">clra1b1,clra1b2,clra1b3,clra1b4,clra1b5,clra1b6,clra1b7,clra1b8</definedName>
    <definedName name="__aps4">Indexn1,IndexN2</definedName>
    <definedName name="__APW_RESTORE_DATA0__" hidden="1">#REF!</definedName>
    <definedName name="__APW_RESTORE_DATA1__" hidden="1">#REF!</definedName>
    <definedName name="__APW_RESTORE_DATA2__" hidden="1">#REF!</definedName>
    <definedName name="__APW_RESTORE_DATA3__" hidden="1">#REF!</definedName>
    <definedName name="__AR70000">#REF!</definedName>
    <definedName name="__ARE1">#REF!</definedName>
    <definedName name="__ARE2">#REF!</definedName>
    <definedName name="__as1">#REF!</definedName>
    <definedName name="__ASS1">#REF!</definedName>
    <definedName name="__ASS2">#REF!</definedName>
    <definedName name="__aud02">#REF!</definedName>
    <definedName name="__aud03">#REF!</definedName>
    <definedName name="__aud04">#REF!</definedName>
    <definedName name="__bb2">#REF!</definedName>
    <definedName name="__bb3">#REF!</definedName>
    <definedName name="__bm187184">#REF!</definedName>
    <definedName name="__bookmark_1">#REF!</definedName>
    <definedName name="__bookmark_2">#REF!</definedName>
    <definedName name="__bookmark_3">#REF!</definedName>
    <definedName name="__bookmark_4">#REF!</definedName>
    <definedName name="__bookmark_5">#REF!</definedName>
    <definedName name="__bookmark_7">#REF!</definedName>
    <definedName name="__bookmark_8">#REF!</definedName>
    <definedName name="__cad03">#REF!</definedName>
    <definedName name="__cat1" hidden="1">{#N/A,#N/A,FALSE,"Taxblinc";#N/A,#N/A,FALSE,"Rsvsacls"}</definedName>
    <definedName name="__cc2">#REF!</definedName>
    <definedName name="__cc3">#REF!</definedName>
    <definedName name="__cc4">#REF!</definedName>
    <definedName name="__CmZ61">#REF!</definedName>
    <definedName name="__cnn2">#REF!</definedName>
    <definedName name="__col1">#REF!</definedName>
    <definedName name="__col10">#REF!</definedName>
    <definedName name="__col11">#REF!</definedName>
    <definedName name="__col12">#REF!</definedName>
    <definedName name="__col13">#REF!</definedName>
    <definedName name="__col2">#REF!</definedName>
    <definedName name="__col3">#REF!</definedName>
    <definedName name="__col4">#REF!</definedName>
    <definedName name="__col5">#REF!</definedName>
    <definedName name="__col6">#REF!</definedName>
    <definedName name="__col7">#REF!</definedName>
    <definedName name="__col8">#REF!</definedName>
    <definedName name="__col9">#REF!</definedName>
    <definedName name="__d32">16</definedName>
    <definedName name="__d444">5</definedName>
    <definedName name="__D6">{"'표지'!$B$5"}</definedName>
    <definedName name="__D7">{"'표지'!$B$5"}</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3">#REF!</definedName>
    <definedName name="__DAT4">#REF!</definedName>
    <definedName name="__DAT5">#REF!</definedName>
    <definedName name="__dat50">#REF!</definedName>
    <definedName name="__DAT6">#REF!</definedName>
    <definedName name="__DAT7">#REF!</definedName>
    <definedName name="__DAT8">#REF!</definedName>
    <definedName name="__DAT9">#REF!</definedName>
    <definedName name="__DCH1">#REF!</definedName>
    <definedName name="__DCH2">#REF!</definedName>
    <definedName name="__DD2">#REF!</definedName>
    <definedName name="__ddd1" hidden="1">{#N/A,#N/A,FALSE,"Australia";#N/A,#N/A,FALSE,"Austria";#N/A,#N/A,FALSE,"Belgium";#N/A,#N/A,FALSE,"Canada";#N/A,#N/A,FALSE,"France";#N/A,#N/A,FALSE,"Germany";#N/A,#N/A,FALSE,"Hong Kong";#N/A,#N/A,FALSE,"Italy";#N/A,#N/A,FALSE,"Japan";#N/A,#N/A,FALSE,"Korea";#N/A,#N/A,FALSE,"Mexico";#N/A,#N/A,FALSE,"Poland";#N/A,#N/A,FALSE,"Spain";#N/A,#N/A,FALSE,"Switzerland";#N/A,#N/A,FALSE,"UK"}</definedName>
    <definedName name="__DEC11">{"'OCT  VOIDS'!$A$1:$G$33","'OCT '!$A$1:$G$48","'OCT Adj'!$A$1:$L$37"}</definedName>
    <definedName name="__DEC2">{"'OCT  VOIDS'!$A$1:$G$33","'OCT '!$A$1:$G$48","'OCT Adj'!$A$1:$L$37"}</definedName>
    <definedName name="__DEC3">{"'OCT  VOIDS'!$A$1:$G$33","'OCT '!$A$1:$G$48","'OCT Adj'!$A$1:$L$37"}</definedName>
    <definedName name="__Dec99">#REF!</definedName>
    <definedName name="__Div1">#REF!</definedName>
    <definedName name="__dog1" hidden="1">{#N/A,#N/A,FALSE,"91NOLCB";#N/A,#N/A,FALSE,"92NOLCB";#N/A,#N/A,FALSE,"93NOLCB"}</definedName>
    <definedName name="__eur03">#REF!</definedName>
    <definedName name="__fa2">{"'Sheet1'!$A$1:$H$36"}</definedName>
    <definedName name="__fax2">#REF!</definedName>
    <definedName name="__FDS_HYPERLINK_TOGGLE_STATE__" hidden="1">"ON"</definedName>
    <definedName name="__FDS_UNIQUE_RANGE_ID_GENERATOR_COUNTER" hidden="1">1</definedName>
    <definedName name="__FDS_USED_FOR_REUSING_RANGE_IDS_RECYCLE" localSheetId="0" hidden="1">{21,20,19,18}</definedName>
    <definedName name="__FDS_USED_FOR_REUSING_RANGE_IDS_RECYCLE" hidden="1">{21,20,19,18}</definedName>
    <definedName name="__Feb06">#REF!</definedName>
    <definedName name="__FPD1">#REF!</definedName>
    <definedName name="__FPD2">#REF!</definedName>
    <definedName name="__FST1">#REF!</definedName>
    <definedName name="__gbp03">#REF!</definedName>
    <definedName name="__gfg2">#REF!</definedName>
    <definedName name="__gla1"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Grp12">#REF!</definedName>
    <definedName name="__Grp13">#REF!</definedName>
    <definedName name="__Grp14">#REF!</definedName>
    <definedName name="__Grp15">#REF!</definedName>
    <definedName name="__Grp2">#REF!</definedName>
    <definedName name="__h1">{"'표지'!$B$5"}</definedName>
    <definedName name="__h2">{"'표지'!$B$5"}</definedName>
    <definedName name="__h3">{"'표지'!$B$5"}</definedName>
    <definedName name="__h4">{"'표지'!$B$5"}</definedName>
    <definedName name="__h5">{"'표지'!$B$5"}</definedName>
    <definedName name="__H8">{"'표지'!$B$5"}</definedName>
    <definedName name="__hc4">{"'1-TheatreBkgs'!$A$1:$L$102"}</definedName>
    <definedName name="__hkd02">#REF!</definedName>
    <definedName name="__hkd03">#REF!</definedName>
    <definedName name="__hkd04">#REF!</definedName>
    <definedName name="__hq1">#REF!</definedName>
    <definedName name="__htt1">{"'표지'!$B$5"}</definedName>
    <definedName name="__idr03">#REF!</definedName>
    <definedName name="__ILF2000">#REF!</definedName>
    <definedName name="__ILF99">#REF!</definedName>
    <definedName name="__ILT1">#REF!</definedName>
    <definedName name="__INR1">#REF!</definedName>
    <definedName name="__INR2">#REF!</definedName>
    <definedName name="__Int256">#REF!</definedName>
    <definedName name="__IntlFixup" hidden="1">TRUE</definedName>
    <definedName name="__IntlFixupTable" hidden="1">#REF!</definedName>
    <definedName name="__irr2">#REF!</definedName>
    <definedName name="__IS2">#REF!</definedName>
    <definedName name="__iv16386">#REF!</definedName>
    <definedName name="__iv17500">#REF!</definedName>
    <definedName name="__iv18000">#REF!</definedName>
    <definedName name="__iv30000">#REF!</definedName>
    <definedName name="__iz5000">#REF!</definedName>
    <definedName name="__J2">0</definedName>
    <definedName name="__jan23">#REF!</definedName>
    <definedName name="__jkj1">#REF!</definedName>
    <definedName name="__jp2">#REF!</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 hidden="1">#REF!</definedName>
    <definedName name="__KEY2" hidden="1">#REF!</definedName>
    <definedName name="_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_LEA1">#REF!</definedName>
    <definedName name="__LG2" hidden="1">{#N/A,#N/A,TRUE,"매출진척-1";#N/A,#N/A,TRUE,"매출진척-2";#N/A,#N/A,TRUE,"제품실적";#N/A,#N/A,TRUE,"RAC";#N/A,#N/A,TRUE,"PAC ";#N/A,#N/A,TRUE,"재고현황";#N/A,#N/A,TRUE,"공지사항"}</definedName>
    <definedName name="__LIB1">#REF!</definedName>
    <definedName name="__LIB2">#REF!</definedName>
    <definedName name="__lz5000">#REF!</definedName>
    <definedName name="__M199" hidden="1">{#N/A,#N/A,FALSE,"Aging Summary";#N/A,#N/A,FALSE,"Ratio Analysis";#N/A,#N/A,FALSE,"Test 120 Day Accts";#N/A,#N/A,FALSE,"Tickmarks"}</definedName>
    <definedName name="__ma67">#REF!</definedName>
    <definedName name="__ma71">#REF!</definedName>
    <definedName name="__ma74">#REF!</definedName>
    <definedName name="__MAR9091">#REF!</definedName>
    <definedName name="__MAT1">#REF!</definedName>
    <definedName name="__me1">36.2</definedName>
    <definedName name="__me2">40</definedName>
    <definedName name="__mer1">#REF!</definedName>
    <definedName name="__mer2">#REF!</definedName>
    <definedName name="__mk1">#REF!</definedName>
    <definedName name="__MON1">#REF!</definedName>
    <definedName name="__mor1">#REF!</definedName>
    <definedName name="__ms1">#REF!</definedName>
    <definedName name="__mv1">#REF!</definedName>
    <definedName name="__myr03">#REF!</definedName>
    <definedName name="__neu1">47</definedName>
    <definedName name="__neu2">"5W20QJUQBT31X9QWPI207CDHB"</definedName>
    <definedName name="__new1" hidden="1">{"Central",#N/A,FALSE,"Total"}</definedName>
    <definedName name="__new2" hidden="1">{"Central",#N/A,FALSE,"Total"}</definedName>
    <definedName name="__nm1" hidden="1">{#N/A,#N/A,TRUE,"Monthly BCG";#N/A,#N/A,TRUE,"Qrt BCG";#N/A,#N/A,TRUE,"FY BCG";#N/A,#N/A,TRUE,"1Q BCG";#N/A,#N/A,TRUE,"2Q BCG";#N/A,#N/A,TRUE,"3Q BCG";#N/A,#N/A,TRUE,"4Q BCG"}</definedName>
    <definedName name="__nol1" hidden="1">{#N/A,#N/A,FALSE,"91NOLCB";#N/A,#N/A,FALSE,"92NOLCB";#N/A,#N/A,FALSE,"93NOLCB"}</definedName>
    <definedName name="__NSO2">{"'Sheet1'!$L$16"}</definedName>
    <definedName name="__O1">#REF!</definedName>
    <definedName name="__O2">#REF!</definedName>
    <definedName name="__Oct99">#REF!</definedName>
    <definedName name="__ODP1">#REF!</definedName>
    <definedName name="__ODP2">#REF!</definedName>
    <definedName name="__ODP3">#REF!</definedName>
    <definedName name="__ODP4">#REF!</definedName>
    <definedName name="__ODP5">#REF!</definedName>
    <definedName name="__ODP6">#REF!</definedName>
    <definedName name="__ODP7">#REF!</definedName>
    <definedName name="__ODP8">#REF!</definedName>
    <definedName name="__oe1">#REF!</definedName>
    <definedName name="__OK2">#REF!</definedName>
    <definedName name="__old1">#REF!</definedName>
    <definedName name="__old2">#REF!</definedName>
    <definedName name="__old3">#REF!</definedName>
    <definedName name="__old4">#REF!</definedName>
    <definedName name="__old5">#REF!</definedName>
    <definedName name="__old8">#REF!</definedName>
    <definedName name="__old9">#REF!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EX1">#REF!</definedName>
    <definedName name="__pg1">#REF!</definedName>
    <definedName name="__pg10">#REF!</definedName>
    <definedName name="__pg11">#REF!</definedName>
    <definedName name="__pg12">#REF!</definedName>
    <definedName name="__pg13">#REF!</definedName>
    <definedName name="__pg14">#REF!</definedName>
    <definedName name="__PG15">#REF!</definedName>
    <definedName name="__PG2">#REF!</definedName>
    <definedName name="__pg3">#REF!</definedName>
    <definedName name="__PG4">#REF!</definedName>
    <definedName name="__pg5">#REF!</definedName>
    <definedName name="__PG6">#REF!</definedName>
    <definedName name="__pg7">#REF!</definedName>
    <definedName name="__pg8">#REF!</definedName>
    <definedName name="__pg9">#REF!</definedName>
    <definedName name="__PGR003">{"'status'!$B$2:$H$15"}</definedName>
    <definedName name="__pl1">#REF!</definedName>
    <definedName name="__PL7" hidden="1">{#N/A,#N/A,TRUE,"대 차 대 조 표"}</definedName>
    <definedName name="__PLO1">#REF!</definedName>
    <definedName name="__pol1">#REF!</definedName>
    <definedName name="__PR1">#REF!,#REF!,#REF!,#REF!,#REF!,#REF!</definedName>
    <definedName name="__prc1">#REF!</definedName>
    <definedName name="__prc2">#REF!</definedName>
    <definedName name="__prc3">#REF!</definedName>
    <definedName name="__PRE1">#REF!</definedName>
    <definedName name="__PRE2">#REF!</definedName>
    <definedName name="__PRI1">#REF!</definedName>
    <definedName name="__PRI2">#REF!</definedName>
    <definedName name="__prn01">#REF!</definedName>
    <definedName name="__PRN1">#REF!</definedName>
    <definedName name="__PRN2">#REF!</definedName>
    <definedName name="__PRR001">{"'status'!$B$2:$H$15"}</definedName>
    <definedName name="__PRR002">{"'status'!$B$2:$H$15"}</definedName>
    <definedName name="__PRR18">{"'status'!$B$2:$H$15"}</definedName>
    <definedName name="__PRR5">{"'status'!$B$2:$H$15"}</definedName>
    <definedName name="__PRR6">{"'status'!$B$2:$H$15"}</definedName>
    <definedName name="__PRT1">#REF!</definedName>
    <definedName name="__PRT2">#REF!</definedName>
    <definedName name="__ps3">g1clear,G1Clear2</definedName>
    <definedName name="__PSM2">#REF!</definedName>
    <definedName name="__PSM3">#REF!</definedName>
    <definedName name="__PV2">#REF!</definedName>
    <definedName name="__Q1">{"'Standalone List Price Trends'!$A$1:$X$56"}</definedName>
    <definedName name="__Q2">{"'Standalone List Price Trends'!$A$1:$X$56"}</definedName>
    <definedName name="__Q5">{"'Standalone List Price Trends'!$A$1:$X$56"}</definedName>
    <definedName name="__Q9">{"'Standalone List Price Trends'!$A$1:$X$56"}</definedName>
    <definedName name="__QRA86106">#N/A</definedName>
    <definedName name="__qt1">#REF!</definedName>
    <definedName name="__QTR1">#REF!</definedName>
    <definedName name="__QUO1">#REF!</definedName>
    <definedName name="__qw2">{0,0,0,0;0,0,0,0;0,0,0,0;0,0,0,0;0,0,0,0;0,0,0,0}</definedName>
    <definedName name="__r">"Formula removed, name can be deleted."</definedName>
    <definedName name="__R21438C20000">#REF!</definedName>
    <definedName name="__rd2">#REF!</definedName>
    <definedName name="__ref1">#REF!</definedName>
    <definedName name="__REF12">{0,0,FALSE,0}</definedName>
    <definedName name="__RNG1">#REF!</definedName>
    <definedName name="__RNG2">#REF!</definedName>
    <definedName name="__row2" hidden="1">#REF!</definedName>
    <definedName name="__rw1">{"'Standalone List Price Trends'!$A$1:$X$56"}</definedName>
    <definedName name="__rw2">{"'Standalone List Price Trends'!$A$1:$X$56"}</definedName>
    <definedName name="__rw3" hidden="1">#REF!</definedName>
    <definedName name="__rw4">{"'Standalone List Price Trends'!$A$1:$X$56"}</definedName>
    <definedName name="__rwo5" hidden="1">#REF!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#REF!</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b1">#REF!</definedName>
    <definedName name="__Sch10">#REF!</definedName>
    <definedName name="__Sch11">#REF!</definedName>
    <definedName name="__Sch12">#REF!</definedName>
    <definedName name="__Sch13">#REF!</definedName>
    <definedName name="__Sch14">#REF!</definedName>
    <definedName name="__Sch15">#REF!</definedName>
    <definedName name="__Sch2">#REF!</definedName>
    <definedName name="__Sch4">#REF!</definedName>
    <definedName name="__Sch5">#REF!</definedName>
    <definedName name="__Sch6">#REF!</definedName>
    <definedName name="__Sch7">#REF!</definedName>
    <definedName name="__Sch8">#REF!</definedName>
    <definedName name="__Sch9">#REF!</definedName>
    <definedName name="__SE7">#REF!</definedName>
    <definedName name="__sep97">#REF!</definedName>
    <definedName name="__Sex1">#REF!</definedName>
    <definedName name="__sex2">{"'1-TheatreBkgs'!$A$1:$L$102"}</definedName>
    <definedName name="__sex3">{"'1-TheatreBkgs'!$A$1:$L$102"}</definedName>
    <definedName name="__sex4">{"'1-TheatreBkgs'!$A$1:$L$102"}</definedName>
    <definedName name="__sex5">{"'1-TheatreBkgs'!$A$1:$L$102"}</definedName>
    <definedName name="__sex6">{"'1-TheatreBkgs'!$A$1:$L$102"}</definedName>
    <definedName name="__sgd02">#REF!</definedName>
    <definedName name="__sgd03">#REF!</definedName>
    <definedName name="__sgd04">#REF!</definedName>
    <definedName name="__sht1">#REF!</definedName>
    <definedName name="__ST1">#REF!</definedName>
    <definedName name="__STP1">#REF!</definedName>
    <definedName name="__STP2">#REF!</definedName>
    <definedName name="__STP3">#REF!</definedName>
    <definedName name="__STP4">#REF!</definedName>
    <definedName name="__SUB2">#REF!</definedName>
    <definedName name="__sum1">#REF!</definedName>
    <definedName name="__sum3">#REF!</definedName>
    <definedName name="__tab1">#REF!</definedName>
    <definedName name="__tax2">#REF!</definedName>
    <definedName name="__TB111">#REF!</definedName>
    <definedName name="__TB113">#REF!</definedName>
    <definedName name="__TB114">#REF!</definedName>
    <definedName name="__TB116">#REF!</definedName>
    <definedName name="__TB117">#REF!</definedName>
    <definedName name="__TB121">#REF!</definedName>
    <definedName name="__TB122">#REF!</definedName>
    <definedName name="__TB123">#REF!</definedName>
    <definedName name="__tb2">OFFSET(#REF!,1,)</definedName>
    <definedName name="__TB2004">#REF!</definedName>
    <definedName name="__TB212">#REF!</definedName>
    <definedName name="__TB226">#REF!</definedName>
    <definedName name="__TB228">#REF!</definedName>
    <definedName name="__TB312">#REF!</definedName>
    <definedName name="__TB314">#REF!</definedName>
    <definedName name="__TB315">#REF!</definedName>
    <definedName name="__TB316">#REF!</definedName>
    <definedName name="__TB321">#REF!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2">#REF!</definedName>
    <definedName name="__TB513">#REF!</definedName>
    <definedName name="__TB602">#REF!</definedName>
    <definedName name="__TB603">#REF!</definedName>
    <definedName name="__TB701">#REF!</definedName>
    <definedName name="__TB901">#REF!</definedName>
    <definedName name="__TB902">#REF!</definedName>
    <definedName name="__TB903">#REF!</definedName>
    <definedName name="__TB904">#REF!</definedName>
    <definedName name="__TBI101">#REF!</definedName>
    <definedName name="__TBI1100">#REF!</definedName>
    <definedName name="__TBI201">#REF!</definedName>
    <definedName name="__TBI202">#REF!</definedName>
    <definedName name="__TBI203">#REF!</definedName>
    <definedName name="__TBI401">#REF!</definedName>
    <definedName name="__TBI402">#REF!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601">#REF!</definedName>
    <definedName name="__TBI602">#REF!</definedName>
    <definedName name="__TBI610">#REF!</definedName>
    <definedName name="__TBI612">#REF!</definedName>
    <definedName name="__TBI614">#REF!</definedName>
    <definedName name="__TBI701">#REF!</definedName>
    <definedName name="__TBI702">#REF!</definedName>
    <definedName name="__TBI709">#REF!</definedName>
    <definedName name="__TBI714">#REF!</definedName>
    <definedName name="__TBI716">#REF!</definedName>
    <definedName name="__TBI718">#REF!</definedName>
    <definedName name="__TBI901">#REF!</definedName>
    <definedName name="__TBI902">#REF!</definedName>
    <definedName name="__tc1">#REF!</definedName>
    <definedName name="__tc2">#REF!</definedName>
    <definedName name="__tc3">#REF!</definedName>
    <definedName name="__tc4">#REF!</definedName>
    <definedName name="__tc5">#REF!</definedName>
    <definedName name="__ted2">#REF!</definedName>
    <definedName name="__thb02">#REF!</definedName>
    <definedName name="__thb03">#REF!</definedName>
    <definedName name="__thb04">#REF!</definedName>
    <definedName name="__TK0404">{"'Sheet1'!$L$16"}</definedName>
    <definedName name="__TLT1">#REF!</definedName>
    <definedName name="__TOP1">#REF!</definedName>
    <definedName name="__TOT1">#REF!</definedName>
    <definedName name="__ts1">#REF!</definedName>
    <definedName name="__ts2">#REF!</definedName>
    <definedName name="__tt2">#REF!</definedName>
    <definedName name="__twd02">#REF!</definedName>
    <definedName name="__twd03">#REF!</definedName>
    <definedName name="__twd04">#REF!</definedName>
    <definedName name="__UER1">#REF!</definedName>
    <definedName name="__UK1">#REF!</definedName>
    <definedName name="__v3">{"'1-TheatreBkgs'!$A$1:$L$102"}</definedName>
    <definedName name="__Vac1">#REF!</definedName>
    <definedName name="__VAR13300">#N/A</definedName>
    <definedName name="__VAR13502">#N/A</definedName>
    <definedName name="__vio1">#REF!</definedName>
    <definedName name="__w1" hidden="1">{#N/A,#N/A,FALSE,"Australia";#N/A,#N/A,FALSE,"Austria";#N/A,#N/A,FALSE,"Belgium";#N/A,#N/A,FALSE,"Canada";#N/A,#N/A,FALSE,"France";#N/A,#N/A,FALSE,"Germany";#N/A,#N/A,FALSE,"Hong Kong";#N/A,#N/A,FALSE,"Italy";#N/A,#N/A,FALSE,"Japan";#N/A,#N/A,FALSE,"Korea";#N/A,#N/A,FALSE,"Mexico";#N/A,#N/A,FALSE,"Poland";#N/A,#N/A,FALSE,"Spain";#N/A,#N/A,FALSE,"Switzerland";#N/A,#N/A,FALSE,"UK"}</definedName>
    <definedName name="__WAS02">#REF!</definedName>
    <definedName name="__WAS03">#REF!</definedName>
    <definedName name="__WCW01">#REF!</definedName>
    <definedName name="__WCW03">#REF!</definedName>
    <definedName name="__WCW04">#REF!</definedName>
    <definedName name="__WCW06">#REF!</definedName>
    <definedName name="__web1" hidden="1">{#N/A,#N/A,FALSE,"Taxblinc";#N/A,#N/A,FALSE,"Rsvsacls"}</definedName>
    <definedName name="__wk1">#REF!</definedName>
    <definedName name="__wk2">#REF!</definedName>
    <definedName name="__wk3">#REF!</definedName>
    <definedName name="__wk4">#REF!</definedName>
    <definedName name="__wpl2" hidden="1">{#N/A,#N/A,FALSE,"Aging Summary";#N/A,#N/A,FALSE,"Ratio Analysis";#N/A,#N/A,FALSE,"Test 120 Day Accts";#N/A,#N/A,FALSE,"Tickmarks"}</definedName>
    <definedName name="__wr1">#REF!</definedName>
    <definedName name="__wrn1">#REF!</definedName>
    <definedName name="__wrn3">#REF!</definedName>
    <definedName name="__wrn4">#REF!</definedName>
    <definedName name="__xlfn.BAHTTEXT">#NAME?</definedName>
    <definedName name="__xlfn.IFERROR">#NAME?</definedName>
    <definedName name="__xlfn.RTD">#NAME?</definedName>
    <definedName name="__xlfn.SUMIFS">#NAME?</definedName>
    <definedName name="__xz4">{0,0,0,0;0,0,0,0;0,0,0,0;0,0,0,0;0,0,0,0;0,0,0,0}</definedName>
    <definedName name="__Z04">#REF!</definedName>
    <definedName name="__Z04_3">#REF!</definedName>
    <definedName name="__Z05">#REF!</definedName>
    <definedName name="__Z05_3">#REF!</definedName>
    <definedName name="__za1">#REF!</definedName>
    <definedName name="__zx3">#REF!</definedName>
    <definedName name="__zz04">#REF!</definedName>
    <definedName name="__개발비_건가_pjt별">#REF!</definedName>
    <definedName name="_0">#REF!</definedName>
    <definedName name="_001_AccntNo">9556</definedName>
    <definedName name="_001_ColNo">6</definedName>
    <definedName name="_001_Operation">"1"</definedName>
    <definedName name="_001_RowNo">2</definedName>
    <definedName name="_002_AccntNo">9888</definedName>
    <definedName name="_002_ColNo">10</definedName>
    <definedName name="_002_Operation">"3"</definedName>
    <definedName name="_002_RowNo">2</definedName>
    <definedName name="_003_AccntNo">9889</definedName>
    <definedName name="_003_ColNo">11</definedName>
    <definedName name="_003_Operation">"3"</definedName>
    <definedName name="_003_RowNo">2</definedName>
    <definedName name="_004_AccntNo">9890</definedName>
    <definedName name="_004_ColNo">12</definedName>
    <definedName name="_004_Operation">"3"</definedName>
    <definedName name="_004_RowNo">2</definedName>
    <definedName name="_005_AccntNo">9891</definedName>
    <definedName name="_005_ColNo">17</definedName>
    <definedName name="_005_Operation">"3"</definedName>
    <definedName name="_005_RowNo">2</definedName>
    <definedName name="_006_AccntNo">9892</definedName>
    <definedName name="_006_ColNo">18</definedName>
    <definedName name="_006_Operation">"3"</definedName>
    <definedName name="_006_RowNo">2</definedName>
    <definedName name="_007_AccntNo">9893</definedName>
    <definedName name="_007_ColNo">19</definedName>
    <definedName name="_007_Operation">"3"</definedName>
    <definedName name="_007_RowNo">2</definedName>
    <definedName name="_008_AccntNo">9894</definedName>
    <definedName name="_008_ColNo">20</definedName>
    <definedName name="_008_Operation">"3"</definedName>
    <definedName name="_008_RowNo">2</definedName>
    <definedName name="_009_AccntNo">9895</definedName>
    <definedName name="_009_ColNo">21</definedName>
    <definedName name="_009_Operation">"3"</definedName>
    <definedName name="_009_RowNo">2</definedName>
    <definedName name="_01_10_1997">#REF!</definedName>
    <definedName name="_010_AccntNo">9896</definedName>
    <definedName name="_010_ColNo">22</definedName>
    <definedName name="_010_Operation">"3"</definedName>
    <definedName name="_010_RowNo">2</definedName>
    <definedName name="_011_AccntNo">9897</definedName>
    <definedName name="_011_ColNo">23</definedName>
    <definedName name="_011_Operation">"3"</definedName>
    <definedName name="_011_RowNo">2</definedName>
    <definedName name="_012_AccntNo">9898</definedName>
    <definedName name="_012_ColNo">35</definedName>
    <definedName name="_012_Operation">"3"</definedName>
    <definedName name="_012_RowNo">2</definedName>
    <definedName name="_013_AccntNo">9900</definedName>
    <definedName name="_013_ColNo">37</definedName>
    <definedName name="_013_Operation">"3"</definedName>
    <definedName name="_013_RowNo">2</definedName>
    <definedName name="_014_AccntNo">9901</definedName>
    <definedName name="_014_ColNo">38</definedName>
    <definedName name="_014_Operation">"3"</definedName>
    <definedName name="_014_RowNo">2</definedName>
    <definedName name="_015_AccntNo">9902</definedName>
    <definedName name="_015_ColNo">40</definedName>
    <definedName name="_015_Operation">"3"</definedName>
    <definedName name="_015_RowNo">2</definedName>
    <definedName name="_016_AccntNo">9904</definedName>
    <definedName name="_016_ColNo">42</definedName>
    <definedName name="_016_Operation">"3"</definedName>
    <definedName name="_016_RowNo">2</definedName>
    <definedName name="_017_AccntNo">9905</definedName>
    <definedName name="_017_ColNo">43</definedName>
    <definedName name="_017_Operation">"3"</definedName>
    <definedName name="_017_RowNo">2</definedName>
    <definedName name="_018_AccntNo">9555</definedName>
    <definedName name="_018_ColNo">27</definedName>
    <definedName name="_018_Operation">"1"</definedName>
    <definedName name="_018_RowNo">2</definedName>
    <definedName name="_019_AccntNo">9781</definedName>
    <definedName name="_019_ColNo">28</definedName>
    <definedName name="_019_Operation">"1"</definedName>
    <definedName name="_019_RowNo">2</definedName>
    <definedName name="_02_07_2000">#REF!</definedName>
    <definedName name="_020_AccntNo">9748</definedName>
    <definedName name="_020_ColNo">29</definedName>
    <definedName name="_020_Operation">"1"</definedName>
    <definedName name="_020_RowNo">2</definedName>
    <definedName name="_021_AccntNo">9906</definedName>
    <definedName name="_021_ColNo">45</definedName>
    <definedName name="_021_Operation">"3"</definedName>
    <definedName name="_021_RowNo">2</definedName>
    <definedName name="_022_AccntNo">9907</definedName>
    <definedName name="_022_ColNo">46</definedName>
    <definedName name="_022_Operation">"3"</definedName>
    <definedName name="_022_RowNo">2</definedName>
    <definedName name="_023_AccntNo">9899</definedName>
    <definedName name="_023_ColNo">36</definedName>
    <definedName name="_023_Operation">"3"</definedName>
    <definedName name="_023_RowNo">2</definedName>
    <definedName name="_024_AccntNo">9903</definedName>
    <definedName name="_024_ColNo">41</definedName>
    <definedName name="_024_Operation">"3"</definedName>
    <definedName name="_024_RowNo">2</definedName>
    <definedName name="_04_07_1999">#REF!</definedName>
    <definedName name="_05_11_1998">#REF!</definedName>
    <definedName name="_05_11_1999">#REF!</definedName>
    <definedName name="_06_02_1998">#REF!</definedName>
    <definedName name="_06_03_1998">#REF!</definedName>
    <definedName name="_06_11_2000">#REF!</definedName>
    <definedName name="_08_08_1998">#REF!</definedName>
    <definedName name="_08_10_1997">#REF!</definedName>
    <definedName name="_1">#REF!</definedName>
    <definedName name="_1.">#REF!</definedName>
    <definedName name="_1._예산손익계산서">#REF!</definedName>
    <definedName name="_1_">#REF!</definedName>
    <definedName name="_1_?">#REF!</definedName>
    <definedName name="_1____________B_S">#REF!</definedName>
    <definedName name="_1___123Graph_ACHART_3" hidden="1">#REF!</definedName>
    <definedName name="_1__123Graph_AChart_17K">#REF!</definedName>
    <definedName name="_1__123Graph_ACHART_3">#REF!</definedName>
    <definedName name="_1__123Graph_ACHART_4">#REF!</definedName>
    <definedName name="_1__123Graph_ACONTRACT_BY_B_U">#REF!</definedName>
    <definedName name="_1__123Graph_AR_M_MARG">#REF!</definedName>
    <definedName name="_1__123Graph_ASALES_MONTH" hidden="1">#REF!</definedName>
    <definedName name="_1__FDSAUDITLINK__" localSheetId="0"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FDSAUDITLINK__"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_1__xlfn.IFERROR">#NAME?</definedName>
    <definedName name="_1_0__123Grap">#REF!</definedName>
    <definedName name="_1_0_0BENEF">#REF!</definedName>
    <definedName name="_1_0_Table2_">#REF!</definedName>
    <definedName name="_1_10000">#NAME?</definedName>
    <definedName name="_1_123Grap" hidden="1">#REF!</definedName>
    <definedName name="_1_123Graph_XEX">#REF!</definedName>
    <definedName name="_1_154.87">#NAME?</definedName>
    <definedName name="_1_31_2008">"print_assetsummary_2008"</definedName>
    <definedName name="_10">#REF!</definedName>
    <definedName name="_10_????8_3">#REF!</definedName>
    <definedName name="_10_??1???_3">#REF!</definedName>
    <definedName name="_10___________NOTE5_7">#REF!</definedName>
    <definedName name="_10__123Graph_ACHART_111" hidden="1">#REF!</definedName>
    <definedName name="_10__123Graph_AChart_32L">#REF!</definedName>
    <definedName name="_10__123Graph_ATAX_CREDIT">#REF!</definedName>
    <definedName name="_10__123Graph_AWAGES_BY_B_U">#REF!</definedName>
    <definedName name="_10__123Graph_BCHART_3">#REF!</definedName>
    <definedName name="_10__123Graph_BCONTRACT_BY_B_U" hidden="1">#REF!</definedName>
    <definedName name="_10__123Graph_BQRE_S_BY_CO.">#REF!</definedName>
    <definedName name="_10__123Graph_BSENS_COMPARISON">#REF!</definedName>
    <definedName name="_10__123Graph_BSUPPLIES_BY_B_U">#REF!</definedName>
    <definedName name="_10__123Graph_XSALES_MONTH" hidden="1">#REF!</definedName>
    <definedName name="_10__FDSAUDITLINK__" localSheetId="0"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_FDSAUDITLINK__" hidden="1">{"fdsup://directions/FAT Viewer?action=UPDATE&amp;creator=factset&amp;DYN_ARGS=TRUE&amp;DOC_NAME=FAT:FQL_AUDITING_CLIENT_TEMPLATE.FAT&amp;display_string=Audit&amp;VAR:KEY=QVIFALAPMF&amp;VAR:QUERY=Q1NGX0RJVl9ZTEQoUVRSX1IsOS8zMC8yMDA4KQ==&amp;WINDOW=FIRST_POPUP&amp;HEIGHT=450&amp;WIDTH=450&amp;STAR","T_MAXIMIZED=FALSE&amp;VAR:CALENDAR=US&amp;VAR:SYMBOL=MO&amp;VAR:INDEX=0"}</definedName>
    <definedName name="_10_0_0MIS_C">#REF!</definedName>
    <definedName name="_10_0_Table2_" hidden="1">#REF!</definedName>
    <definedName name="_10_09_1999">#REF!</definedName>
    <definedName name="_10_12_1999">#REF!</definedName>
    <definedName name="_10_9_BT_DECEMB">#REF!</definedName>
    <definedName name="_10_9_BT_december">#REF!</definedName>
    <definedName name="_10_9_BT_FEBRUA">#REF!</definedName>
    <definedName name="_10_9_BT_NOVEMB">#REF!</definedName>
    <definedName name="_10_9_BT_SEPTEM">#REF!</definedName>
    <definedName name="_10_9_BTU_ANNUA">#REF!</definedName>
    <definedName name="_10_9_BTU_APRIL">#REF!</definedName>
    <definedName name="_10_9_BTU_AUGUS">#REF!</definedName>
    <definedName name="_10_9_BTU_JANUA">#REF!</definedName>
    <definedName name="_10_9_BTU_JULY">#REF!</definedName>
    <definedName name="_10_9_BTU_JUNE">#REF!</definedName>
    <definedName name="_10_9_BTU_MARCH">#REF!</definedName>
    <definedName name="_10_9_BTU_MAY">#REF!</definedName>
    <definedName name="_10_9_BTU_OCTOB">#REF!</definedName>
    <definedName name="_100">#REF!</definedName>
    <definedName name="_100__123Graph_EWAGES_BY_B_U">#REF!</definedName>
    <definedName name="_100__123Graph_LBL_BCHART_4">#REF!</definedName>
    <definedName name="_100__FDSAUDITLINK__" localSheetId="0"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__FDSAUDITLINK__" hidden="1">{"fdsup://directions/FAT Viewer?action=UPDATE&amp;creator=factset&amp;DYN_ARGS=TRUE&amp;DOC_NAME=FAT:FQL_AUDITING_CLIENT_TEMPLATE.FAT&amp;display_string=Audit&amp;VAR:KEY=BAFWPYLILS&amp;VAR:QUERY=RkZfREVCVChBTk4sMCwsLCxVU0Qp&amp;WINDOW=FIRST_POPUP&amp;HEIGHT=450&amp;WIDTH=450&amp;START_MAXIMIZED=","FALSE&amp;VAR:CALENDAR=US&amp;VAR:SYMBOL=045449&amp;VAR:INDEX=0"}</definedName>
    <definedName name="_1000">#REF!</definedName>
    <definedName name="_1000__FDSAUDITLINK__" localSheetId="0"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FDSAUDITLINK__" hidden="1">{"fdsup://directions/FAT Viewer?action=UPDATE&amp;creator=factset&amp;DYN_ARGS=TRUE&amp;DOC_NAME=FAT:FQL_AUDITING_CLIENT_TEMPLATE.FAT&amp;display_string=Audit&amp;VAR:KEY=VONWBULULQ&amp;VAR:QUERY=RkZfRElWX1lMRChBTk4sMi8wNy8wMiwyLzA3LzAyKQ==&amp;WINDOW=FIRST_POPUP&amp;HEIGHT=450&amp;WIDTH=450&amp;","START_MAXIMIZED=FALSE&amp;VAR:CALENDAR=US&amp;VAR:SYMBOL=MO&amp;VAR:INDEX=0"}</definedName>
    <definedName name="_1000_·_Cash___Bridge_Bank__Checking">"TB"</definedName>
    <definedName name="_1001">#REF!</definedName>
    <definedName name="_1001__FDSAUDITLINK__" localSheetId="0"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1__FDSAUDITLINK__" hidden="1">{"fdsup://directions/FAT Viewer?action=UPDATE&amp;creator=factset&amp;DYN_ARGS=TRUE&amp;DOC_NAME=FAT:FQL_AUDITING_CLIENT_TEMPLATE.FAT&amp;display_string=Audit&amp;VAR:KEY=TKHWPWBUVA&amp;VAR:QUERY=RkZfRElWX1lMRChBTk4sMS8zMS8wMiwxLzMxLzAyKQ==&amp;WINDOW=FIRST_POPUP&amp;HEIGHT=450&amp;WIDTH=450&amp;","START_MAXIMIZED=FALSE&amp;VAR:CALENDAR=US&amp;VAR:SYMBOL=MO&amp;VAR:INDEX=0"}</definedName>
    <definedName name="_1002__FDSAUDITLINK__" localSheetId="0"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2__FDSAUDITLINK__" hidden="1">{"fdsup://directions/FAT Viewer?action=UPDATE&amp;creator=factset&amp;DYN_ARGS=TRUE&amp;DOC_NAME=FAT:FQL_AUDITING_CLIENT_TEMPLATE.FAT&amp;display_string=Audit&amp;VAR:KEY=NEJOHEBIDS&amp;VAR:QUERY=RkZfRElWX1lMRChBTk4sMS8yNC8wMiwxLzI0LzAyKQ==&amp;WINDOW=FIRST_POPUP&amp;HEIGHT=450&amp;WIDTH=450&amp;","START_MAXIMIZED=FALSE&amp;VAR:CALENDAR=US&amp;VAR:SYMBOL=MO&amp;VAR:INDEX=0"}</definedName>
    <definedName name="_1003__FDSAUDITLINK__" localSheetId="0"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3__FDSAUDITLINK__" hidden="1">{"fdsup://directions/FAT Viewer?action=UPDATE&amp;creator=factset&amp;DYN_ARGS=TRUE&amp;DOC_NAME=FAT:FQL_AUDITING_CLIENT_TEMPLATE.FAT&amp;display_string=Audit&amp;VAR:KEY=ZENGPKJCDG&amp;VAR:QUERY=RkZfRElWX1lMRChBTk4sMS8xNy8wMiwxLzE3LzAyKQ==&amp;WINDOW=FIRST_POPUP&amp;HEIGHT=450&amp;WIDTH=450&amp;","START_MAXIMIZED=FALSE&amp;VAR:CALENDAR=US&amp;VAR:SYMBOL=MO&amp;VAR:INDEX=0"}</definedName>
    <definedName name="_1004">#REF!</definedName>
    <definedName name="_1004__FDSAUDITLINK__" localSheetId="0"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4__FDSAUDITLINK__" hidden="1">{"fdsup://directions/FAT Viewer?action=UPDATE&amp;creator=factset&amp;DYN_ARGS=TRUE&amp;DOC_NAME=FAT:FQL_AUDITING_CLIENT_TEMPLATE.FAT&amp;display_string=Audit&amp;VAR:KEY=VYHOXIBELS&amp;VAR:QUERY=RkZfRElWX1lMRChBTk4sMS8xMC8wMiwxLzEwLzAyKQ==&amp;WINDOW=FIRST_POPUP&amp;HEIGHT=450&amp;WIDTH=450&amp;","START_MAXIMIZED=FALSE&amp;VAR:CALENDAR=US&amp;VAR:SYMBOL=MO&amp;VAR:INDEX=0"}</definedName>
    <definedName name="_1005">#REF!</definedName>
    <definedName name="_1005__FDSAUDITLINK__" localSheetId="0"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5__FDSAUDITLINK__" hidden="1">{"fdsup://directions/FAT Viewer?action=UPDATE&amp;creator=factset&amp;DYN_ARGS=TRUE&amp;DOC_NAME=FAT:FQL_AUDITING_CLIENT_TEMPLATE.FAT&amp;display_string=Audit&amp;VAR:KEY=PMBGBOZIRQ&amp;VAR:QUERY=RkZfRElWX1lMRChBTk4sMS8wMy8wMiwxLzAzLzAyKQ==&amp;WINDOW=FIRST_POPUP&amp;HEIGHT=450&amp;WIDTH=450&amp;","START_MAXIMIZED=FALSE&amp;VAR:CALENDAR=US&amp;VAR:SYMBOL=MO&amp;VAR:INDEX=0"}</definedName>
    <definedName name="_1006__FDSAUDITLINK__" localSheetId="0"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6__FDSAUDITLINK__" hidden="1">{"fdsup://directions/FAT Viewer?action=UPDATE&amp;creator=factset&amp;DYN_ARGS=TRUE&amp;DOC_NAME=FAT:FQL_AUDITING_CLIENT_TEMPLATE.FAT&amp;display_string=Audit&amp;VAR:KEY=BYLYBGBYLG&amp;VAR:QUERY=RkZfRElWX1lMRChBTk4sMTIvMjcvMDEsMTIvMjcvMDEp&amp;WINDOW=FIRST_POPUP&amp;HEIGHT=450&amp;WIDTH=450&amp;","START_MAXIMIZED=FALSE&amp;VAR:CALENDAR=US&amp;VAR:SYMBOL=MO&amp;VAR:INDEX=0"}</definedName>
    <definedName name="_1007__FDSAUDITLINK__" localSheetId="0"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7__FDSAUDITLINK__" hidden="1">{"fdsup://directions/FAT Viewer?action=UPDATE&amp;creator=factset&amp;DYN_ARGS=TRUE&amp;DOC_NAME=FAT:FQL_AUDITING_CLIENT_TEMPLATE.FAT&amp;display_string=Audit&amp;VAR:KEY=NCDWVIXUHU&amp;VAR:QUERY=RkZfRElWX1lMRChBTk4sMTIvMjAvMDEsMTIvMjAvMDEp&amp;WINDOW=FIRST_POPUP&amp;HEIGHT=450&amp;WIDTH=450&amp;","START_MAXIMIZED=FALSE&amp;VAR:CALENDAR=US&amp;VAR:SYMBOL=MO&amp;VAR:INDEX=0"}</definedName>
    <definedName name="_1008__FDSAUDITLINK__" localSheetId="0"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8__FDSAUDITLINK__" hidden="1">{"fdsup://directions/FAT Viewer?action=UPDATE&amp;creator=factset&amp;DYN_ARGS=TRUE&amp;DOC_NAME=FAT:FQL_AUDITING_CLIENT_TEMPLATE.FAT&amp;display_string=Audit&amp;VAR:KEY=LMRMTMVSTQ&amp;VAR:QUERY=RkZfRElWX1lMRChBTk4sMTIvMTMvMDEsMTIvMTMvMDEp&amp;WINDOW=FIRST_POPUP&amp;HEIGHT=450&amp;WIDTH=450&amp;","START_MAXIMIZED=FALSE&amp;VAR:CALENDAR=US&amp;VAR:SYMBOL=MO&amp;VAR:INDEX=0"}</definedName>
    <definedName name="_1009">#REF!</definedName>
    <definedName name="_1009__FDSAUDITLINK__" localSheetId="0"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09__FDSAUDITLINK__" hidden="1">{"fdsup://directions/FAT Viewer?action=UPDATE&amp;creator=factset&amp;DYN_ARGS=TRUE&amp;DOC_NAME=FAT:FQL_AUDITING_CLIENT_TEMPLATE.FAT&amp;display_string=Audit&amp;VAR:KEY=NQVGBOBCXS&amp;VAR:QUERY=RkZfRElWX1lMRChBTk4sMTIvMDYvMDEsMTIvMDYvMDEp&amp;WINDOW=FIRST_POPUP&amp;HEIGHT=450&amp;WIDTH=450&amp;","START_MAXIMIZED=FALSE&amp;VAR:CALENDAR=US&amp;VAR:SYMBOL=MO&amp;VAR:INDEX=0"}</definedName>
    <definedName name="_101">#REF!</definedName>
    <definedName name="_101__123Graph_DSUPPLIES_BY_B_U">#REF!</definedName>
    <definedName name="_101__FDSAUDITLINK__" localSheetId="0"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__FDSAUDITLINK__" hidden="1">{"fdsup://directions/FAT Viewer?action=UPDATE&amp;creator=factset&amp;DYN_ARGS=TRUE&amp;DOC_NAME=FAT:FQL_AUDITING_CLIENT_TEMPLATE.FAT&amp;display_string=Audit&amp;VAR:KEY=SHCZUJAFYN&amp;VAR:QUERY=QVZHKEZGX0RJVl9ZTEQoQU5OLDQxMDA0LC0xQVkpKQ==&amp;WINDOW=FIRST_POPUP&amp;HEIGHT=450&amp;WIDTH=450&amp;","START_MAXIMIZED=FALSE&amp;VAR:CALENDAR=US&amp;VAR:SYMBOL=PEP"}</definedName>
    <definedName name="_1010__FDSAUDITLINK__" localSheetId="0"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0__FDSAUDITLINK__" hidden="1">{"fdsup://directions/FAT Viewer?action=UPDATE&amp;creator=factset&amp;DYN_ARGS=TRUE&amp;DOC_NAME=FAT:FQL_AUDITING_CLIENT_TEMPLATE.FAT&amp;display_string=Audit&amp;VAR:KEY=JMPQVULQJY&amp;VAR:QUERY=RkZfRElWX1lMRChBTk4sMTEvMjkvMDEsMTEvMjkvMDEp&amp;WINDOW=FIRST_POPUP&amp;HEIGHT=450&amp;WIDTH=450&amp;","START_MAXIMIZED=FALSE&amp;VAR:CALENDAR=US&amp;VAR:SYMBOL=MO&amp;VAR:INDEX=0"}</definedName>
    <definedName name="_1011__FDSAUDITLINK__" localSheetId="0"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1__FDSAUDITLINK__" hidden="1">{"fdsup://directions/FAT Viewer?action=UPDATE&amp;creator=factset&amp;DYN_ARGS=TRUE&amp;DOC_NAME=FAT:FQL_AUDITING_CLIENT_TEMPLATE.FAT&amp;display_string=Audit&amp;VAR:KEY=ZCBMFGXIRU&amp;VAR:QUERY=RkZfRElWX1lMRChBTk4sMTEvMjEvMDEsMTEvMjEvMDEp&amp;WINDOW=FIRST_POPUP&amp;HEIGHT=450&amp;WIDTH=450&amp;","START_MAXIMIZED=FALSE&amp;VAR:CALENDAR=US&amp;VAR:SYMBOL=MO&amp;VAR:INDEX=0"}</definedName>
    <definedName name="_1012__FDSAUDITLINK__" localSheetId="0"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2__FDSAUDITLINK__" hidden="1">{"fdsup://directions/FAT Viewer?action=UPDATE&amp;creator=factset&amp;DYN_ARGS=TRUE&amp;DOC_NAME=FAT:FQL_AUDITING_CLIENT_TEMPLATE.FAT&amp;display_string=Audit&amp;VAR:KEY=FSXYLQJSBI&amp;VAR:QUERY=RkZfRElWX1lMRChBTk4sMTEvMTUvMDEsMTEvMTUvMDEp&amp;WINDOW=FIRST_POPUP&amp;HEIGHT=450&amp;WIDTH=450&amp;","START_MAXIMIZED=FALSE&amp;VAR:CALENDAR=US&amp;VAR:SYMBOL=MO&amp;VAR:INDEX=0"}</definedName>
    <definedName name="_1013__FDSAUDITLINK__" localSheetId="0"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3__FDSAUDITLINK__" hidden="1">{"fdsup://directions/FAT Viewer?action=UPDATE&amp;creator=factset&amp;DYN_ARGS=TRUE&amp;DOC_NAME=FAT:FQL_AUDITING_CLIENT_TEMPLATE.FAT&amp;display_string=Audit&amp;VAR:KEY=JOZKJYBYNY&amp;VAR:QUERY=RkZfRElWX1lMRChBTk4sMTEvMDgvMDEsMTEvMDgvMDEp&amp;WINDOW=FIRST_POPUP&amp;HEIGHT=450&amp;WIDTH=450&amp;","START_MAXIMIZED=FALSE&amp;VAR:CALENDAR=US&amp;VAR:SYMBOL=MO&amp;VAR:INDEX=0"}</definedName>
    <definedName name="_1014__FDSAUDITLINK__" localSheetId="0"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4__FDSAUDITLINK__" hidden="1">{"fdsup://directions/FAT Viewer?action=UPDATE&amp;creator=factset&amp;DYN_ARGS=TRUE&amp;DOC_NAME=FAT:FQL_AUDITING_CLIENT_TEMPLATE.FAT&amp;display_string=Audit&amp;VAR:KEY=NIZKLOZCXA&amp;VAR:QUERY=RkZfRElWX1lMRChBTk4sMTEvMDEvMDEsMTEvMDEvMDEp&amp;WINDOW=FIRST_POPUP&amp;HEIGHT=450&amp;WIDTH=450&amp;","START_MAXIMIZED=FALSE&amp;VAR:CALENDAR=US&amp;VAR:SYMBOL=MO&amp;VAR:INDEX=0"}</definedName>
    <definedName name="_1015__FDSAUDITLINK__" localSheetId="0"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5__FDSAUDITLINK__" hidden="1">{"fdsup://directions/FAT Viewer?action=UPDATE&amp;creator=factset&amp;DYN_ARGS=TRUE&amp;DOC_NAME=FAT:FQL_AUDITING_CLIENT_TEMPLATE.FAT&amp;display_string=Audit&amp;VAR:KEY=DCRMPKJQLS&amp;VAR:QUERY=RkZfRElWX1lMRChBTk4sMTAvMjUvMDEsMTAvMjUvMDEp&amp;WINDOW=FIRST_POPUP&amp;HEIGHT=450&amp;WIDTH=450&amp;","START_MAXIMIZED=FALSE&amp;VAR:CALENDAR=US&amp;VAR:SYMBOL=MO&amp;VAR:INDEX=0"}</definedName>
    <definedName name="_1016__FDSAUDITLINK__" localSheetId="0"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6__FDSAUDITLINK__" hidden="1">{"fdsup://directions/FAT Viewer?action=UPDATE&amp;creator=factset&amp;DYN_ARGS=TRUE&amp;DOC_NAME=FAT:FQL_AUDITING_CLIENT_TEMPLATE.FAT&amp;display_string=Audit&amp;VAR:KEY=TUZAXOZUJC&amp;VAR:QUERY=RkZfRElWX1lMRChBTk4sMTAvMTgvMDEsMTAvMTgvMDEp&amp;WINDOW=FIRST_POPUP&amp;HEIGHT=450&amp;WIDTH=450&amp;","START_MAXIMIZED=FALSE&amp;VAR:CALENDAR=US&amp;VAR:SYMBOL=MO&amp;VAR:INDEX=0"}</definedName>
    <definedName name="_1017">#REF!</definedName>
    <definedName name="_1017__FDSAUDITLINK__" localSheetId="0"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7__FDSAUDITLINK__" hidden="1">{"fdsup://directions/FAT Viewer?action=UPDATE&amp;creator=factset&amp;DYN_ARGS=TRUE&amp;DOC_NAME=FAT:FQL_AUDITING_CLIENT_TEMPLATE.FAT&amp;display_string=Audit&amp;VAR:KEY=FSRYVQTWDK&amp;VAR:QUERY=RkZfRElWX1lMRChBTk4sMTAvMTEvMDEsMTAvMTEvMDEp&amp;WINDOW=FIRST_POPUP&amp;HEIGHT=450&amp;WIDTH=450&amp;","START_MAXIMIZED=FALSE&amp;VAR:CALENDAR=US&amp;VAR:SYMBOL=MO&amp;VAR:INDEX=0"}</definedName>
    <definedName name="_1018__FDSAUDITLINK__" localSheetId="0"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8__FDSAUDITLINK__" hidden="1">{"fdsup://directions/FAT Viewer?action=UPDATE&amp;creator=factset&amp;DYN_ARGS=TRUE&amp;DOC_NAME=FAT:FQL_AUDITING_CLIENT_TEMPLATE.FAT&amp;display_string=Audit&amp;VAR:KEY=BGXITCRYNK&amp;VAR:QUERY=RkZfRElWX1lMRChBTk4sMTAvMDQvMDEsMTAvMDQvMDEp&amp;WINDOW=FIRST_POPUP&amp;HEIGHT=450&amp;WIDTH=450&amp;","START_MAXIMIZED=FALSE&amp;VAR:CALENDAR=US&amp;VAR:SYMBOL=MO&amp;VAR:INDEX=0"}</definedName>
    <definedName name="_1019__FDSAUDITLINK__" localSheetId="0"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19__FDSAUDITLINK__" hidden="1">{"fdsup://directions/FAT Viewer?action=UPDATE&amp;creator=factset&amp;DYN_ARGS=TRUE&amp;DOC_NAME=FAT:FQL_AUDITING_CLIENT_TEMPLATE.FAT&amp;display_string=Audit&amp;VAR:KEY=BURWFEJKJQ&amp;VAR:QUERY=RkZfRElWX1lMRChBTk4sOS8yNy8wMSw5LzI3LzAxKQ==&amp;WINDOW=FIRST_POPUP&amp;HEIGHT=450&amp;WIDTH=450&amp;","START_MAXIMIZED=FALSE&amp;VAR:CALENDAR=US&amp;VAR:SYMBOL=MO&amp;VAR:INDEX=0"}</definedName>
    <definedName name="_102">#REF!</definedName>
    <definedName name="_102__123Graph_CWAGES_BY_B_U">#REF!</definedName>
    <definedName name="_102__123Graph_XTAX_CREDIT">#REF!</definedName>
    <definedName name="_102__FDSAUDITLINK__" localSheetId="0"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__FDSAUDITLINK__" hidden="1">{"fdsup://directions/FAT Viewer?action=UPDATE&amp;creator=factset&amp;DYN_ARGS=TRUE&amp;DOC_NAME=FAT:FQL_AUDITING_CLIENT_TEMPLATE.FAT&amp;display_string=Audit&amp;VAR:KEY=NMZYZWPCHU&amp;VAR:QUERY=RkZfRElWX1lMRChBTk4sNC8yMy8wOSw0LzIzLzA5KQ==&amp;WINDOW=FIRST_POPUP&amp;HEIGHT=450&amp;WIDTH=450&amp;","START_MAXIMIZED=FALSE&amp;VAR:CALENDAR=US&amp;VAR:SYMBOL=RAI&amp;VAR:INDEX=0"}</definedName>
    <definedName name="_1020__FDSAUDITLINK__" localSheetId="0"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0__FDSAUDITLINK__" hidden="1">{"fdsup://directions/FAT Viewer?action=UPDATE&amp;creator=factset&amp;DYN_ARGS=TRUE&amp;DOC_NAME=FAT:FQL_AUDITING_CLIENT_TEMPLATE.FAT&amp;display_string=Audit&amp;VAR:KEY=LEVKLKLWXW&amp;VAR:QUERY=RkZfRElWX1lMRChBTk4sOS8yMC8wMSw5LzIwLzAxKQ==&amp;WINDOW=FIRST_POPUP&amp;HEIGHT=450&amp;WIDTH=450&amp;","START_MAXIMIZED=FALSE&amp;VAR:CALENDAR=US&amp;VAR:SYMBOL=MO&amp;VAR:INDEX=0"}</definedName>
    <definedName name="_1021">#REF!</definedName>
    <definedName name="_1021__FDSAUDITLINK__" localSheetId="0"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1__FDSAUDITLINK__" hidden="1">{"fdsup://directions/FAT Viewer?action=UPDATE&amp;creator=factset&amp;DYN_ARGS=TRUE&amp;DOC_NAME=FAT:FQL_AUDITING_CLIENT_TEMPLATE.FAT&amp;display_string=Audit&amp;VAR:KEY=XKJQDCNQLW&amp;VAR:QUERY=RkZfRElWX1lMRChBTk4sOS8xMC8wMSw5LzEwLzAxKQ==&amp;WINDOW=FIRST_POPUP&amp;HEIGHT=450&amp;WIDTH=450&amp;","START_MAXIMIZED=FALSE&amp;VAR:CALENDAR=US&amp;VAR:SYMBOL=MO&amp;VAR:INDEX=0"}</definedName>
    <definedName name="_1022__FDSAUDITLINK__" localSheetId="0"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2__FDSAUDITLINK__" hidden="1">{"fdsup://directions/FAT Viewer?action=UPDATE&amp;creator=factset&amp;DYN_ARGS=TRUE&amp;DOC_NAME=FAT:FQL_AUDITING_CLIENT_TEMPLATE.FAT&amp;display_string=Audit&amp;VAR:KEY=ZOLMFAJGHA&amp;VAR:QUERY=RkZfRElWX1lMRChBTk4sOS8wNi8wMSw5LzA2LzAxKQ==&amp;WINDOW=FIRST_POPUP&amp;HEIGHT=450&amp;WIDTH=450&amp;","START_MAXIMIZED=FALSE&amp;VAR:CALENDAR=US&amp;VAR:SYMBOL=MO&amp;VAR:INDEX=0"}</definedName>
    <definedName name="_1023">#REF!</definedName>
    <definedName name="_1023__FDSAUDITLINK__" localSheetId="0"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3__FDSAUDITLINK__" hidden="1">{"fdsup://directions/FAT Viewer?action=UPDATE&amp;creator=factset&amp;DYN_ARGS=TRUE&amp;DOC_NAME=FAT:FQL_AUDITING_CLIENT_TEMPLATE.FAT&amp;display_string=Audit&amp;VAR:KEY=HIJEJKRQLI&amp;VAR:QUERY=RkZfRElWX1lMRChBTk4sOC8zMC8wMSw4LzMwLzAxKQ==&amp;WINDOW=FIRST_POPUP&amp;HEIGHT=450&amp;WIDTH=450&amp;","START_MAXIMIZED=FALSE&amp;VAR:CALENDAR=US&amp;VAR:SYMBOL=MO&amp;VAR:INDEX=0"}</definedName>
    <definedName name="_1024">#REF!</definedName>
    <definedName name="_1024__FDSAUDITLINK__" localSheetId="0"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4__FDSAUDITLINK__" hidden="1">{"fdsup://directions/FAT Viewer?action=UPDATE&amp;creator=factset&amp;DYN_ARGS=TRUE&amp;DOC_NAME=FAT:FQL_AUDITING_CLIENT_TEMPLATE.FAT&amp;display_string=Audit&amp;VAR:KEY=ZCHADOVSNU&amp;VAR:QUERY=RkZfRElWX1lMRChBTk4sOC8yMy8wMSw4LzIzLzAxKQ==&amp;WINDOW=FIRST_POPUP&amp;HEIGHT=450&amp;WIDTH=450&amp;","START_MAXIMIZED=FALSE&amp;VAR:CALENDAR=US&amp;VAR:SYMBOL=MO&amp;VAR:INDEX=0"}</definedName>
    <definedName name="_1025__FDSAUDITLINK__" localSheetId="0"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5__FDSAUDITLINK__" hidden="1">{"fdsup://directions/FAT Viewer?action=UPDATE&amp;creator=factset&amp;DYN_ARGS=TRUE&amp;DOC_NAME=FAT:FQL_AUDITING_CLIENT_TEMPLATE.FAT&amp;display_string=Audit&amp;VAR:KEY=DKDAVEXEZW&amp;VAR:QUERY=RkZfRElWX1lMRChBTk4sOC8xNi8wMSw4LzE2LzAxKQ==&amp;WINDOW=FIRST_POPUP&amp;HEIGHT=450&amp;WIDTH=450&amp;","START_MAXIMIZED=FALSE&amp;VAR:CALENDAR=US&amp;VAR:SYMBOL=MO&amp;VAR:INDEX=0"}</definedName>
    <definedName name="_1026">#REF!</definedName>
    <definedName name="_1026__FDSAUDITLINK__" localSheetId="0"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6__FDSAUDITLINK__" hidden="1">{"fdsup://directions/FAT Viewer?action=UPDATE&amp;creator=factset&amp;DYN_ARGS=TRUE&amp;DOC_NAME=FAT:FQL_AUDITING_CLIENT_TEMPLATE.FAT&amp;display_string=Audit&amp;VAR:KEY=DURQRUFEDK&amp;VAR:QUERY=RkZfRElWX1lMRChBTk4sOC8wOS8wMSw4LzA5LzAxKQ==&amp;WINDOW=FIRST_POPUP&amp;HEIGHT=450&amp;WIDTH=450&amp;","START_MAXIMIZED=FALSE&amp;VAR:CALENDAR=US&amp;VAR:SYMBOL=MO&amp;VAR:INDEX=0"}</definedName>
    <definedName name="_1027">#REF!</definedName>
    <definedName name="_1027__FDSAUDITLINK__" localSheetId="0"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7__FDSAUDITLINK__" hidden="1">{"fdsup://directions/FAT Viewer?action=UPDATE&amp;creator=factset&amp;DYN_ARGS=TRUE&amp;DOC_NAME=FAT:FQL_AUDITING_CLIENT_TEMPLATE.FAT&amp;display_string=Audit&amp;VAR:KEY=NSNGDINGFG&amp;VAR:QUERY=RkZfRElWX1lMRChBTk4sOC8wMi8wMSw4LzAyLzAxKQ==&amp;WINDOW=FIRST_POPUP&amp;HEIGHT=450&amp;WIDTH=450&amp;","START_MAXIMIZED=FALSE&amp;VAR:CALENDAR=US&amp;VAR:SYMBOL=MO&amp;VAR:INDEX=0"}</definedName>
    <definedName name="_1028__FDSAUDITLINK__" localSheetId="0"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8__FDSAUDITLINK__" hidden="1">{"fdsup://directions/FAT Viewer?action=UPDATE&amp;creator=factset&amp;DYN_ARGS=TRUE&amp;DOC_NAME=FAT:FQL_AUDITING_CLIENT_TEMPLATE.FAT&amp;display_string=Audit&amp;VAR:KEY=XYJWHWLGVO&amp;VAR:QUERY=RkZfRElWX1lMRChBTk4sNy8yNi8wMSw3LzI2LzAxKQ==&amp;WINDOW=FIRST_POPUP&amp;HEIGHT=450&amp;WIDTH=450&amp;","START_MAXIMIZED=FALSE&amp;VAR:CALENDAR=US&amp;VAR:SYMBOL=MO&amp;VAR:INDEX=0"}</definedName>
    <definedName name="_1029">#REF!</definedName>
    <definedName name="_1029__FDSAUDITLINK__" localSheetId="0"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29__FDSAUDITLINK__" hidden="1">{"fdsup://directions/FAT Viewer?action=UPDATE&amp;creator=factset&amp;DYN_ARGS=TRUE&amp;DOC_NAME=FAT:FQL_AUDITING_CLIENT_TEMPLATE.FAT&amp;display_string=Audit&amp;VAR:KEY=ZMXCBADWJK&amp;VAR:QUERY=RkZfRElWX1lMRChBTk4sNy8xOS8wMSw3LzE5LzAxKQ==&amp;WINDOW=FIRST_POPUP&amp;HEIGHT=450&amp;WIDTH=450&amp;","START_MAXIMIZED=FALSE&amp;VAR:CALENDAR=US&amp;VAR:SYMBOL=MO&amp;VAR:INDEX=0"}</definedName>
    <definedName name="_103">#REF!</definedName>
    <definedName name="_103__123Graph_CWAGES_BY_B_U">#REF!</definedName>
    <definedName name="_103__FDSAUDITLINK__" localSheetId="0"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__FDSAUDITLINK__" hidden="1">{"fdsup://directions/FAT Viewer?action=UPDATE&amp;creator=factset&amp;DYN_ARGS=TRUE&amp;DOC_NAME=FAT:FQL_AUDITING_CLIENT_TEMPLATE.FAT&amp;display_string=Audit&amp;VAR:KEY=JMDOLSNUFK&amp;VAR:QUERY=QVZHKEZGX0RJVl9ZTEQoQU5OLDQwOTk0LC0xMEFZKSk=&amp;WINDOW=FIRST_POPUP&amp;HEIGHT=450&amp;WIDTH=450&amp;","START_MAXIMIZED=FALSE&amp;VAR:CALENDAR=US&amp;VAR:SYMBOL=SBUX"}</definedName>
    <definedName name="_1030">#REF!</definedName>
    <definedName name="_1030__FDSAUDITLINK__" localSheetId="0"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0__FDSAUDITLINK__" hidden="1">{"fdsup://directions/FAT Viewer?action=UPDATE&amp;creator=factset&amp;DYN_ARGS=TRUE&amp;DOC_NAME=FAT:FQL_AUDITING_CLIENT_TEMPLATE.FAT&amp;display_string=Audit&amp;VAR:KEY=XYVGPWLGZQ&amp;VAR:QUERY=RkZfRElWX1lMRChBTk4sNy8xMi8wMSw3LzEyLzAxKQ==&amp;WINDOW=FIRST_POPUP&amp;HEIGHT=450&amp;WIDTH=450&amp;","START_MAXIMIZED=FALSE&amp;VAR:CALENDAR=US&amp;VAR:SYMBOL=MO&amp;VAR:INDEX=0"}</definedName>
    <definedName name="_1031">#REF!</definedName>
    <definedName name="_1031__FDSAUDITLINK__" localSheetId="0"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1__FDSAUDITLINK__" hidden="1">{"fdsup://directions/FAT Viewer?action=UPDATE&amp;creator=factset&amp;DYN_ARGS=TRUE&amp;DOC_NAME=FAT:FQL_AUDITING_CLIENT_TEMPLATE.FAT&amp;display_string=Audit&amp;VAR:KEY=NIROJQDAJE&amp;VAR:QUERY=RkZfRElWX1lMRChBTk4sNy8wNS8wMSw3LzA1LzAxKQ==&amp;WINDOW=FIRST_POPUP&amp;HEIGHT=450&amp;WIDTH=450&amp;","START_MAXIMIZED=FALSE&amp;VAR:CALENDAR=US&amp;VAR:SYMBOL=MO&amp;VAR:INDEX=0"}</definedName>
    <definedName name="_1032__FDSAUDITLINK__" localSheetId="0"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2__FDSAUDITLINK__" hidden="1">{"fdsup://directions/FAT Viewer?action=UPDATE&amp;creator=factset&amp;DYN_ARGS=TRUE&amp;DOC_NAME=FAT:FQL_AUDITING_CLIENT_TEMPLATE.FAT&amp;display_string=Audit&amp;VAR:KEY=DUZWFADADI&amp;VAR:QUERY=RkZfRElWX1lMRChBTk4sNi8yOC8wMSw2LzI4LzAxKQ==&amp;WINDOW=FIRST_POPUP&amp;HEIGHT=450&amp;WIDTH=450&amp;","START_MAXIMIZED=FALSE&amp;VAR:CALENDAR=US&amp;VAR:SYMBOL=MO&amp;VAR:INDEX=0"}</definedName>
    <definedName name="_1033__FDSAUDITLINK__" localSheetId="0"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3__FDSAUDITLINK__" hidden="1">{"fdsup://directions/FAT Viewer?action=UPDATE&amp;creator=factset&amp;DYN_ARGS=TRUE&amp;DOC_NAME=FAT:FQL_AUDITING_CLIENT_TEMPLATE.FAT&amp;display_string=Audit&amp;VAR:KEY=ROVCXGFYNQ&amp;VAR:QUERY=RkZfRElWX1lMRChBTk4sNi8yMS8wMSw2LzIxLzAxKQ==&amp;WINDOW=FIRST_POPUP&amp;HEIGHT=450&amp;WIDTH=450&amp;","START_MAXIMIZED=FALSE&amp;VAR:CALENDAR=US&amp;VAR:SYMBOL=MO&amp;VAR:INDEX=0"}</definedName>
    <definedName name="_1034__FDSAUDITLINK__" localSheetId="0"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4__FDSAUDITLINK__" hidden="1">{"fdsup://directions/FAT Viewer?action=UPDATE&amp;creator=factset&amp;DYN_ARGS=TRUE&amp;DOC_NAME=FAT:FQL_AUDITING_CLIENT_TEMPLATE.FAT&amp;display_string=Audit&amp;VAR:KEY=PALOPWXUVU&amp;VAR:QUERY=RkZfRElWX1lMRChBTk4sNi8xNC8wMSw2LzE0LzAxKQ==&amp;WINDOW=FIRST_POPUP&amp;HEIGHT=450&amp;WIDTH=450&amp;","START_MAXIMIZED=FALSE&amp;VAR:CALENDAR=US&amp;VAR:SYMBOL=MO&amp;VAR:INDEX=0"}</definedName>
    <definedName name="_1035__FDSAUDITLINK__" localSheetId="0"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5__FDSAUDITLINK__" hidden="1">{"fdsup://directions/FAT Viewer?action=UPDATE&amp;creator=factset&amp;DYN_ARGS=TRUE&amp;DOC_NAME=FAT:FQL_AUDITING_CLIENT_TEMPLATE.FAT&amp;display_string=Audit&amp;VAR:KEY=HKJEJANWDG&amp;VAR:QUERY=RkZfRElWX1lMRChBTk4sNi8wNy8wMSw2LzA3LzAxKQ==&amp;WINDOW=FIRST_POPUP&amp;HEIGHT=450&amp;WIDTH=450&amp;","START_MAXIMIZED=FALSE&amp;VAR:CALENDAR=US&amp;VAR:SYMBOL=MO&amp;VAR:INDEX=0"}</definedName>
    <definedName name="_1036__FDSAUDITLINK__" localSheetId="0"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6__FDSAUDITLINK__" hidden="1">{"fdsup://directions/FAT Viewer?action=UPDATE&amp;creator=factset&amp;DYN_ARGS=TRUE&amp;DOC_NAME=FAT:FQL_AUDITING_CLIENT_TEMPLATE.FAT&amp;display_string=Audit&amp;VAR:KEY=HKZQLORKVG&amp;VAR:QUERY=RkZfRElWX1lMRChBTk4sNS8zMS8wMSw1LzMxLzAxKQ==&amp;WINDOW=FIRST_POPUP&amp;HEIGHT=450&amp;WIDTH=450&amp;","START_MAXIMIZED=FALSE&amp;VAR:CALENDAR=US&amp;VAR:SYMBOL=MO&amp;VAR:INDEX=0"}</definedName>
    <definedName name="_1037__FDSAUDITLINK__" localSheetId="0"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7__FDSAUDITLINK__" hidden="1">{"fdsup://directions/FAT Viewer?action=UPDATE&amp;creator=factset&amp;DYN_ARGS=TRUE&amp;DOC_NAME=FAT:FQL_AUDITING_CLIENT_TEMPLATE.FAT&amp;display_string=Audit&amp;VAR:KEY=LOPGFEJGTA&amp;VAR:QUERY=RkZfRElWX1lMRChBTk4sNS8yNC8wMSw1LzI0LzAxKQ==&amp;WINDOW=FIRST_POPUP&amp;HEIGHT=450&amp;WIDTH=450&amp;","START_MAXIMIZED=FALSE&amp;VAR:CALENDAR=US&amp;VAR:SYMBOL=MO&amp;VAR:INDEX=0"}</definedName>
    <definedName name="_1038__FDSAUDITLINK__" localSheetId="0"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8__FDSAUDITLINK__" hidden="1">{"fdsup://directions/FAT Viewer?action=UPDATE&amp;creator=factset&amp;DYN_ARGS=TRUE&amp;DOC_NAME=FAT:FQL_AUDITING_CLIENT_TEMPLATE.FAT&amp;display_string=Audit&amp;VAR:KEY=FQLEBWFYLS&amp;VAR:QUERY=RkZfRElWX1lMRChBTk4sNS8xNy8wMSw1LzE3LzAxKQ==&amp;WINDOW=FIRST_POPUP&amp;HEIGHT=450&amp;WIDTH=450&amp;","START_MAXIMIZED=FALSE&amp;VAR:CALENDAR=US&amp;VAR:SYMBOL=MO&amp;VAR:INDEX=0"}</definedName>
    <definedName name="_1039">#REF!</definedName>
    <definedName name="_1039__FDSAUDITLINK__" localSheetId="0"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39__FDSAUDITLINK__" hidden="1">{"fdsup://directions/FAT Viewer?action=UPDATE&amp;creator=factset&amp;DYN_ARGS=TRUE&amp;DOC_NAME=FAT:FQL_AUDITING_CLIENT_TEMPLATE.FAT&amp;display_string=Audit&amp;VAR:KEY=ZGFARWLYZA&amp;VAR:QUERY=RkZfRElWX1lMRChBTk4sNS8xMC8wMSw1LzEwLzAxKQ==&amp;WINDOW=FIRST_POPUP&amp;HEIGHT=450&amp;WIDTH=450&amp;","START_MAXIMIZED=FALSE&amp;VAR:CALENDAR=US&amp;VAR:SYMBOL=MO&amp;VAR:INDEX=0"}</definedName>
    <definedName name="_104">#REF!</definedName>
    <definedName name="_104__123Graph_FCONTRACT_BY_B_U">#REF!</definedName>
    <definedName name="_104__FDSAUDITLINK__" localSheetId="0"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__FDSAUDITLINK__" hidden="1">{"fdsup://directions/FAT Viewer?action=UPDATE&amp;creator=factset&amp;DYN_ARGS=TRUE&amp;DOC_NAME=FAT:FQL_AUDITING_CLIENT_TEMPLATE.FAT&amp;display_string=Audit&amp;VAR:KEY=VYBEVSDCBG&amp;VAR:QUERY=RkZfRElWX1lMRChBTk4sNC8wOS8wOSw0LzA5LzA5KQ==&amp;WINDOW=FIRST_POPUP&amp;HEIGHT=450&amp;WIDTH=450&amp;","START_MAXIMIZED=FALSE&amp;VAR:CALENDAR=US&amp;VAR:SYMBOL=RAI&amp;VAR:INDEX=0"}</definedName>
    <definedName name="_1040__FDSAUDITLINK__" localSheetId="0"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0__FDSAUDITLINK__" hidden="1">{"fdsup://directions/FAT Viewer?action=UPDATE&amp;creator=factset&amp;DYN_ARGS=TRUE&amp;DOC_NAME=FAT:FQL_AUDITING_CLIENT_TEMPLATE.FAT&amp;display_string=Audit&amp;VAR:KEY=TKDKJWPSHC&amp;VAR:QUERY=RkZfRElWX1lMRChBTk4sNS8wMy8wMSw1LzAzLzAxKQ==&amp;WINDOW=FIRST_POPUP&amp;HEIGHT=450&amp;WIDTH=450&amp;","START_MAXIMIZED=FALSE&amp;VAR:CALENDAR=US&amp;VAR:SYMBOL=MO&amp;VAR:INDEX=0"}</definedName>
    <definedName name="_1041__FDSAUDITLINK__" localSheetId="0"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1__FDSAUDITLINK__" hidden="1">{"fdsup://directions/FAT Viewer?action=UPDATE&amp;creator=factset&amp;DYN_ARGS=TRUE&amp;DOC_NAME=FAT:FQL_AUDITING_CLIENT_TEMPLATE.FAT&amp;display_string=Audit&amp;VAR:KEY=XWDCLUTMBI&amp;VAR:QUERY=RkZfRElWX1lMRChBTk4sNC8yNi8wMSw0LzI2LzAxKQ==&amp;WINDOW=FIRST_POPUP&amp;HEIGHT=450&amp;WIDTH=450&amp;","START_MAXIMIZED=FALSE&amp;VAR:CALENDAR=US&amp;VAR:SYMBOL=MO&amp;VAR:INDEX=0"}</definedName>
    <definedName name="_1042__FDSAUDITLINK__" localSheetId="0"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2__FDSAUDITLINK__" hidden="1">{"fdsup://directions/FAT Viewer?action=UPDATE&amp;creator=factset&amp;DYN_ARGS=TRUE&amp;DOC_NAME=FAT:FQL_AUDITING_CLIENT_TEMPLATE.FAT&amp;display_string=Audit&amp;VAR:KEY=ROPMXWPWDA&amp;VAR:QUERY=RkZfRElWX1lMRChBTk4sNC8xOS8wMSw0LzE5LzAxKQ==&amp;WINDOW=FIRST_POPUP&amp;HEIGHT=450&amp;WIDTH=450&amp;","START_MAXIMIZED=FALSE&amp;VAR:CALENDAR=US&amp;VAR:SYMBOL=MO&amp;VAR:INDEX=0"}</definedName>
    <definedName name="_1043">#REF!</definedName>
    <definedName name="_1043__FDSAUDITLINK__" localSheetId="0"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3__FDSAUDITLINK__" hidden="1">{"fdsup://directions/FAT Viewer?action=UPDATE&amp;creator=factset&amp;DYN_ARGS=TRUE&amp;DOC_NAME=FAT:FQL_AUDITING_CLIENT_TEMPLATE.FAT&amp;display_string=Audit&amp;VAR:KEY=XANSLYTCDS&amp;VAR:QUERY=RkZfRElWX1lMRChBTk4sNC8xMi8wMSw0LzEyLzAxKQ==&amp;WINDOW=FIRST_POPUP&amp;HEIGHT=450&amp;WIDTH=450&amp;","START_MAXIMIZED=FALSE&amp;VAR:CALENDAR=US&amp;VAR:SYMBOL=MO&amp;VAR:INDEX=0"}</definedName>
    <definedName name="_1044__FDSAUDITLINK__" localSheetId="0"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4__FDSAUDITLINK__" hidden="1">{"fdsup://directions/FAT Viewer?action=UPDATE&amp;creator=factset&amp;DYN_ARGS=TRUE&amp;DOC_NAME=FAT:FQL_AUDITING_CLIENT_TEMPLATE.FAT&amp;display_string=Audit&amp;VAR:KEY=VCNAJAREVA&amp;VAR:QUERY=RkZfRElWX1lMRChBTk4sNC8wNS8wMSw0LzA1LzAxKQ==&amp;WINDOW=FIRST_POPUP&amp;HEIGHT=450&amp;WIDTH=450&amp;","START_MAXIMIZED=FALSE&amp;VAR:CALENDAR=US&amp;VAR:SYMBOL=MO&amp;VAR:INDEX=0"}</definedName>
    <definedName name="_1045__FDSAUDITLINK__" localSheetId="0"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5__FDSAUDITLINK__" hidden="1">{"fdsup://directions/FAT Viewer?action=UPDATE&amp;creator=factset&amp;DYN_ARGS=TRUE&amp;DOC_NAME=FAT:FQL_AUDITING_CLIENT_TEMPLATE.FAT&amp;display_string=Audit&amp;VAR:KEY=ZYRYHARQVE&amp;VAR:QUERY=RkZfRElWX1lMRChBTk4sMy8zMS8xMSwzLzMxLzExKQ==&amp;WINDOW=FIRST_POPUP&amp;HEIGHT=450&amp;WIDTH=450&amp;","START_MAXIMIZED=FALSE&amp;VAR:CALENDAR=US&amp;VAR:SYMBOL=LO&amp;VAR:INDEX=0"}</definedName>
    <definedName name="_1046__FDSAUDITLINK__" localSheetId="0"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6__FDSAUDITLINK__" hidden="1">{"fdsup://directions/FAT Viewer?action=UPDATE&amp;creator=factset&amp;DYN_ARGS=TRUE&amp;DOC_NAME=FAT:FQL_AUDITING_CLIENT_TEMPLATE.FAT&amp;display_string=Audit&amp;VAR:KEY=REPIBCXGLU&amp;VAR:QUERY=RkZfRElWX1lMRChBTk4sMy8yNC8xMSwzLzI0LzExKQ==&amp;WINDOW=FIRST_POPUP&amp;HEIGHT=450&amp;WIDTH=450&amp;","START_MAXIMIZED=FALSE&amp;VAR:CALENDAR=US&amp;VAR:SYMBOL=LO&amp;VAR:INDEX=0"}</definedName>
    <definedName name="_1047__FDSAUDITLINK__" localSheetId="0"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7__FDSAUDITLINK__" hidden="1">{"fdsup://directions/FAT Viewer?action=UPDATE&amp;creator=factset&amp;DYN_ARGS=TRUE&amp;DOC_NAME=FAT:FQL_AUDITING_CLIENT_TEMPLATE.FAT&amp;display_string=Audit&amp;VAR:KEY=ZCHMZURGNU&amp;VAR:QUERY=RkZfRElWX1lMRChBTk4sMy8xNy8xMSwzLzE3LzExKQ==&amp;WINDOW=FIRST_POPUP&amp;HEIGHT=450&amp;WIDTH=450&amp;","START_MAXIMIZED=FALSE&amp;VAR:CALENDAR=US&amp;VAR:SYMBOL=LO&amp;VAR:INDEX=0"}</definedName>
    <definedName name="_1048">#REF!</definedName>
    <definedName name="_1048__FDSAUDITLINK__" localSheetId="0"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8__FDSAUDITLINK__" hidden="1">{"fdsup://directions/FAT Viewer?action=UPDATE&amp;creator=factset&amp;DYN_ARGS=TRUE&amp;DOC_NAME=FAT:FQL_AUDITING_CLIENT_TEMPLATE.FAT&amp;display_string=Audit&amp;VAR:KEY=HGDATUPKLK&amp;VAR:QUERY=RkZfRElWX1lMRChBTk4sMy8xMC8xMSwzLzEwLzExKQ==&amp;WINDOW=FIRST_POPUP&amp;HEIGHT=450&amp;WIDTH=450&amp;","START_MAXIMIZED=FALSE&amp;VAR:CALENDAR=US&amp;VAR:SYMBOL=LO&amp;VAR:INDEX=0"}</definedName>
    <definedName name="_1049__FDSAUDITLINK__" localSheetId="0"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9__FDSAUDITLINK__" hidden="1">{"fdsup://directions/FAT Viewer?action=UPDATE&amp;creator=factset&amp;DYN_ARGS=TRUE&amp;DOC_NAME=FAT:FQL_AUDITING_CLIENT_TEMPLATE.FAT&amp;display_string=Audit&amp;VAR:KEY=TSTELGDWNQ&amp;VAR:QUERY=RkZfRElWX1lMRChBTk4sMy8wMy8xMSwzLzAzLzExKQ==&amp;WINDOW=FIRST_POPUP&amp;HEIGHT=450&amp;WIDTH=450&amp;","START_MAXIMIZED=FALSE&amp;VAR:CALENDAR=US&amp;VAR:SYMBOL=LO&amp;VAR:INDEX=0"}</definedName>
    <definedName name="_104s1_" hidden="1">{#N/A,#N/A,FALSE,"UNIT";#N/A,#N/A,FALSE,"UNIT";#N/A,#N/A,FALSE,"계정"}</definedName>
    <definedName name="_105">#REF!</definedName>
    <definedName name="_105__123Graph_LBL_CCHART_3">#REF!</definedName>
    <definedName name="_105__FDSAUDITLINK__" localSheetId="0"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__FDSAUDITLINK__" hidden="1">{"fdsup://directions/FAT Viewer?action=UPDATE&amp;creator=factset&amp;DYN_ARGS=TRUE&amp;DOC_NAME=FAT:FQL_AUDITING_CLIENT_TEMPLATE.FAT&amp;display_string=Audit&amp;VAR:KEY=REZYJOTEDQ&amp;VAR:QUERY=RkZfRElWX1lMRChBTk4sNC8wMi8wOSw0LzAyLzA5KQ==&amp;WINDOW=FIRST_POPUP&amp;HEIGHT=450&amp;WIDTH=450&amp;","START_MAXIMIZED=FALSE&amp;VAR:CALENDAR=US&amp;VAR:SYMBOL=RAI&amp;VAR:INDEX=0"}</definedName>
    <definedName name="_1050">#REF!</definedName>
    <definedName name="_1050__FDSAUDITLINK__" localSheetId="0"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0__FDSAUDITLINK__" hidden="1">{"fdsup://directions/FAT Viewer?action=UPDATE&amp;creator=factset&amp;DYN_ARGS=TRUE&amp;DOC_NAME=FAT:FQL_AUDITING_CLIENT_TEMPLATE.FAT&amp;display_string=Audit&amp;VAR:KEY=ROHIHKLSLE&amp;VAR:QUERY=RkZfRElWX1lMRChBTk4sMi8yNC8xMSwyLzI0LzExKQ==&amp;WINDOW=FIRST_POPUP&amp;HEIGHT=450&amp;WIDTH=450&amp;","START_MAXIMIZED=FALSE&amp;VAR:CALENDAR=US&amp;VAR:SYMBOL=LO&amp;VAR:INDEX=0"}</definedName>
    <definedName name="_1051">#REF!</definedName>
    <definedName name="_1051__FDSAUDITLINK__" localSheetId="0"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1__FDSAUDITLINK__" hidden="1">{"fdsup://directions/FAT Viewer?action=UPDATE&amp;creator=factset&amp;DYN_ARGS=TRUE&amp;DOC_NAME=FAT:FQL_AUDITING_CLIENT_TEMPLATE.FAT&amp;display_string=Audit&amp;VAR:KEY=JQZQTURIPQ&amp;VAR:QUERY=RkZfRElWX1lMRChBTk4sMi8xNy8xMSwyLzE3LzExKQ==&amp;WINDOW=FIRST_POPUP&amp;HEIGHT=450&amp;WIDTH=450&amp;","START_MAXIMIZED=FALSE&amp;VAR:CALENDAR=US&amp;VAR:SYMBOL=LO&amp;VAR:INDEX=0"}</definedName>
    <definedName name="_1052">#REF!</definedName>
    <definedName name="_1052__FDSAUDITLINK__" localSheetId="0"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2__FDSAUDITLINK__" hidden="1">{"fdsup://directions/FAT Viewer?action=UPDATE&amp;creator=factset&amp;DYN_ARGS=TRUE&amp;DOC_NAME=FAT:FQL_AUDITING_CLIENT_TEMPLATE.FAT&amp;display_string=Audit&amp;VAR:KEY=VATEBWNYTK&amp;VAR:QUERY=RkZfRElWX1lMRChBTk4sMi8xMC8xMSwyLzEwLzExKQ==&amp;WINDOW=FIRST_POPUP&amp;HEIGHT=450&amp;WIDTH=450&amp;","START_MAXIMIZED=FALSE&amp;VAR:CALENDAR=US&amp;VAR:SYMBOL=LO&amp;VAR:INDEX=0"}</definedName>
    <definedName name="_1053">#REF!</definedName>
    <definedName name="_1053__FDSAUDITLINK__" localSheetId="0"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3__FDSAUDITLINK__" hidden="1">{"fdsup://directions/FAT Viewer?action=UPDATE&amp;creator=factset&amp;DYN_ARGS=TRUE&amp;DOC_NAME=FAT:FQL_AUDITING_CLIENT_TEMPLATE.FAT&amp;display_string=Audit&amp;VAR:KEY=HWJITIXMHW&amp;VAR:QUERY=RkZfRElWX1lMRChBTk4sMi8wMy8xMSwyLzAzLzExKQ==&amp;WINDOW=FIRST_POPUP&amp;HEIGHT=450&amp;WIDTH=450&amp;","START_MAXIMIZED=FALSE&amp;VAR:CALENDAR=US&amp;VAR:SYMBOL=LO&amp;VAR:INDEX=0"}</definedName>
    <definedName name="_1054">#REF!</definedName>
    <definedName name="_1054__FDSAUDITLINK__" localSheetId="0"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4__FDSAUDITLINK__" hidden="1">{"fdsup://directions/FAT Viewer?action=UPDATE&amp;creator=factset&amp;DYN_ARGS=TRUE&amp;DOC_NAME=FAT:FQL_AUDITING_CLIENT_TEMPLATE.FAT&amp;display_string=Audit&amp;VAR:KEY=ZSNAXUHWLU&amp;VAR:QUERY=RkZfRElWX1lMRChBTk4sMS8yNy8xMSwxLzI3LzExKQ==&amp;WINDOW=FIRST_POPUP&amp;HEIGHT=450&amp;WIDTH=450&amp;","START_MAXIMIZED=FALSE&amp;VAR:CALENDAR=US&amp;VAR:SYMBOL=LO&amp;VAR:INDEX=0"}</definedName>
    <definedName name="_1055">#REF!</definedName>
    <definedName name="_1055__FDSAUDITLINK__" localSheetId="0"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5__FDSAUDITLINK__" hidden="1">{"fdsup://directions/FAT Viewer?action=UPDATE&amp;creator=factset&amp;DYN_ARGS=TRUE&amp;DOC_NAME=FAT:FQL_AUDITING_CLIENT_TEMPLATE.FAT&amp;display_string=Audit&amp;VAR:KEY=DKBGRMDMNI&amp;VAR:QUERY=RkZfRElWX1lMRChBTk4sMS8yMC8xMSwxLzIwLzExKQ==&amp;WINDOW=FIRST_POPUP&amp;HEIGHT=450&amp;WIDTH=450&amp;","START_MAXIMIZED=FALSE&amp;VAR:CALENDAR=US&amp;VAR:SYMBOL=LO&amp;VAR:INDEX=0"}</definedName>
    <definedName name="_1056">#REF!</definedName>
    <definedName name="_1056__FDSAUDITLINK__" localSheetId="0"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6__FDSAUDITLINK__" hidden="1">{"fdsup://directions/FAT Viewer?action=UPDATE&amp;creator=factset&amp;DYN_ARGS=TRUE&amp;DOC_NAME=FAT:FQL_AUDITING_CLIENT_TEMPLATE.FAT&amp;display_string=Audit&amp;VAR:KEY=BGNKTOHWBC&amp;VAR:QUERY=RkZfRElWX1lMRChBTk4sMS8xMy8xMSwxLzEzLzExKQ==&amp;WINDOW=FIRST_POPUP&amp;HEIGHT=450&amp;WIDTH=450&amp;","START_MAXIMIZED=FALSE&amp;VAR:CALENDAR=US&amp;VAR:SYMBOL=LO&amp;VAR:INDEX=0"}</definedName>
    <definedName name="_1057">#REF!</definedName>
    <definedName name="_1057__FDSAUDITLINK__" localSheetId="0"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7__FDSAUDITLINK__" hidden="1">{"fdsup://directions/FAT Viewer?action=UPDATE&amp;creator=factset&amp;DYN_ARGS=TRUE&amp;DOC_NAME=FAT:FQL_AUDITING_CLIENT_TEMPLATE.FAT&amp;display_string=Audit&amp;VAR:KEY=HYPUXWLIVM&amp;VAR:QUERY=RkZfRElWX1lMRChBTk4sMS8wNi8xMSwxLzA2LzExKQ==&amp;WINDOW=FIRST_POPUP&amp;HEIGHT=450&amp;WIDTH=450&amp;","START_MAXIMIZED=FALSE&amp;VAR:CALENDAR=US&amp;VAR:SYMBOL=LO&amp;VAR:INDEX=0"}</definedName>
    <definedName name="_1058">#REF!</definedName>
    <definedName name="_1058__FDSAUDITLINK__" localSheetId="0"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8__FDSAUDITLINK__" hidden="1">{"fdsup://directions/FAT Viewer?action=UPDATE&amp;creator=factset&amp;DYN_ARGS=TRUE&amp;DOC_NAME=FAT:FQL_AUDITING_CLIENT_TEMPLATE.FAT&amp;display_string=Audit&amp;VAR:KEY=ZMBCNEJETK&amp;VAR:QUERY=RkZfRElWX1lMRChBTk4sMTIvMzAvMTAsMTIvMzAvMTAp&amp;WINDOW=FIRST_POPUP&amp;HEIGHT=450&amp;WIDTH=450&amp;","START_MAXIMIZED=FALSE&amp;VAR:CALENDAR=US&amp;VAR:SYMBOL=LO&amp;VAR:INDEX=0"}</definedName>
    <definedName name="_1059">#REF!</definedName>
    <definedName name="_1059__FDSAUDITLINK__" localSheetId="0"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9__FDSAUDITLINK__" hidden="1">{"fdsup://directions/FAT Viewer?action=UPDATE&amp;creator=factset&amp;DYN_ARGS=TRUE&amp;DOC_NAME=FAT:FQL_AUDITING_CLIENT_TEMPLATE.FAT&amp;display_string=Audit&amp;VAR:KEY=HMVUHOLSPE&amp;VAR:QUERY=RkZfRElWX1lMRChBTk4sMTIvMjMvMTAsMTIvMjMvMTAp&amp;WINDOW=FIRST_POPUP&amp;HEIGHT=450&amp;WIDTH=450&amp;","START_MAXIMIZED=FALSE&amp;VAR:CALENDAR=US&amp;VAR:SYMBOL=LO&amp;VAR:INDEX=0"}</definedName>
    <definedName name="_105s10_" hidden="1">{#N/A,#N/A,FALSE,"UNIT";#N/A,#N/A,FALSE,"UNIT";#N/A,#N/A,FALSE,"계정"}</definedName>
    <definedName name="_106">#REF!</definedName>
    <definedName name="_106__123Graph_DWAGES_BY_B_U">#REF!</definedName>
    <definedName name="_106__FDSAUDITLINK__" localSheetId="0"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__FDSAUDITLINK__" hidden="1">{"fdsup://directions/FAT Viewer?action=UPDATE&amp;creator=factset&amp;DYN_ARGS=TRUE&amp;DOC_NAME=FAT:FQL_AUDITING_CLIENT_TEMPLATE.FAT&amp;display_string=Audit&amp;VAR:KEY=XWPKNKPUBY&amp;VAR:QUERY=RkZfRElWX1lMRChBTk4sMy8yNi8wOSwzLzI2LzA5KQ==&amp;WINDOW=FIRST_POPUP&amp;HEIGHT=450&amp;WIDTH=450&amp;","START_MAXIMIZED=FALSE&amp;VAR:CALENDAR=US&amp;VAR:SYMBOL=RAI&amp;VAR:INDEX=0"}</definedName>
    <definedName name="_1060">#REF!</definedName>
    <definedName name="_1060__FDSAUDITLINK__" localSheetId="0"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0__FDSAUDITLINK__" hidden="1">{"fdsup://directions/FAT Viewer?action=UPDATE&amp;creator=factset&amp;DYN_ARGS=TRUE&amp;DOC_NAME=FAT:FQL_AUDITING_CLIENT_TEMPLATE.FAT&amp;display_string=Audit&amp;VAR:KEY=RYNCTGPCHI&amp;VAR:QUERY=RkZfRElWX1lMRChBTk4sMTIvMTYvMTAsMTIvMTYvMTAp&amp;WINDOW=FIRST_POPUP&amp;HEIGHT=450&amp;WIDTH=450&amp;","START_MAXIMIZED=FALSE&amp;VAR:CALENDAR=US&amp;VAR:SYMBOL=LO&amp;VAR:INDEX=0"}</definedName>
    <definedName name="_1061">#REF!</definedName>
    <definedName name="_1061__FDSAUDITLINK__" localSheetId="0"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1__FDSAUDITLINK__" hidden="1">{"fdsup://directions/FAT Viewer?action=UPDATE&amp;creator=factset&amp;DYN_ARGS=TRUE&amp;DOC_NAME=FAT:FQL_AUDITING_CLIENT_TEMPLATE.FAT&amp;display_string=Audit&amp;VAR:KEY=PQVIJWVIHI&amp;VAR:QUERY=RkZfRElWX1lMRChBTk4sMTIvMDkvMTAsMTIvMDkvMTAp&amp;WINDOW=FIRST_POPUP&amp;HEIGHT=450&amp;WIDTH=450&amp;","START_MAXIMIZED=FALSE&amp;VAR:CALENDAR=US&amp;VAR:SYMBOL=LO&amp;VAR:INDEX=0"}</definedName>
    <definedName name="_1062">#REF!</definedName>
    <definedName name="_1062__FDSAUDITLINK__" localSheetId="0"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2__FDSAUDITLINK__" hidden="1">{"fdsup://directions/FAT Viewer?action=UPDATE&amp;creator=factset&amp;DYN_ARGS=TRUE&amp;DOC_NAME=FAT:FQL_AUDITING_CLIENT_TEMPLATE.FAT&amp;display_string=Audit&amp;VAR:KEY=BQFCZIBEFW&amp;VAR:QUERY=RkZfRElWX1lMRChBTk4sMTIvMDIvMTAsMTIvMDIvMTAp&amp;WINDOW=FIRST_POPUP&amp;HEIGHT=450&amp;WIDTH=450&amp;","START_MAXIMIZED=FALSE&amp;VAR:CALENDAR=US&amp;VAR:SYMBOL=LO&amp;VAR:INDEX=0"}</definedName>
    <definedName name="_1063">#REF!</definedName>
    <definedName name="_1063__FDSAUDITLINK__" localSheetId="0"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3__FDSAUDITLINK__" hidden="1">{"fdsup://directions/FAT Viewer?action=UPDATE&amp;creator=factset&amp;DYN_ARGS=TRUE&amp;DOC_NAME=FAT:FQL_AUDITING_CLIENT_TEMPLATE.FAT&amp;display_string=Audit&amp;VAR:KEY=BMVAHUHUVU&amp;VAR:QUERY=RkZfRElWX1lMRChBTk4sMTEvMjQvMTAsMTEvMjQvMTAp&amp;WINDOW=FIRST_POPUP&amp;HEIGHT=450&amp;WIDTH=450&amp;","START_MAXIMIZED=FALSE&amp;VAR:CALENDAR=US&amp;VAR:SYMBOL=LO&amp;VAR:INDEX=0"}</definedName>
    <definedName name="_1064">#REF!</definedName>
    <definedName name="_1064__FDSAUDITLINK__" localSheetId="0"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4__FDSAUDITLINK__" hidden="1">{"fdsup://directions/FAT Viewer?action=UPDATE&amp;creator=factset&amp;DYN_ARGS=TRUE&amp;DOC_NAME=FAT:FQL_AUDITING_CLIENT_TEMPLATE.FAT&amp;display_string=Audit&amp;VAR:KEY=FUFOJODATK&amp;VAR:QUERY=RkZfRElWX1lMRChBTk4sMTEvMTgvMTAsMTEvMTgvMTAp&amp;WINDOW=FIRST_POPUP&amp;HEIGHT=450&amp;WIDTH=450&amp;","START_MAXIMIZED=FALSE&amp;VAR:CALENDAR=US&amp;VAR:SYMBOL=LO&amp;VAR:INDEX=0"}</definedName>
    <definedName name="_1065">#REF!</definedName>
    <definedName name="_1065__FDSAUDITLINK__" localSheetId="0"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5__FDSAUDITLINK__" hidden="1">{"fdsup://directions/FAT Viewer?action=UPDATE&amp;creator=factset&amp;DYN_ARGS=TRUE&amp;DOC_NAME=FAT:FQL_AUDITING_CLIENT_TEMPLATE.FAT&amp;display_string=Audit&amp;VAR:KEY=LETGPCVOBM&amp;VAR:QUERY=RkZfRElWX1lMRChBTk4sMTEvMTEvMTAsMTEvMTEvMTAp&amp;WINDOW=FIRST_POPUP&amp;HEIGHT=450&amp;WIDTH=450&amp;","START_MAXIMIZED=FALSE&amp;VAR:CALENDAR=US&amp;VAR:SYMBOL=LO&amp;VAR:INDEX=0"}</definedName>
    <definedName name="_1066">#REF!</definedName>
    <definedName name="_1066__FDSAUDITLINK__" localSheetId="0"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6__FDSAUDITLINK__" hidden="1">{"fdsup://directions/FAT Viewer?action=UPDATE&amp;creator=factset&amp;DYN_ARGS=TRUE&amp;DOC_NAME=FAT:FQL_AUDITING_CLIENT_TEMPLATE.FAT&amp;display_string=Audit&amp;VAR:KEY=XEJMDCHATG&amp;VAR:QUERY=RkZfRElWX1lMRChBTk4sMTEvMDQvMTAsMTEvMDQvMTAp&amp;WINDOW=FIRST_POPUP&amp;HEIGHT=450&amp;WIDTH=450&amp;","START_MAXIMIZED=FALSE&amp;VAR:CALENDAR=US&amp;VAR:SYMBOL=LO&amp;VAR:INDEX=0"}</definedName>
    <definedName name="_1067">#REF!</definedName>
    <definedName name="_1067__FDSAUDITLINK__" localSheetId="0"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7__FDSAUDITLINK__" hidden="1">{"fdsup://directions/FAT Viewer?action=UPDATE&amp;creator=factset&amp;DYN_ARGS=TRUE&amp;DOC_NAME=FAT:FQL_AUDITING_CLIENT_TEMPLATE.FAT&amp;display_string=Audit&amp;VAR:KEY=BWPMPULSPG&amp;VAR:QUERY=RkZfRElWX1lMRChBTk4sMTAvMjgvMTAsMTAvMjgvMTAp&amp;WINDOW=FIRST_POPUP&amp;HEIGHT=450&amp;WIDTH=450&amp;","START_MAXIMIZED=FALSE&amp;VAR:CALENDAR=US&amp;VAR:SYMBOL=LO&amp;VAR:INDEX=0"}</definedName>
    <definedName name="_1068">#REF!</definedName>
    <definedName name="_1068__FDSAUDITLINK__" localSheetId="0"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8__FDSAUDITLINK__" hidden="1">{"fdsup://directions/FAT Viewer?action=UPDATE&amp;creator=factset&amp;DYN_ARGS=TRUE&amp;DOC_NAME=FAT:FQL_AUDITING_CLIENT_TEMPLATE.FAT&amp;display_string=Audit&amp;VAR:KEY=XALIPKNKVK&amp;VAR:QUERY=RkZfRElWX1lMRChBTk4sMTAvMjEvMTAsMTAvMjEvMTAp&amp;WINDOW=FIRST_POPUP&amp;HEIGHT=450&amp;WIDTH=450&amp;","START_MAXIMIZED=FALSE&amp;VAR:CALENDAR=US&amp;VAR:SYMBOL=LO&amp;VAR:INDEX=0"}</definedName>
    <definedName name="_1069">#REF!</definedName>
    <definedName name="_1069__FDSAUDITLINK__" localSheetId="0"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9__FDSAUDITLINK__" hidden="1">{"fdsup://directions/FAT Viewer?action=UPDATE&amp;creator=factset&amp;DYN_ARGS=TRUE&amp;DOC_NAME=FAT:FQL_AUDITING_CLIENT_TEMPLATE.FAT&amp;display_string=Audit&amp;VAR:KEY=XODGVEFGFO&amp;VAR:QUERY=RkZfRElWX1lMRChBTk4sMTAvMTQvMTAsMTAvMTQvMTAp&amp;WINDOW=FIRST_POPUP&amp;HEIGHT=450&amp;WIDTH=450&amp;","START_MAXIMIZED=FALSE&amp;VAR:CALENDAR=US&amp;VAR:SYMBOL=LO&amp;VAR:INDEX=0"}</definedName>
    <definedName name="_106s11_" hidden="1">{#N/A,#N/A,FALSE,"UNIT";#N/A,#N/A,FALSE,"UNIT";#N/A,#N/A,FALSE,"계정"}</definedName>
    <definedName name="_107">#REF!</definedName>
    <definedName name="_107__FDSAUDITLINK__" localSheetId="0"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__FDSAUDITLINK__" hidden="1">{"fdsup://directions/FAT Viewer?action=UPDATE&amp;creator=factset&amp;DYN_ARGS=TRUE&amp;DOC_NAME=FAT:FQL_AUDITING_CLIENT_TEMPLATE.FAT&amp;display_string=Audit&amp;VAR:KEY=FGXOFEXKFK&amp;VAR:QUERY=RkZfRElWX1lMRChBTk4sMy8xOS8wOSwzLzE5LzA5KQ==&amp;WINDOW=FIRST_POPUP&amp;HEIGHT=450&amp;WIDTH=450&amp;","START_MAXIMIZED=FALSE&amp;VAR:CALENDAR=US&amp;VAR:SYMBOL=RAI&amp;VAR:INDEX=0"}</definedName>
    <definedName name="_1070">#REF!</definedName>
    <definedName name="_1070__FDSAUDITLINK__" localSheetId="0"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0__FDSAUDITLINK__" hidden="1">{"fdsup://directions/FAT Viewer?action=UPDATE&amp;creator=factset&amp;DYN_ARGS=TRUE&amp;DOC_NAME=FAT:FQL_AUDITING_CLIENT_TEMPLATE.FAT&amp;display_string=Audit&amp;VAR:KEY=BOLGVSZGVE&amp;VAR:QUERY=RkZfRElWX1lMRChBTk4sMTAvMDcvMTAsMTAvMDcvMTAp&amp;WINDOW=FIRST_POPUP&amp;HEIGHT=450&amp;WIDTH=450&amp;","START_MAXIMIZED=FALSE&amp;VAR:CALENDAR=US&amp;VAR:SYMBOL=LO&amp;VAR:INDEX=0"}</definedName>
    <definedName name="_1071__FDSAUDITLINK__" localSheetId="0"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1__FDSAUDITLINK__" hidden="1">{"fdsup://directions/FAT Viewer?action=UPDATE&amp;creator=factset&amp;DYN_ARGS=TRUE&amp;DOC_NAME=FAT:FQL_AUDITING_CLIENT_TEMPLATE.FAT&amp;display_string=Audit&amp;VAR:KEY=HORMVQRMNQ&amp;VAR:QUERY=RkZfRElWX1lMRChBTk4sOS8zMC8xMCw5LzMwLzEwKQ==&amp;WINDOW=FIRST_POPUP&amp;HEIGHT=450&amp;WIDTH=450&amp;","START_MAXIMIZED=FALSE&amp;VAR:CALENDAR=US&amp;VAR:SYMBOL=LO&amp;VAR:INDEX=0"}</definedName>
    <definedName name="_1072__FDSAUDITLINK__" localSheetId="0"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2__FDSAUDITLINK__" hidden="1">{"fdsup://directions/FAT Viewer?action=UPDATE&amp;creator=factset&amp;DYN_ARGS=TRUE&amp;DOC_NAME=FAT:FQL_AUDITING_CLIENT_TEMPLATE.FAT&amp;display_string=Audit&amp;VAR:KEY=NWZKRYDYRA&amp;VAR:QUERY=RkZfRElWX1lMRChBTk4sOS8yMy8xMCw5LzIzLzEwKQ==&amp;WINDOW=FIRST_POPUP&amp;HEIGHT=450&amp;WIDTH=450&amp;","START_MAXIMIZED=FALSE&amp;VAR:CALENDAR=US&amp;VAR:SYMBOL=LO&amp;VAR:INDEX=0"}</definedName>
    <definedName name="_1073__FDSAUDITLINK__" localSheetId="0"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3__FDSAUDITLINK__" hidden="1">{"fdsup://directions/FAT Viewer?action=UPDATE&amp;creator=factset&amp;DYN_ARGS=TRUE&amp;DOC_NAME=FAT:FQL_AUDITING_CLIENT_TEMPLATE.FAT&amp;display_string=Audit&amp;VAR:KEY=ZAHWZUPYHI&amp;VAR:QUERY=RkZfRElWX1lMRChBTk4sOS8xNi8xMCw5LzE2LzEwKQ==&amp;WINDOW=FIRST_POPUP&amp;HEIGHT=450&amp;WIDTH=450&amp;","START_MAXIMIZED=FALSE&amp;VAR:CALENDAR=US&amp;VAR:SYMBOL=LO&amp;VAR:INDEX=0"}</definedName>
    <definedName name="_1074__FDSAUDITLINK__" localSheetId="0"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4__FDSAUDITLINK__" hidden="1">{"fdsup://directions/FAT Viewer?action=UPDATE&amp;creator=factset&amp;DYN_ARGS=TRUE&amp;DOC_NAME=FAT:FQL_AUDITING_CLIENT_TEMPLATE.FAT&amp;display_string=Audit&amp;VAR:KEY=JONQXQRELG&amp;VAR:QUERY=RkZfRElWX1lMRChBTk4sOS8wOS8xMCw5LzA5LzEwKQ==&amp;WINDOW=FIRST_POPUP&amp;HEIGHT=450&amp;WIDTH=450&amp;","START_MAXIMIZED=FALSE&amp;VAR:CALENDAR=US&amp;VAR:SYMBOL=LO&amp;VAR:INDEX=0"}</definedName>
    <definedName name="_1075">#REF!</definedName>
    <definedName name="_1075__FDSAUDITLINK__" localSheetId="0"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5__FDSAUDITLINK__" hidden="1">{"fdsup://directions/FAT Viewer?action=UPDATE&amp;creator=factset&amp;DYN_ARGS=TRUE&amp;DOC_NAME=FAT:FQL_AUDITING_CLIENT_TEMPLATE.FAT&amp;display_string=Audit&amp;VAR:KEY=TSXCXGLEJS&amp;VAR:QUERY=RkZfRElWX1lMRChBTk4sOS8wMi8xMCw5LzAyLzEwKQ==&amp;WINDOW=FIRST_POPUP&amp;HEIGHT=450&amp;WIDTH=450&amp;","START_MAXIMIZED=FALSE&amp;VAR:CALENDAR=US&amp;VAR:SYMBOL=LO&amp;VAR:INDEX=0"}</definedName>
    <definedName name="_1076__FDSAUDITLINK__" localSheetId="0"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6__FDSAUDITLINK__" hidden="1">{"fdsup://directions/FAT Viewer?action=UPDATE&amp;creator=factset&amp;DYN_ARGS=TRUE&amp;DOC_NAME=FAT:FQL_AUDITING_CLIENT_TEMPLATE.FAT&amp;display_string=Audit&amp;VAR:KEY=RWZCTUTMFM&amp;VAR:QUERY=RkZfRElWX1lMRChBTk4sOC8yNi8xMCw4LzI2LzEwKQ==&amp;WINDOW=FIRST_POPUP&amp;HEIGHT=450&amp;WIDTH=450&amp;","START_MAXIMIZED=FALSE&amp;VAR:CALENDAR=US&amp;VAR:SYMBOL=LO&amp;VAR:INDEX=0"}</definedName>
    <definedName name="_1077__FDSAUDITLINK__" localSheetId="0"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7__FDSAUDITLINK__" hidden="1">{"fdsup://directions/FAT Viewer?action=UPDATE&amp;creator=factset&amp;DYN_ARGS=TRUE&amp;DOC_NAME=FAT:FQL_AUDITING_CLIENT_TEMPLATE.FAT&amp;display_string=Audit&amp;VAR:KEY=NQBWNQNWNI&amp;VAR:QUERY=RkZfRElWX1lMRChBTk4sOC8xOS8xMCw4LzE5LzEwKQ==&amp;WINDOW=FIRST_POPUP&amp;HEIGHT=450&amp;WIDTH=450&amp;","START_MAXIMIZED=FALSE&amp;VAR:CALENDAR=US&amp;VAR:SYMBOL=LO&amp;VAR:INDEX=0"}</definedName>
    <definedName name="_1078__FDSAUDITLINK__" localSheetId="0"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8__FDSAUDITLINK__" hidden="1">{"fdsup://directions/FAT Viewer?action=UPDATE&amp;creator=factset&amp;DYN_ARGS=TRUE&amp;DOC_NAME=FAT:FQL_AUDITING_CLIENT_TEMPLATE.FAT&amp;display_string=Audit&amp;VAR:KEY=BELIBCTMJC&amp;VAR:QUERY=RkZfRElWX1lMRChBTk4sOC8xMi8xMCw4LzEyLzEwKQ==&amp;WINDOW=FIRST_POPUP&amp;HEIGHT=450&amp;WIDTH=450&amp;","START_MAXIMIZED=FALSE&amp;VAR:CALENDAR=US&amp;VAR:SYMBOL=LO&amp;VAR:INDEX=0"}</definedName>
    <definedName name="_1079__FDSAUDITLINK__" localSheetId="0"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9__FDSAUDITLINK__" hidden="1">{"fdsup://directions/FAT Viewer?action=UPDATE&amp;creator=factset&amp;DYN_ARGS=TRUE&amp;DOC_NAME=FAT:FQL_AUDITING_CLIENT_TEMPLATE.FAT&amp;display_string=Audit&amp;VAR:KEY=FOTQHGRIJO&amp;VAR:QUERY=RkZfRElWX1lMRChBTk4sOC8wNS8xMCw4LzA1LzEwKQ==&amp;WINDOW=FIRST_POPUP&amp;HEIGHT=450&amp;WIDTH=450&amp;","START_MAXIMIZED=FALSE&amp;VAR:CALENDAR=US&amp;VAR:SYMBOL=LO&amp;VAR:INDEX=0"}</definedName>
    <definedName name="_107s12_" hidden="1">{#N/A,#N/A,FALSE,"UNIT";#N/A,#N/A,FALSE,"UNIT";#N/A,#N/A,FALSE,"계정"}</definedName>
    <definedName name="_108">#REF!</definedName>
    <definedName name="_108__123Graph_DCONTRACT_BY_B_U">#REF!</definedName>
    <definedName name="_108__123Graph_FQRE_S_BY_CO.">#REF!</definedName>
    <definedName name="_108__FDSAUDITLINK__" localSheetId="0"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__FDSAUDITLINK__" hidden="1">{"fdsup://directions/FAT Viewer?action=UPDATE&amp;creator=factset&amp;DYN_ARGS=TRUE&amp;DOC_NAME=FAT:FQL_AUDITING_CLIENT_TEMPLATE.FAT&amp;display_string=Audit&amp;VAR:KEY=FAHIZMBIXG&amp;VAR:QUERY=RkZfRElWX1lMRChBTk4sMy8xMi8wOSwzLzEyLzA5KQ==&amp;WINDOW=FIRST_POPUP&amp;HEIGHT=450&amp;WIDTH=450&amp;","START_MAXIMIZED=FALSE&amp;VAR:CALENDAR=US&amp;VAR:SYMBOL=RAI&amp;VAR:INDEX=0"}</definedName>
    <definedName name="_1080__FDSAUDITLINK__" localSheetId="0"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0__FDSAUDITLINK__" hidden="1">{"fdsup://directions/FAT Viewer?action=UPDATE&amp;creator=factset&amp;DYN_ARGS=TRUE&amp;DOC_NAME=FAT:FQL_AUDITING_CLIENT_TEMPLATE.FAT&amp;display_string=Audit&amp;VAR:KEY=LONAZIHQZY&amp;VAR:QUERY=RkZfRElWX1lMRChBTk4sNy8yOS8xMCw3LzI5LzEwKQ==&amp;WINDOW=FIRST_POPUP&amp;HEIGHT=450&amp;WIDTH=450&amp;","START_MAXIMIZED=FALSE&amp;VAR:CALENDAR=US&amp;VAR:SYMBOL=LO&amp;VAR:INDEX=0"}</definedName>
    <definedName name="_1081__FDSAUDITLINK__" localSheetId="0"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1__FDSAUDITLINK__" hidden="1">{"fdsup://directions/FAT Viewer?action=UPDATE&amp;creator=factset&amp;DYN_ARGS=TRUE&amp;DOC_NAME=FAT:FQL_AUDITING_CLIENT_TEMPLATE.FAT&amp;display_string=Audit&amp;VAR:KEY=DODOTCDIHY&amp;VAR:QUERY=RkZfRElWX1lMRChBTk4sNy8yMi8xMCw3LzIyLzEwKQ==&amp;WINDOW=FIRST_POPUP&amp;HEIGHT=450&amp;WIDTH=450&amp;","START_MAXIMIZED=FALSE&amp;VAR:CALENDAR=US&amp;VAR:SYMBOL=LO&amp;VAR:INDEX=0"}</definedName>
    <definedName name="_1082__FDSAUDITLINK__" localSheetId="0"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2__FDSAUDITLINK__" hidden="1">{"fdsup://directions/FAT Viewer?action=UPDATE&amp;creator=factset&amp;DYN_ARGS=TRUE&amp;DOC_NAME=FAT:FQL_AUDITING_CLIENT_TEMPLATE.FAT&amp;display_string=Audit&amp;VAR:KEY=BMLCXEVIHW&amp;VAR:QUERY=RkZfRElWX1lMRChBTk4sNy8xNS8xMCw3LzE1LzEwKQ==&amp;WINDOW=FIRST_POPUP&amp;HEIGHT=450&amp;WIDTH=450&amp;","START_MAXIMIZED=FALSE&amp;VAR:CALENDAR=US&amp;VAR:SYMBOL=LO&amp;VAR:INDEX=0"}</definedName>
    <definedName name="_1083">#REF!</definedName>
    <definedName name="_1083__FDSAUDITLINK__" localSheetId="0"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3__FDSAUDITLINK__" hidden="1">{"fdsup://directions/FAT Viewer?action=UPDATE&amp;creator=factset&amp;DYN_ARGS=TRUE&amp;DOC_NAME=FAT:FQL_AUDITING_CLIENT_TEMPLATE.FAT&amp;display_string=Audit&amp;VAR:KEY=XSBWLWXATQ&amp;VAR:QUERY=RkZfRElWX1lMRChBTk4sNy8wOC8xMCw3LzA4LzEwKQ==&amp;WINDOW=FIRST_POPUP&amp;HEIGHT=450&amp;WIDTH=450&amp;","START_MAXIMIZED=FALSE&amp;VAR:CALENDAR=US&amp;VAR:SYMBOL=LO&amp;VAR:INDEX=0"}</definedName>
    <definedName name="_1084__FDSAUDITLINK__" localSheetId="0"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4__FDSAUDITLINK__" hidden="1">{"fdsup://directions/FAT Viewer?action=UPDATE&amp;creator=factset&amp;DYN_ARGS=TRUE&amp;DOC_NAME=FAT:FQL_AUDITING_CLIENT_TEMPLATE.FAT&amp;display_string=Audit&amp;VAR:KEY=FGVYJOZYVK&amp;VAR:QUERY=RkZfRElWX1lMRChBTk4sNy8wMS8xMCw3LzAxLzEwKQ==&amp;WINDOW=FIRST_POPUP&amp;HEIGHT=450&amp;WIDTH=450&amp;","START_MAXIMIZED=FALSE&amp;VAR:CALENDAR=US&amp;VAR:SYMBOL=LO&amp;VAR:INDEX=0"}</definedName>
    <definedName name="_1085__FDSAUDITLINK__" localSheetId="0"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5__FDSAUDITLINK__" hidden="1">{"fdsup://directions/FAT Viewer?action=UPDATE&amp;creator=factset&amp;DYN_ARGS=TRUE&amp;DOC_NAME=FAT:FQL_AUDITING_CLIENT_TEMPLATE.FAT&amp;display_string=Audit&amp;VAR:KEY=FMVUNEZIVU&amp;VAR:QUERY=RkZfRElWX1lMRChBTk4sNi8yNC8xMCw2LzI0LzEwKQ==&amp;WINDOW=FIRST_POPUP&amp;HEIGHT=450&amp;WIDTH=450&amp;","START_MAXIMIZED=FALSE&amp;VAR:CALENDAR=US&amp;VAR:SYMBOL=LO&amp;VAR:INDEX=0"}</definedName>
    <definedName name="_1086__FDSAUDITLINK__" localSheetId="0"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6__FDSAUDITLINK__" hidden="1">{"fdsup://directions/FAT Viewer?action=UPDATE&amp;creator=factset&amp;DYN_ARGS=TRUE&amp;DOC_NAME=FAT:FQL_AUDITING_CLIENT_TEMPLATE.FAT&amp;display_string=Audit&amp;VAR:KEY=TCXWHCVUFU&amp;VAR:QUERY=RkZfRElWX1lMRChBTk4sNi8xNy8xMCw2LzE3LzEwKQ==&amp;WINDOW=FIRST_POPUP&amp;HEIGHT=450&amp;WIDTH=450&amp;","START_MAXIMIZED=FALSE&amp;VAR:CALENDAR=US&amp;VAR:SYMBOL=LO&amp;VAR:INDEX=0"}</definedName>
    <definedName name="_1087">#REF!</definedName>
    <definedName name="_1087__FDSAUDITLINK__" localSheetId="0"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7__FDSAUDITLINK__" hidden="1">{"fdsup://directions/FAT Viewer?action=UPDATE&amp;creator=factset&amp;DYN_ARGS=TRUE&amp;DOC_NAME=FAT:FQL_AUDITING_CLIENT_TEMPLATE.FAT&amp;display_string=Audit&amp;VAR:KEY=VGPCVYFCHI&amp;VAR:QUERY=RkZfRElWX1lMRChBTk4sNi8xMC8xMCw2LzEwLzEwKQ==&amp;WINDOW=FIRST_POPUP&amp;HEIGHT=450&amp;WIDTH=450&amp;","START_MAXIMIZED=FALSE&amp;VAR:CALENDAR=US&amp;VAR:SYMBOL=LO&amp;VAR:INDEX=0"}</definedName>
    <definedName name="_1088">#REF!</definedName>
    <definedName name="_1088__FDSAUDITLINK__" localSheetId="0"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8__FDSAUDITLINK__" hidden="1">{"fdsup://directions/FAT Viewer?action=UPDATE&amp;creator=factset&amp;DYN_ARGS=TRUE&amp;DOC_NAME=FAT:FQL_AUDITING_CLIENT_TEMPLATE.FAT&amp;display_string=Audit&amp;VAR:KEY=PIHENSZWFA&amp;VAR:QUERY=RkZfRElWX1lMRChBTk4sNi8wMy8xMCw2LzAzLzEwKQ==&amp;WINDOW=FIRST_POPUP&amp;HEIGHT=450&amp;WIDTH=450&amp;","START_MAXIMIZED=FALSE&amp;VAR:CALENDAR=US&amp;VAR:SYMBOL=LO&amp;VAR:INDEX=0"}</definedName>
    <definedName name="_1089__FDSAUDITLINK__" localSheetId="0"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9__FDSAUDITLINK__" hidden="1">{"fdsup://directions/FAT Viewer?action=UPDATE&amp;creator=factset&amp;DYN_ARGS=TRUE&amp;DOC_NAME=FAT:FQL_AUDITING_CLIENT_TEMPLATE.FAT&amp;display_string=Audit&amp;VAR:KEY=ZUBAHCLYTG&amp;VAR:QUERY=RkZfRElWX1lMRChBTk4sNS8yNy8xMCw1LzI3LzEwKQ==&amp;WINDOW=FIRST_POPUP&amp;HEIGHT=450&amp;WIDTH=450&amp;","START_MAXIMIZED=FALSE&amp;VAR:CALENDAR=US&amp;VAR:SYMBOL=LO&amp;VAR:INDEX=0"}</definedName>
    <definedName name="_108s13_" hidden="1">{#N/A,#N/A,FALSE,"UNIT";#N/A,#N/A,FALSE,"UNIT";#N/A,#N/A,FALSE,"계정"}</definedName>
    <definedName name="_109">#REF!</definedName>
    <definedName name="_109__123Graph_DCONTRACT_BY_B_U">#REF!</definedName>
    <definedName name="_109__FDSAUDITLINK__" localSheetId="0"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__FDSAUDITLINK__" hidden="1">{"fdsup://directions/FAT Viewer?action=UPDATE&amp;creator=factset&amp;DYN_ARGS=TRUE&amp;DOC_NAME=FAT:FQL_AUDITING_CLIENT_TEMPLATE.FAT&amp;display_string=Audit&amp;VAR:KEY=JKVIFQFEFK&amp;VAR:QUERY=RkZfRElWX1lMRChBTk4sMy8wNS8wOSwzLzA1LzA5KQ==&amp;WINDOW=FIRST_POPUP&amp;HEIGHT=450&amp;WIDTH=450&amp;","START_MAXIMIZED=FALSE&amp;VAR:CALENDAR=US&amp;VAR:SYMBOL=RAI&amp;VAR:INDEX=0"}</definedName>
    <definedName name="_1090__FDSAUDITLINK__" localSheetId="0"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0__FDSAUDITLINK__" hidden="1">{"fdsup://directions/FAT Viewer?action=UPDATE&amp;creator=factset&amp;DYN_ARGS=TRUE&amp;DOC_NAME=FAT:FQL_AUDITING_CLIENT_TEMPLATE.FAT&amp;display_string=Audit&amp;VAR:KEY=BUDWDSDGTM&amp;VAR:QUERY=RkZfRElWX1lMRChBTk4sNS8yMC8xMCw1LzIwLzEwKQ==&amp;WINDOW=FIRST_POPUP&amp;HEIGHT=450&amp;WIDTH=450&amp;","START_MAXIMIZED=FALSE&amp;VAR:CALENDAR=US&amp;VAR:SYMBOL=LO&amp;VAR:INDEX=0"}</definedName>
    <definedName name="_1091__FDSAUDITLINK__" localSheetId="0"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1__FDSAUDITLINK__" hidden="1">{"fdsup://directions/FAT Viewer?action=UPDATE&amp;creator=factset&amp;DYN_ARGS=TRUE&amp;DOC_NAME=FAT:FQL_AUDITING_CLIENT_TEMPLATE.FAT&amp;display_string=Audit&amp;VAR:KEY=HCPYZMROZE&amp;VAR:QUERY=RkZfRElWX1lMRChBTk4sNS8xMy8xMCw1LzEzLzEwKQ==&amp;WINDOW=FIRST_POPUP&amp;HEIGHT=450&amp;WIDTH=450&amp;","START_MAXIMIZED=FALSE&amp;VAR:CALENDAR=US&amp;VAR:SYMBOL=LO&amp;VAR:INDEX=0"}</definedName>
    <definedName name="_1092">#REF!</definedName>
    <definedName name="_1092__FDSAUDITLINK__" localSheetId="0"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2__FDSAUDITLINK__" hidden="1">{"fdsup://directions/FAT Viewer?action=UPDATE&amp;creator=factset&amp;DYN_ARGS=TRUE&amp;DOC_NAME=FAT:FQL_AUDITING_CLIENT_TEMPLATE.FAT&amp;display_string=Audit&amp;VAR:KEY=XCPOVELWDG&amp;VAR:QUERY=RkZfRElWX1lMRChBTk4sNS8wNi8xMCw1LzA2LzEwKQ==&amp;WINDOW=FIRST_POPUP&amp;HEIGHT=450&amp;WIDTH=450&amp;","START_MAXIMIZED=FALSE&amp;VAR:CALENDAR=US&amp;VAR:SYMBOL=LO&amp;VAR:INDEX=0"}</definedName>
    <definedName name="_1093">#REF!</definedName>
    <definedName name="_1093__FDSAUDITLINK__" localSheetId="0"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3__FDSAUDITLINK__" hidden="1">{"fdsup://directions/FAT Viewer?action=UPDATE&amp;creator=factset&amp;DYN_ARGS=TRUE&amp;DOC_NAME=FAT:FQL_AUDITING_CLIENT_TEMPLATE.FAT&amp;display_string=Audit&amp;VAR:KEY=TKFGPKFYRY&amp;VAR:QUERY=RkZfRElWX1lMRChBTk4sNC8yOS8xMCw0LzI5LzEwKQ==&amp;WINDOW=FIRST_POPUP&amp;HEIGHT=450&amp;WIDTH=450&amp;","START_MAXIMIZED=FALSE&amp;VAR:CALENDAR=US&amp;VAR:SYMBOL=LO&amp;VAR:INDEX=0"}</definedName>
    <definedName name="_1094">#REF!</definedName>
    <definedName name="_1094__FDSAUDITLINK__" localSheetId="0"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4__FDSAUDITLINK__" hidden="1">{"fdsup://directions/FAT Viewer?action=UPDATE&amp;creator=factset&amp;DYN_ARGS=TRUE&amp;DOC_NAME=FAT:FQL_AUDITING_CLIENT_TEMPLATE.FAT&amp;display_string=Audit&amp;VAR:KEY=VWVKRYHCFE&amp;VAR:QUERY=RkZfRElWX1lMRChBTk4sNC8yMi8xMCw0LzIyLzEwKQ==&amp;WINDOW=FIRST_POPUP&amp;HEIGHT=450&amp;WIDTH=450&amp;","START_MAXIMIZED=FALSE&amp;VAR:CALENDAR=US&amp;VAR:SYMBOL=LO&amp;VAR:INDEX=0"}</definedName>
    <definedName name="_1095">#REF!</definedName>
    <definedName name="_1095__FDSAUDITLINK__" localSheetId="0"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5__FDSAUDITLINK__" hidden="1">{"fdsup://directions/FAT Viewer?action=UPDATE&amp;creator=factset&amp;DYN_ARGS=TRUE&amp;DOC_NAME=FAT:FQL_AUDITING_CLIENT_TEMPLATE.FAT&amp;display_string=Audit&amp;VAR:KEY=ROLMJEFSTK&amp;VAR:QUERY=RkZfRElWX1lMRChBTk4sNC8xNS8xMCw0LzE1LzEwKQ==&amp;WINDOW=FIRST_POPUP&amp;HEIGHT=450&amp;WIDTH=450&amp;","START_MAXIMIZED=FALSE&amp;VAR:CALENDAR=US&amp;VAR:SYMBOL=LO&amp;VAR:INDEX=0"}</definedName>
    <definedName name="_1096">#REF!</definedName>
    <definedName name="_1096__FDSAUDITLINK__" localSheetId="0"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6__FDSAUDITLINK__" hidden="1">{"fdsup://directions/FAT Viewer?action=UPDATE&amp;creator=factset&amp;DYN_ARGS=TRUE&amp;DOC_NAME=FAT:FQL_AUDITING_CLIENT_TEMPLATE.FAT&amp;display_string=Audit&amp;VAR:KEY=DOPMNILCRI&amp;VAR:QUERY=RkZfRElWX1lMRChBTk4sNC8wOC8xMCw0LzA4LzEwKQ==&amp;WINDOW=FIRST_POPUP&amp;HEIGHT=450&amp;WIDTH=450&amp;","START_MAXIMIZED=FALSE&amp;VAR:CALENDAR=US&amp;VAR:SYMBOL=LO&amp;VAR:INDEX=0"}</definedName>
    <definedName name="_1097">#REF!</definedName>
    <definedName name="_1097__FDSAUDITLINK__" localSheetId="0"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7__FDSAUDITLINK__" hidden="1">{"fdsup://directions/FAT Viewer?action=UPDATE&amp;creator=factset&amp;DYN_ARGS=TRUE&amp;DOC_NAME=FAT:FQL_AUDITING_CLIENT_TEMPLATE.FAT&amp;display_string=Audit&amp;VAR:KEY=PWHMXSNIVG&amp;VAR:QUERY=RkZfRElWX1lMRChBTk4sNC8wMS8xMCw0LzAxLzEwKQ==&amp;WINDOW=FIRST_POPUP&amp;HEIGHT=450&amp;WIDTH=450&amp;","START_MAXIMIZED=FALSE&amp;VAR:CALENDAR=US&amp;VAR:SYMBOL=LO&amp;VAR:INDEX=0"}</definedName>
    <definedName name="_1098">#REF!</definedName>
    <definedName name="_1098__FDSAUDITLINK__" localSheetId="0"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8__FDSAUDITLINK__" hidden="1">{"fdsup://directions/FAT Viewer?action=UPDATE&amp;creator=factset&amp;DYN_ARGS=TRUE&amp;DOC_NAME=FAT:FQL_AUDITING_CLIENT_TEMPLATE.FAT&amp;display_string=Audit&amp;VAR:KEY=XELAVQTYPA&amp;VAR:QUERY=RkZfRElWX1lMRChBTk4sMy8yNS8xMCwzLzI1LzEwKQ==&amp;WINDOW=FIRST_POPUP&amp;HEIGHT=450&amp;WIDTH=450&amp;","START_MAXIMIZED=FALSE&amp;VAR:CALENDAR=US&amp;VAR:SYMBOL=LO&amp;VAR:INDEX=0"}</definedName>
    <definedName name="_1099">#REF!</definedName>
    <definedName name="_1099__FDSAUDITLINK__" localSheetId="0"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9__FDSAUDITLINK__" hidden="1">{"fdsup://directions/FAT Viewer?action=UPDATE&amp;creator=factset&amp;DYN_ARGS=TRUE&amp;DOC_NAME=FAT:FQL_AUDITING_CLIENT_TEMPLATE.FAT&amp;display_string=Audit&amp;VAR:KEY=DMNKDCBSTE&amp;VAR:QUERY=RkZfRElWX1lMRChBTk4sMy8xOC8xMCwzLzE4LzEwKQ==&amp;WINDOW=FIRST_POPUP&amp;HEIGHT=450&amp;WIDTH=450&amp;","START_MAXIMIZED=FALSE&amp;VAR:CALENDAR=US&amp;VAR:SYMBOL=LO&amp;VAR:INDEX=0"}</definedName>
    <definedName name="_109s14_" hidden="1">{#N/A,#N/A,FALSE,"UNIT";#N/A,#N/A,FALSE,"UNIT";#N/A,#N/A,FALSE,"계정"}</definedName>
    <definedName name="_10lkjdsf">#REF!</definedName>
    <definedName name="_10main_form_account_grants_list_12_j_id1022">#REF!</definedName>
    <definedName name="_10s12_" hidden="1">{#N/A,#N/A,FALSE,"UNIT";#N/A,#N/A,FALSE,"UNIT";#N/A,#N/A,FALSE,"계정"}</definedName>
    <definedName name="_10s14_" hidden="1">{#N/A,#N/A,FALSE,"UNIT";#N/A,#N/A,FALSE,"UNIT";#N/A,#N/A,FALSE,"계정"}</definedName>
    <definedName name="_10s16_" hidden="1">{#N/A,#N/A,FALSE,"UNIT";#N/A,#N/A,FALSE,"UNIT";#N/A,#N/A,FALSE,"계정"}</definedName>
    <definedName name="_10T1">#REF!</definedName>
    <definedName name="_10T2">#REF!</definedName>
    <definedName name="_10Table2_">#REF!</definedName>
    <definedName name="_11">#REF!</definedName>
    <definedName name="_11___________NOTE8_9">#REF!</definedName>
    <definedName name="_11__123Graph_ACHART_112" hidden="1">#REF!</definedName>
    <definedName name="_11__123Graph_ACHART_3">#REF!</definedName>
    <definedName name="_11__123Graph_AChart_3I">#REF!</definedName>
    <definedName name="_11__123Graph_ACONTRACT_BY_B_U">#REF!</definedName>
    <definedName name="_11__123Graph_AQRE_S_BY_CO.">#REF!</definedName>
    <definedName name="_11__123Graph_ATAX_CREDIT">#REF!</definedName>
    <definedName name="_11__123Graph_AWAGES_BY_B_U">#REF!</definedName>
    <definedName name="_11__123Graph_BCHART_3">#REF!</definedName>
    <definedName name="_11__123Graph_BQRE_S_BY_CO." hidden="1">#REF!</definedName>
    <definedName name="_11__123Graph_BSENS_COMPARISON">#REF!</definedName>
    <definedName name="_11__123Graph_BSUPPLIES_BY_B_U">#REF!</definedName>
    <definedName name="_11__123Graph_BTAX_CREDIT">#REF!</definedName>
    <definedName name="_11__123Graph_XSALES_PERIOD" hidden="1">#REF!</definedName>
    <definedName name="_11__FDSAUDITLINK__" localSheetId="0"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_FDSAUDITLINK__" hidden="1">{"fdsup://directions/FAT Viewer?action=UPDATE&amp;creator=factset&amp;DYN_ARGS=TRUE&amp;DOC_NAME=FAT:FQL_AUDITING_CLIENT_TEMPLATE.FAT&amp;display_string=Audit&amp;VAR:KEY=KFAXWJKZOT&amp;VAR:QUERY=Q1NGX0RJVl9ZTEQoUVRSX1IsNi8zMC8yMDA4KQ==&amp;WINDOW=FIRST_POPUP&amp;HEIGHT=450&amp;WIDTH=450&amp;STAR","T_MAXIMIZED=FALSE&amp;VAR:CALENDAR=US&amp;VAR:SYMBOL=MO&amp;VAR:INDEX=0"}</definedName>
    <definedName name="_11_0_0_MatInverse" hidden="1">#REF!</definedName>
    <definedName name="_11_0_0PLANJBM">#REF!</definedName>
    <definedName name="_11_0_Table2_" hidden="1">#REF!</definedName>
    <definedName name="_11_03_1999">#REF!</definedName>
    <definedName name="_11_09_1999">#REF!</definedName>
    <definedName name="_110__123Graph_XCHART_1">#REF!</definedName>
    <definedName name="_110__FDSAUDITLINK__" localSheetId="0"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__FDSAUDITLINK__" hidden="1">{"fdsup://directions/FAT Viewer?action=UPDATE&amp;creator=factset&amp;DYN_ARGS=TRUE&amp;DOC_NAME=FAT:FQL_AUDITING_CLIENT_TEMPLATE.FAT&amp;display_string=Audit&amp;VAR:KEY=BGJGDINSNW&amp;VAR:QUERY=RkZfRElWX1lMRChBTk4sMi8yNi8wOSwyLzI2LzA5KQ==&amp;WINDOW=FIRST_POPUP&amp;HEIGHT=450&amp;WIDTH=450&amp;","START_MAXIMIZED=FALSE&amp;VAR:CALENDAR=US&amp;VAR:SYMBOL=RAI&amp;VAR:INDEX=0"}</definedName>
    <definedName name="_1100">#REF!</definedName>
    <definedName name="_1100__FDSAUDITLINK__" localSheetId="0"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__FDSAUDITLINK__" hidden="1">{"fdsup://directions/FAT Viewer?action=UPDATE&amp;creator=factset&amp;DYN_ARGS=TRUE&amp;DOC_NAME=FAT:FQL_AUDITING_CLIENT_TEMPLATE.FAT&amp;display_string=Audit&amp;VAR:KEY=XGXCRCFIZY&amp;VAR:QUERY=RkZfRElWX1lMRChBTk4sMy8xMS8xMCwzLzExLzEwKQ==&amp;WINDOW=FIRST_POPUP&amp;HEIGHT=450&amp;WIDTH=450&amp;","START_MAXIMIZED=FALSE&amp;VAR:CALENDAR=US&amp;VAR:SYMBOL=LO&amp;VAR:INDEX=0"}</definedName>
    <definedName name="_110002A">#REF!</definedName>
    <definedName name="_1101">#REF!</definedName>
    <definedName name="_1101__FDSAUDITLINK__" localSheetId="0"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1__FDSAUDITLINK__" hidden="1">{"fdsup://directions/FAT Viewer?action=UPDATE&amp;creator=factset&amp;DYN_ARGS=TRUE&amp;DOC_NAME=FAT:FQL_AUDITING_CLIENT_TEMPLATE.FAT&amp;display_string=Audit&amp;VAR:KEY=HADURYLGBU&amp;VAR:QUERY=RkZfRElWX1lMRChBTk4sMy8wNC8xMCwzLzA0LzEwKQ==&amp;WINDOW=FIRST_POPUP&amp;HEIGHT=450&amp;WIDTH=450&amp;","START_MAXIMIZED=FALSE&amp;VAR:CALENDAR=US&amp;VAR:SYMBOL=LO&amp;VAR:INDEX=0"}</definedName>
    <definedName name="_1102">#REF!</definedName>
    <definedName name="_1102__FDSAUDITLINK__" localSheetId="0"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2__FDSAUDITLINK__" hidden="1">{"fdsup://directions/FAT Viewer?action=UPDATE&amp;creator=factset&amp;DYN_ARGS=TRUE&amp;DOC_NAME=FAT:FQL_AUDITING_CLIENT_TEMPLATE.FAT&amp;display_string=Audit&amp;VAR:KEY=FONYJETQJW&amp;VAR:QUERY=RkZfRElWX1lMRChBTk4sMi8yNS8xMCwyLzI1LzEwKQ==&amp;WINDOW=FIRST_POPUP&amp;HEIGHT=450&amp;WIDTH=450&amp;","START_MAXIMIZED=FALSE&amp;VAR:CALENDAR=US&amp;VAR:SYMBOL=LO&amp;VAR:INDEX=0"}</definedName>
    <definedName name="_1103">#REF!</definedName>
    <definedName name="_1103__FDSAUDITLINK__" localSheetId="0"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3__FDSAUDITLINK__" hidden="1">{"fdsup://directions/FAT Viewer?action=UPDATE&amp;creator=factset&amp;DYN_ARGS=TRUE&amp;DOC_NAME=FAT:FQL_AUDITING_CLIENT_TEMPLATE.FAT&amp;display_string=Audit&amp;VAR:KEY=XCVAVUVYZO&amp;VAR:QUERY=RkZfRElWX1lMRChBTk4sMi8xOC8xMCwyLzE4LzEwKQ==&amp;WINDOW=FIRST_POPUP&amp;HEIGHT=450&amp;WIDTH=450&amp;","START_MAXIMIZED=FALSE&amp;VAR:CALENDAR=US&amp;VAR:SYMBOL=LO&amp;VAR:INDEX=0"}</definedName>
    <definedName name="_1104">#REF!</definedName>
    <definedName name="_1104__FDSAUDITLINK__" localSheetId="0"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4__FDSAUDITLINK__" hidden="1">{"fdsup://directions/FAT Viewer?action=UPDATE&amp;creator=factset&amp;DYN_ARGS=TRUE&amp;DOC_NAME=FAT:FQL_AUDITING_CLIENT_TEMPLATE.FAT&amp;display_string=Audit&amp;VAR:KEY=FMVYXOTKRQ&amp;VAR:QUERY=RkZfRElWX1lMRChBTk4sMi8xMS8xMCwyLzExLzEwKQ==&amp;WINDOW=FIRST_POPUP&amp;HEIGHT=450&amp;WIDTH=450&amp;","START_MAXIMIZED=FALSE&amp;VAR:CALENDAR=US&amp;VAR:SYMBOL=LO&amp;VAR:INDEX=0"}</definedName>
    <definedName name="_1105">#REF!</definedName>
    <definedName name="_1105__FDSAUDITLINK__" localSheetId="0"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5__FDSAUDITLINK__" hidden="1">{"fdsup://directions/FAT Viewer?action=UPDATE&amp;creator=factset&amp;DYN_ARGS=TRUE&amp;DOC_NAME=FAT:FQL_AUDITING_CLIENT_TEMPLATE.FAT&amp;display_string=Audit&amp;VAR:KEY=TQXMHARABG&amp;VAR:QUERY=RkZfRElWX1lMRChBTk4sMi8wNC8xMCwyLzA0LzEwKQ==&amp;WINDOW=FIRST_POPUP&amp;HEIGHT=450&amp;WIDTH=450&amp;","START_MAXIMIZED=FALSE&amp;VAR:CALENDAR=US&amp;VAR:SYMBOL=LO&amp;VAR:INDEX=0"}</definedName>
    <definedName name="_1106">#REF!</definedName>
    <definedName name="_1106__FDSAUDITLINK__" localSheetId="0"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6__FDSAUDITLINK__" hidden="1">{"fdsup://directions/FAT Viewer?action=UPDATE&amp;creator=factset&amp;DYN_ARGS=TRUE&amp;DOC_NAME=FAT:FQL_AUDITING_CLIENT_TEMPLATE.FAT&amp;display_string=Audit&amp;VAR:KEY=JSBSXUPIHG&amp;VAR:QUERY=RkZfRElWX1lMRChBTk4sMS8yOC8xMCwxLzI4LzEwKQ==&amp;WINDOW=FIRST_POPUP&amp;HEIGHT=450&amp;WIDTH=450&amp;","START_MAXIMIZED=FALSE&amp;VAR:CALENDAR=US&amp;VAR:SYMBOL=LO&amp;VAR:INDEX=0"}</definedName>
    <definedName name="_1107">#REF!</definedName>
    <definedName name="_1107__FDSAUDITLINK__" localSheetId="0"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7__FDSAUDITLINK__" hidden="1">{"fdsup://directions/FAT Viewer?action=UPDATE&amp;creator=factset&amp;DYN_ARGS=TRUE&amp;DOC_NAME=FAT:FQL_AUDITING_CLIENT_TEMPLATE.FAT&amp;display_string=Audit&amp;VAR:KEY=PAPORGHMBM&amp;VAR:QUERY=RkZfRElWX1lMRChBTk4sMS8yMS8xMCwxLzIxLzEwKQ==&amp;WINDOW=FIRST_POPUP&amp;HEIGHT=450&amp;WIDTH=450&amp;","START_MAXIMIZED=FALSE&amp;VAR:CALENDAR=US&amp;VAR:SYMBOL=LO&amp;VAR:INDEX=0"}</definedName>
    <definedName name="_1108">#REF!</definedName>
    <definedName name="_1108__FDSAUDITLINK__" localSheetId="0"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8__FDSAUDITLINK__" hidden="1">{"fdsup://directions/FAT Viewer?action=UPDATE&amp;creator=factset&amp;DYN_ARGS=TRUE&amp;DOC_NAME=FAT:FQL_AUDITING_CLIENT_TEMPLATE.FAT&amp;display_string=Audit&amp;VAR:KEY=RKTOJCTQDG&amp;VAR:QUERY=RkZfRElWX1lMRChBTk4sMS8xNC8xMCwxLzE0LzEwKQ==&amp;WINDOW=FIRST_POPUP&amp;HEIGHT=450&amp;WIDTH=450&amp;","START_MAXIMIZED=FALSE&amp;VAR:CALENDAR=US&amp;VAR:SYMBOL=LO&amp;VAR:INDEX=0"}</definedName>
    <definedName name="_1109">#REF!</definedName>
    <definedName name="_1109__FDSAUDITLINK__" localSheetId="0"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9__FDSAUDITLINK__" hidden="1">{"fdsup://directions/FAT Viewer?action=UPDATE&amp;creator=factset&amp;DYN_ARGS=TRUE&amp;DOC_NAME=FAT:FQL_AUDITING_CLIENT_TEMPLATE.FAT&amp;display_string=Audit&amp;VAR:KEY=REZMJCXUBS&amp;VAR:QUERY=RkZfRElWX1lMRChBTk4sMS8wNy8xMCwxLzA3LzEwKQ==&amp;WINDOW=FIRST_POPUP&amp;HEIGHT=450&amp;WIDTH=450&amp;","START_MAXIMIZED=FALSE&amp;VAR:CALENDAR=US&amp;VAR:SYMBOL=LO&amp;VAR:INDEX=0"}</definedName>
    <definedName name="_110s16_" hidden="1">{#N/A,#N/A,FALSE,"UNIT";#N/A,#N/A,FALSE,"UNIT";#N/A,#N/A,FALSE,"계정"}</definedName>
    <definedName name="_111">#REF!</definedName>
    <definedName name="_111__123Graph_ECONTRACT_BY_B_U">#REF!</definedName>
    <definedName name="_111__FDSAUDITLINK__" localSheetId="0"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__FDSAUDITLINK__" hidden="1">{"fdsup://directions/FAT Viewer?action=UPDATE&amp;creator=factset&amp;DYN_ARGS=TRUE&amp;DOC_NAME=FAT:FQL_AUDITING_CLIENT_TEMPLATE.FAT&amp;display_string=Audit&amp;VAR:KEY=ZEJQJADWNQ&amp;VAR:QUERY=RkZfRElWX1lMRChBTk4sMi8xOS8wOSwyLzE5LzA5KQ==&amp;WINDOW=FIRST_POPUP&amp;HEIGHT=450&amp;WIDTH=450&amp;","START_MAXIMIZED=FALSE&amp;VAR:CALENDAR=US&amp;VAR:SYMBOL=RAI&amp;VAR:INDEX=0"}</definedName>
    <definedName name="_1110">#REF!</definedName>
    <definedName name="_1110__FDSAUDITLINK__" localSheetId="0"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0__FDSAUDITLINK__" hidden="1">{"fdsup://directions/FAT Viewer?action=UPDATE&amp;creator=factset&amp;DYN_ARGS=TRUE&amp;DOC_NAME=FAT:FQL_AUDITING_CLIENT_TEMPLATE.FAT&amp;display_string=Audit&amp;VAR:KEY=RAZYTWFMZA&amp;VAR:QUERY=RkZfRElWX1lMRChBTk4sMTIvMzEvMDksMTIvMzEvMDkp&amp;WINDOW=FIRST_POPUP&amp;HEIGHT=450&amp;WIDTH=450&amp;","START_MAXIMIZED=FALSE&amp;VAR:CALENDAR=US&amp;VAR:SYMBOL=LO&amp;VAR:INDEX=0"}</definedName>
    <definedName name="_1111">#REF!</definedName>
    <definedName name="_1111__FDSAUDITLINK__" localSheetId="0"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1__FDSAUDITLINK__" hidden="1">{"fdsup://directions/FAT Viewer?action=UPDATE&amp;creator=factset&amp;DYN_ARGS=TRUE&amp;DOC_NAME=FAT:FQL_AUDITING_CLIENT_TEMPLATE.FAT&amp;display_string=Audit&amp;VAR:KEY=RKRMJWVGNS&amp;VAR:QUERY=RkZfRElWX1lMRChBTk4sMTIvMjQvMDksMTIvMjQvMDkp&amp;WINDOW=FIRST_POPUP&amp;HEIGHT=450&amp;WIDTH=450&amp;","START_MAXIMIZED=FALSE&amp;VAR:CALENDAR=US&amp;VAR:SYMBOL=LO&amp;VAR:INDEX=0"}</definedName>
    <definedName name="_1112">#REF!</definedName>
    <definedName name="_1112__FDSAUDITLINK__" localSheetId="0"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2__FDSAUDITLINK__" hidden="1">{"fdsup://directions/FAT Viewer?action=UPDATE&amp;creator=factset&amp;DYN_ARGS=TRUE&amp;DOC_NAME=FAT:FQL_AUDITING_CLIENT_TEMPLATE.FAT&amp;display_string=Audit&amp;VAR:KEY=BIHIFWVGZS&amp;VAR:QUERY=RkZfRElWX1lMRChBTk4sMTIvMTcvMDksMTIvMTcvMDkp&amp;WINDOW=FIRST_POPUP&amp;HEIGHT=450&amp;WIDTH=450&amp;","START_MAXIMIZED=FALSE&amp;VAR:CALENDAR=US&amp;VAR:SYMBOL=LO&amp;VAR:INDEX=0"}</definedName>
    <definedName name="_1113__FDSAUDITLINK__" localSheetId="0"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3__FDSAUDITLINK__" hidden="1">{"fdsup://directions/FAT Viewer?action=UPDATE&amp;creator=factset&amp;DYN_ARGS=TRUE&amp;DOC_NAME=FAT:FQL_AUDITING_CLIENT_TEMPLATE.FAT&amp;display_string=Audit&amp;VAR:KEY=XSVWVKZMNW&amp;VAR:QUERY=RkZfRElWX1lMRChBTk4sMTIvMTAvMDksMTIvMTAvMDkp&amp;WINDOW=FIRST_POPUP&amp;HEIGHT=450&amp;WIDTH=450&amp;","START_MAXIMIZED=FALSE&amp;VAR:CALENDAR=US&amp;VAR:SYMBOL=LO&amp;VAR:INDEX=0"}</definedName>
    <definedName name="_1114">#REF!</definedName>
    <definedName name="_1114__FDSAUDITLINK__" localSheetId="0"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4__FDSAUDITLINK__" hidden="1">{"fdsup://directions/FAT Viewer?action=UPDATE&amp;creator=factset&amp;DYN_ARGS=TRUE&amp;DOC_NAME=FAT:FQL_AUDITING_CLIENT_TEMPLATE.FAT&amp;display_string=Audit&amp;VAR:KEY=LGREBEDMJC&amp;VAR:QUERY=RkZfRElWX1lMRChBTk4sMTIvMDMvMDksMTIvMDMvMDkp&amp;WINDOW=FIRST_POPUP&amp;HEIGHT=450&amp;WIDTH=450&amp;","START_MAXIMIZED=FALSE&amp;VAR:CALENDAR=US&amp;VAR:SYMBOL=LO&amp;VAR:INDEX=0"}</definedName>
    <definedName name="_1115__FDSAUDITLINK__" localSheetId="0"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5__FDSAUDITLINK__" hidden="1">{"fdsup://directions/FAT Viewer?action=UPDATE&amp;creator=factset&amp;DYN_ARGS=TRUE&amp;DOC_NAME=FAT:FQL_AUDITING_CLIENT_TEMPLATE.FAT&amp;display_string=Audit&amp;VAR:KEY=BUXMXGXIZI&amp;VAR:QUERY=RkZfRElWX1lMRChBTk4sMTEvMjUvMDksMTEvMjUvMDkp&amp;WINDOW=FIRST_POPUP&amp;HEIGHT=450&amp;WIDTH=450&amp;","START_MAXIMIZED=FALSE&amp;VAR:CALENDAR=US&amp;VAR:SYMBOL=LO&amp;VAR:INDEX=0"}</definedName>
    <definedName name="_1116__FDSAUDITLINK__" localSheetId="0"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6__FDSAUDITLINK__" hidden="1">{"fdsup://directions/FAT Viewer?action=UPDATE&amp;creator=factset&amp;DYN_ARGS=TRUE&amp;DOC_NAME=FAT:FQL_AUDITING_CLIENT_TEMPLATE.FAT&amp;display_string=Audit&amp;VAR:KEY=VCZSBUFSHO&amp;VAR:QUERY=RkZfRElWX1lMRChBTk4sMTEvMTkvMDksMTEvMTkvMDkp&amp;WINDOW=FIRST_POPUP&amp;HEIGHT=450&amp;WIDTH=450&amp;","START_MAXIMIZED=FALSE&amp;VAR:CALENDAR=US&amp;VAR:SYMBOL=LO&amp;VAR:INDEX=0"}</definedName>
    <definedName name="_1117__FDSAUDITLINK__" localSheetId="0"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7__FDSAUDITLINK__" hidden="1">{"fdsup://directions/FAT Viewer?action=UPDATE&amp;creator=factset&amp;DYN_ARGS=TRUE&amp;DOC_NAME=FAT:FQL_AUDITING_CLIENT_TEMPLATE.FAT&amp;display_string=Audit&amp;VAR:KEY=TWZMBYHCXC&amp;VAR:QUERY=RkZfRElWX1lMRChBTk4sMTEvMTIvMDksMTEvMTIvMDkp&amp;WINDOW=FIRST_POPUP&amp;HEIGHT=450&amp;WIDTH=450&amp;","START_MAXIMIZED=FALSE&amp;VAR:CALENDAR=US&amp;VAR:SYMBOL=LO&amp;VAR:INDEX=0"}</definedName>
    <definedName name="_1118__FDSAUDITLINK__" localSheetId="0"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8__FDSAUDITLINK__" hidden="1">{"fdsup://directions/FAT Viewer?action=UPDATE&amp;creator=factset&amp;DYN_ARGS=TRUE&amp;DOC_NAME=FAT:FQL_AUDITING_CLIENT_TEMPLATE.FAT&amp;display_string=Audit&amp;VAR:KEY=VKPKXYZODY&amp;VAR:QUERY=RkZfRElWX1lMRChBTk4sMTEvMDUvMDksMTEvMDUvMDkp&amp;WINDOW=FIRST_POPUP&amp;HEIGHT=450&amp;WIDTH=450&amp;","START_MAXIMIZED=FALSE&amp;VAR:CALENDAR=US&amp;VAR:SYMBOL=LO&amp;VAR:INDEX=0"}</definedName>
    <definedName name="_1119">#REF!</definedName>
    <definedName name="_1119__FDSAUDITLINK__" localSheetId="0"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9__FDSAUDITLINK__" hidden="1">{"fdsup://directions/FAT Viewer?action=UPDATE&amp;creator=factset&amp;DYN_ARGS=TRUE&amp;DOC_NAME=FAT:FQL_AUDITING_CLIENT_TEMPLATE.FAT&amp;display_string=Audit&amp;VAR:KEY=POZADSVSPS&amp;VAR:QUERY=RkZfRElWX1lMRChBTk4sMTAvMjkvMDksMTAvMjkvMDkp&amp;WINDOW=FIRST_POPUP&amp;HEIGHT=450&amp;WIDTH=450&amp;","START_MAXIMIZED=FALSE&amp;VAR:CALENDAR=US&amp;VAR:SYMBOL=LO&amp;VAR:INDEX=0"}</definedName>
    <definedName name="_111s17_" hidden="1">{#N/A,#N/A,FALSE,"UNIT";#N/A,#N/A,FALSE,"UNIT";#N/A,#N/A,FALSE,"계정"}</definedName>
    <definedName name="_112">#REF!</definedName>
    <definedName name="_112__123Graph_FSUPPLIES_BY_B_U">#REF!</definedName>
    <definedName name="_112__FDSAUDITLINK__" localSheetId="0"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__FDSAUDITLINK__" hidden="1">{"fdsup://directions/FAT Viewer?action=UPDATE&amp;creator=factset&amp;DYN_ARGS=TRUE&amp;DOC_NAME=FAT:FQL_AUDITING_CLIENT_TEMPLATE.FAT&amp;display_string=Audit&amp;VAR:KEY=HIPKRQBWNK&amp;VAR:QUERY=RkZfRElWX1lMRChBTk4sMi8xMi8wOSwyLzEyLzA5KQ==&amp;WINDOW=FIRST_POPUP&amp;HEIGHT=450&amp;WIDTH=450&amp;","START_MAXIMIZED=FALSE&amp;VAR:CALENDAR=US&amp;VAR:SYMBOL=RAI&amp;VAR:INDEX=0"}</definedName>
    <definedName name="_1120__FDSAUDITLINK__" localSheetId="0"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0__FDSAUDITLINK__" hidden="1">{"fdsup://directions/FAT Viewer?action=UPDATE&amp;creator=factset&amp;DYN_ARGS=TRUE&amp;DOC_NAME=FAT:FQL_AUDITING_CLIENT_TEMPLATE.FAT&amp;display_string=Audit&amp;VAR:KEY=XYDMLOBMJM&amp;VAR:QUERY=RkZfRElWX1lMRChBTk4sMTAvMjIvMDksMTAvMjIvMDkp&amp;WINDOW=FIRST_POPUP&amp;HEIGHT=450&amp;WIDTH=450&amp;","START_MAXIMIZED=FALSE&amp;VAR:CALENDAR=US&amp;VAR:SYMBOL=LO&amp;VAR:INDEX=0"}</definedName>
    <definedName name="_1121__FDSAUDITLINK__" localSheetId="0"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1__FDSAUDITLINK__" hidden="1">{"fdsup://directions/FAT Viewer?action=UPDATE&amp;creator=factset&amp;DYN_ARGS=TRUE&amp;DOC_NAME=FAT:FQL_AUDITING_CLIENT_TEMPLATE.FAT&amp;display_string=Audit&amp;VAR:KEY=ZIVMFYRGHQ&amp;VAR:QUERY=RkZfRElWX1lMRChBTk4sMTAvMTUvMDksMTAvMTUvMDkp&amp;WINDOW=FIRST_POPUP&amp;HEIGHT=450&amp;WIDTH=450&amp;","START_MAXIMIZED=FALSE&amp;VAR:CALENDAR=US&amp;VAR:SYMBOL=LO&amp;VAR:INDEX=0"}</definedName>
    <definedName name="_1122__FDSAUDITLINK__" localSheetId="0"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2__FDSAUDITLINK__" hidden="1">{"fdsup://directions/FAT Viewer?action=UPDATE&amp;creator=factset&amp;DYN_ARGS=TRUE&amp;DOC_NAME=FAT:FQL_AUDITING_CLIENT_TEMPLATE.FAT&amp;display_string=Audit&amp;VAR:KEY=VWHELWHWVY&amp;VAR:QUERY=RkZfRElWX1lMRChBTk4sMTAvMDgvMDksMTAvMDgvMDkp&amp;WINDOW=FIRST_POPUP&amp;HEIGHT=450&amp;WIDTH=450&amp;","START_MAXIMIZED=FALSE&amp;VAR:CALENDAR=US&amp;VAR:SYMBOL=LO&amp;VAR:INDEX=0"}</definedName>
    <definedName name="_1123__FDSAUDITLINK__" localSheetId="0"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3__FDSAUDITLINK__" hidden="1">{"fdsup://directions/FAT Viewer?action=UPDATE&amp;creator=factset&amp;DYN_ARGS=TRUE&amp;DOC_NAME=FAT:FQL_AUDITING_CLIENT_TEMPLATE.FAT&amp;display_string=Audit&amp;VAR:KEY=LYBQHYHMVQ&amp;VAR:QUERY=RkZfRElWX1lMRChBTk4sMTAvMDEvMDksMTAvMDEvMDkp&amp;WINDOW=FIRST_POPUP&amp;HEIGHT=450&amp;WIDTH=450&amp;","START_MAXIMIZED=FALSE&amp;VAR:CALENDAR=US&amp;VAR:SYMBOL=LO&amp;VAR:INDEX=0"}</definedName>
    <definedName name="_1124__FDSAUDITLINK__" localSheetId="0"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4__FDSAUDITLINK__" hidden="1">{"fdsup://directions/FAT Viewer?action=UPDATE&amp;creator=factset&amp;DYN_ARGS=TRUE&amp;DOC_NAME=FAT:FQL_AUDITING_CLIENT_TEMPLATE.FAT&amp;display_string=Audit&amp;VAR:KEY=BKVKXQTIZS&amp;VAR:QUERY=RkZfRElWX1lMRChBTk4sOS8yNC8wOSw5LzI0LzA5KQ==&amp;WINDOW=FIRST_POPUP&amp;HEIGHT=450&amp;WIDTH=450&amp;","START_MAXIMIZED=FALSE&amp;VAR:CALENDAR=US&amp;VAR:SYMBOL=LO&amp;VAR:INDEX=0"}</definedName>
    <definedName name="_1125__FDSAUDITLINK__" localSheetId="0"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5__FDSAUDITLINK__" hidden="1">{"fdsup://directions/FAT Viewer?action=UPDATE&amp;creator=factset&amp;DYN_ARGS=TRUE&amp;DOC_NAME=FAT:FQL_AUDITING_CLIENT_TEMPLATE.FAT&amp;display_string=Audit&amp;VAR:KEY=XGLYNSFMNM&amp;VAR:QUERY=RkZfRElWX1lMRChBTk4sOS8xNy8wOSw5LzE3LzA5KQ==&amp;WINDOW=FIRST_POPUP&amp;HEIGHT=450&amp;WIDTH=450&amp;","START_MAXIMIZED=FALSE&amp;VAR:CALENDAR=US&amp;VAR:SYMBOL=LO&amp;VAR:INDEX=0"}</definedName>
    <definedName name="_1126__FDSAUDITLINK__" localSheetId="0"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6__FDSAUDITLINK__" hidden="1">{"fdsup://directions/FAT Viewer?action=UPDATE&amp;creator=factset&amp;DYN_ARGS=TRUE&amp;DOC_NAME=FAT:FQL_AUDITING_CLIENT_TEMPLATE.FAT&amp;display_string=Audit&amp;VAR:KEY=XEDKXSLMBO&amp;VAR:QUERY=RkZfRElWX1lMRChBTk4sOS8xMC8wOSw5LzEwLzA5KQ==&amp;WINDOW=FIRST_POPUP&amp;HEIGHT=450&amp;WIDTH=450&amp;","START_MAXIMIZED=FALSE&amp;VAR:CALENDAR=US&amp;VAR:SYMBOL=LO&amp;VAR:INDEX=0"}</definedName>
    <definedName name="_1127">#REF!</definedName>
    <definedName name="_1127__FDSAUDITLINK__" localSheetId="0"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7__FDSAUDITLINK__" hidden="1">{"fdsup://directions/FAT Viewer?action=UPDATE&amp;creator=factset&amp;DYN_ARGS=TRUE&amp;DOC_NAME=FAT:FQL_AUDITING_CLIENT_TEMPLATE.FAT&amp;display_string=Audit&amp;VAR:KEY=BEXEHKDCFQ&amp;VAR:QUERY=RkZfRElWX1lMRChBTk4sOS8wMy8wOSw5LzAzLzA5KQ==&amp;WINDOW=FIRST_POPUP&amp;HEIGHT=450&amp;WIDTH=450&amp;","START_MAXIMIZED=FALSE&amp;VAR:CALENDAR=US&amp;VAR:SYMBOL=LO&amp;VAR:INDEX=0"}</definedName>
    <definedName name="_1128__FDSAUDITLINK__" localSheetId="0"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8__FDSAUDITLINK__" hidden="1">{"fdsup://directions/FAT Viewer?action=UPDATE&amp;creator=factset&amp;DYN_ARGS=TRUE&amp;DOC_NAME=FAT:FQL_AUDITING_CLIENT_TEMPLATE.FAT&amp;display_string=Audit&amp;VAR:KEY=PMXQFSLYTW&amp;VAR:QUERY=RkZfRElWX1lMRChBTk4sOC8yNy8wOSw4LzI3LzA5KQ==&amp;WINDOW=FIRST_POPUP&amp;HEIGHT=450&amp;WIDTH=450&amp;","START_MAXIMIZED=FALSE&amp;VAR:CALENDAR=US&amp;VAR:SYMBOL=LO&amp;VAR:INDEX=0"}</definedName>
    <definedName name="_1129__FDSAUDITLINK__" localSheetId="0"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9__FDSAUDITLINK__" hidden="1">{"fdsup://directions/FAT Viewer?action=UPDATE&amp;creator=factset&amp;DYN_ARGS=TRUE&amp;DOC_NAME=FAT:FQL_AUDITING_CLIENT_TEMPLATE.FAT&amp;display_string=Audit&amp;VAR:KEY=JCHMLIHKPA&amp;VAR:QUERY=RkZfRElWX1lMRChBTk4sOC8yMC8wOSw4LzIwLzA5KQ==&amp;WINDOW=FIRST_POPUP&amp;HEIGHT=450&amp;WIDTH=450&amp;","START_MAXIMIZED=FALSE&amp;VAR:CALENDAR=US&amp;VAR:SYMBOL=LO&amp;VAR:INDEX=0"}</definedName>
    <definedName name="_112s2_" hidden="1">{#N/A,#N/A,FALSE,"UNIT";#N/A,#N/A,FALSE,"UNIT";#N/A,#N/A,FALSE,"계정"}</definedName>
    <definedName name="_113">#REF!</definedName>
    <definedName name="_113__FDSAUDITLINK__" localSheetId="0"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__FDSAUDITLINK__" hidden="1">{"fdsup://directions/FAT Viewer?action=UPDATE&amp;creator=factset&amp;DYN_ARGS=TRUE&amp;DOC_NAME=FAT:FQL_AUDITING_CLIENT_TEMPLATE.FAT&amp;display_string=Audit&amp;VAR:KEY=PEJQVMNKXI&amp;VAR:QUERY=RkZfRElWX1lMRChBTk4sMi8wNS8wOSwyLzA1LzA5KQ==&amp;WINDOW=FIRST_POPUP&amp;HEIGHT=450&amp;WIDTH=450&amp;","START_MAXIMIZED=FALSE&amp;VAR:CALENDAR=US&amp;VAR:SYMBOL=RAI&amp;VAR:INDEX=0"}</definedName>
    <definedName name="_1130__FDSAUDITLINK__" localSheetId="0"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0__FDSAUDITLINK__" hidden="1">{"fdsup://directions/FAT Viewer?action=UPDATE&amp;creator=factset&amp;DYN_ARGS=TRUE&amp;DOC_NAME=FAT:FQL_AUDITING_CLIENT_TEMPLATE.FAT&amp;display_string=Audit&amp;VAR:KEY=NYRKBCJCLM&amp;VAR:QUERY=RkZfRElWX1lMRChBTk4sOC8xMy8wOSw4LzEzLzA5KQ==&amp;WINDOW=FIRST_POPUP&amp;HEIGHT=450&amp;WIDTH=450&amp;","START_MAXIMIZED=FALSE&amp;VAR:CALENDAR=US&amp;VAR:SYMBOL=LO&amp;VAR:INDEX=0"}</definedName>
    <definedName name="_1131">#REF!</definedName>
    <definedName name="_1131__FDSAUDITLINK__" localSheetId="0"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1__FDSAUDITLINK__" hidden="1">{"fdsup://directions/FAT Viewer?action=UPDATE&amp;creator=factset&amp;DYN_ARGS=TRUE&amp;DOC_NAME=FAT:FQL_AUDITING_CLIENT_TEMPLATE.FAT&amp;display_string=Audit&amp;VAR:KEY=RWPKJOTOTM&amp;VAR:QUERY=RkZfRElWX1lMRChBTk4sOC8wNi8wOSw4LzA2LzA5KQ==&amp;WINDOW=FIRST_POPUP&amp;HEIGHT=450&amp;WIDTH=450&amp;","START_MAXIMIZED=FALSE&amp;VAR:CALENDAR=US&amp;VAR:SYMBOL=LO&amp;VAR:INDEX=0"}</definedName>
    <definedName name="_1132__FDSAUDITLINK__" localSheetId="0"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2__FDSAUDITLINK__" hidden="1">{"fdsup://directions/FAT Viewer?action=UPDATE&amp;creator=factset&amp;DYN_ARGS=TRUE&amp;DOC_NAME=FAT:FQL_AUDITING_CLIENT_TEMPLATE.FAT&amp;display_string=Audit&amp;VAR:KEY=FUVYFSXWHG&amp;VAR:QUERY=RkZfRElWX1lMRChBTk4sNy8zMC8wOSw3LzMwLzA5KQ==&amp;WINDOW=FIRST_POPUP&amp;HEIGHT=450&amp;WIDTH=450&amp;","START_MAXIMIZED=FALSE&amp;VAR:CALENDAR=US&amp;VAR:SYMBOL=LO&amp;VAR:INDEX=0"}</definedName>
    <definedName name="_1133__FDSAUDITLINK__" localSheetId="0"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3__FDSAUDITLINK__" hidden="1">{"fdsup://directions/FAT Viewer?action=UPDATE&amp;creator=factset&amp;DYN_ARGS=TRUE&amp;DOC_NAME=FAT:FQL_AUDITING_CLIENT_TEMPLATE.FAT&amp;display_string=Audit&amp;VAR:KEY=JGLCFMDWVW&amp;VAR:QUERY=RkZfRElWX1lMRChBTk4sNy8yMy8wOSw3LzIzLzA5KQ==&amp;WINDOW=FIRST_POPUP&amp;HEIGHT=450&amp;WIDTH=450&amp;","START_MAXIMIZED=FALSE&amp;VAR:CALENDAR=US&amp;VAR:SYMBOL=LO&amp;VAR:INDEX=0"}</definedName>
    <definedName name="_1134__FDSAUDITLINK__" localSheetId="0"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4__FDSAUDITLINK__" hidden="1">{"fdsup://directions/FAT Viewer?action=UPDATE&amp;creator=factset&amp;DYN_ARGS=TRUE&amp;DOC_NAME=FAT:FQL_AUDITING_CLIENT_TEMPLATE.FAT&amp;display_string=Audit&amp;VAR:KEY=XCJGFCDOLS&amp;VAR:QUERY=RkZfRElWX1lMRChBTk4sNy8xNi8wOSw3LzE2LzA5KQ==&amp;WINDOW=FIRST_POPUP&amp;HEIGHT=450&amp;WIDTH=450&amp;","START_MAXIMIZED=FALSE&amp;VAR:CALENDAR=US&amp;VAR:SYMBOL=LO&amp;VAR:INDEX=0"}</definedName>
    <definedName name="_1135__FDSAUDITLINK__" localSheetId="0"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5__FDSAUDITLINK__" hidden="1">{"fdsup://directions/FAT Viewer?action=UPDATE&amp;creator=factset&amp;DYN_ARGS=TRUE&amp;DOC_NAME=FAT:FQL_AUDITING_CLIENT_TEMPLATE.FAT&amp;display_string=Audit&amp;VAR:KEY=TEJOPYNKXC&amp;VAR:QUERY=RkZfRElWX1lMRChBTk4sNy8wOS8wOSw3LzA5LzA5KQ==&amp;WINDOW=FIRST_POPUP&amp;HEIGHT=450&amp;WIDTH=450&amp;","START_MAXIMIZED=FALSE&amp;VAR:CALENDAR=US&amp;VAR:SYMBOL=LO&amp;VAR:INDEX=0"}</definedName>
    <definedName name="_1136">#REF!</definedName>
    <definedName name="_1136__FDSAUDITLINK__" localSheetId="0"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6__FDSAUDITLINK__" hidden="1">{"fdsup://directions/FAT Viewer?action=UPDATE&amp;creator=factset&amp;DYN_ARGS=TRUE&amp;DOC_NAME=FAT:FQL_AUDITING_CLIENT_TEMPLATE.FAT&amp;display_string=Audit&amp;VAR:KEY=VUBYZYLUNS&amp;VAR:QUERY=RkZfRElWX1lMRChBTk4sNy8wMi8wOSw3LzAyLzA5KQ==&amp;WINDOW=FIRST_POPUP&amp;HEIGHT=450&amp;WIDTH=450&amp;","START_MAXIMIZED=FALSE&amp;VAR:CALENDAR=US&amp;VAR:SYMBOL=LO&amp;VAR:INDEX=0"}</definedName>
    <definedName name="_1137">#REF!</definedName>
    <definedName name="_1137__FDSAUDITLINK__" localSheetId="0"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7__FDSAUDITLINK__" hidden="1">{"fdsup://directions/FAT Viewer?action=UPDATE&amp;creator=factset&amp;DYN_ARGS=TRUE&amp;DOC_NAME=FAT:FQL_AUDITING_CLIENT_TEMPLATE.FAT&amp;display_string=Audit&amp;VAR:KEY=TAZQJGJSVG&amp;VAR:QUERY=RkZfRElWX1lMRChBTk4sNi8yNS8wOSw2LzI1LzA5KQ==&amp;WINDOW=FIRST_POPUP&amp;HEIGHT=450&amp;WIDTH=450&amp;","START_MAXIMIZED=FALSE&amp;VAR:CALENDAR=US&amp;VAR:SYMBOL=LO&amp;VAR:INDEX=0"}</definedName>
    <definedName name="_1138">#REF!</definedName>
    <definedName name="_1138__FDSAUDITLINK__" localSheetId="0"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8__FDSAUDITLINK__" hidden="1">{"fdsup://directions/FAT Viewer?action=UPDATE&amp;creator=factset&amp;DYN_ARGS=TRUE&amp;DOC_NAME=FAT:FQL_AUDITING_CLIENT_TEMPLATE.FAT&amp;display_string=Audit&amp;VAR:KEY=ZARYRSVSFI&amp;VAR:QUERY=RkZfRElWX1lMRChBTk4sNi8xOC8wOSw2LzE4LzA5KQ==&amp;WINDOW=FIRST_POPUP&amp;HEIGHT=450&amp;WIDTH=450&amp;","START_MAXIMIZED=FALSE&amp;VAR:CALENDAR=US&amp;VAR:SYMBOL=LO&amp;VAR:INDEX=0"}</definedName>
    <definedName name="_1139">#REF!</definedName>
    <definedName name="_1139__FDSAUDITLINK__" localSheetId="0"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9__FDSAUDITLINK__" hidden="1">{"fdsup://directions/FAT Viewer?action=UPDATE&amp;creator=factset&amp;DYN_ARGS=TRUE&amp;DOC_NAME=FAT:FQL_AUDITING_CLIENT_TEMPLATE.FAT&amp;display_string=Audit&amp;VAR:KEY=DIPQNMBMNK&amp;VAR:QUERY=RkZfRElWX1lMRChBTk4sNi8xMS8wOSw2LzExLzA5KQ==&amp;WINDOW=FIRST_POPUP&amp;HEIGHT=450&amp;WIDTH=450&amp;","START_MAXIMIZED=FALSE&amp;VAR:CALENDAR=US&amp;VAR:SYMBOL=LO&amp;VAR:INDEX=0"}</definedName>
    <definedName name="_113s3_" hidden="1">{#N/A,#N/A,FALSE,"UNIT";#N/A,#N/A,FALSE,"UNIT";#N/A,#N/A,FALSE,"계정"}</definedName>
    <definedName name="_114">#REF!</definedName>
    <definedName name="_114__123Graph_DQRE_S_BY_CO.">#REF!</definedName>
    <definedName name="_114__FDSAUDITLINK__" localSheetId="0"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__FDSAUDITLINK__" hidden="1">{"fdsup://directions/FAT Viewer?action=UPDATE&amp;creator=factset&amp;DYN_ARGS=TRUE&amp;DOC_NAME=FAT:FQL_AUDITING_CLIENT_TEMPLATE.FAT&amp;display_string=Audit&amp;VAR:KEY=PIPAXSNUDW&amp;VAR:QUERY=RkZfRElWX1lMRChBTk4sMS8yOS8wOSwxLzI5LzA5KQ==&amp;WINDOW=FIRST_POPUP&amp;HEIGHT=450&amp;WIDTH=450&amp;","START_MAXIMIZED=FALSE&amp;VAR:CALENDAR=US&amp;VAR:SYMBOL=RAI&amp;VAR:INDEX=0"}</definedName>
    <definedName name="_1140">#REF!</definedName>
    <definedName name="_1140__FDSAUDITLINK__" localSheetId="0"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0__FDSAUDITLINK__" hidden="1">{"fdsup://directions/FAT Viewer?action=UPDATE&amp;creator=factset&amp;DYN_ARGS=TRUE&amp;DOC_NAME=FAT:FQL_AUDITING_CLIENT_TEMPLATE.FAT&amp;display_string=Audit&amp;VAR:KEY=VITEDUDGXQ&amp;VAR:QUERY=RkZfRElWX1lMRChBTk4sNi8wNC8wOSw2LzA0LzA5KQ==&amp;WINDOW=FIRST_POPUP&amp;HEIGHT=450&amp;WIDTH=450&amp;","START_MAXIMIZED=FALSE&amp;VAR:CALENDAR=US&amp;VAR:SYMBOL=LO&amp;VAR:INDEX=0"}</definedName>
    <definedName name="_1141">#REF!</definedName>
    <definedName name="_1141__FDSAUDITLINK__" localSheetId="0"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1__FDSAUDITLINK__" hidden="1">{"fdsup://directions/FAT Viewer?action=UPDATE&amp;creator=factset&amp;DYN_ARGS=TRUE&amp;DOC_NAME=FAT:FQL_AUDITING_CLIENT_TEMPLATE.FAT&amp;display_string=Audit&amp;VAR:KEY=PQRAPEHUFM&amp;VAR:QUERY=RkZfRElWX1lMRChBTk4sNS8yOC8wOSw1LzI4LzA5KQ==&amp;WINDOW=FIRST_POPUP&amp;HEIGHT=450&amp;WIDTH=450&amp;","START_MAXIMIZED=FALSE&amp;VAR:CALENDAR=US&amp;VAR:SYMBOL=LO&amp;VAR:INDEX=0"}</definedName>
    <definedName name="_1142">#REF!</definedName>
    <definedName name="_1142__FDSAUDITLINK__" localSheetId="0"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2__FDSAUDITLINK__" hidden="1">{"fdsup://directions/FAT Viewer?action=UPDATE&amp;creator=factset&amp;DYN_ARGS=TRUE&amp;DOC_NAME=FAT:FQL_AUDITING_CLIENT_TEMPLATE.FAT&amp;display_string=Audit&amp;VAR:KEY=ZAJGFAJMXG&amp;VAR:QUERY=RkZfRElWX1lMRChBTk4sNS8yMS8wOSw1LzIxLzA5KQ==&amp;WINDOW=FIRST_POPUP&amp;HEIGHT=450&amp;WIDTH=450&amp;","START_MAXIMIZED=FALSE&amp;VAR:CALENDAR=US&amp;VAR:SYMBOL=LO&amp;VAR:INDEX=0"}</definedName>
    <definedName name="_1143">#REF!</definedName>
    <definedName name="_1143__FDSAUDITLINK__" localSheetId="0"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3__FDSAUDITLINK__" hidden="1">{"fdsup://directions/FAT Viewer?action=UPDATE&amp;creator=factset&amp;DYN_ARGS=TRUE&amp;DOC_NAME=FAT:FQL_AUDITING_CLIENT_TEMPLATE.FAT&amp;display_string=Audit&amp;VAR:KEY=RWFYRCBAZM&amp;VAR:QUERY=RkZfRElWX1lMRChBTk4sNS8xNC8wOSw1LzE0LzA5KQ==&amp;WINDOW=FIRST_POPUP&amp;HEIGHT=450&amp;WIDTH=450&amp;","START_MAXIMIZED=FALSE&amp;VAR:CALENDAR=US&amp;VAR:SYMBOL=LO&amp;VAR:INDEX=0"}</definedName>
    <definedName name="_1144">#REF!</definedName>
    <definedName name="_1144__FDSAUDITLINK__" localSheetId="0"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4__FDSAUDITLINK__" hidden="1">{"fdsup://directions/FAT Viewer?action=UPDATE&amp;creator=factset&amp;DYN_ARGS=TRUE&amp;DOC_NAME=FAT:FQL_AUDITING_CLIENT_TEMPLATE.FAT&amp;display_string=Audit&amp;VAR:KEY=RYBSTQJYDK&amp;VAR:QUERY=RkZfRElWX1lMRChBTk4sNS8wNy8wOSw1LzA3LzA5KQ==&amp;WINDOW=FIRST_POPUP&amp;HEIGHT=450&amp;WIDTH=450&amp;","START_MAXIMIZED=FALSE&amp;VAR:CALENDAR=US&amp;VAR:SYMBOL=LO&amp;VAR:INDEX=0"}</definedName>
    <definedName name="_1145">#REF!</definedName>
    <definedName name="_1145__FDSAUDITLINK__" localSheetId="0"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5__FDSAUDITLINK__" hidden="1">{"fdsup://directions/FAT Viewer?action=UPDATE&amp;creator=factset&amp;DYN_ARGS=TRUE&amp;DOC_NAME=FAT:FQL_AUDITING_CLIENT_TEMPLATE.FAT&amp;display_string=Audit&amp;VAR:KEY=VIJODWPKTG&amp;VAR:QUERY=RkZfRElWX1lMRChBTk4sNC8zMC8wOSw0LzMwLzA5KQ==&amp;WINDOW=FIRST_POPUP&amp;HEIGHT=450&amp;WIDTH=450&amp;","START_MAXIMIZED=FALSE&amp;VAR:CALENDAR=US&amp;VAR:SYMBOL=LO&amp;VAR:INDEX=0"}</definedName>
    <definedName name="_1146">#REF!</definedName>
    <definedName name="_1146__FDSAUDITLINK__" localSheetId="0"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6__FDSAUDITLINK__" hidden="1">{"fdsup://directions/FAT Viewer?action=UPDATE&amp;creator=factset&amp;DYN_ARGS=TRUE&amp;DOC_NAME=FAT:FQL_AUDITING_CLIENT_TEMPLATE.FAT&amp;display_string=Audit&amp;VAR:KEY=LORMXMFIRA&amp;VAR:QUERY=RkZfRElWX1lMRChBTk4sNC8yMy8wOSw0LzIzLzA5KQ==&amp;WINDOW=FIRST_POPUP&amp;HEIGHT=450&amp;WIDTH=450&amp;","START_MAXIMIZED=FALSE&amp;VAR:CALENDAR=US&amp;VAR:SYMBOL=LO&amp;VAR:INDEX=0"}</definedName>
    <definedName name="_1147">#REF!</definedName>
    <definedName name="_1147__FDSAUDITLINK__" localSheetId="0"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7__FDSAUDITLINK__" hidden="1">{"fdsup://directions/FAT Viewer?action=UPDATE&amp;creator=factset&amp;DYN_ARGS=TRUE&amp;DOC_NAME=FAT:FQL_AUDITING_CLIENT_TEMPLATE.FAT&amp;display_string=Audit&amp;VAR:KEY=XCTAHOVMZY&amp;VAR:QUERY=RkZfRElWX1lMRChBTk4sNC8xNi8wOSw0LzE2LzA5KQ==&amp;WINDOW=FIRST_POPUP&amp;HEIGHT=450&amp;WIDTH=450&amp;","START_MAXIMIZED=FALSE&amp;VAR:CALENDAR=US&amp;VAR:SYMBOL=LO&amp;VAR:INDEX=0"}</definedName>
    <definedName name="_1148">#REF!</definedName>
    <definedName name="_1148__FDSAUDITLINK__" localSheetId="0"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8__FDSAUDITLINK__" hidden="1">{"fdsup://directions/FAT Viewer?action=UPDATE&amp;creator=factset&amp;DYN_ARGS=TRUE&amp;DOC_NAME=FAT:FQL_AUDITING_CLIENT_TEMPLATE.FAT&amp;display_string=Audit&amp;VAR:KEY=DCNITCBUBW&amp;VAR:QUERY=RkZfRElWX1lMRChBTk4sNC8wOS8wOSw0LzA5LzA5KQ==&amp;WINDOW=FIRST_POPUP&amp;HEIGHT=450&amp;WIDTH=450&amp;","START_MAXIMIZED=FALSE&amp;VAR:CALENDAR=US&amp;VAR:SYMBOL=LO&amp;VAR:INDEX=0"}</definedName>
    <definedName name="_1149">#REF!</definedName>
    <definedName name="_1149__FDSAUDITLINK__" localSheetId="0"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9__FDSAUDITLINK__" hidden="1">{"fdsup://directions/FAT Viewer?action=UPDATE&amp;creator=factset&amp;DYN_ARGS=TRUE&amp;DOC_NAME=FAT:FQL_AUDITING_CLIENT_TEMPLATE.FAT&amp;display_string=Audit&amp;VAR:KEY=LWNGPCVCRQ&amp;VAR:QUERY=RkZfRElWX1lMRChBTk4sNC8wMi8wOSw0LzAyLzA5KQ==&amp;WINDOW=FIRST_POPUP&amp;HEIGHT=450&amp;WIDTH=450&amp;","START_MAXIMIZED=FALSE&amp;VAR:CALENDAR=US&amp;VAR:SYMBOL=LO&amp;VAR:INDEX=0"}</definedName>
    <definedName name="_114s4_" hidden="1">{#N/A,#N/A,FALSE,"UNIT";#N/A,#N/A,FALSE,"UNIT";#N/A,#N/A,FALSE,"계정"}</definedName>
    <definedName name="_115__123Graph_DQRE_S_BY_CO.">#REF!</definedName>
    <definedName name="_115__123Graph_XCHART_3">#REF!</definedName>
    <definedName name="_115__FDSAUDITLINK__" localSheetId="0"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__FDSAUDITLINK__" hidden="1">{"fdsup://directions/FAT Viewer?action=UPDATE&amp;creator=factset&amp;DYN_ARGS=TRUE&amp;DOC_NAME=FAT:FQL_AUDITING_CLIENT_TEMPLATE.FAT&amp;display_string=Audit&amp;VAR:KEY=HUPGTKXCNO&amp;VAR:QUERY=RkZfRElWX1lMRChBTk4sMS8yMi8wOSwxLzIyLzA5KQ==&amp;WINDOW=FIRST_POPUP&amp;HEIGHT=450&amp;WIDTH=450&amp;","START_MAXIMIZED=FALSE&amp;VAR:CALENDAR=US&amp;VAR:SYMBOL=RAI&amp;VAR:INDEX=0"}</definedName>
    <definedName name="_1150">#REF!</definedName>
    <definedName name="_1150__FDSAUDITLINK__" localSheetId="0"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0__FDSAUDITLINK__" hidden="1">{"fdsup://directions/FAT Viewer?action=UPDATE&amp;creator=factset&amp;DYN_ARGS=TRUE&amp;DOC_NAME=FAT:FQL_AUDITING_CLIENT_TEMPLATE.FAT&amp;display_string=Audit&amp;VAR:KEY=ZQXMFYFIJA&amp;VAR:QUERY=RkZfRElWX1lMRChBTk4sMy8yNi8wOSwzLzI2LzA5KQ==&amp;WINDOW=FIRST_POPUP&amp;HEIGHT=450&amp;WIDTH=450&amp;","START_MAXIMIZED=FALSE&amp;VAR:CALENDAR=US&amp;VAR:SYMBOL=LO&amp;VAR:INDEX=0"}</definedName>
    <definedName name="_1151">#REF!</definedName>
    <definedName name="_1151__FDSAUDITLINK__" localSheetId="0"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1__FDSAUDITLINK__" hidden="1">{"fdsup://directions/FAT Viewer?action=UPDATE&amp;creator=factset&amp;DYN_ARGS=TRUE&amp;DOC_NAME=FAT:FQL_AUDITING_CLIENT_TEMPLATE.FAT&amp;display_string=Audit&amp;VAR:KEY=BMTWHCJGTU&amp;VAR:QUERY=RkZfRElWX1lMRChBTk4sMy8xOS8wOSwzLzE5LzA5KQ==&amp;WINDOW=FIRST_POPUP&amp;HEIGHT=450&amp;WIDTH=450&amp;","START_MAXIMIZED=FALSE&amp;VAR:CALENDAR=US&amp;VAR:SYMBOL=LO&amp;VAR:INDEX=0"}</definedName>
    <definedName name="_1152">#REF!</definedName>
    <definedName name="_1152__FDSAUDITLINK__" localSheetId="0"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2__FDSAUDITLINK__" hidden="1">{"fdsup://directions/FAT Viewer?action=UPDATE&amp;creator=factset&amp;DYN_ARGS=TRUE&amp;DOC_NAME=FAT:FQL_AUDITING_CLIENT_TEMPLATE.FAT&amp;display_string=Audit&amp;VAR:KEY=TCXYHGDEPE&amp;VAR:QUERY=RkZfRElWX1lMRChBTk4sMy8xMi8wOSwzLzEyLzA5KQ==&amp;WINDOW=FIRST_POPUP&amp;HEIGHT=450&amp;WIDTH=450&amp;","START_MAXIMIZED=FALSE&amp;VAR:CALENDAR=US&amp;VAR:SYMBOL=LO&amp;VAR:INDEX=0"}</definedName>
    <definedName name="_1153">#REF!</definedName>
    <definedName name="_1153__FDSAUDITLINK__" localSheetId="0"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3__FDSAUDITLINK__" hidden="1">{"fdsup://directions/FAT Viewer?action=UPDATE&amp;creator=factset&amp;DYN_ARGS=TRUE&amp;DOC_NAME=FAT:FQL_AUDITING_CLIENT_TEMPLATE.FAT&amp;display_string=Audit&amp;VAR:KEY=LKTOPEHCJK&amp;VAR:QUERY=RkZfRElWX1lMRChBTk4sMy8wNS8wOSwzLzA1LzA5KQ==&amp;WINDOW=FIRST_POPUP&amp;HEIGHT=450&amp;WIDTH=450&amp;","START_MAXIMIZED=FALSE&amp;VAR:CALENDAR=US&amp;VAR:SYMBOL=LO&amp;VAR:INDEX=0"}</definedName>
    <definedName name="_1154">#REF!</definedName>
    <definedName name="_1154__FDSAUDITLINK__" localSheetId="0"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4__FDSAUDITLINK__" hidden="1">{"fdsup://directions/FAT Viewer?action=UPDATE&amp;creator=factset&amp;DYN_ARGS=TRUE&amp;DOC_NAME=FAT:FQL_AUDITING_CLIENT_TEMPLATE.FAT&amp;display_string=Audit&amp;VAR:KEY=NEVYBSBGHA&amp;VAR:QUERY=RkZfRElWX1lMRChBTk4sMi8yNi8wOSwyLzI2LzA5KQ==&amp;WINDOW=FIRST_POPUP&amp;HEIGHT=450&amp;WIDTH=450&amp;","START_MAXIMIZED=FALSE&amp;VAR:CALENDAR=US&amp;VAR:SYMBOL=LO&amp;VAR:INDEX=0"}</definedName>
    <definedName name="_1155">#REF!</definedName>
    <definedName name="_1155__FDSAUDITLINK__" localSheetId="0"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5__FDSAUDITLINK__" hidden="1">{"fdsup://directions/FAT Viewer?action=UPDATE&amp;creator=factset&amp;DYN_ARGS=TRUE&amp;DOC_NAME=FAT:FQL_AUDITING_CLIENT_TEMPLATE.FAT&amp;display_string=Audit&amp;VAR:KEY=BITYNGVSDS&amp;VAR:QUERY=RkZfRElWX1lMRChBTk4sMi8xOS8wOSwyLzE5LzA5KQ==&amp;WINDOW=FIRST_POPUP&amp;HEIGHT=450&amp;WIDTH=450&amp;","START_MAXIMIZED=FALSE&amp;VAR:CALENDAR=US&amp;VAR:SYMBOL=LO&amp;VAR:INDEX=0"}</definedName>
    <definedName name="_1156__FDSAUDITLINK__" localSheetId="0"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6__FDSAUDITLINK__" hidden="1">{"fdsup://directions/FAT Viewer?action=UPDATE&amp;creator=factset&amp;DYN_ARGS=TRUE&amp;DOC_NAME=FAT:FQL_AUDITING_CLIENT_TEMPLATE.FAT&amp;display_string=Audit&amp;VAR:KEY=DITCTCTWZU&amp;VAR:QUERY=RkZfRElWX1lMRChBTk4sMi8xMi8wOSwyLzEyLzA5KQ==&amp;WINDOW=FIRST_POPUP&amp;HEIGHT=450&amp;WIDTH=450&amp;","START_MAXIMIZED=FALSE&amp;VAR:CALENDAR=US&amp;VAR:SYMBOL=LO&amp;VAR:INDEX=0"}</definedName>
    <definedName name="_1157__FDSAUDITLINK__" localSheetId="0"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7__FDSAUDITLINK__" hidden="1">{"fdsup://directions/FAT Viewer?action=UPDATE&amp;creator=factset&amp;DYN_ARGS=TRUE&amp;DOC_NAME=FAT:FQL_AUDITING_CLIENT_TEMPLATE.FAT&amp;display_string=Audit&amp;VAR:KEY=BWTIXIDENQ&amp;VAR:QUERY=RkZfRElWX1lMRChBTk4sMi8wNS8wOSwyLzA1LzA5KQ==&amp;WINDOW=FIRST_POPUP&amp;HEIGHT=450&amp;WIDTH=450&amp;","START_MAXIMIZED=FALSE&amp;VAR:CALENDAR=US&amp;VAR:SYMBOL=LO&amp;VAR:INDEX=0"}</definedName>
    <definedName name="_1158">#REF!</definedName>
    <definedName name="_1158__FDSAUDITLINK__" localSheetId="0"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8__FDSAUDITLINK__" hidden="1">{"fdsup://directions/FAT Viewer?action=UPDATE&amp;creator=factset&amp;DYN_ARGS=TRUE&amp;DOC_NAME=FAT:FQL_AUDITING_CLIENT_TEMPLATE.FAT&amp;display_string=Audit&amp;VAR:KEY=POTYHANIFM&amp;VAR:QUERY=RkZfRElWX1lMRChBTk4sMS8yOS8wOSwxLzI5LzA5KQ==&amp;WINDOW=FIRST_POPUP&amp;HEIGHT=450&amp;WIDTH=450&amp;","START_MAXIMIZED=FALSE&amp;VAR:CALENDAR=US&amp;VAR:SYMBOL=LO&amp;VAR:INDEX=0"}</definedName>
    <definedName name="_1159__FDSAUDITLINK__" localSheetId="0"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9__FDSAUDITLINK__" hidden="1">{"fdsup://directions/FAT Viewer?action=UPDATE&amp;creator=factset&amp;DYN_ARGS=TRUE&amp;DOC_NAME=FAT:FQL_AUDITING_CLIENT_TEMPLATE.FAT&amp;display_string=Audit&amp;VAR:KEY=FKDUDURQZK&amp;VAR:QUERY=RkZfRElWX1lMRChBTk4sMS8yMi8wOSwxLzIyLzA5KQ==&amp;WINDOW=FIRST_POPUP&amp;HEIGHT=450&amp;WIDTH=450&amp;","START_MAXIMIZED=FALSE&amp;VAR:CALENDAR=US&amp;VAR:SYMBOL=LO&amp;VAR:INDEX=0"}</definedName>
    <definedName name="_115s5_" hidden="1">{#N/A,#N/A,FALSE,"UNIT";#N/A,#N/A,FALSE,"UNIT";#N/A,#N/A,FALSE,"계정"}</definedName>
    <definedName name="_116__123Graph_EQRE_S_BY_CO.">#REF!</definedName>
    <definedName name="_116__123Graph_FWAGES_BY_B_U">#REF!</definedName>
    <definedName name="_116__FDSAUDITLINK__" localSheetId="0"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__FDSAUDITLINK__" hidden="1">{"fdsup://directions/FAT Viewer?action=UPDATE&amp;creator=factset&amp;DYN_ARGS=TRUE&amp;DOC_NAME=FAT:FQL_AUDITING_CLIENT_TEMPLATE.FAT&amp;display_string=Audit&amp;VAR:KEY=JSLUXYBULQ&amp;VAR:QUERY=RkZfRElWX1lMRChBTk4sMS8xNS8wOSwxLzE1LzA5KQ==&amp;WINDOW=FIRST_POPUP&amp;HEIGHT=450&amp;WIDTH=450&amp;","START_MAXIMIZED=FALSE&amp;VAR:CALENDAR=US&amp;VAR:SYMBOL=RAI&amp;VAR:INDEX=0"}</definedName>
    <definedName name="_1160__FDSAUDITLINK__" localSheetId="0"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0__FDSAUDITLINK__" hidden="1">{"fdsup://directions/FAT Viewer?action=UPDATE&amp;creator=factset&amp;DYN_ARGS=TRUE&amp;DOC_NAME=FAT:FQL_AUDITING_CLIENT_TEMPLATE.FAT&amp;display_string=Audit&amp;VAR:KEY=TOPMHSHWHO&amp;VAR:QUERY=RkZfRElWX1lMRChBTk4sMS8xNS8wOSwxLzE1LzA5KQ==&amp;WINDOW=FIRST_POPUP&amp;HEIGHT=450&amp;WIDTH=450&amp;","START_MAXIMIZED=FALSE&amp;VAR:CALENDAR=US&amp;VAR:SYMBOL=LO&amp;VAR:INDEX=0"}</definedName>
    <definedName name="_1161__FDSAUDITLINK__" localSheetId="0"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1__FDSAUDITLINK__" hidden="1">{"fdsup://directions/FAT Viewer?action=UPDATE&amp;creator=factset&amp;DYN_ARGS=TRUE&amp;DOC_NAME=FAT:FQL_AUDITING_CLIENT_TEMPLATE.FAT&amp;display_string=Audit&amp;VAR:KEY=JKXKNGTMVO&amp;VAR:QUERY=RkZfRElWX1lMRChBTk4sMS8wOC8wOSwxLzA4LzA5KQ==&amp;WINDOW=FIRST_POPUP&amp;HEIGHT=450&amp;WIDTH=450&amp;","START_MAXIMIZED=FALSE&amp;VAR:CALENDAR=US&amp;VAR:SYMBOL=LO&amp;VAR:INDEX=0"}</definedName>
    <definedName name="_1162__FDSAUDITLINK__" localSheetId="0"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2__FDSAUDITLINK__" hidden="1">{"fdsup://directions/FAT Viewer?action=UPDATE&amp;creator=factset&amp;DYN_ARGS=TRUE&amp;DOC_NAME=FAT:FQL_AUDITING_CLIENT_TEMPLATE.FAT&amp;display_string=Audit&amp;VAR:KEY=JWPINGRKZM&amp;VAR:QUERY=RkZfRElWX1lMRChBTk4sMTIvMzEvMDgsMTIvMzEvMDgp&amp;WINDOW=FIRST_POPUP&amp;HEIGHT=450&amp;WIDTH=450&amp;","START_MAXIMIZED=FALSE&amp;VAR:CALENDAR=US&amp;VAR:SYMBOL=LO&amp;VAR:INDEX=0"}</definedName>
    <definedName name="_1163">#REF!</definedName>
    <definedName name="_1163__FDSAUDITLINK__" localSheetId="0"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3__FDSAUDITLINK__" hidden="1">{"fdsup://directions/FAT Viewer?action=UPDATE&amp;creator=factset&amp;DYN_ARGS=TRUE&amp;DOC_NAME=FAT:FQL_AUDITING_CLIENT_TEMPLATE.FAT&amp;display_string=Audit&amp;VAR:KEY=LUZWBINITC&amp;VAR:QUERY=RkZfRElWX1lMRChBTk4sMTIvMjQvMDgsMTIvMjQvMDgp&amp;WINDOW=FIRST_POPUP&amp;HEIGHT=450&amp;WIDTH=450&amp;","START_MAXIMIZED=FALSE&amp;VAR:CALENDAR=US&amp;VAR:SYMBOL=LO&amp;VAR:INDEX=0"}</definedName>
    <definedName name="_1164__FDSAUDITLINK__" localSheetId="0"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4__FDSAUDITLINK__" hidden="1">{"fdsup://directions/FAT Viewer?action=UPDATE&amp;creator=factset&amp;DYN_ARGS=TRUE&amp;DOC_NAME=FAT:FQL_AUDITING_CLIENT_TEMPLATE.FAT&amp;display_string=Audit&amp;VAR:KEY=DGJENMHEHC&amp;VAR:QUERY=RkZfRElWX1lMRChBTk4sMTIvMTgvMDgsMTIvMTgvMDgp&amp;WINDOW=FIRST_POPUP&amp;HEIGHT=450&amp;WIDTH=450&amp;","START_MAXIMIZED=FALSE&amp;VAR:CALENDAR=US&amp;VAR:SYMBOL=LO&amp;VAR:INDEX=0"}</definedName>
    <definedName name="_1165__FDSAUDITLINK__" localSheetId="0"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5__FDSAUDITLINK__" hidden="1">{"fdsup://directions/FAT Viewer?action=UPDATE&amp;creator=factset&amp;DYN_ARGS=TRUE&amp;DOC_NAME=FAT:FQL_AUDITING_CLIENT_TEMPLATE.FAT&amp;display_string=Audit&amp;VAR:KEY=NYLULEDGNM&amp;VAR:QUERY=RkZfRElWX1lMRChBTk4sMTIvMTEvMDgsMTIvMTEvMDgp&amp;WINDOW=FIRST_POPUP&amp;HEIGHT=450&amp;WIDTH=450&amp;","START_MAXIMIZED=FALSE&amp;VAR:CALENDAR=US&amp;VAR:SYMBOL=LO&amp;VAR:INDEX=0"}</definedName>
    <definedName name="_1166__FDSAUDITLINK__" localSheetId="0"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6__FDSAUDITLINK__" hidden="1">{"fdsup://directions/FAT Viewer?action=UPDATE&amp;creator=factset&amp;DYN_ARGS=TRUE&amp;DOC_NAME=FAT:FQL_AUDITING_CLIENT_TEMPLATE.FAT&amp;display_string=Audit&amp;VAR:KEY=TADAJSNWZY&amp;VAR:QUERY=RkZfRElWX1lMRChBTk4sMTIvMDQvMDgsMTIvMDQvMDgp&amp;WINDOW=FIRST_POPUP&amp;HEIGHT=450&amp;WIDTH=450&amp;","START_MAXIMIZED=FALSE&amp;VAR:CALENDAR=US&amp;VAR:SYMBOL=LO&amp;VAR:INDEX=0"}</definedName>
    <definedName name="_1167__FDSAUDITLINK__" localSheetId="0"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7__FDSAUDITLINK__" hidden="1">{"fdsup://directions/FAT Viewer?action=UPDATE&amp;creator=factset&amp;DYN_ARGS=TRUE&amp;DOC_NAME=FAT:FQL_AUDITING_CLIENT_TEMPLATE.FAT&amp;display_string=Audit&amp;VAR:KEY=DUPWTGVMNC&amp;VAR:QUERY=RkZfRElWX1lMRChBTk4sMTEvMjYvMDgsMTEvMjYvMDgp&amp;WINDOW=FIRST_POPUP&amp;HEIGHT=450&amp;WIDTH=450&amp;","START_MAXIMIZED=FALSE&amp;VAR:CALENDAR=US&amp;VAR:SYMBOL=LO&amp;VAR:INDEX=0"}</definedName>
    <definedName name="_1168__FDSAUDITLINK__" localSheetId="0"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8__FDSAUDITLINK__" hidden="1">{"fdsup://directions/FAT Viewer?action=UPDATE&amp;creator=factset&amp;DYN_ARGS=TRUE&amp;DOC_NAME=FAT:FQL_AUDITING_CLIENT_TEMPLATE.FAT&amp;display_string=Audit&amp;VAR:KEY=XOJSHALEXO&amp;VAR:QUERY=RkZfRElWX1lMRChBTk4sMTEvMjAvMDgsMTEvMjAvMDgp&amp;WINDOW=FIRST_POPUP&amp;HEIGHT=450&amp;WIDTH=450&amp;","START_MAXIMIZED=FALSE&amp;VAR:CALENDAR=US&amp;VAR:SYMBOL=LO&amp;VAR:INDEX=0"}</definedName>
    <definedName name="_1169__FDSAUDITLINK__" localSheetId="0"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9__FDSAUDITLINK__" hidden="1">{"fdsup://directions/FAT Viewer?action=UPDATE&amp;creator=factset&amp;DYN_ARGS=TRUE&amp;DOC_NAME=FAT:FQL_AUDITING_CLIENT_TEMPLATE.FAT&amp;display_string=Audit&amp;VAR:KEY=ZQHIXYPQBW&amp;VAR:QUERY=RkZfRElWX1lMRChBTk4sMTEvMTMvMDgsMTEvMTMvMDgp&amp;WINDOW=FIRST_POPUP&amp;HEIGHT=450&amp;WIDTH=450&amp;","START_MAXIMIZED=FALSE&amp;VAR:CALENDAR=US&amp;VAR:SYMBOL=LO&amp;VAR:INDEX=0"}</definedName>
    <definedName name="_116s6_" hidden="1">{#N/A,#N/A,FALSE,"UNIT";#N/A,#N/A,FALSE,"UNIT";#N/A,#N/A,FALSE,"계정"}</definedName>
    <definedName name="_117">#REF!</definedName>
    <definedName name="_117__FDSAUDITLINK__" localSheetId="0"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__FDSAUDITLINK__" hidden="1">{"fdsup://directions/FAT Viewer?action=UPDATE&amp;creator=factset&amp;DYN_ARGS=TRUE&amp;DOC_NAME=FAT:FQL_AUDITING_CLIENT_TEMPLATE.FAT&amp;display_string=Audit&amp;VAR:KEY=TYLEREZMBQ&amp;VAR:QUERY=RkZfRElWX1lMRChBTk4sMS8wOC8wOSwxLzA4LzA5KQ==&amp;WINDOW=FIRST_POPUP&amp;HEIGHT=450&amp;WIDTH=450&amp;","START_MAXIMIZED=FALSE&amp;VAR:CALENDAR=US&amp;VAR:SYMBOL=RAI&amp;VAR:INDEX=0"}</definedName>
    <definedName name="_1170">#REF!</definedName>
    <definedName name="_1170__FDSAUDITLINK__" localSheetId="0"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0__FDSAUDITLINK__" hidden="1">{"fdsup://directions/FAT Viewer?action=UPDATE&amp;creator=factset&amp;DYN_ARGS=TRUE&amp;DOC_NAME=FAT:FQL_AUDITING_CLIENT_TEMPLATE.FAT&amp;display_string=Audit&amp;VAR:KEY=DOFWNCHEFE&amp;VAR:QUERY=RkZfRElWX1lMRChBTk4sMTEvMDYvMDgsMTEvMDYvMDgp&amp;WINDOW=FIRST_POPUP&amp;HEIGHT=450&amp;WIDTH=450&amp;","START_MAXIMIZED=FALSE&amp;VAR:CALENDAR=US&amp;VAR:SYMBOL=LO&amp;VAR:INDEX=0"}</definedName>
    <definedName name="_1171">#REF!</definedName>
    <definedName name="_1171__FDSAUDITLINK__" localSheetId="0"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1__FDSAUDITLINK__" hidden="1">{"fdsup://directions/FAT Viewer?action=UPDATE&amp;creator=factset&amp;DYN_ARGS=TRUE&amp;DOC_NAME=FAT:FQL_AUDITING_CLIENT_TEMPLATE.FAT&amp;display_string=Audit&amp;VAR:KEY=JKLMRCBIPG&amp;VAR:QUERY=RkZfRElWX1lMRChBTk4sMTAvMzAvMDgsMTAvMzAvMDgp&amp;WINDOW=FIRST_POPUP&amp;HEIGHT=450&amp;WIDTH=450&amp;","START_MAXIMIZED=FALSE&amp;VAR:CALENDAR=US&amp;VAR:SYMBOL=LO&amp;VAR:INDEX=0"}</definedName>
    <definedName name="_1172__FDSAUDITLINK__" localSheetId="0"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2__FDSAUDITLINK__" hidden="1">{"fdsup://directions/FAT Viewer?action=UPDATE&amp;creator=factset&amp;DYN_ARGS=TRUE&amp;DOC_NAME=FAT:FQL_AUDITING_CLIENT_TEMPLATE.FAT&amp;display_string=Audit&amp;VAR:KEY=XALGRCBKNK&amp;VAR:QUERY=RkZfRElWX1lMRChBTk4sMTAvMjMvMDgsMTAvMjMvMDgp&amp;WINDOW=FIRST_POPUP&amp;HEIGHT=450&amp;WIDTH=450&amp;","START_MAXIMIZED=FALSE&amp;VAR:CALENDAR=US&amp;VAR:SYMBOL=LO&amp;VAR:INDEX=0"}</definedName>
    <definedName name="_1173__FDSAUDITLINK__" localSheetId="0"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3__FDSAUDITLINK__" hidden="1">{"fdsup://directions/FAT Viewer?action=UPDATE&amp;creator=factset&amp;DYN_ARGS=TRUE&amp;DOC_NAME=FAT:FQL_AUDITING_CLIENT_TEMPLATE.FAT&amp;display_string=Audit&amp;VAR:KEY=ZSZUPCZUJC&amp;VAR:QUERY=RkZfRElWX1lMRChBTk4sMTAvMTYvMDgsMTAvMTYvMDgp&amp;WINDOW=FIRST_POPUP&amp;HEIGHT=450&amp;WIDTH=450&amp;","START_MAXIMIZED=FALSE&amp;VAR:CALENDAR=US&amp;VAR:SYMBOL=LO&amp;VAR:INDEX=0"}</definedName>
    <definedName name="_1174__FDSAUDITLINK__" localSheetId="0"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4__FDSAUDITLINK__" hidden="1">{"fdsup://directions/FAT Viewer?action=UPDATE&amp;creator=factset&amp;DYN_ARGS=TRUE&amp;DOC_NAME=FAT:FQL_AUDITING_CLIENT_TEMPLATE.FAT&amp;display_string=Audit&amp;VAR:KEY=FWBURUVINA&amp;VAR:QUERY=RkZfRElWX1lMRChBTk4sMTAvMDkvMDgsMTAvMDkvMDgp&amp;WINDOW=FIRST_POPUP&amp;HEIGHT=450&amp;WIDTH=450&amp;","START_MAXIMIZED=FALSE&amp;VAR:CALENDAR=US&amp;VAR:SYMBOL=LO&amp;VAR:INDEX=0"}</definedName>
    <definedName name="_1175">#REF!</definedName>
    <definedName name="_1175__FDSAUDITLINK__" localSheetId="0"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5__FDSAUDITLINK__" hidden="1">{"fdsup://directions/FAT Viewer?action=UPDATE&amp;creator=factset&amp;DYN_ARGS=TRUE&amp;DOC_NAME=FAT:FQL_AUDITING_CLIENT_TEMPLATE.FAT&amp;display_string=Audit&amp;VAR:KEY=BSZOZWBAFQ&amp;VAR:QUERY=RkZfRElWX1lMRChBTk4sMTAvMDIvMDgsMTAvMDIvMDgp&amp;WINDOW=FIRST_POPUP&amp;HEIGHT=450&amp;WIDTH=450&amp;","START_MAXIMIZED=FALSE&amp;VAR:CALENDAR=US&amp;VAR:SYMBOL=LO&amp;VAR:INDEX=0"}</definedName>
    <definedName name="_1176__FDSAUDITLINK__" localSheetId="0"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6__FDSAUDITLINK__" hidden="1">{"fdsup://directions/FAT Viewer?action=UPDATE&amp;creator=factset&amp;DYN_ARGS=TRUE&amp;DOC_NAME=FAT:FQL_AUDITING_CLIENT_TEMPLATE.FAT&amp;display_string=Audit&amp;VAR:KEY=BYXKJETONG&amp;VAR:QUERY=RkZfRElWX1lMRChBTk4sOS8yNS8wOCw5LzI1LzA4KQ==&amp;WINDOW=FIRST_POPUP&amp;HEIGHT=450&amp;WIDTH=450&amp;","START_MAXIMIZED=FALSE&amp;VAR:CALENDAR=US&amp;VAR:SYMBOL=LO&amp;VAR:INDEX=0"}</definedName>
    <definedName name="_1177__FDSAUDITLINK__" localSheetId="0"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7__FDSAUDITLINK__" hidden="1">{"fdsup://directions/FAT Viewer?action=UPDATE&amp;creator=factset&amp;DYN_ARGS=TRUE&amp;DOC_NAME=FAT:FQL_AUDITING_CLIENT_TEMPLATE.FAT&amp;display_string=Audit&amp;VAR:KEY=LUTQRSFMBO&amp;VAR:QUERY=RkZfRElWX1lMRChBTk4sOS8xOC8wOCw5LzE4LzA4KQ==&amp;WINDOW=FIRST_POPUP&amp;HEIGHT=450&amp;WIDTH=450&amp;","START_MAXIMIZED=FALSE&amp;VAR:CALENDAR=US&amp;VAR:SYMBOL=LO&amp;VAR:INDEX=0"}</definedName>
    <definedName name="_1178__FDSAUDITLINK__" localSheetId="0"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8__FDSAUDITLINK__" hidden="1">{"fdsup://directions/FAT Viewer?action=UPDATE&amp;creator=factset&amp;DYN_ARGS=TRUE&amp;DOC_NAME=FAT:FQL_AUDITING_CLIENT_TEMPLATE.FAT&amp;display_string=Audit&amp;VAR:KEY=NQNOBUHQPE&amp;VAR:QUERY=RkZfRElWX1lMRChBTk4sOS8xMS8wOCw5LzExLzA4KQ==&amp;WINDOW=FIRST_POPUP&amp;HEIGHT=450&amp;WIDTH=450&amp;","START_MAXIMIZED=FALSE&amp;VAR:CALENDAR=US&amp;VAR:SYMBOL=LO&amp;VAR:INDEX=0"}</definedName>
    <definedName name="_1179">#REF!</definedName>
    <definedName name="_1179__FDSAUDITLINK__" localSheetId="0"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9__FDSAUDITLINK__" hidden="1">{"fdsup://directions/FAT Viewer?action=UPDATE&amp;creator=factset&amp;DYN_ARGS=TRUE&amp;DOC_NAME=FAT:FQL_AUDITING_CLIENT_TEMPLATE.FAT&amp;display_string=Audit&amp;VAR:KEY=VINGDOHMVC&amp;VAR:QUERY=RkZfRElWX1lMRChBTk4sOS8wNC8wOCw5LzA0LzA4KQ==&amp;WINDOW=FIRST_POPUP&amp;HEIGHT=450&amp;WIDTH=450&amp;","START_MAXIMIZED=FALSE&amp;VAR:CALENDAR=US&amp;VAR:SYMBOL=LO&amp;VAR:INDEX=0"}</definedName>
    <definedName name="_117s9_" hidden="1">{#N/A,#N/A,FALSE,"UNIT";#N/A,#N/A,FALSE,"UNIT";#N/A,#N/A,FALSE,"계정"}</definedName>
    <definedName name="_118">#REF!</definedName>
    <definedName name="_118__FDSAUDITLINK__" localSheetId="0"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__FDSAUDITLINK__" hidden="1">{"fdsup://directions/FAT Viewer?action=UPDATE&amp;creator=factset&amp;DYN_ARGS=TRUE&amp;DOC_NAME=FAT:FQL_AUDITING_CLIENT_TEMPLATE.FAT&amp;display_string=Audit&amp;VAR:KEY=VAFMJIJCBQ&amp;VAR:QUERY=QVZHKEZGX0RJVl9ZTEQoQU5OLDQxMDA5LC0xMEFZKSk=&amp;WINDOW=FIRST_POPUP&amp;HEIGHT=450&amp;WIDTH=450&amp;","START_MAXIMIZED=FALSE&amp;VAR:CALENDAR=US&amp;VAR:SYMBOL=SBUX"}</definedName>
    <definedName name="_1180">#REF!</definedName>
    <definedName name="_1180__FDSAUDITLINK__" localSheetId="0"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0__FDSAUDITLINK__" hidden="1">{"fdsup://directions/FAT Viewer?action=UPDATE&amp;creator=factset&amp;DYN_ARGS=TRUE&amp;DOC_NAME=FAT:FQL_AUDITING_CLIENT_TEMPLATE.FAT&amp;display_string=Audit&amp;VAR:KEY=JMDYJQBYHC&amp;VAR:QUERY=RkZfRElWX1lMRChBTk4sOC8yOC8wOCw4LzI4LzA4KQ==&amp;WINDOW=FIRST_POPUP&amp;HEIGHT=450&amp;WIDTH=450&amp;","START_MAXIMIZED=FALSE&amp;VAR:CALENDAR=US&amp;VAR:SYMBOL=LO&amp;VAR:INDEX=0"}</definedName>
    <definedName name="_1181">#REF!</definedName>
    <definedName name="_1181__FDSAUDITLINK__" localSheetId="0"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1__FDSAUDITLINK__" hidden="1">{"fdsup://directions/FAT Viewer?action=UPDATE&amp;creator=factset&amp;DYN_ARGS=TRUE&amp;DOC_NAME=FAT:FQL_AUDITING_CLIENT_TEMPLATE.FAT&amp;display_string=Audit&amp;VAR:KEY=LAPOVYDGXW&amp;VAR:QUERY=RkZfRElWX1lMRChBTk4sOC8yMS8wOCw4LzIxLzA4KQ==&amp;WINDOW=FIRST_POPUP&amp;HEIGHT=450&amp;WIDTH=450&amp;","START_MAXIMIZED=FALSE&amp;VAR:CALENDAR=US&amp;VAR:SYMBOL=LO&amp;VAR:INDEX=0"}</definedName>
    <definedName name="_1182">#REF!</definedName>
    <definedName name="_1182__FDSAUDITLINK__" localSheetId="0"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2__FDSAUDITLINK__" hidden="1">{"fdsup://directions/FAT Viewer?action=UPDATE&amp;creator=factset&amp;DYN_ARGS=TRUE&amp;DOC_NAME=FAT:FQL_AUDITING_CLIENT_TEMPLATE.FAT&amp;display_string=Audit&amp;VAR:KEY=VMTQXGPUNW&amp;VAR:QUERY=RkZfRElWX1lMRChBTk4sOC8xNC8wOCw4LzE0LzA4KQ==&amp;WINDOW=FIRST_POPUP&amp;HEIGHT=450&amp;WIDTH=450&amp;","START_MAXIMIZED=FALSE&amp;VAR:CALENDAR=US&amp;VAR:SYMBOL=LO&amp;VAR:INDEX=0"}</definedName>
    <definedName name="_1183">#REF!</definedName>
    <definedName name="_1183__FDSAUDITLINK__" localSheetId="0"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3__FDSAUDITLINK__" hidden="1">{"fdsup://directions/FAT Viewer?action=UPDATE&amp;creator=factset&amp;DYN_ARGS=TRUE&amp;DOC_NAME=FAT:FQL_AUDITING_CLIENT_TEMPLATE.FAT&amp;display_string=Audit&amp;VAR:KEY=LQXAPAPWRC&amp;VAR:QUERY=RkZfRElWX1lMRChBTk4sOC8wNy8wOCw4LzA3LzA4KQ==&amp;WINDOW=FIRST_POPUP&amp;HEIGHT=450&amp;WIDTH=450&amp;","START_MAXIMIZED=FALSE&amp;VAR:CALENDAR=US&amp;VAR:SYMBOL=LO&amp;VAR:INDEX=0"}</definedName>
    <definedName name="_1184">#REF!</definedName>
    <definedName name="_1184__FDSAUDITLINK__" localSheetId="0"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4__FDSAUDITLINK__" hidden="1">{"fdsup://directions/FAT Viewer?action=UPDATE&amp;creator=factset&amp;DYN_ARGS=TRUE&amp;DOC_NAME=FAT:FQL_AUDITING_CLIENT_TEMPLATE.FAT&amp;display_string=Audit&amp;VAR:KEY=HMHSBEHQFC&amp;VAR:QUERY=RkZfRElWX1lMRChBTk4sNy8zMS8wOCw3LzMxLzA4KQ==&amp;WINDOW=FIRST_POPUP&amp;HEIGHT=450&amp;WIDTH=450&amp;","START_MAXIMIZED=FALSE&amp;VAR:CALENDAR=US&amp;VAR:SYMBOL=LO&amp;VAR:INDEX=0"}</definedName>
    <definedName name="_1185">#REF!</definedName>
    <definedName name="_1185__FDSAUDITLINK__" localSheetId="0"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5__FDSAUDITLINK__" hidden="1">{"fdsup://directions/FAT Viewer?action=UPDATE&amp;creator=factset&amp;DYN_ARGS=TRUE&amp;DOC_NAME=FAT:FQL_AUDITING_CLIENT_TEMPLATE.FAT&amp;display_string=Audit&amp;VAR:KEY=HIFAVUBQJY&amp;VAR:QUERY=RkZfRElWX1lMRChBTk4sNy8yNC8wOCw3LzI0LzA4KQ==&amp;WINDOW=FIRST_POPUP&amp;HEIGHT=450&amp;WIDTH=450&amp;","START_MAXIMIZED=FALSE&amp;VAR:CALENDAR=US&amp;VAR:SYMBOL=LO&amp;VAR:INDEX=0"}</definedName>
    <definedName name="_1186">#REF!</definedName>
    <definedName name="_1186__FDSAUDITLINK__" localSheetId="0"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6__FDSAUDITLINK__" hidden="1">{"fdsup://directions/FAT Viewer?action=UPDATE&amp;creator=factset&amp;DYN_ARGS=TRUE&amp;DOC_NAME=FAT:FQL_AUDITING_CLIENT_TEMPLATE.FAT&amp;display_string=Audit&amp;VAR:KEY=RUDMTUBWBA&amp;VAR:QUERY=RkZfRElWX1lMRChBTk4sNy8xNy8wOCw3LzE3LzA4KQ==&amp;WINDOW=FIRST_POPUP&amp;HEIGHT=450&amp;WIDTH=450&amp;","START_MAXIMIZED=FALSE&amp;VAR:CALENDAR=US&amp;VAR:SYMBOL=LO&amp;VAR:INDEX=0"}</definedName>
    <definedName name="_1187">#REF!</definedName>
    <definedName name="_1187__FDSAUDITLINK__" localSheetId="0"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7__FDSAUDITLINK__" hidden="1">{"fdsup://directions/FAT Viewer?action=UPDATE&amp;creator=factset&amp;DYN_ARGS=TRUE&amp;DOC_NAME=FAT:FQL_AUDITING_CLIENT_TEMPLATE.FAT&amp;display_string=Audit&amp;VAR:KEY=BUDWTGHANY&amp;VAR:QUERY=RkZfRElWX1lMRChBTk4sNy8xMC8wOCw3LzEwLzA4KQ==&amp;WINDOW=FIRST_POPUP&amp;HEIGHT=450&amp;WIDTH=450&amp;","START_MAXIMIZED=FALSE&amp;VAR:CALENDAR=US&amp;VAR:SYMBOL=LO&amp;VAR:INDEX=0"}</definedName>
    <definedName name="_1188">#REF!</definedName>
    <definedName name="_1188__FDSAUDITLINK__" localSheetId="0"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8__FDSAUDITLINK__" hidden="1">{"fdsup://directions/FAT Viewer?action=UPDATE&amp;creator=factset&amp;DYN_ARGS=TRUE&amp;DOC_NAME=FAT:FQL_AUDITING_CLIENT_TEMPLATE.FAT&amp;display_string=Audit&amp;VAR:KEY=NYRURQJETU&amp;VAR:QUERY=RkZfRElWX1lMRChBTk4sNy8wMy8wOCw3LzAzLzA4KQ==&amp;WINDOW=FIRST_POPUP&amp;HEIGHT=450&amp;WIDTH=450&amp;","START_MAXIMIZED=FALSE&amp;VAR:CALENDAR=US&amp;VAR:SYMBOL=LO&amp;VAR:INDEX=0"}</definedName>
    <definedName name="_1189">#REF!</definedName>
    <definedName name="_1189__FDSAUDITLINK__" localSheetId="0"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89__FDSAUDITLINK__" hidden="1">{"fdsup://directions/FAT Viewer?action=UPDATE&amp;creator=factset&amp;DYN_ARGS=TRUE&amp;DOC_NAME=FAT:FQL_AUDITING_CLIENT_TEMPLATE.FAT&amp;display_string=Audit&amp;VAR:KEY=NQRMRIZSVS&amp;VAR:QUERY=RkZfRElWX1lMRChBTk4sNi8yNi8wOCw2LzI2LzA4KQ==&amp;WINDOW=FIRST_POPUP&amp;HEIGHT=450&amp;WIDTH=450&amp;","START_MAXIMIZED=FALSE&amp;VAR:CALENDAR=US&amp;VAR:SYMBOL=LO&amp;VAR:INDEX=0"}</definedName>
    <definedName name="_119">#REF!</definedName>
    <definedName name="_119__FDSAUDITLINK__" localSheetId="0"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__FDSAUDITLINK__" hidden="1">{"fdsup://directions/FAT Viewer?action=UPDATE&amp;creator=factset&amp;DYN_ARGS=TRUE&amp;DOC_NAME=FAT:FQL_AUDITING_CLIENT_TEMPLATE.FAT&amp;display_string=Audit&amp;VAR:KEY=PIFKDCJQJQ&amp;VAR:QUERY=RkZfRElWX1lMRChBTk4sMTIvMjQvMDgsMTIvMjQvMDgp&amp;WINDOW=FIRST_POPUP&amp;HEIGHT=450&amp;WIDTH=450&amp;","START_MAXIMIZED=FALSE&amp;VAR:CALENDAR=US&amp;VAR:SYMBOL=RAI&amp;VAR:INDEX=0"}</definedName>
    <definedName name="_1190">#REF!</definedName>
    <definedName name="_1190__FDSAUDITLINK__" localSheetId="0"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0__FDSAUDITLINK__" hidden="1">{"fdsup://directions/FAT Viewer?action=UPDATE&amp;creator=factset&amp;DYN_ARGS=TRUE&amp;DOC_NAME=FAT:FQL_AUDITING_CLIENT_TEMPLATE.FAT&amp;display_string=Audit&amp;VAR:KEY=RMZGBYTERU&amp;VAR:QUERY=RkZfRElWX1lMRChBTk4sNi8xOS8wOCw2LzE5LzA4KQ==&amp;WINDOW=FIRST_POPUP&amp;HEIGHT=450&amp;WIDTH=450&amp;","START_MAXIMIZED=FALSE&amp;VAR:CALENDAR=US&amp;VAR:SYMBOL=LO&amp;VAR:INDEX=0"}</definedName>
    <definedName name="_1191">#REF!</definedName>
    <definedName name="_1191__FDSAUDITLINK__" localSheetId="0"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1__FDSAUDITLINK__" hidden="1">{"fdsup://directions/FAT Viewer?action=UPDATE&amp;creator=factset&amp;DYN_ARGS=TRUE&amp;DOC_NAME=FAT:FQL_AUDITING_CLIENT_TEMPLATE.FAT&amp;display_string=Audit&amp;VAR:KEY=PSNQNEHKJI&amp;VAR:QUERY=RkZfRElWX1lMRChBTk4sNi8xMi8wOCw2LzEyLzA4KQ==&amp;WINDOW=FIRST_POPUP&amp;HEIGHT=450&amp;WIDTH=450&amp;","START_MAXIMIZED=FALSE&amp;VAR:CALENDAR=US&amp;VAR:SYMBOL=LO&amp;VAR:INDEX=0"}</definedName>
    <definedName name="_1192">#REF!</definedName>
    <definedName name="_1192__FDSAUDITLINK__" localSheetId="0"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2__FDSAUDITLINK__" hidden="1">{"fdsup://directions/FAT Viewer?action=UPDATE&amp;creator=factset&amp;DYN_ARGS=TRUE&amp;DOC_NAME=FAT:FQL_AUDITING_CLIENT_TEMPLATE.FAT&amp;display_string=Audit&amp;VAR:KEY=HIPELSHODE&amp;VAR:QUERY=RkZfRElWX1lMRChBTk4sNi8wNS8wOCw2LzA1LzA4KQ==&amp;WINDOW=FIRST_POPUP&amp;HEIGHT=450&amp;WIDTH=450&amp;","START_MAXIMIZED=FALSE&amp;VAR:CALENDAR=US&amp;VAR:SYMBOL=LO&amp;VAR:INDEX=0"}</definedName>
    <definedName name="_1193">#REF!</definedName>
    <definedName name="_1193__FDSAUDITLINK__" localSheetId="0"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3__FDSAUDITLINK__" hidden="1">{"fdsup://directions/FAT Viewer?action=UPDATE&amp;creator=factset&amp;DYN_ARGS=TRUE&amp;DOC_NAME=FAT:FQL_AUDITING_CLIENT_TEMPLATE.FAT&amp;display_string=Audit&amp;VAR:KEY=RGVAVOZSFE&amp;VAR:QUERY=RkZfRElWX1lMRChBTk4sNS8yOS8wOCw1LzI5LzA4KQ==&amp;WINDOW=FIRST_POPUP&amp;HEIGHT=450&amp;WIDTH=450&amp;","START_MAXIMIZED=FALSE&amp;VAR:CALENDAR=US&amp;VAR:SYMBOL=LO&amp;VAR:INDEX=0"}</definedName>
    <definedName name="_1194">#REF!</definedName>
    <definedName name="_1194__FDSAUDITLINK__" localSheetId="0"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4__FDSAUDITLINK__" hidden="1">{"fdsup://directions/FAT Viewer?action=UPDATE&amp;creator=factset&amp;DYN_ARGS=TRUE&amp;DOC_NAME=FAT:FQL_AUDITING_CLIENT_TEMPLATE.FAT&amp;display_string=Audit&amp;VAR:KEY=HYFAPMVGNK&amp;VAR:QUERY=RkZfRElWX1lMRChBTk4sNS8yMi8wOCw1LzIyLzA4KQ==&amp;WINDOW=FIRST_POPUP&amp;HEIGHT=450&amp;WIDTH=450&amp;","START_MAXIMIZED=FALSE&amp;VAR:CALENDAR=US&amp;VAR:SYMBOL=LO&amp;VAR:INDEX=0"}</definedName>
    <definedName name="_1195">#REF!</definedName>
    <definedName name="_1195__FDSAUDITLINK__" localSheetId="0"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5__FDSAUDITLINK__" hidden="1">{"fdsup://directions/FAT Viewer?action=UPDATE&amp;creator=factset&amp;DYN_ARGS=TRUE&amp;DOC_NAME=FAT:FQL_AUDITING_CLIENT_TEMPLATE.FAT&amp;display_string=Audit&amp;VAR:KEY=NYFGLGRQVI&amp;VAR:QUERY=RkZfRElWX1lMRChBTk4sNS8xNS8wOCw1LzE1LzA4KQ==&amp;WINDOW=FIRST_POPUP&amp;HEIGHT=450&amp;WIDTH=450&amp;","START_MAXIMIZED=FALSE&amp;VAR:CALENDAR=US&amp;VAR:SYMBOL=LO&amp;VAR:INDEX=0"}</definedName>
    <definedName name="_1196">#REF!</definedName>
    <definedName name="_1196__FDSAUDITLINK__" localSheetId="0"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6__FDSAUDITLINK__" hidden="1">{"fdsup://directions/FAT Viewer?action=UPDATE&amp;creator=factset&amp;DYN_ARGS=TRUE&amp;DOC_NAME=FAT:FQL_AUDITING_CLIENT_TEMPLATE.FAT&amp;display_string=Audit&amp;VAR:KEY=NMZWFKNYZW&amp;VAR:QUERY=RkZfRElWX1lMRChBTk4sNS8wOC8wOCw1LzA4LzA4KQ==&amp;WINDOW=FIRST_POPUP&amp;HEIGHT=450&amp;WIDTH=450&amp;","START_MAXIMIZED=FALSE&amp;VAR:CALENDAR=US&amp;VAR:SYMBOL=LO&amp;VAR:INDEX=0"}</definedName>
    <definedName name="_1197">#REF!</definedName>
    <definedName name="_1197__FDSAUDITLINK__" localSheetId="0"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7__FDSAUDITLINK__" hidden="1">{"fdsup://directions/FAT Viewer?action=UPDATE&amp;creator=factset&amp;DYN_ARGS=TRUE&amp;DOC_NAME=FAT:FQL_AUDITING_CLIENT_TEMPLATE.FAT&amp;display_string=Audit&amp;VAR:KEY=NGFWRWTYRU&amp;VAR:QUERY=RkZfRElWX1lMRChBTk4sNS8wMS8wOCw1LzAxLzA4KQ==&amp;WINDOW=FIRST_POPUP&amp;HEIGHT=450&amp;WIDTH=450&amp;","START_MAXIMIZED=FALSE&amp;VAR:CALENDAR=US&amp;VAR:SYMBOL=LO&amp;VAR:INDEX=0"}</definedName>
    <definedName name="_1198">#REF!</definedName>
    <definedName name="_1198__FDSAUDITLINK__" localSheetId="0"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8__FDSAUDITLINK__" hidden="1">{"fdsup://directions/FAT Viewer?action=UPDATE&amp;creator=factset&amp;DYN_ARGS=TRUE&amp;DOC_NAME=FAT:FQL_AUDITING_CLIENT_TEMPLATE.FAT&amp;display_string=Audit&amp;VAR:KEY=ZQLILAPAHK&amp;VAR:QUERY=RkZfRElWX1lMRChBTk4sNC8yNC8wOCw0LzI0LzA4KQ==&amp;WINDOW=FIRST_POPUP&amp;HEIGHT=450&amp;WIDTH=450&amp;","START_MAXIMIZED=FALSE&amp;VAR:CALENDAR=US&amp;VAR:SYMBOL=LO&amp;VAR:INDEX=0"}</definedName>
    <definedName name="_1199__FDSAUDITLINK__" localSheetId="0"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99__FDSAUDITLINK__" hidden="1">{"fdsup://directions/FAT Viewer?action=UPDATE&amp;creator=factset&amp;DYN_ARGS=TRUE&amp;DOC_NAME=FAT:FQL_AUDITING_CLIENT_TEMPLATE.FAT&amp;display_string=Audit&amp;VAR:KEY=DIJWDKJEJY&amp;VAR:QUERY=RkZfRElWX1lMRChBTk4sNC8xNy8wOCw0LzE3LzA4KQ==&amp;WINDOW=FIRST_POPUP&amp;HEIGHT=450&amp;WIDTH=450&amp;","START_MAXIMIZED=FALSE&amp;VAR:CALENDAR=US&amp;VAR:SYMBOL=LO&amp;VAR:INDEX=0"}</definedName>
    <definedName name="_11s13_" hidden="1">{#N/A,#N/A,FALSE,"UNIT";#N/A,#N/A,FALSE,"UNIT";#N/A,#N/A,FALSE,"계정"}</definedName>
    <definedName name="_11s16_" hidden="1">{#N/A,#N/A,FALSE,"UNIT";#N/A,#N/A,FALSE,"UNIT";#N/A,#N/A,FALSE,"계정"}</definedName>
    <definedName name="_11s17_" hidden="1">{#N/A,#N/A,FALSE,"UNIT";#N/A,#N/A,FALSE,"UNIT";#N/A,#N/A,FALSE,"계정"}</definedName>
    <definedName name="_11Table2_" hidden="1">#REF!</definedName>
    <definedName name="_11Z04_">#REF!</definedName>
    <definedName name="_12">#REF!</definedName>
    <definedName name="_12_????_3">#REF!</definedName>
    <definedName name="_12_????1_3">#REF!</definedName>
    <definedName name="_12_??1???_3">#REF!</definedName>
    <definedName name="_12___________P_L">#REF!</definedName>
    <definedName name="_12__123Graph_AChart_1A" hidden="1">#REF!</definedName>
    <definedName name="_12__123Graph_ACHART_3" hidden="1">#REF!</definedName>
    <definedName name="_12__123Graph_AChart_4I">#REF!</definedName>
    <definedName name="_12__123Graph_AQRE_S_BY_CO.">#REF!</definedName>
    <definedName name="_12__123Graph_ASENS_COMPARISON">#REF!</definedName>
    <definedName name="_12__123Graph_ASUPPLIES_BY_B_U">#REF!</definedName>
    <definedName name="_12__123Graph_AWAGES_BY_B_U">#REF!</definedName>
    <definedName name="_12__123Graph_BCHART_3">#REF!</definedName>
    <definedName name="_12__123Graph_BCONTRACT_BY_B_U">#REF!</definedName>
    <definedName name="_12__123Graph_BSENS_COMPARISON" hidden="1">#REF!</definedName>
    <definedName name="_12__123Graph_BSUPPLIES_BY_B_U">#REF!</definedName>
    <definedName name="_12__123Graph_BTAX_CREDIT">#REF!</definedName>
    <definedName name="_12__123Graph_BWAGES_BY_B_U">#REF!</definedName>
    <definedName name="_12__123Graph_XSALES_PIE" hidden="1">#REF!</definedName>
    <definedName name="_12__FDSAUDITLINK__" localSheetId="0"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_FDSAUDITLINK__" hidden="1">{"fdsup://directions/FAT Viewer?action=UPDATE&amp;creator=factset&amp;DYN_ARGS=TRUE&amp;DOC_NAME=FAT:FQL_AUDITING_CLIENT_TEMPLATE.FAT&amp;display_string=Audit&amp;VAR:KEY=OZSHCXKXWB&amp;VAR:QUERY=Q1NGX0RJVl9ZTEQoUVRSX1IsMy8zMS8yMDA4KQ==&amp;WINDOW=FIRST_POPUP&amp;HEIGHT=450&amp;WIDTH=450&amp;STAR","T_MAXIMIZED=FALSE&amp;VAR:CALENDAR=US&amp;VAR:SYMBOL=MO&amp;VAR:INDEX=0"}</definedName>
    <definedName name="_12_0_0_MatInverse" hidden="1">#REF!</definedName>
    <definedName name="_12_0_0PROJECT_O">#REF!</definedName>
    <definedName name="_12_0_S">#REF!</definedName>
    <definedName name="_12_0_Table2_" hidden="1">#REF!</definedName>
    <definedName name="_12_06_1999">#REF!</definedName>
    <definedName name="_120" hidden="1">#REF!</definedName>
    <definedName name="_120__123Graph_DSUPPLIES_BY_B_U">#REF!</definedName>
    <definedName name="_120__123Graph_XCHART_4">#REF!</definedName>
    <definedName name="_120__123Graph_XCONTRACT_BY_B_U">#REF!</definedName>
    <definedName name="_120__FDSAUDITLINK__" localSheetId="0"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__FDSAUDITLINK__" hidden="1">{"fdsup://directions/FAT Viewer?action=UPDATE&amp;creator=factset&amp;DYN_ARGS=TRUE&amp;DOC_NAME=FAT:FQL_AUDITING_CLIENT_TEMPLATE.FAT&amp;display_string=Audit&amp;VAR:KEY=VKBUFWXEBE&amp;VAR:QUERY=RkZfRElWX1lMRChBTk4sMTIvMTgvMDgsMTIvMTgvMDgp&amp;WINDOW=FIRST_POPUP&amp;HEIGHT=450&amp;WIDTH=450&amp;","START_MAXIMIZED=FALSE&amp;VAR:CALENDAR=US&amp;VAR:SYMBOL=RAI&amp;VAR:INDEX=0"}</definedName>
    <definedName name="_1200__FDSAUDITLINK__" localSheetId="0"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0__FDSAUDITLINK__" hidden="1">{"fdsup://directions/FAT Viewer?action=UPDATE&amp;creator=factset&amp;DYN_ARGS=TRUE&amp;DOC_NAME=FAT:FQL_AUDITING_CLIENT_TEMPLATE.FAT&amp;display_string=Audit&amp;VAR:KEY=LCZERYPEZW&amp;VAR:QUERY=RkZfRElWX1lMRChBTk4sNC8xMC8wOCw0LzEwLzA4KQ==&amp;WINDOW=FIRST_POPUP&amp;HEIGHT=450&amp;WIDTH=450&amp;","START_MAXIMIZED=FALSE&amp;VAR:CALENDAR=US&amp;VAR:SYMBOL=LO&amp;VAR:INDEX=0"}</definedName>
    <definedName name="_1201__FDSAUDITLINK__" localSheetId="0"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1__FDSAUDITLINK__" hidden="1">{"fdsup://directions/FAT Viewer?action=UPDATE&amp;creator=factset&amp;DYN_ARGS=TRUE&amp;DOC_NAME=FAT:FQL_AUDITING_CLIENT_TEMPLATE.FAT&amp;display_string=Audit&amp;VAR:KEY=XSXCXWXUBG&amp;VAR:QUERY=RkZfRElWX1lMRChBTk4sNC8wMy8wOCw0LzAzLzA4KQ==&amp;WINDOW=FIRST_POPUP&amp;HEIGHT=450&amp;WIDTH=450&amp;","START_MAXIMIZED=FALSE&amp;VAR:CALENDAR=US&amp;VAR:SYMBOL=LO&amp;VAR:INDEX=0"}</definedName>
    <definedName name="_1202">#REF!</definedName>
    <definedName name="_1202__FDSAUDITLINK__" localSheetId="0"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2__FDSAUDITLINK__" hidden="1">{"fdsup://directions/FAT Viewer?action=UPDATE&amp;creator=factset&amp;DYN_ARGS=TRUE&amp;DOC_NAME=FAT:FQL_AUDITING_CLIENT_TEMPLATE.FAT&amp;display_string=Audit&amp;VAR:KEY=DIXMZGJAZC&amp;VAR:QUERY=RkZfRElWX1lMRChBTk4sMy8yNy8wOCwzLzI3LzA4KQ==&amp;WINDOW=FIRST_POPUP&amp;HEIGHT=450&amp;WIDTH=450&amp;","START_MAXIMIZED=FALSE&amp;VAR:CALENDAR=US&amp;VAR:SYMBOL=LO&amp;VAR:INDEX=0"}</definedName>
    <definedName name="_1203__FDSAUDITLINK__" localSheetId="0"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3__FDSAUDITLINK__" hidden="1">{"fdsup://directions/FAT Viewer?action=UPDATE&amp;creator=factset&amp;DYN_ARGS=TRUE&amp;DOC_NAME=FAT:FQL_AUDITING_CLIENT_TEMPLATE.FAT&amp;display_string=Audit&amp;VAR:KEY=ZSZMVQDMNK&amp;VAR:QUERY=RkZfRElWX1lMRChBTk4sMy8yMC8wOCwzLzIwLzA4KQ==&amp;WINDOW=FIRST_POPUP&amp;HEIGHT=450&amp;WIDTH=450&amp;","START_MAXIMIZED=FALSE&amp;VAR:CALENDAR=US&amp;VAR:SYMBOL=LO&amp;VAR:INDEX=0"}</definedName>
    <definedName name="_1204__FDSAUDITLINK__" localSheetId="0"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4__FDSAUDITLINK__" hidden="1">{"fdsup://directions/FAT Viewer?action=UPDATE&amp;creator=factset&amp;DYN_ARGS=TRUE&amp;DOC_NAME=FAT:FQL_AUDITING_CLIENT_TEMPLATE.FAT&amp;display_string=Audit&amp;VAR:KEY=DGTQZSXOJS&amp;VAR:QUERY=RkZfRElWX1lMRChBTk4sMy8xMy8wOCwzLzEzLzA4KQ==&amp;WINDOW=FIRST_POPUP&amp;HEIGHT=450&amp;WIDTH=450&amp;","START_MAXIMIZED=FALSE&amp;VAR:CALENDAR=US&amp;VAR:SYMBOL=LO&amp;VAR:INDEX=0"}</definedName>
    <definedName name="_1205__FDSAUDITLINK__" localSheetId="0"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5__FDSAUDITLINK__" hidden="1">{"fdsup://directions/FAT Viewer?action=UPDATE&amp;creator=factset&amp;DYN_ARGS=TRUE&amp;DOC_NAME=FAT:FQL_AUDITING_CLIENT_TEMPLATE.FAT&amp;display_string=Audit&amp;VAR:KEY=BKFWBUPKLQ&amp;VAR:QUERY=RkZfRElWX1lMRChBTk4sMy8wNi8wOCwzLzA2LzA4KQ==&amp;WINDOW=FIRST_POPUP&amp;HEIGHT=450&amp;WIDTH=450&amp;","START_MAXIMIZED=FALSE&amp;VAR:CALENDAR=US&amp;VAR:SYMBOL=LO&amp;VAR:INDEX=0"}</definedName>
    <definedName name="_1206__FDSAUDITLINK__" localSheetId="0"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6__FDSAUDITLINK__" hidden="1">{"fdsup://directions/FAT Viewer?action=UPDATE&amp;creator=factset&amp;DYN_ARGS=TRUE&amp;DOC_NAME=FAT:FQL_AUDITING_CLIENT_TEMPLATE.FAT&amp;display_string=Audit&amp;VAR:KEY=VWDQBAXELA&amp;VAR:QUERY=RkZfRElWX1lMRChBTk4sMi8yOC8wOCwyLzI4LzA4KQ==&amp;WINDOW=FIRST_POPUP&amp;HEIGHT=450&amp;WIDTH=450&amp;","START_MAXIMIZED=FALSE&amp;VAR:CALENDAR=US&amp;VAR:SYMBOL=LO&amp;VAR:INDEX=0"}</definedName>
    <definedName name="_1207">#REF!</definedName>
    <definedName name="_1207__FDSAUDITLINK__" localSheetId="0"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7__FDSAUDITLINK__" hidden="1">{"fdsup://directions/FAT Viewer?action=UPDATE&amp;creator=factset&amp;DYN_ARGS=TRUE&amp;DOC_NAME=FAT:FQL_AUDITING_CLIENT_TEMPLATE.FAT&amp;display_string=Audit&amp;VAR:KEY=ZGDGTWPGDK&amp;VAR:QUERY=RkZfRElWX1lMRChBTk4sMi8yMS8wOCwyLzIxLzA4KQ==&amp;WINDOW=FIRST_POPUP&amp;HEIGHT=450&amp;WIDTH=450&amp;","START_MAXIMIZED=FALSE&amp;VAR:CALENDAR=US&amp;VAR:SYMBOL=LO&amp;VAR:INDEX=0"}</definedName>
    <definedName name="_1208__FDSAUDITLINK__" localSheetId="0"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8__FDSAUDITLINK__" hidden="1">{"fdsup://directions/FAT Viewer?action=UPDATE&amp;creator=factset&amp;DYN_ARGS=TRUE&amp;DOC_NAME=FAT:FQL_AUDITING_CLIENT_TEMPLATE.FAT&amp;display_string=Audit&amp;VAR:KEY=RQPEFWDORU&amp;VAR:QUERY=RkZfRElWX1lMRChBTk4sMi8xNC8wOCwyLzE0LzA4KQ==&amp;WINDOW=FIRST_POPUP&amp;HEIGHT=450&amp;WIDTH=450&amp;","START_MAXIMIZED=FALSE&amp;VAR:CALENDAR=US&amp;VAR:SYMBOL=LO&amp;VAR:INDEX=0"}</definedName>
    <definedName name="_1209__FDSAUDITLINK__" localSheetId="0"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09__FDSAUDITLINK__" hidden="1">{"fdsup://directions/FAT Viewer?action=UPDATE&amp;creator=factset&amp;DYN_ARGS=TRUE&amp;DOC_NAME=FAT:FQL_AUDITING_CLIENT_TEMPLATE.FAT&amp;display_string=Audit&amp;VAR:KEY=LEJOVUTMDU&amp;VAR:QUERY=RkZfRElWX1lMRChBTk4sMi8wNy8wOCwyLzA3LzA4KQ==&amp;WINDOW=FIRST_POPUP&amp;HEIGHT=450&amp;WIDTH=450&amp;","START_MAXIMIZED=FALSE&amp;VAR:CALENDAR=US&amp;VAR:SYMBOL=LO&amp;VAR:INDEX=0"}</definedName>
    <definedName name="_121">#REF!</definedName>
    <definedName name="_121__123Graph_DSUPPLIES_BY_B_U">#REF!</definedName>
    <definedName name="_121__123Graph_ESUPPLIES_BY_B_U">#REF!</definedName>
    <definedName name="_121__FDSAUDITLINK__" localSheetId="0"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__FDSAUDITLINK__" hidden="1">{"fdsup://directions/FAT Viewer?action=UPDATE&amp;creator=factset&amp;DYN_ARGS=TRUE&amp;DOC_NAME=FAT:FQL_AUDITING_CLIENT_TEMPLATE.FAT&amp;display_string=Audit&amp;VAR:KEY=VUPONWBMPC&amp;VAR:QUERY=RkZfRElWX1lMRChBTk4sMTIvMTEvMDgsMTIvMTEvMDgp&amp;WINDOW=FIRST_POPUP&amp;HEIGHT=450&amp;WIDTH=450&amp;","START_MAXIMIZED=FALSE&amp;VAR:CALENDAR=US&amp;VAR:SYMBOL=RAI&amp;VAR:INDEX=0"}</definedName>
    <definedName name="_1210__FDSAUDITLINK__" localSheetId="0"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0__FDSAUDITLINK__" hidden="1">{"fdsup://directions/FAT Viewer?action=UPDATE&amp;creator=factset&amp;DYN_ARGS=TRUE&amp;DOC_NAME=FAT:FQL_AUDITING_CLIENT_TEMPLATE.FAT&amp;display_string=Audit&amp;VAR:KEY=FCDKPGJOBU&amp;VAR:QUERY=RkZfRElWX1lMRChBTk4sMS8zMS8wOCwxLzMxLzA4KQ==&amp;WINDOW=FIRST_POPUP&amp;HEIGHT=450&amp;WIDTH=450&amp;","START_MAXIMIZED=FALSE&amp;VAR:CALENDAR=US&amp;VAR:SYMBOL=LO&amp;VAR:INDEX=0"}</definedName>
    <definedName name="_1211__FDSAUDITLINK__" localSheetId="0"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1__FDSAUDITLINK__" hidden="1">{"fdsup://directions/FAT Viewer?action=UPDATE&amp;creator=factset&amp;DYN_ARGS=TRUE&amp;DOC_NAME=FAT:FQL_AUDITING_CLIENT_TEMPLATE.FAT&amp;display_string=Audit&amp;VAR:KEY=VULQJULSFA&amp;VAR:QUERY=RkZfRElWX1lMRChBTk4sMS8yNC8wOCwxLzI0LzA4KQ==&amp;WINDOW=FIRST_POPUP&amp;HEIGHT=450&amp;WIDTH=450&amp;","START_MAXIMIZED=FALSE&amp;VAR:CALENDAR=US&amp;VAR:SYMBOL=LO&amp;VAR:INDEX=0"}</definedName>
    <definedName name="_1212__FDSAUDITLINK__" localSheetId="0"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2__FDSAUDITLINK__" hidden="1">{"fdsup://directions/FAT Viewer?action=UPDATE&amp;creator=factset&amp;DYN_ARGS=TRUE&amp;DOC_NAME=FAT:FQL_AUDITING_CLIENT_TEMPLATE.FAT&amp;display_string=Audit&amp;VAR:KEY=BWHIFYZUVC&amp;VAR:QUERY=RkZfRElWX1lMRChBTk4sMS8xNy8wOCwxLzE3LzA4KQ==&amp;WINDOW=FIRST_POPUP&amp;HEIGHT=450&amp;WIDTH=450&amp;","START_MAXIMIZED=FALSE&amp;VAR:CALENDAR=US&amp;VAR:SYMBOL=LO&amp;VAR:INDEX=0"}</definedName>
    <definedName name="_1213__FDSAUDITLINK__" localSheetId="0"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3__FDSAUDITLINK__" hidden="1">{"fdsup://directions/FAT Viewer?action=UPDATE&amp;creator=factset&amp;DYN_ARGS=TRUE&amp;DOC_NAME=FAT:FQL_AUDITING_CLIENT_TEMPLATE.FAT&amp;display_string=Audit&amp;VAR:KEY=HEXETEHUXQ&amp;VAR:QUERY=RkZfRElWX1lMRChBTk4sMS8xMC8wOCwxLzEwLzA4KQ==&amp;WINDOW=FIRST_POPUP&amp;HEIGHT=450&amp;WIDTH=450&amp;","START_MAXIMIZED=FALSE&amp;VAR:CALENDAR=US&amp;VAR:SYMBOL=LO&amp;VAR:INDEX=0"}</definedName>
    <definedName name="_1214__FDSAUDITLINK__" localSheetId="0"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4__FDSAUDITLINK__" hidden="1">{"fdsup://directions/FAT Viewer?action=UPDATE&amp;creator=factset&amp;DYN_ARGS=TRUE&amp;DOC_NAME=FAT:FQL_AUDITING_CLIENT_TEMPLATE.FAT&amp;display_string=Audit&amp;VAR:KEY=DCPUFIRARE&amp;VAR:QUERY=RkZfRElWX1lMRChBTk4sMS8wMy8wOCwxLzAzLzA4KQ==&amp;WINDOW=FIRST_POPUP&amp;HEIGHT=450&amp;WIDTH=450&amp;","START_MAXIMIZED=FALSE&amp;VAR:CALENDAR=US&amp;VAR:SYMBOL=LO&amp;VAR:INDEX=0"}</definedName>
    <definedName name="_1215">#REF!</definedName>
    <definedName name="_1215__FDSAUDITLINK__" localSheetId="0"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5__FDSAUDITLINK__" hidden="1">{"fdsup://directions/FAT Viewer?action=UPDATE&amp;creator=factset&amp;DYN_ARGS=TRUE&amp;DOC_NAME=FAT:FQL_AUDITING_CLIENT_TEMPLATE.FAT&amp;display_string=Audit&amp;VAR:KEY=HGZIVYZMRS&amp;VAR:QUERY=RkZfRElWX1lMRChBTk4sMTIvMjcvMDcsMTIvMjcvMDcp&amp;WINDOW=FIRST_POPUP&amp;HEIGHT=450&amp;WIDTH=450&amp;","START_MAXIMIZED=FALSE&amp;VAR:CALENDAR=US&amp;VAR:SYMBOL=LO&amp;VAR:INDEX=0"}</definedName>
    <definedName name="_1216__FDSAUDITLINK__" localSheetId="0"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6__FDSAUDITLINK__" hidden="1">{"fdsup://directions/FAT Viewer?action=UPDATE&amp;creator=factset&amp;DYN_ARGS=TRUE&amp;DOC_NAME=FAT:FQL_AUDITING_CLIENT_TEMPLATE.FAT&amp;display_string=Audit&amp;VAR:KEY=LCDMJQBKHS&amp;VAR:QUERY=RkZfRElWX1lMRChBTk4sMTIvMjAvMDcsMTIvMjAvMDcp&amp;WINDOW=FIRST_POPUP&amp;HEIGHT=450&amp;WIDTH=450&amp;","START_MAXIMIZED=FALSE&amp;VAR:CALENDAR=US&amp;VAR:SYMBOL=LO&amp;VAR:INDEX=0"}</definedName>
    <definedName name="_1217__FDSAUDITLINK__" localSheetId="0"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7__FDSAUDITLINK__" hidden="1">{"fdsup://directions/FAT Viewer?action=UPDATE&amp;creator=factset&amp;DYN_ARGS=TRUE&amp;DOC_NAME=FAT:FQL_AUDITING_CLIENT_TEMPLATE.FAT&amp;display_string=Audit&amp;VAR:KEY=PEBERIDSHA&amp;VAR:QUERY=RkZfRElWX1lMRChBTk4sMTIvMTMvMDcsMTIvMTMvMDcp&amp;WINDOW=FIRST_POPUP&amp;HEIGHT=450&amp;WIDTH=450&amp;","START_MAXIMIZED=FALSE&amp;VAR:CALENDAR=US&amp;VAR:SYMBOL=LO&amp;VAR:INDEX=0"}</definedName>
    <definedName name="_1218__FDSAUDITLINK__" localSheetId="0"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8__FDSAUDITLINK__" hidden="1">{"fdsup://directions/FAT Viewer?action=UPDATE&amp;creator=factset&amp;DYN_ARGS=TRUE&amp;DOC_NAME=FAT:FQL_AUDITING_CLIENT_TEMPLATE.FAT&amp;display_string=Audit&amp;VAR:KEY=NGNQBANWHC&amp;VAR:QUERY=RkZfRElWX1lMRChBTk4sMTIvMDYvMDcsMTIvMDYvMDcp&amp;WINDOW=FIRST_POPUP&amp;HEIGHT=450&amp;WIDTH=450&amp;","START_MAXIMIZED=FALSE&amp;VAR:CALENDAR=US&amp;VAR:SYMBOL=LO&amp;VAR:INDEX=0"}</definedName>
    <definedName name="_1219">#REF!</definedName>
    <definedName name="_1219__FDSAUDITLINK__" localSheetId="0"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19__FDSAUDITLINK__" hidden="1">{"fdsup://directions/FAT Viewer?action=UPDATE&amp;creator=factset&amp;DYN_ARGS=TRUE&amp;DOC_NAME=FAT:FQL_AUDITING_CLIENT_TEMPLATE.FAT&amp;display_string=Audit&amp;VAR:KEY=TKTMHIJQZI&amp;VAR:QUERY=RkZfRElWX1lMRChBTk4sMTEvMjkvMDcsMTEvMjkvMDcp&amp;WINDOW=FIRST_POPUP&amp;HEIGHT=450&amp;WIDTH=450&amp;","START_MAXIMIZED=FALSE&amp;VAR:CALENDAR=US&amp;VAR:SYMBOL=LO&amp;VAR:INDEX=0"}</definedName>
    <definedName name="_122__FDSAUDITLINK__" localSheetId="0"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__FDSAUDITLINK__" hidden="1">{"fdsup://directions/FAT Viewer?action=UPDATE&amp;creator=factset&amp;DYN_ARGS=TRUE&amp;DOC_NAME=FAT:FQL_AUDITING_CLIENT_TEMPLATE.FAT&amp;display_string=Audit&amp;VAR:KEY=ZGLWVCZOJS&amp;VAR:QUERY=RkZfRElWX1lMRChBTk4sMTIvMDQvMDgsMTIvMDQvMDgp&amp;WINDOW=FIRST_POPUP&amp;HEIGHT=450&amp;WIDTH=450&amp;","START_MAXIMIZED=FALSE&amp;VAR:CALENDAR=US&amp;VAR:SYMBOL=RAI&amp;VAR:INDEX=0"}</definedName>
    <definedName name="_1220__FDSAUDITLINK__" localSheetId="0"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0__FDSAUDITLINK__" hidden="1">{"fdsup://directions/FAT Viewer?action=UPDATE&amp;creator=factset&amp;DYN_ARGS=TRUE&amp;DOC_NAME=FAT:FQL_AUDITING_CLIENT_TEMPLATE.FAT&amp;display_string=Audit&amp;VAR:KEY=HWHCNSTQNU&amp;VAR:QUERY=RkZfRElWX1lMRChBTk4sMTEvMjEvMDcsMTEvMjEvMDcp&amp;WINDOW=FIRST_POPUP&amp;HEIGHT=450&amp;WIDTH=450&amp;","START_MAXIMIZED=FALSE&amp;VAR:CALENDAR=US&amp;VAR:SYMBOL=LO&amp;VAR:INDEX=0"}</definedName>
    <definedName name="_1221__FDSAUDITLINK__" localSheetId="0"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1__FDSAUDITLINK__" hidden="1">{"fdsup://directions/FAT Viewer?action=UPDATE&amp;creator=factset&amp;DYN_ARGS=TRUE&amp;DOC_NAME=FAT:FQL_AUDITING_CLIENT_TEMPLATE.FAT&amp;display_string=Audit&amp;VAR:KEY=JIDILIBGBM&amp;VAR:QUERY=RkZfRElWX1lMRChBTk4sMTEvMTUvMDcsMTEvMTUvMDcp&amp;WINDOW=FIRST_POPUP&amp;HEIGHT=450&amp;WIDTH=450&amp;","START_MAXIMIZED=FALSE&amp;VAR:CALENDAR=US&amp;VAR:SYMBOL=LO&amp;VAR:INDEX=0"}</definedName>
    <definedName name="_1222">#REF!</definedName>
    <definedName name="_1222__FDSAUDITLINK__" localSheetId="0"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2__FDSAUDITLINK__" hidden="1">{"fdsup://directions/FAT Viewer?action=UPDATE&amp;creator=factset&amp;DYN_ARGS=TRUE&amp;DOC_NAME=FAT:FQL_AUDITING_CLIENT_TEMPLATE.FAT&amp;display_string=Audit&amp;VAR:KEY=PATETYFAXA&amp;VAR:QUERY=RkZfRElWX1lMRChBTk4sMTEvMDgvMDcsMTEvMDgvMDcp&amp;WINDOW=FIRST_POPUP&amp;HEIGHT=450&amp;WIDTH=450&amp;","START_MAXIMIZED=FALSE&amp;VAR:CALENDAR=US&amp;VAR:SYMBOL=LO&amp;VAR:INDEX=0"}</definedName>
    <definedName name="_1223">#REF!</definedName>
    <definedName name="_1223__FDSAUDITLINK__" localSheetId="0"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3__FDSAUDITLINK__" hidden="1">{"fdsup://directions/FAT Viewer?action=UPDATE&amp;creator=factset&amp;DYN_ARGS=TRUE&amp;DOC_NAME=FAT:FQL_AUDITING_CLIENT_TEMPLATE.FAT&amp;display_string=Audit&amp;VAR:KEY=HEXIRSNEBE&amp;VAR:QUERY=RkZfRElWX1lMRChBTk4sMTEvMDEvMDcsMTEvMDEvMDcp&amp;WINDOW=FIRST_POPUP&amp;HEIGHT=450&amp;WIDTH=450&amp;","START_MAXIMIZED=FALSE&amp;VAR:CALENDAR=US&amp;VAR:SYMBOL=LO&amp;VAR:INDEX=0"}</definedName>
    <definedName name="_1224">#REF!</definedName>
    <definedName name="_1224__FDSAUDITLINK__" localSheetId="0"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4__FDSAUDITLINK__" hidden="1">{"fdsup://directions/FAT Viewer?action=UPDATE&amp;creator=factset&amp;DYN_ARGS=TRUE&amp;DOC_NAME=FAT:FQL_AUDITING_CLIENT_TEMPLATE.FAT&amp;display_string=Audit&amp;VAR:KEY=FQFCNQLEPG&amp;VAR:QUERY=RkZfRElWX1lMRChBTk4sMTAvMjUvMDcsMTAvMjUvMDcp&amp;WINDOW=FIRST_POPUP&amp;HEIGHT=450&amp;WIDTH=450&amp;","START_MAXIMIZED=FALSE&amp;VAR:CALENDAR=US&amp;VAR:SYMBOL=LO&amp;VAR:INDEX=0"}</definedName>
    <definedName name="_1225">#REF!</definedName>
    <definedName name="_1225__FDSAUDITLINK__" localSheetId="0"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5__FDSAUDITLINK__" hidden="1">{"fdsup://directions/FAT Viewer?action=UPDATE&amp;creator=factset&amp;DYN_ARGS=TRUE&amp;DOC_NAME=FAT:FQL_AUDITING_CLIENT_TEMPLATE.FAT&amp;display_string=Audit&amp;VAR:KEY=ZILKNQPSBK&amp;VAR:QUERY=RkZfRElWX1lMRChBTk4sMTAvMTgvMDcsMTAvMTgvMDcp&amp;WINDOW=FIRST_POPUP&amp;HEIGHT=450&amp;WIDTH=450&amp;","START_MAXIMIZED=FALSE&amp;VAR:CALENDAR=US&amp;VAR:SYMBOL=LO&amp;VAR:INDEX=0"}</definedName>
    <definedName name="_1226">#REF!</definedName>
    <definedName name="_1226__FDSAUDITLINK__" localSheetId="0"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6__FDSAUDITLINK__" hidden="1">{"fdsup://directions/FAT Viewer?action=UPDATE&amp;creator=factset&amp;DYN_ARGS=TRUE&amp;DOC_NAME=FAT:FQL_AUDITING_CLIENT_TEMPLATE.FAT&amp;display_string=Audit&amp;VAR:KEY=VOXIFUHQPE&amp;VAR:QUERY=RkZfRElWX1lMRChBTk4sMTAvMTEvMDcsMTAvMTEvMDcp&amp;WINDOW=FIRST_POPUP&amp;HEIGHT=450&amp;WIDTH=450&amp;","START_MAXIMIZED=FALSE&amp;VAR:CALENDAR=US&amp;VAR:SYMBOL=LO&amp;VAR:INDEX=0"}</definedName>
    <definedName name="_1227">#REF!</definedName>
    <definedName name="_1227__FDSAUDITLINK__" localSheetId="0"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7__FDSAUDITLINK__" hidden="1">{"fdsup://directions/FAT Viewer?action=UPDATE&amp;creator=factset&amp;DYN_ARGS=TRUE&amp;DOC_NAME=FAT:FQL_AUDITING_CLIENT_TEMPLATE.FAT&amp;display_string=Audit&amp;VAR:KEY=VEJUNIHSJG&amp;VAR:QUERY=RkZfRElWX1lMRChBTk4sMTAvMDQvMDcsMTAvMDQvMDcp&amp;WINDOW=FIRST_POPUP&amp;HEIGHT=450&amp;WIDTH=450&amp;","START_MAXIMIZED=FALSE&amp;VAR:CALENDAR=US&amp;VAR:SYMBOL=LO&amp;VAR:INDEX=0"}</definedName>
    <definedName name="_1228">#REF!</definedName>
    <definedName name="_1228__FDSAUDITLINK__" localSheetId="0"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8__FDSAUDITLINK__" hidden="1">{"fdsup://directions/FAT Viewer?action=UPDATE&amp;creator=factset&amp;DYN_ARGS=TRUE&amp;DOC_NAME=FAT:FQL_AUDITING_CLIENT_TEMPLATE.FAT&amp;display_string=Audit&amp;VAR:KEY=TWVKLSHGXK&amp;VAR:QUERY=RkZfRElWX1lMRChBTk4sOS8yNy8wNyw5LzI3LzA3KQ==&amp;WINDOW=FIRST_POPUP&amp;HEIGHT=450&amp;WIDTH=450&amp;","START_MAXIMIZED=FALSE&amp;VAR:CALENDAR=US&amp;VAR:SYMBOL=LO&amp;VAR:INDEX=0"}</definedName>
    <definedName name="_1229">#REF!</definedName>
    <definedName name="_1229__FDSAUDITLINK__" localSheetId="0"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29__FDSAUDITLINK__" hidden="1">{"fdsup://directions/FAT Viewer?action=UPDATE&amp;creator=factset&amp;DYN_ARGS=TRUE&amp;DOC_NAME=FAT:FQL_AUDITING_CLIENT_TEMPLATE.FAT&amp;display_string=Audit&amp;VAR:KEY=TYBCVCTAFK&amp;VAR:QUERY=RkZfRElWX1lMRChBTk4sOS8yMC8wNyw5LzIwLzA3KQ==&amp;WINDOW=FIRST_POPUP&amp;HEIGHT=450&amp;WIDTH=450&amp;","START_MAXIMIZED=FALSE&amp;VAR:CALENDAR=US&amp;VAR:SYMBOL=LO&amp;VAR:INDEX=0"}</definedName>
    <definedName name="_123">#REF!</definedName>
    <definedName name="_123__FDSAUDITLINK__" localSheetId="0"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__FDSAUDITLINK__" hidden="1">{"fdsup://directions/FAT Viewer?action=UPDATE&amp;creator=factset&amp;DYN_ARGS=TRUE&amp;DOC_NAME=FAT:FQL_AUDITING_CLIENT_TEMPLATE.FAT&amp;display_string=Audit&amp;VAR:KEY=XMXMBAFIJG&amp;VAR:QUERY=RkZfRElWX1lMRChBTk4sMTEvMjYvMDgsMTEvMjYvMDgp&amp;WINDOW=FIRST_POPUP&amp;HEIGHT=450&amp;WIDTH=450&amp;","START_MAXIMIZED=FALSE&amp;VAR:CALENDAR=US&amp;VAR:SYMBOL=RAI&amp;VAR:INDEX=0"}</definedName>
    <definedName name="_1230">#REF!</definedName>
    <definedName name="_1230__FDSAUDITLINK__" localSheetId="0"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0__FDSAUDITLINK__" hidden="1">{"fdsup://directions/FAT Viewer?action=UPDATE&amp;creator=factset&amp;DYN_ARGS=TRUE&amp;DOC_NAME=FAT:FQL_AUDITING_CLIENT_TEMPLATE.FAT&amp;display_string=Audit&amp;VAR:KEY=FWNUHENUFI&amp;VAR:QUERY=RkZfRElWX1lMRChBTk4sOS8xMy8wNyw5LzEzLzA3KQ==&amp;WINDOW=FIRST_POPUP&amp;HEIGHT=450&amp;WIDTH=450&amp;","START_MAXIMIZED=FALSE&amp;VAR:CALENDAR=US&amp;VAR:SYMBOL=LO&amp;VAR:INDEX=0"}</definedName>
    <definedName name="_1231">#REF!</definedName>
    <definedName name="_1231__FDSAUDITLINK__" localSheetId="0"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1__FDSAUDITLINK__" hidden="1">{"fdsup://directions/FAT Viewer?action=UPDATE&amp;creator=factset&amp;DYN_ARGS=TRUE&amp;DOC_NAME=FAT:FQL_AUDITING_CLIENT_TEMPLATE.FAT&amp;display_string=Audit&amp;VAR:KEY=ZQVGLOHCLM&amp;VAR:QUERY=RkZfRElWX1lMRChBTk4sOS8wNi8wNyw5LzA2LzA3KQ==&amp;WINDOW=FIRST_POPUP&amp;HEIGHT=450&amp;WIDTH=450&amp;","START_MAXIMIZED=FALSE&amp;VAR:CALENDAR=US&amp;VAR:SYMBOL=LO&amp;VAR:INDEX=0"}</definedName>
    <definedName name="_1232">#REF!</definedName>
    <definedName name="_1232__FDSAUDITLINK__" localSheetId="0"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2__FDSAUDITLINK__" hidden="1">{"fdsup://directions/FAT Viewer?action=UPDATE&amp;creator=factset&amp;DYN_ARGS=TRUE&amp;DOC_NAME=FAT:FQL_AUDITING_CLIENT_TEMPLATE.FAT&amp;display_string=Audit&amp;VAR:KEY=ZGTQNSHYPA&amp;VAR:QUERY=RkZfRElWX1lMRChBTk4sOC8zMC8wNyw4LzMwLzA3KQ==&amp;WINDOW=FIRST_POPUP&amp;HEIGHT=450&amp;WIDTH=450&amp;","START_MAXIMIZED=FALSE&amp;VAR:CALENDAR=US&amp;VAR:SYMBOL=LO&amp;VAR:INDEX=0"}</definedName>
    <definedName name="_1233">#REF!</definedName>
    <definedName name="_1233__FDSAUDITLINK__" localSheetId="0"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3__FDSAUDITLINK__" hidden="1">{"fdsup://directions/FAT Viewer?action=UPDATE&amp;creator=factset&amp;DYN_ARGS=TRUE&amp;DOC_NAME=FAT:FQL_AUDITING_CLIENT_TEMPLATE.FAT&amp;display_string=Audit&amp;VAR:KEY=PWLCDKFQNW&amp;VAR:QUERY=RkZfRElWX1lMRChBTk4sOC8yMy8wNyw4LzIzLzA3KQ==&amp;WINDOW=FIRST_POPUP&amp;HEIGHT=450&amp;WIDTH=450&amp;","START_MAXIMIZED=FALSE&amp;VAR:CALENDAR=US&amp;VAR:SYMBOL=LO&amp;VAR:INDEX=0"}</definedName>
    <definedName name="_1234">#REF!</definedName>
    <definedName name="_1234__FDSAUDITLINK__" localSheetId="0"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4__FDSAUDITLINK__" hidden="1">{"fdsup://directions/FAT Viewer?action=UPDATE&amp;creator=factset&amp;DYN_ARGS=TRUE&amp;DOC_NAME=FAT:FQL_AUDITING_CLIENT_TEMPLATE.FAT&amp;display_string=Audit&amp;VAR:KEY=XOTOJADALW&amp;VAR:QUERY=RkZfRElWX1lMRChBTk4sOC8xNi8wNyw4LzE2LzA3KQ==&amp;WINDOW=FIRST_POPUP&amp;HEIGHT=450&amp;WIDTH=450&amp;","START_MAXIMIZED=FALSE&amp;VAR:CALENDAR=US&amp;VAR:SYMBOL=LO&amp;VAR:INDEX=0"}</definedName>
    <definedName name="_1235">#REF!</definedName>
    <definedName name="_1235__FDSAUDITLINK__" localSheetId="0"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5__FDSAUDITLINK__" hidden="1">{"fdsup://directions/FAT Viewer?action=UPDATE&amp;creator=factset&amp;DYN_ARGS=TRUE&amp;DOC_NAME=FAT:FQL_AUDITING_CLIENT_TEMPLATE.FAT&amp;display_string=Audit&amp;VAR:KEY=ZCRSBCPWDM&amp;VAR:QUERY=RkZfRElWX1lMRChBTk4sOC8wOS8wNyw4LzA5LzA3KQ==&amp;WINDOW=FIRST_POPUP&amp;HEIGHT=450&amp;WIDTH=450&amp;","START_MAXIMIZED=FALSE&amp;VAR:CALENDAR=US&amp;VAR:SYMBOL=LO&amp;VAR:INDEX=0"}</definedName>
    <definedName name="_1236">#REF!</definedName>
    <definedName name="_1236__FDSAUDITLINK__" localSheetId="0"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6__FDSAUDITLINK__" hidden="1">{"fdsup://directions/FAT Viewer?action=UPDATE&amp;creator=factset&amp;DYN_ARGS=TRUE&amp;DOC_NAME=FAT:FQL_AUDITING_CLIENT_TEMPLATE.FAT&amp;display_string=Audit&amp;VAR:KEY=FGFSPYTSFI&amp;VAR:QUERY=RkZfRElWX1lMRChBTk4sOC8wMi8wNyw4LzAyLzA3KQ==&amp;WINDOW=FIRST_POPUP&amp;HEIGHT=450&amp;WIDTH=450&amp;","START_MAXIMIZED=FALSE&amp;VAR:CALENDAR=US&amp;VAR:SYMBOL=LO&amp;VAR:INDEX=0"}</definedName>
    <definedName name="_1237">#REF!</definedName>
    <definedName name="_1237__FDSAUDITLINK__" localSheetId="0"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7__FDSAUDITLINK__" hidden="1">{"fdsup://directions/FAT Viewer?action=UPDATE&amp;creator=factset&amp;DYN_ARGS=TRUE&amp;DOC_NAME=FAT:FQL_AUDITING_CLIENT_TEMPLATE.FAT&amp;display_string=Audit&amp;VAR:KEY=NGDSHMDKVM&amp;VAR:QUERY=RkZfRElWX1lMRChBTk4sNy8yNi8wNyw3LzI2LzA3KQ==&amp;WINDOW=FIRST_POPUP&amp;HEIGHT=450&amp;WIDTH=450&amp;","START_MAXIMIZED=FALSE&amp;VAR:CALENDAR=US&amp;VAR:SYMBOL=LO&amp;VAR:INDEX=0"}</definedName>
    <definedName name="_1238">#REF!</definedName>
    <definedName name="_1238__FDSAUDITLINK__" localSheetId="0"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8__FDSAUDITLINK__" hidden="1">{"fdsup://directions/FAT Viewer?action=UPDATE&amp;creator=factset&amp;DYN_ARGS=TRUE&amp;DOC_NAME=FAT:FQL_AUDITING_CLIENT_TEMPLATE.FAT&amp;display_string=Audit&amp;VAR:KEY=XUBGVSZWBK&amp;VAR:QUERY=RkZfRElWX1lMRChBTk4sNy8xOS8wNyw3LzE5LzA3KQ==&amp;WINDOW=FIRST_POPUP&amp;HEIGHT=450&amp;WIDTH=450&amp;","START_MAXIMIZED=FALSE&amp;VAR:CALENDAR=US&amp;VAR:SYMBOL=LO&amp;VAR:INDEX=0"}</definedName>
    <definedName name="_1239">#REF!</definedName>
    <definedName name="_1239__FDSAUDITLINK__" localSheetId="0"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9__FDSAUDITLINK__" hidden="1">{"fdsup://directions/FAT Viewer?action=UPDATE&amp;creator=factset&amp;DYN_ARGS=TRUE&amp;DOC_NAME=FAT:FQL_AUDITING_CLIENT_TEMPLATE.FAT&amp;display_string=Audit&amp;VAR:KEY=JGJMVYHCHO&amp;VAR:QUERY=RkZfRElWX1lMRChBTk4sNy8xMi8wNyw3LzEyLzA3KQ==&amp;WINDOW=FIRST_POPUP&amp;HEIGHT=450&amp;WIDTH=450&amp;","START_MAXIMIZED=FALSE&amp;VAR:CALENDAR=US&amp;VAR:SYMBOL=LO&amp;VAR:INDEX=0"}</definedName>
    <definedName name="_123Gra">#REF!</definedName>
    <definedName name="_123Graph">#REF!</definedName>
    <definedName name="_123Graph_E2">#REF!</definedName>
    <definedName name="_123Graph_E3">#REF!</definedName>
    <definedName name="_123Graph_F2">#REF!</definedName>
    <definedName name="_123Graph_F3">#REF!</definedName>
    <definedName name="_124__123Graph_XQRE_S_BY_CO.">#REF!</definedName>
    <definedName name="_124__FDSAUDITLINK__" localSheetId="0"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__FDSAUDITLINK__" hidden="1">{"fdsup://directions/FAT Viewer?action=UPDATE&amp;creator=factset&amp;DYN_ARGS=TRUE&amp;DOC_NAME=FAT:FQL_AUDITING_CLIENT_TEMPLATE.FAT&amp;display_string=Audit&amp;VAR:KEY=LQDCZQFSDW&amp;VAR:QUERY=RkZfRElWX1lMRChBTk4sMTEvMjAvMDgsMTEvMjAvMDgp&amp;WINDOW=FIRST_POPUP&amp;HEIGHT=450&amp;WIDTH=450&amp;","START_MAXIMIZED=FALSE&amp;VAR:CALENDAR=US&amp;VAR:SYMBOL=RAI&amp;VAR:INDEX=0"}</definedName>
    <definedName name="_1240">#REF!</definedName>
    <definedName name="_1240__FDSAUDITLINK__" localSheetId="0"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0__FDSAUDITLINK__" hidden="1">{"fdsup://directions/FAT Viewer?action=UPDATE&amp;creator=factset&amp;DYN_ARGS=TRUE&amp;DOC_NAME=FAT:FQL_AUDITING_CLIENT_TEMPLATE.FAT&amp;display_string=Audit&amp;VAR:KEY=LSDGDGFATI&amp;VAR:QUERY=RkZfRElWX1lMRChBTk4sNy8wNS8wNyw3LzA1LzA3KQ==&amp;WINDOW=FIRST_POPUP&amp;HEIGHT=450&amp;WIDTH=450&amp;","START_MAXIMIZED=FALSE&amp;VAR:CALENDAR=US&amp;VAR:SYMBOL=LO&amp;VAR:INDEX=0"}</definedName>
    <definedName name="_1241">#REF!</definedName>
    <definedName name="_1241__FDSAUDITLINK__" localSheetId="0"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1__FDSAUDITLINK__" hidden="1">{"fdsup://directions/FAT Viewer?action=UPDATE&amp;creator=factset&amp;DYN_ARGS=TRUE&amp;DOC_NAME=FAT:FQL_AUDITING_CLIENT_TEMPLATE.FAT&amp;display_string=Audit&amp;VAR:KEY=HYHEPELYVI&amp;VAR:QUERY=RkZfRElWX1lMRChBTk4sNi8yOC8wNyw2LzI4LzA3KQ==&amp;WINDOW=FIRST_POPUP&amp;HEIGHT=450&amp;WIDTH=450&amp;","START_MAXIMIZED=FALSE&amp;VAR:CALENDAR=US&amp;VAR:SYMBOL=LO&amp;VAR:INDEX=0"}</definedName>
    <definedName name="_1242__FDSAUDITLINK__" localSheetId="0"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2__FDSAUDITLINK__" hidden="1">{"fdsup://directions/FAT Viewer?action=UPDATE&amp;creator=factset&amp;DYN_ARGS=TRUE&amp;DOC_NAME=FAT:FQL_AUDITING_CLIENT_TEMPLATE.FAT&amp;display_string=Audit&amp;VAR:KEY=VCRMBMPUNM&amp;VAR:QUERY=RkZfRElWX1lMRChBTk4sNi8yMS8wNyw2LzIxLzA3KQ==&amp;WINDOW=FIRST_POPUP&amp;HEIGHT=450&amp;WIDTH=450&amp;","START_MAXIMIZED=FALSE&amp;VAR:CALENDAR=US&amp;VAR:SYMBOL=LO&amp;VAR:INDEX=0"}</definedName>
    <definedName name="_1243__FDSAUDITLINK__" localSheetId="0"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3__FDSAUDITLINK__" hidden="1">{"fdsup://directions/FAT Viewer?action=UPDATE&amp;creator=factset&amp;DYN_ARGS=TRUE&amp;DOC_NAME=FAT:FQL_AUDITING_CLIENT_TEMPLATE.FAT&amp;display_string=Audit&amp;VAR:KEY=LGLATGBYJG&amp;VAR:QUERY=RkZfRElWX1lMRChBTk4sNi8xNC8wNyw2LzE0LzA3KQ==&amp;WINDOW=FIRST_POPUP&amp;HEIGHT=450&amp;WIDTH=450&amp;","START_MAXIMIZED=FALSE&amp;VAR:CALENDAR=US&amp;VAR:SYMBOL=LO&amp;VAR:INDEX=0"}</definedName>
    <definedName name="_1244__FDSAUDITLINK__" localSheetId="0"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4__FDSAUDITLINK__" hidden="1">{"fdsup://directions/FAT Viewer?action=UPDATE&amp;creator=factset&amp;DYN_ARGS=TRUE&amp;DOC_NAME=FAT:FQL_AUDITING_CLIENT_TEMPLATE.FAT&amp;display_string=Audit&amp;VAR:KEY=FKROFGHCXS&amp;VAR:QUERY=RkZfRElWX1lMRChBTk4sNi8wNy8wNyw2LzA3LzA3KQ==&amp;WINDOW=FIRST_POPUP&amp;HEIGHT=450&amp;WIDTH=450&amp;","START_MAXIMIZED=FALSE&amp;VAR:CALENDAR=US&amp;VAR:SYMBOL=LO&amp;VAR:INDEX=0"}</definedName>
    <definedName name="_1245__FDSAUDITLINK__" localSheetId="0"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5__FDSAUDITLINK__" hidden="1">{"fdsup://directions/FAT Viewer?action=UPDATE&amp;creator=factset&amp;DYN_ARGS=TRUE&amp;DOC_NAME=FAT:FQL_AUDITING_CLIENT_TEMPLATE.FAT&amp;display_string=Audit&amp;VAR:KEY=BWNOFWRQLI&amp;VAR:QUERY=RkZfRElWX1lMRChBTk4sNS8zMS8wNyw1LzMxLzA3KQ==&amp;WINDOW=FIRST_POPUP&amp;HEIGHT=450&amp;WIDTH=450&amp;","START_MAXIMIZED=FALSE&amp;VAR:CALENDAR=US&amp;VAR:SYMBOL=LO&amp;VAR:INDEX=0"}</definedName>
    <definedName name="_1246">#REF!</definedName>
    <definedName name="_1246__FDSAUDITLINK__" localSheetId="0"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6__FDSAUDITLINK__" hidden="1">{"fdsup://directions/FAT Viewer?action=UPDATE&amp;creator=factset&amp;DYN_ARGS=TRUE&amp;DOC_NAME=FAT:FQL_AUDITING_CLIENT_TEMPLATE.FAT&amp;display_string=Audit&amp;VAR:KEY=JCJGBIHSNA&amp;VAR:QUERY=RkZfRElWX1lMRChBTk4sNS8yNC8wNyw1LzI0LzA3KQ==&amp;WINDOW=FIRST_POPUP&amp;HEIGHT=450&amp;WIDTH=450&amp;","START_MAXIMIZED=FALSE&amp;VAR:CALENDAR=US&amp;VAR:SYMBOL=LO&amp;VAR:INDEX=0"}</definedName>
    <definedName name="_1247__FDSAUDITLINK__" localSheetId="0"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7__FDSAUDITLINK__" hidden="1">{"fdsup://directions/FAT Viewer?action=UPDATE&amp;creator=factset&amp;DYN_ARGS=TRUE&amp;DOC_NAME=FAT:FQL_AUDITING_CLIENT_TEMPLATE.FAT&amp;display_string=Audit&amp;VAR:KEY=XYBCFQJMNG&amp;VAR:QUERY=RkZfRElWX1lMRChBTk4sNS8xNy8wNyw1LzE3LzA3KQ==&amp;WINDOW=FIRST_POPUP&amp;HEIGHT=450&amp;WIDTH=450&amp;","START_MAXIMIZED=FALSE&amp;VAR:CALENDAR=US&amp;VAR:SYMBOL=LO&amp;VAR:INDEX=0"}</definedName>
    <definedName name="_1248__FDSAUDITLINK__" localSheetId="0"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8__FDSAUDITLINK__" hidden="1">{"fdsup://directions/FAT Viewer?action=UPDATE&amp;creator=factset&amp;DYN_ARGS=TRUE&amp;DOC_NAME=FAT:FQL_AUDITING_CLIENT_TEMPLATE.FAT&amp;display_string=Audit&amp;VAR:KEY=JQBGJYRGFA&amp;VAR:QUERY=RkZfRElWX1lMRChBTk4sNS8xMC8wNyw1LzEwLzA3KQ==&amp;WINDOW=FIRST_POPUP&amp;HEIGHT=450&amp;WIDTH=450&amp;","START_MAXIMIZED=FALSE&amp;VAR:CALENDAR=US&amp;VAR:SYMBOL=LO&amp;VAR:INDEX=0"}</definedName>
    <definedName name="_1249__FDSAUDITLINK__" localSheetId="0"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49__FDSAUDITLINK__" hidden="1">{"fdsup://directions/FAT Viewer?action=UPDATE&amp;creator=factset&amp;DYN_ARGS=TRUE&amp;DOC_NAME=FAT:FQL_AUDITING_CLIENT_TEMPLATE.FAT&amp;display_string=Audit&amp;VAR:KEY=HGTWLCFQPY&amp;VAR:QUERY=RkZfRElWX1lMRChBTk4sNS8wMy8wNyw1LzAzLzA3KQ==&amp;WINDOW=FIRST_POPUP&amp;HEIGHT=450&amp;WIDTH=450&amp;","START_MAXIMIZED=FALSE&amp;VAR:CALENDAR=US&amp;VAR:SYMBOL=LO&amp;VAR:INDEX=0"}</definedName>
    <definedName name="_125__123Graph_XCHART_8">#REF!</definedName>
    <definedName name="_125__FDSAUDITLINK__" localSheetId="0"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__FDSAUDITLINK__" hidden="1">{"fdsup://directions/FAT Viewer?action=UPDATE&amp;creator=factset&amp;DYN_ARGS=TRUE&amp;DOC_NAME=FAT:FQL_AUDITING_CLIENT_TEMPLATE.FAT&amp;display_string=Audit&amp;VAR:KEY=XQNYPWJUTU&amp;VAR:QUERY=RkZfRElWX1lMRChBTk4sMTEvMTMvMDgsMTEvMTMvMDgp&amp;WINDOW=FIRST_POPUP&amp;HEIGHT=450&amp;WIDTH=450&amp;","START_MAXIMIZED=FALSE&amp;VAR:CALENDAR=US&amp;VAR:SYMBOL=RAI&amp;VAR:INDEX=0"}</definedName>
    <definedName name="_1250__FDSAUDITLINK__" localSheetId="0"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0__FDSAUDITLINK__" hidden="1">{"fdsup://directions/FAT Viewer?action=UPDATE&amp;creator=factset&amp;DYN_ARGS=TRUE&amp;DOC_NAME=FAT:FQL_AUDITING_CLIENT_TEMPLATE.FAT&amp;display_string=Audit&amp;VAR:KEY=NQLWZADUXQ&amp;VAR:QUERY=RkZfRElWX1lMRChBTk4sNC8yNi8wNyw0LzI2LzA3KQ==&amp;WINDOW=FIRST_POPUP&amp;HEIGHT=450&amp;WIDTH=450&amp;","START_MAXIMIZED=FALSE&amp;VAR:CALENDAR=US&amp;VAR:SYMBOL=LO&amp;VAR:INDEX=0"}</definedName>
    <definedName name="_1251">#REF!</definedName>
    <definedName name="_1251__FDSAUDITLINK__" localSheetId="0"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1__FDSAUDITLINK__" hidden="1">{"fdsup://directions/FAT Viewer?action=UPDATE&amp;creator=factset&amp;DYN_ARGS=TRUE&amp;DOC_NAME=FAT:FQL_AUDITING_CLIENT_TEMPLATE.FAT&amp;display_string=Audit&amp;VAR:KEY=BWVSFEXKBM&amp;VAR:QUERY=RkZfRElWX1lMRChBTk4sNC8xOS8wNyw0LzE5LzA3KQ==&amp;WINDOW=FIRST_POPUP&amp;HEIGHT=450&amp;WIDTH=450&amp;","START_MAXIMIZED=FALSE&amp;VAR:CALENDAR=US&amp;VAR:SYMBOL=LO&amp;VAR:INDEX=0"}</definedName>
    <definedName name="_1252__FDSAUDITLINK__" localSheetId="0"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2__FDSAUDITLINK__" hidden="1">{"fdsup://directions/FAT Viewer?action=UPDATE&amp;creator=factset&amp;DYN_ARGS=TRUE&amp;DOC_NAME=FAT:FQL_AUDITING_CLIENT_TEMPLATE.FAT&amp;display_string=Audit&amp;VAR:KEY=VYTYNGTAXG&amp;VAR:QUERY=RkZfRElWX1lMRChBTk4sNC8xMi8wNyw0LzEyLzA3KQ==&amp;WINDOW=FIRST_POPUP&amp;HEIGHT=450&amp;WIDTH=450&amp;","START_MAXIMIZED=FALSE&amp;VAR:CALENDAR=US&amp;VAR:SYMBOL=LO&amp;VAR:INDEX=0"}</definedName>
    <definedName name="_1253__FDSAUDITLINK__" localSheetId="0"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3__FDSAUDITLINK__" hidden="1">{"fdsup://directions/FAT Viewer?action=UPDATE&amp;creator=factset&amp;DYN_ARGS=TRUE&amp;DOC_NAME=FAT:FQL_AUDITING_CLIENT_TEMPLATE.FAT&amp;display_string=Audit&amp;VAR:KEY=ZIVADEHQJE&amp;VAR:QUERY=RkZfRElWX1lMRChBTk4sNC8wNS8wNyw0LzA1LzA3KQ==&amp;WINDOW=FIRST_POPUP&amp;HEIGHT=450&amp;WIDTH=450&amp;","START_MAXIMIZED=FALSE&amp;VAR:CALENDAR=US&amp;VAR:SYMBOL=LO&amp;VAR:INDEX=0"}</definedName>
    <definedName name="_1254__FDSAUDITLINK__" localSheetId="0"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4__FDSAUDITLINK__" hidden="1">{"fdsup://directions/FAT Viewer?action=UPDATE&amp;creator=factset&amp;DYN_ARGS=TRUE&amp;DOC_NAME=FAT:FQL_AUDITING_CLIENT_TEMPLATE.FAT&amp;display_string=Audit&amp;VAR:KEY=ZOFAPYBKZA&amp;VAR:QUERY=RkZfRElWX1lMRChBTk4sMy8yOS8wNywzLzI5LzA3KQ==&amp;WINDOW=FIRST_POPUP&amp;HEIGHT=450&amp;WIDTH=450&amp;","START_MAXIMIZED=FALSE&amp;VAR:CALENDAR=US&amp;VAR:SYMBOL=LO&amp;VAR:INDEX=0"}</definedName>
    <definedName name="_1255__FDSAUDITLINK__" localSheetId="0"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5__FDSAUDITLINK__" hidden="1">{"fdsup://directions/FAT Viewer?action=UPDATE&amp;creator=factset&amp;DYN_ARGS=TRUE&amp;DOC_NAME=FAT:FQL_AUDITING_CLIENT_TEMPLATE.FAT&amp;display_string=Audit&amp;VAR:KEY=XIRCBGRCFO&amp;VAR:QUERY=RkZfRElWX1lMRChBTk4sMy8yMi8wNywzLzIyLzA3KQ==&amp;WINDOW=FIRST_POPUP&amp;HEIGHT=450&amp;WIDTH=450&amp;","START_MAXIMIZED=FALSE&amp;VAR:CALENDAR=US&amp;VAR:SYMBOL=LO&amp;VAR:INDEX=0"}</definedName>
    <definedName name="_1256__FDSAUDITLINK__" localSheetId="0"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6__FDSAUDITLINK__" hidden="1">{"fdsup://directions/FAT Viewer?action=UPDATE&amp;creator=factset&amp;DYN_ARGS=TRUE&amp;DOC_NAME=FAT:FQL_AUDITING_CLIENT_TEMPLATE.FAT&amp;display_string=Audit&amp;VAR:KEY=HCJIZAHONQ&amp;VAR:QUERY=RkZfRElWX1lMRChBTk4sMy8xNS8wNywzLzE1LzA3KQ==&amp;WINDOW=FIRST_POPUP&amp;HEIGHT=450&amp;WIDTH=450&amp;","START_MAXIMIZED=FALSE&amp;VAR:CALENDAR=US&amp;VAR:SYMBOL=LO&amp;VAR:INDEX=0"}</definedName>
    <definedName name="_1257__FDSAUDITLINK__" localSheetId="0"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7__FDSAUDITLINK__" hidden="1">{"fdsup://directions/FAT Viewer?action=UPDATE&amp;creator=factset&amp;DYN_ARGS=TRUE&amp;DOC_NAME=FAT:FQL_AUDITING_CLIENT_TEMPLATE.FAT&amp;display_string=Audit&amp;VAR:KEY=JWJINORQHO&amp;VAR:QUERY=RkZfRElWX1lMRChBTk4sMy8wOC8wNywzLzA4LzA3KQ==&amp;WINDOW=FIRST_POPUP&amp;HEIGHT=450&amp;WIDTH=450&amp;","START_MAXIMIZED=FALSE&amp;VAR:CALENDAR=US&amp;VAR:SYMBOL=LO&amp;VAR:INDEX=0"}</definedName>
    <definedName name="_1258__FDSAUDITLINK__" localSheetId="0"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8__FDSAUDITLINK__" hidden="1">{"fdsup://directions/FAT Viewer?action=UPDATE&amp;creator=factset&amp;DYN_ARGS=TRUE&amp;DOC_NAME=FAT:FQL_AUDITING_CLIENT_TEMPLATE.FAT&amp;display_string=Audit&amp;VAR:KEY=ZSRKNMHALA&amp;VAR:QUERY=RkZfRElWX1lMRChBTk4sMy8wMS8wNywzLzAxLzA3KQ==&amp;WINDOW=FIRST_POPUP&amp;HEIGHT=450&amp;WIDTH=450&amp;","START_MAXIMIZED=FALSE&amp;VAR:CALENDAR=US&amp;VAR:SYMBOL=LO&amp;VAR:INDEX=0"}</definedName>
    <definedName name="_1259">#REF!</definedName>
    <definedName name="_1259__FDSAUDITLINK__" localSheetId="0"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59__FDSAUDITLINK__" hidden="1">{"fdsup://directions/FAT Viewer?action=UPDATE&amp;creator=factset&amp;DYN_ARGS=TRUE&amp;DOC_NAME=FAT:FQL_AUDITING_CLIENT_TEMPLATE.FAT&amp;display_string=Audit&amp;VAR:KEY=NAZELMRAFE&amp;VAR:QUERY=RkZfRElWX1lMRChBTk4sMi8yMi8wNywyLzIyLzA3KQ==&amp;WINDOW=FIRST_POPUP&amp;HEIGHT=450&amp;WIDTH=450&amp;","START_MAXIMIZED=FALSE&amp;VAR:CALENDAR=US&amp;VAR:SYMBOL=LO&amp;VAR:INDEX=0"}</definedName>
    <definedName name="_126">#REF!</definedName>
    <definedName name="_126__123Graph_DWAGES_BY_B_U">#REF!</definedName>
    <definedName name="_126__123Graph_EWAGES_BY_B_U">#REF!</definedName>
    <definedName name="_126__FDSAUDITLINK__" localSheetId="0"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__FDSAUDITLINK__" hidden="1">{"fdsup://directions/FAT Viewer?action=UPDATE&amp;creator=factset&amp;DYN_ARGS=TRUE&amp;DOC_NAME=FAT:FQL_AUDITING_CLIENT_TEMPLATE.FAT&amp;display_string=Audit&amp;VAR:KEY=ZYZGLCBYRY&amp;VAR:QUERY=RkZfRElWX1lMRChBTk4sMTEvMDYvMDgsMTEvMDYvMDgp&amp;WINDOW=FIRST_POPUP&amp;HEIGHT=450&amp;WIDTH=450&amp;","START_MAXIMIZED=FALSE&amp;VAR:CALENDAR=US&amp;VAR:SYMBOL=RAI&amp;VAR:INDEX=0"}</definedName>
    <definedName name="_1260__FDSAUDITLINK__" localSheetId="0"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0__FDSAUDITLINK__" hidden="1">{"fdsup://directions/FAT Viewer?action=UPDATE&amp;creator=factset&amp;DYN_ARGS=TRUE&amp;DOC_NAME=FAT:FQL_AUDITING_CLIENT_TEMPLATE.FAT&amp;display_string=Audit&amp;VAR:KEY=NGLSXKRWBA&amp;VAR:QUERY=RkZfRElWX1lMRChBTk4sMi8xNS8wNywyLzE1LzA3KQ==&amp;WINDOW=FIRST_POPUP&amp;HEIGHT=450&amp;WIDTH=450&amp;","START_MAXIMIZED=FALSE&amp;VAR:CALENDAR=US&amp;VAR:SYMBOL=LO&amp;VAR:INDEX=0"}</definedName>
    <definedName name="_1261__FDSAUDITLINK__" localSheetId="0"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1__FDSAUDITLINK__" hidden="1">{"fdsup://directions/FAT Viewer?action=UPDATE&amp;creator=factset&amp;DYN_ARGS=TRUE&amp;DOC_NAME=FAT:FQL_AUDITING_CLIENT_TEMPLATE.FAT&amp;display_string=Audit&amp;VAR:KEY=XCZOHQHETK&amp;VAR:QUERY=RkZfRElWX1lMRChBTk4sMi8wOC8wNywyLzA4LzA3KQ==&amp;WINDOW=FIRST_POPUP&amp;HEIGHT=450&amp;WIDTH=450&amp;","START_MAXIMIZED=FALSE&amp;VAR:CALENDAR=US&amp;VAR:SYMBOL=LO&amp;VAR:INDEX=0"}</definedName>
    <definedName name="_1262__FDSAUDITLINK__" localSheetId="0"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2__FDSAUDITLINK__" hidden="1">{"fdsup://directions/FAT Viewer?action=UPDATE&amp;creator=factset&amp;DYN_ARGS=TRUE&amp;DOC_NAME=FAT:FQL_AUDITING_CLIENT_TEMPLATE.FAT&amp;display_string=Audit&amp;VAR:KEY=TCBSNGFSFQ&amp;VAR:QUERY=RkZfRElWX1lMRChBTk4sMi8wMS8wNywyLzAxLzA3KQ==&amp;WINDOW=FIRST_POPUP&amp;HEIGHT=450&amp;WIDTH=450&amp;","START_MAXIMIZED=FALSE&amp;VAR:CALENDAR=US&amp;VAR:SYMBOL=LO&amp;VAR:INDEX=0"}</definedName>
    <definedName name="_1263">#REF!</definedName>
    <definedName name="_1263__FDSAUDITLINK__" localSheetId="0"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3__FDSAUDITLINK__" hidden="1">{"fdsup://directions/FAT Viewer?action=UPDATE&amp;creator=factset&amp;DYN_ARGS=TRUE&amp;DOC_NAME=FAT:FQL_AUDITING_CLIENT_TEMPLATE.FAT&amp;display_string=Audit&amp;VAR:KEY=RGTCNEFGNC&amp;VAR:QUERY=RkZfRElWX1lMRChBTk4sMS8yNS8wNywxLzI1LzA3KQ==&amp;WINDOW=FIRST_POPUP&amp;HEIGHT=450&amp;WIDTH=450&amp;","START_MAXIMIZED=FALSE&amp;VAR:CALENDAR=US&amp;VAR:SYMBOL=LO&amp;VAR:INDEX=0"}</definedName>
    <definedName name="_1264__FDSAUDITLINK__" localSheetId="0"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4__FDSAUDITLINK__" hidden="1">{"fdsup://directions/FAT Viewer?action=UPDATE&amp;creator=factset&amp;DYN_ARGS=TRUE&amp;DOC_NAME=FAT:FQL_AUDITING_CLIENT_TEMPLATE.FAT&amp;display_string=Audit&amp;VAR:KEY=NKVEPMJAXS&amp;VAR:QUERY=RkZfRElWX1lMRChBTk4sMS8xOC8wNywxLzE4LzA3KQ==&amp;WINDOW=FIRST_POPUP&amp;HEIGHT=450&amp;WIDTH=450&amp;","START_MAXIMIZED=FALSE&amp;VAR:CALENDAR=US&amp;VAR:SYMBOL=LO&amp;VAR:INDEX=0"}</definedName>
    <definedName name="_1265">#REF!</definedName>
    <definedName name="_1265__FDSAUDITLINK__" localSheetId="0"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5__FDSAUDITLINK__" hidden="1">{"fdsup://directions/FAT Viewer?action=UPDATE&amp;creator=factset&amp;DYN_ARGS=TRUE&amp;DOC_NAME=FAT:FQL_AUDITING_CLIENT_TEMPLATE.FAT&amp;display_string=Audit&amp;VAR:KEY=NGXUNKXIRW&amp;VAR:QUERY=RkZfRElWX1lMRChBTk4sMS8xMS8wNywxLzExLzA3KQ==&amp;WINDOW=FIRST_POPUP&amp;HEIGHT=450&amp;WIDTH=450&amp;","START_MAXIMIZED=FALSE&amp;VAR:CALENDAR=US&amp;VAR:SYMBOL=LO&amp;VAR:INDEX=0"}</definedName>
    <definedName name="_1266">#REF!</definedName>
    <definedName name="_1266__FDSAUDITLINK__" localSheetId="0"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6__FDSAUDITLINK__" hidden="1">{"fdsup://directions/FAT Viewer?action=UPDATE&amp;creator=factset&amp;DYN_ARGS=TRUE&amp;DOC_NAME=FAT:FQL_AUDITING_CLIENT_TEMPLATE.FAT&amp;display_string=Audit&amp;VAR:KEY=TABEJOXOFS&amp;VAR:QUERY=RkZfRElWX1lMRChBTk4sMS8wNC8wNywxLzA0LzA3KQ==&amp;WINDOW=FIRST_POPUP&amp;HEIGHT=450&amp;WIDTH=450&amp;","START_MAXIMIZED=FALSE&amp;VAR:CALENDAR=US&amp;VAR:SYMBOL=LO&amp;VAR:INDEX=0"}</definedName>
    <definedName name="_1267">#REF!</definedName>
    <definedName name="_1267__FDSAUDITLINK__" localSheetId="0"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7__FDSAUDITLINK__" hidden="1">{"fdsup://directions/FAT Viewer?action=UPDATE&amp;creator=factset&amp;DYN_ARGS=TRUE&amp;DOC_NAME=FAT:FQL_AUDITING_CLIENT_TEMPLATE.FAT&amp;display_string=Audit&amp;VAR:KEY=BWPUFEFYRW&amp;VAR:QUERY=RkZfRElWX1lMRChBTk4sMTIvMjgvMDYsMTIvMjgvMDYp&amp;WINDOW=FIRST_POPUP&amp;HEIGHT=450&amp;WIDTH=450&amp;","START_MAXIMIZED=FALSE&amp;VAR:CALENDAR=US&amp;VAR:SYMBOL=LO&amp;VAR:INDEX=0"}</definedName>
    <definedName name="_1268">#REF!</definedName>
    <definedName name="_1268__FDSAUDITLINK__" localSheetId="0"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8__FDSAUDITLINK__" hidden="1">{"fdsup://directions/FAT Viewer?action=UPDATE&amp;creator=factset&amp;DYN_ARGS=TRUE&amp;DOC_NAME=FAT:FQL_AUDITING_CLIENT_TEMPLATE.FAT&amp;display_string=Audit&amp;VAR:KEY=JWRIROFOPI&amp;VAR:QUERY=RkZfRElWX1lMRChBTk4sMTIvMjEvMDYsMTIvMjEvMDYp&amp;WINDOW=FIRST_POPUP&amp;HEIGHT=450&amp;WIDTH=450&amp;","START_MAXIMIZED=FALSE&amp;VAR:CALENDAR=US&amp;VAR:SYMBOL=LO&amp;VAR:INDEX=0"}</definedName>
    <definedName name="_1269">#REF!</definedName>
    <definedName name="_1269__FDSAUDITLINK__" localSheetId="0"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69__FDSAUDITLINK__" hidden="1">{"fdsup://directions/FAT Viewer?action=UPDATE&amp;creator=factset&amp;DYN_ARGS=TRUE&amp;DOC_NAME=FAT:FQL_AUDITING_CLIENT_TEMPLATE.FAT&amp;display_string=Audit&amp;VAR:KEY=PKBKBALKJS&amp;VAR:QUERY=RkZfRElWX1lMRChBTk4sMTIvMTQvMDYsMTIvMTQvMDYp&amp;WINDOW=FIRST_POPUP&amp;HEIGHT=450&amp;WIDTH=450&amp;","START_MAXIMIZED=FALSE&amp;VAR:CALENDAR=US&amp;VAR:SYMBOL=LO&amp;VAR:INDEX=0"}</definedName>
    <definedName name="_127">#REF!</definedName>
    <definedName name="_127__123Graph_DWAGES_BY_B_U">#REF!</definedName>
    <definedName name="_127__FDSAUDITLINK__" localSheetId="0"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__FDSAUDITLINK__" hidden="1">{"fdsup://directions/FAT Viewer?action=UPDATE&amp;creator=factset&amp;DYN_ARGS=TRUE&amp;DOC_NAME=FAT:FQL_AUDITING_CLIENT_TEMPLATE.FAT&amp;display_string=Audit&amp;VAR:KEY=LGZGJMXSNQ&amp;VAR:QUERY=RkZfRElWX1lMRChBTk4sMTAvMzAvMDgsMTAvMzAvMDgp&amp;WINDOW=FIRST_POPUP&amp;HEIGHT=450&amp;WIDTH=450&amp;","START_MAXIMIZED=FALSE&amp;VAR:CALENDAR=US&amp;VAR:SYMBOL=RAI&amp;VAR:INDEX=0"}</definedName>
    <definedName name="_1270">#REF!</definedName>
    <definedName name="_1270__FDSAUDITLINK__" localSheetId="0"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0__FDSAUDITLINK__" hidden="1">{"fdsup://directions/FAT Viewer?action=UPDATE&amp;creator=factset&amp;DYN_ARGS=TRUE&amp;DOC_NAME=FAT:FQL_AUDITING_CLIENT_TEMPLATE.FAT&amp;display_string=Audit&amp;VAR:KEY=ZUZSVUJSXW&amp;VAR:QUERY=RkZfRElWX1lMRChBTk4sMTIvMDcvMDYsMTIvMDcvMDYp&amp;WINDOW=FIRST_POPUP&amp;HEIGHT=450&amp;WIDTH=450&amp;","START_MAXIMIZED=FALSE&amp;VAR:CALENDAR=US&amp;VAR:SYMBOL=LO&amp;VAR:INDEX=0"}</definedName>
    <definedName name="_1271">#REF!</definedName>
    <definedName name="_1271__FDSAUDITLINK__" localSheetId="0"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1__FDSAUDITLINK__" hidden="1">{"fdsup://directions/FAT Viewer?action=UPDATE&amp;creator=factset&amp;DYN_ARGS=TRUE&amp;DOC_NAME=FAT:FQL_AUDITING_CLIENT_TEMPLATE.FAT&amp;display_string=Audit&amp;VAR:KEY=JCTGPSDMRE&amp;VAR:QUERY=RkZfRElWX1lMRChBTk4sMTEvMzAvMDYsMTEvMzAvMDYp&amp;WINDOW=FIRST_POPUP&amp;HEIGHT=450&amp;WIDTH=450&amp;","START_MAXIMIZED=FALSE&amp;VAR:CALENDAR=US&amp;VAR:SYMBOL=LO&amp;VAR:INDEX=0"}</definedName>
    <definedName name="_1272">#REF!</definedName>
    <definedName name="_1272__FDSAUDITLINK__" localSheetId="0"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2__FDSAUDITLINK__" hidden="1">{"fdsup://directions/FAT Viewer?action=UPDATE&amp;creator=factset&amp;DYN_ARGS=TRUE&amp;DOC_NAME=FAT:FQL_AUDITING_CLIENT_TEMPLATE.FAT&amp;display_string=Audit&amp;VAR:KEY=RMFMHQHKFK&amp;VAR:QUERY=RkZfRElWX1lMRChBTk4sMTEvMjIvMDYsMTEvMjIvMDYp&amp;WINDOW=FIRST_POPUP&amp;HEIGHT=450&amp;WIDTH=450&amp;","START_MAXIMIZED=FALSE&amp;VAR:CALENDAR=US&amp;VAR:SYMBOL=LO&amp;VAR:INDEX=0"}</definedName>
    <definedName name="_1273">#REF!</definedName>
    <definedName name="_1273__FDSAUDITLINK__" localSheetId="0"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3__FDSAUDITLINK__" hidden="1">{"fdsup://directions/FAT Viewer?action=UPDATE&amp;creator=factset&amp;DYN_ARGS=TRUE&amp;DOC_NAME=FAT:FQL_AUDITING_CLIENT_TEMPLATE.FAT&amp;display_string=Audit&amp;VAR:KEY=VEZYNSHSXG&amp;VAR:QUERY=RkZfRElWX1lMRChBTk4sMTEvMTYvMDYsMTEvMTYvMDYp&amp;WINDOW=FIRST_POPUP&amp;HEIGHT=450&amp;WIDTH=450&amp;","START_MAXIMIZED=FALSE&amp;VAR:CALENDAR=US&amp;VAR:SYMBOL=LO&amp;VAR:INDEX=0"}</definedName>
    <definedName name="_1274">#REF!</definedName>
    <definedName name="_1274__FDSAUDITLINK__" localSheetId="0"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4__FDSAUDITLINK__" hidden="1">{"fdsup://directions/FAT Viewer?action=UPDATE&amp;creator=factset&amp;DYN_ARGS=TRUE&amp;DOC_NAME=FAT:FQL_AUDITING_CLIENT_TEMPLATE.FAT&amp;display_string=Audit&amp;VAR:KEY=DKVSNQVOXI&amp;VAR:QUERY=RkZfRElWX1lMRChBTk4sMTEvMDkvMDYsMTEvMDkvMDYp&amp;WINDOW=FIRST_POPUP&amp;HEIGHT=450&amp;WIDTH=450&amp;","START_MAXIMIZED=FALSE&amp;VAR:CALENDAR=US&amp;VAR:SYMBOL=LO&amp;VAR:INDEX=0"}</definedName>
    <definedName name="_1275">#REF!</definedName>
    <definedName name="_1275__FDSAUDITLINK__" localSheetId="0"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5__FDSAUDITLINK__" hidden="1">{"fdsup://directions/FAT Viewer?action=UPDATE&amp;creator=factset&amp;DYN_ARGS=TRUE&amp;DOC_NAME=FAT:FQL_AUDITING_CLIENT_TEMPLATE.FAT&amp;display_string=Audit&amp;VAR:KEY=PUVWHIFQVC&amp;VAR:QUERY=RkZfRElWX1lMRChBTk4sMTEvMDIvMDYsMTEvMDIvMDYp&amp;WINDOW=FIRST_POPUP&amp;HEIGHT=450&amp;WIDTH=450&amp;","START_MAXIMIZED=FALSE&amp;VAR:CALENDAR=US&amp;VAR:SYMBOL=LO&amp;VAR:INDEX=0"}</definedName>
    <definedName name="_1276">#REF!</definedName>
    <definedName name="_1276__FDSAUDITLINK__" localSheetId="0"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6__FDSAUDITLINK__" hidden="1">{"fdsup://directions/FAT Viewer?action=UPDATE&amp;creator=factset&amp;DYN_ARGS=TRUE&amp;DOC_NAME=FAT:FQL_AUDITING_CLIENT_TEMPLATE.FAT&amp;display_string=Audit&amp;VAR:KEY=LUTKZCXIHW&amp;VAR:QUERY=RkZfRElWX1lMRChBTk4sMTAvMjYvMDYsMTAvMjYvMDYp&amp;WINDOW=FIRST_POPUP&amp;HEIGHT=450&amp;WIDTH=450&amp;","START_MAXIMIZED=FALSE&amp;VAR:CALENDAR=US&amp;VAR:SYMBOL=LO&amp;VAR:INDEX=0"}</definedName>
    <definedName name="_1277">#REF!</definedName>
    <definedName name="_1277__FDSAUDITLINK__" localSheetId="0"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7__FDSAUDITLINK__" hidden="1">{"fdsup://directions/FAT Viewer?action=UPDATE&amp;creator=factset&amp;DYN_ARGS=TRUE&amp;DOC_NAME=FAT:FQL_AUDITING_CLIENT_TEMPLATE.FAT&amp;display_string=Audit&amp;VAR:KEY=HAHMFSJCTW&amp;VAR:QUERY=RkZfRElWX1lMRChBTk4sMTAvMTkvMDYsMTAvMTkvMDYp&amp;WINDOW=FIRST_POPUP&amp;HEIGHT=450&amp;WIDTH=450&amp;","START_MAXIMIZED=FALSE&amp;VAR:CALENDAR=US&amp;VAR:SYMBOL=LO&amp;VAR:INDEX=0"}</definedName>
    <definedName name="_1278">#REF!</definedName>
    <definedName name="_1278__FDSAUDITLINK__" localSheetId="0"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8__FDSAUDITLINK__" hidden="1">{"fdsup://directions/FAT Viewer?action=UPDATE&amp;creator=factset&amp;DYN_ARGS=TRUE&amp;DOC_NAME=FAT:FQL_AUDITING_CLIENT_TEMPLATE.FAT&amp;display_string=Audit&amp;VAR:KEY=NOLANYDADW&amp;VAR:QUERY=RkZfRElWX1lMRChBTk4sMTAvMTIvMDYsMTAvMTIvMDYp&amp;WINDOW=FIRST_POPUP&amp;HEIGHT=450&amp;WIDTH=450&amp;","START_MAXIMIZED=FALSE&amp;VAR:CALENDAR=US&amp;VAR:SYMBOL=LO&amp;VAR:INDEX=0"}</definedName>
    <definedName name="_1279">#REF!</definedName>
    <definedName name="_1279__FDSAUDITLINK__" localSheetId="0"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79__FDSAUDITLINK__" hidden="1">{"fdsup://directions/FAT Viewer?action=UPDATE&amp;creator=factset&amp;DYN_ARGS=TRUE&amp;DOC_NAME=FAT:FQL_AUDITING_CLIENT_TEMPLATE.FAT&amp;display_string=Audit&amp;VAR:KEY=VYNCLOBMTW&amp;VAR:QUERY=RkZfRElWX1lMRChBTk4sMTAvMDUvMDYsMTAvMDUvMDYp&amp;WINDOW=FIRST_POPUP&amp;HEIGHT=450&amp;WIDTH=450&amp;","START_MAXIMIZED=FALSE&amp;VAR:CALENDAR=US&amp;VAR:SYMBOL=LO&amp;VAR:INDEX=0"}</definedName>
    <definedName name="_128">#REF!</definedName>
    <definedName name="_128__123Graph_XQRE_S_BY_TYPE">#REF!</definedName>
    <definedName name="_128__FDSAUDITLINK__" localSheetId="0"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__FDSAUDITLINK__" hidden="1">{"fdsup://directions/FAT Viewer?action=UPDATE&amp;creator=factset&amp;DYN_ARGS=TRUE&amp;DOC_NAME=FAT:FQL_AUDITING_CLIENT_TEMPLATE.FAT&amp;display_string=Audit&amp;VAR:KEY=JMPQNENEPI&amp;VAR:QUERY=RkZfRElWX1lMRChBTk4sMTAvMjMvMDgsMTAvMjMvMDgp&amp;WINDOW=FIRST_POPUP&amp;HEIGHT=450&amp;WIDTH=450&amp;","START_MAXIMIZED=FALSE&amp;VAR:CALENDAR=US&amp;VAR:SYMBOL=RAI&amp;VAR:INDEX=0"}</definedName>
    <definedName name="_1280">#REF!</definedName>
    <definedName name="_1280__FDSAUDITLINK__" localSheetId="0"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0__FDSAUDITLINK__" hidden="1">{"fdsup://directions/FAT Viewer?action=UPDATE&amp;creator=factset&amp;DYN_ARGS=TRUE&amp;DOC_NAME=FAT:FQL_AUDITING_CLIENT_TEMPLATE.FAT&amp;display_string=Audit&amp;VAR:KEY=XEZUTIPOZS&amp;VAR:QUERY=RkZfRElWX1lMRChBTk4sOS8yOC8wNiw5LzI4LzA2KQ==&amp;WINDOW=FIRST_POPUP&amp;HEIGHT=450&amp;WIDTH=450&amp;","START_MAXIMIZED=FALSE&amp;VAR:CALENDAR=US&amp;VAR:SYMBOL=LO&amp;VAR:INDEX=0"}</definedName>
    <definedName name="_1281">#REF!</definedName>
    <definedName name="_1281__FDSAUDITLINK__" localSheetId="0"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1__FDSAUDITLINK__" hidden="1">{"fdsup://directions/FAT Viewer?action=UPDATE&amp;creator=factset&amp;DYN_ARGS=TRUE&amp;DOC_NAME=FAT:FQL_AUDITING_CLIENT_TEMPLATE.FAT&amp;display_string=Audit&amp;VAR:KEY=LKBIDMPCFQ&amp;VAR:QUERY=RkZfRElWX1lMRChBTk4sOS8yMS8wNiw5LzIxLzA2KQ==&amp;WINDOW=FIRST_POPUP&amp;HEIGHT=450&amp;WIDTH=450&amp;","START_MAXIMIZED=FALSE&amp;VAR:CALENDAR=US&amp;VAR:SYMBOL=LO&amp;VAR:INDEX=0"}</definedName>
    <definedName name="_1282">#REF!</definedName>
    <definedName name="_1282__FDSAUDITLINK__" localSheetId="0"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2__FDSAUDITLINK__" hidden="1">{"fdsup://directions/FAT Viewer?action=UPDATE&amp;creator=factset&amp;DYN_ARGS=TRUE&amp;DOC_NAME=FAT:FQL_AUDITING_CLIENT_TEMPLATE.FAT&amp;display_string=Audit&amp;VAR:KEY=XOBYXUBQDQ&amp;VAR:QUERY=RkZfRElWX1lMRChBTk4sOS8xNC8wNiw5LzE0LzA2KQ==&amp;WINDOW=FIRST_POPUP&amp;HEIGHT=450&amp;WIDTH=450&amp;","START_MAXIMIZED=FALSE&amp;VAR:CALENDAR=US&amp;VAR:SYMBOL=LO&amp;VAR:INDEX=0"}</definedName>
    <definedName name="_1283">#REF!</definedName>
    <definedName name="_1283__FDSAUDITLINK__" localSheetId="0"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3__FDSAUDITLINK__" hidden="1">{"fdsup://directions/FAT Viewer?action=UPDATE&amp;creator=factset&amp;DYN_ARGS=TRUE&amp;DOC_NAME=FAT:FQL_AUDITING_CLIENT_TEMPLATE.FAT&amp;display_string=Audit&amp;VAR:KEY=DEDUXEPKTK&amp;VAR:QUERY=RkZfRElWX1lMRChBTk4sOS8wNy8wNiw5LzA3LzA2KQ==&amp;WINDOW=FIRST_POPUP&amp;HEIGHT=450&amp;WIDTH=450&amp;","START_MAXIMIZED=FALSE&amp;VAR:CALENDAR=US&amp;VAR:SYMBOL=LO&amp;VAR:INDEX=0"}</definedName>
    <definedName name="_1284">#REF!</definedName>
    <definedName name="_1284__FDSAUDITLINK__" localSheetId="0"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4__FDSAUDITLINK__" hidden="1">{"fdsup://directions/FAT Viewer?action=UPDATE&amp;creator=factset&amp;DYN_ARGS=TRUE&amp;DOC_NAME=FAT:FQL_AUDITING_CLIENT_TEMPLATE.FAT&amp;display_string=Audit&amp;VAR:KEY=BWTANWROZC&amp;VAR:QUERY=RkZfRElWX1lMRChBTk4sOC8zMS8wNiw4LzMxLzA2KQ==&amp;WINDOW=FIRST_POPUP&amp;HEIGHT=450&amp;WIDTH=450&amp;","START_MAXIMIZED=FALSE&amp;VAR:CALENDAR=US&amp;VAR:SYMBOL=LO&amp;VAR:INDEX=0"}</definedName>
    <definedName name="_1285">#REF!</definedName>
    <definedName name="_1285__FDSAUDITLINK__" localSheetId="0"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5__FDSAUDITLINK__" hidden="1">{"fdsup://directions/FAT Viewer?action=UPDATE&amp;creator=factset&amp;DYN_ARGS=TRUE&amp;DOC_NAME=FAT:FQL_AUDITING_CLIENT_TEMPLATE.FAT&amp;display_string=Audit&amp;VAR:KEY=JMTGHQDAHQ&amp;VAR:QUERY=RkZfRElWX1lMRChBTk4sOC8yNC8wNiw4LzI0LzA2KQ==&amp;WINDOW=FIRST_POPUP&amp;HEIGHT=450&amp;WIDTH=450&amp;","START_MAXIMIZED=FALSE&amp;VAR:CALENDAR=US&amp;VAR:SYMBOL=LO&amp;VAR:INDEX=0"}</definedName>
    <definedName name="_1286__FDSAUDITLINK__" localSheetId="0"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6__FDSAUDITLINK__" hidden="1">{"fdsup://directions/FAT Viewer?action=UPDATE&amp;creator=factset&amp;DYN_ARGS=TRUE&amp;DOC_NAME=FAT:FQL_AUDITING_CLIENT_TEMPLATE.FAT&amp;display_string=Audit&amp;VAR:KEY=FEDMDKJIHG&amp;VAR:QUERY=RkZfRElWX1lMRChBTk4sOC8xNy8wNiw4LzE3LzA2KQ==&amp;WINDOW=FIRST_POPUP&amp;HEIGHT=450&amp;WIDTH=450&amp;","START_MAXIMIZED=FALSE&amp;VAR:CALENDAR=US&amp;VAR:SYMBOL=LO&amp;VAR:INDEX=0"}</definedName>
    <definedName name="_1287__FDSAUDITLINK__" localSheetId="0"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7__FDSAUDITLINK__" hidden="1">{"fdsup://directions/FAT Viewer?action=UPDATE&amp;creator=factset&amp;DYN_ARGS=TRUE&amp;DOC_NAME=FAT:FQL_AUDITING_CLIENT_TEMPLATE.FAT&amp;display_string=Audit&amp;VAR:KEY=HGVSXANWNM&amp;VAR:QUERY=RkZfRElWX1lMRChBTk4sOC8xMC8wNiw4LzEwLzA2KQ==&amp;WINDOW=FIRST_POPUP&amp;HEIGHT=450&amp;WIDTH=450&amp;","START_MAXIMIZED=FALSE&amp;VAR:CALENDAR=US&amp;VAR:SYMBOL=LO&amp;VAR:INDEX=0"}</definedName>
    <definedName name="_1288__FDSAUDITLINK__" localSheetId="0"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8__FDSAUDITLINK__" hidden="1">{"fdsup://directions/FAT Viewer?action=UPDATE&amp;creator=factset&amp;DYN_ARGS=TRUE&amp;DOC_NAME=FAT:FQL_AUDITING_CLIENT_TEMPLATE.FAT&amp;display_string=Audit&amp;VAR:KEY=RMLIZUTYJS&amp;VAR:QUERY=RkZfRElWX1lMRChBTk4sOC8wMy8wNiw4LzAzLzA2KQ==&amp;WINDOW=FIRST_POPUP&amp;HEIGHT=450&amp;WIDTH=450&amp;","START_MAXIMIZED=FALSE&amp;VAR:CALENDAR=US&amp;VAR:SYMBOL=LO&amp;VAR:INDEX=0"}</definedName>
    <definedName name="_1289__FDSAUDITLINK__" localSheetId="0"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89__FDSAUDITLINK__" hidden="1">{"fdsup://directions/FAT Viewer?action=UPDATE&amp;creator=factset&amp;DYN_ARGS=TRUE&amp;DOC_NAME=FAT:FQL_AUDITING_CLIENT_TEMPLATE.FAT&amp;display_string=Audit&amp;VAR:KEY=NQVAVUVCFG&amp;VAR:QUERY=RkZfRElWX1lMRChBTk4sNy8yNy8wNiw3LzI3LzA2KQ==&amp;WINDOW=FIRST_POPUP&amp;HEIGHT=450&amp;WIDTH=450&amp;","START_MAXIMIZED=FALSE&amp;VAR:CALENDAR=US&amp;VAR:SYMBOL=LO&amp;VAR:INDEX=0"}</definedName>
    <definedName name="_129">#REF!</definedName>
    <definedName name="_129__FDSAUDITLINK__" localSheetId="0"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__FDSAUDITLINK__" hidden="1">{"fdsup://directions/FAT Viewer?action=UPDATE&amp;creator=factset&amp;DYN_ARGS=TRUE&amp;DOC_NAME=FAT:FQL_AUDITING_CLIENT_TEMPLATE.FAT&amp;display_string=Audit&amp;VAR:KEY=HQJCJYXGFQ&amp;VAR:QUERY=RkZfRElWX1lMRChBTk4sMTAvMTYvMDgsMTAvMTYvMDgp&amp;WINDOW=FIRST_POPUP&amp;HEIGHT=450&amp;WIDTH=450&amp;","START_MAXIMIZED=FALSE&amp;VAR:CALENDAR=US&amp;VAR:SYMBOL=RAI&amp;VAR:INDEX=0"}</definedName>
    <definedName name="_1290">#REF!</definedName>
    <definedName name="_1290__FDSAUDITLINK__" localSheetId="0"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0__FDSAUDITLINK__" hidden="1">{"fdsup://directions/FAT Viewer?action=UPDATE&amp;creator=factset&amp;DYN_ARGS=TRUE&amp;DOC_NAME=FAT:FQL_AUDITING_CLIENT_TEMPLATE.FAT&amp;display_string=Audit&amp;VAR:KEY=HSZYNOFITA&amp;VAR:QUERY=RkZfRElWX1lMRChBTk4sNy8yMC8wNiw3LzIwLzA2KQ==&amp;WINDOW=FIRST_POPUP&amp;HEIGHT=450&amp;WIDTH=450&amp;","START_MAXIMIZED=FALSE&amp;VAR:CALENDAR=US&amp;VAR:SYMBOL=LO&amp;VAR:INDEX=0"}</definedName>
    <definedName name="_1291__FDSAUDITLINK__" localSheetId="0"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1__FDSAUDITLINK__" hidden="1">{"fdsup://directions/FAT Viewer?action=UPDATE&amp;creator=factset&amp;DYN_ARGS=TRUE&amp;DOC_NAME=FAT:FQL_AUDITING_CLIENT_TEMPLATE.FAT&amp;display_string=Audit&amp;VAR:KEY=FMHMDSVUXC&amp;VAR:QUERY=RkZfRElWX1lMRChBTk4sNy8xMy8wNiw3LzEzLzA2KQ==&amp;WINDOW=FIRST_POPUP&amp;HEIGHT=450&amp;WIDTH=450&amp;","START_MAXIMIZED=FALSE&amp;VAR:CALENDAR=US&amp;VAR:SYMBOL=LO&amp;VAR:INDEX=0"}</definedName>
    <definedName name="_1292__FDSAUDITLINK__" localSheetId="0"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2__FDSAUDITLINK__" hidden="1">{"fdsup://directions/FAT Viewer?action=UPDATE&amp;creator=factset&amp;DYN_ARGS=TRUE&amp;DOC_NAME=FAT:FQL_AUDITING_CLIENT_TEMPLATE.FAT&amp;display_string=Audit&amp;VAR:KEY=HCVIVSJYZO&amp;VAR:QUERY=RkZfRElWX1lMRChBTk4sNy8wNi8wNiw3LzA2LzA2KQ==&amp;WINDOW=FIRST_POPUP&amp;HEIGHT=450&amp;WIDTH=450&amp;","START_MAXIMIZED=FALSE&amp;VAR:CALENDAR=US&amp;VAR:SYMBOL=LO&amp;VAR:INDEX=0"}</definedName>
    <definedName name="_1293__FDSAUDITLINK__" localSheetId="0"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3__FDSAUDITLINK__" hidden="1">{"fdsup://directions/FAT Viewer?action=UPDATE&amp;creator=factset&amp;DYN_ARGS=TRUE&amp;DOC_NAME=FAT:FQL_AUDITING_CLIENT_TEMPLATE.FAT&amp;display_string=Audit&amp;VAR:KEY=LOJUBCHKFO&amp;VAR:QUERY=RkZfRElWX1lMRChBTk4sNi8yOS8wNiw2LzI5LzA2KQ==&amp;WINDOW=FIRST_POPUP&amp;HEIGHT=450&amp;WIDTH=450&amp;","START_MAXIMIZED=FALSE&amp;VAR:CALENDAR=US&amp;VAR:SYMBOL=LO&amp;VAR:INDEX=0"}</definedName>
    <definedName name="_1294__FDSAUDITLINK__" localSheetId="0"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4__FDSAUDITLINK__" hidden="1">{"fdsup://directions/FAT Viewer?action=UPDATE&amp;creator=factset&amp;DYN_ARGS=TRUE&amp;DOC_NAME=FAT:FQL_AUDITING_CLIENT_TEMPLATE.FAT&amp;display_string=Audit&amp;VAR:KEY=DEDSFIXMBO&amp;VAR:QUERY=RkZfRElWX1lMRChBTk4sNi8yMi8wNiw2LzIyLzA2KQ==&amp;WINDOW=FIRST_POPUP&amp;HEIGHT=450&amp;WIDTH=450&amp;","START_MAXIMIZED=FALSE&amp;VAR:CALENDAR=US&amp;VAR:SYMBOL=LO&amp;VAR:INDEX=0"}</definedName>
    <definedName name="_1295">#REF!</definedName>
    <definedName name="_1295__FDSAUDITLINK__" localSheetId="0"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5__FDSAUDITLINK__" hidden="1">{"fdsup://directions/FAT Viewer?action=UPDATE&amp;creator=factset&amp;DYN_ARGS=TRUE&amp;DOC_NAME=FAT:FQL_AUDITING_CLIENT_TEMPLATE.FAT&amp;display_string=Audit&amp;VAR:KEY=RCNYBOFGPO&amp;VAR:QUERY=RkZfRElWX1lMRChBTk4sNi8xNS8wNiw2LzE1LzA2KQ==&amp;WINDOW=FIRST_POPUP&amp;HEIGHT=450&amp;WIDTH=450&amp;","START_MAXIMIZED=FALSE&amp;VAR:CALENDAR=US&amp;VAR:SYMBOL=LO&amp;VAR:INDEX=0"}</definedName>
    <definedName name="_1296__FDSAUDITLINK__" localSheetId="0"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6__FDSAUDITLINK__" hidden="1">{"fdsup://directions/FAT Viewer?action=UPDATE&amp;creator=factset&amp;DYN_ARGS=TRUE&amp;DOC_NAME=FAT:FQL_AUDITING_CLIENT_TEMPLATE.FAT&amp;display_string=Audit&amp;VAR:KEY=RKZALCFMNI&amp;VAR:QUERY=RkZfRElWX1lMRChBTk4sNi8wOC8wNiw2LzA4LzA2KQ==&amp;WINDOW=FIRST_POPUP&amp;HEIGHT=450&amp;WIDTH=450&amp;","START_MAXIMIZED=FALSE&amp;VAR:CALENDAR=US&amp;VAR:SYMBOL=LO&amp;VAR:INDEX=0"}</definedName>
    <definedName name="_1297__FDSAUDITLINK__" localSheetId="0"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7__FDSAUDITLINK__" hidden="1">{"fdsup://directions/FAT Viewer?action=UPDATE&amp;creator=factset&amp;DYN_ARGS=TRUE&amp;DOC_NAME=FAT:FQL_AUDITING_CLIENT_TEMPLATE.FAT&amp;display_string=Audit&amp;VAR:KEY=RMBGTIDGBU&amp;VAR:QUERY=RkZfRElWX1lMRChBTk4sNi8wMS8wNiw2LzAxLzA2KQ==&amp;WINDOW=FIRST_POPUP&amp;HEIGHT=450&amp;WIDTH=450&amp;","START_MAXIMIZED=FALSE&amp;VAR:CALENDAR=US&amp;VAR:SYMBOL=LO&amp;VAR:INDEX=0"}</definedName>
    <definedName name="_1298__FDSAUDITLINK__" localSheetId="0"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8__FDSAUDITLINK__" hidden="1">{"fdsup://directions/FAT Viewer?action=UPDATE&amp;creator=factset&amp;DYN_ARGS=TRUE&amp;DOC_NAME=FAT:FQL_AUDITING_CLIENT_TEMPLATE.FAT&amp;display_string=Audit&amp;VAR:KEY=NCRUFSRMJI&amp;VAR:QUERY=RkZfRElWX1lMRChBTk4sNS8yNS8wNiw1LzI1LzA2KQ==&amp;WINDOW=FIRST_POPUP&amp;HEIGHT=450&amp;WIDTH=450&amp;","START_MAXIMIZED=FALSE&amp;VAR:CALENDAR=US&amp;VAR:SYMBOL=LO&amp;VAR:INDEX=0"}</definedName>
    <definedName name="_1299__FDSAUDITLINK__" localSheetId="0"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99__FDSAUDITLINK__" hidden="1">{"fdsup://directions/FAT Viewer?action=UPDATE&amp;creator=factset&amp;DYN_ARGS=TRUE&amp;DOC_NAME=FAT:FQL_AUDITING_CLIENT_TEMPLATE.FAT&amp;display_string=Audit&amp;VAR:KEY=FWBOJUHWXK&amp;VAR:QUERY=RkZfRElWX1lMRChBTk4sNS8xOC8wNiw1LzE4LzA2KQ==&amp;WINDOW=FIRST_POPUP&amp;HEIGHT=450&amp;WIDTH=450&amp;","START_MAXIMIZED=FALSE&amp;VAR:CALENDAR=US&amp;VAR:SYMBOL=LO&amp;VAR:INDEX=0"}</definedName>
    <definedName name="_12J___K" hidden="1">#REF!</definedName>
    <definedName name="_12main_form_account_grants_list_13_j_id1022">#REF!</definedName>
    <definedName name="_12s14_" hidden="1">{#N/A,#N/A,FALSE,"UNIT";#N/A,#N/A,FALSE,"UNIT";#N/A,#N/A,FALSE,"계정"}</definedName>
    <definedName name="_12s17_" hidden="1">{#N/A,#N/A,FALSE,"UNIT";#N/A,#N/A,FALSE,"UNIT";#N/A,#N/A,FALSE,"계정"}</definedName>
    <definedName name="_12s2_" hidden="1">{#N/A,#N/A,FALSE,"UNIT";#N/A,#N/A,FALSE,"UNIT";#N/A,#N/A,FALSE,"계정"}</definedName>
    <definedName name="_12Table2_" hidden="1">#REF!</definedName>
    <definedName name="_13">#REF!</definedName>
    <definedName name="_13__________B_S">#REF!</definedName>
    <definedName name="_13__123Graph_ACHART_26" hidden="1">#REF!</definedName>
    <definedName name="_13__123Graph_AChart_5J">#REF!</definedName>
    <definedName name="_13__123Graph_AQRE_S_BY_CO.">#REF!</definedName>
    <definedName name="_13__123Graph_AQRE_S_BY_TYPE" hidden="1">#REF!</definedName>
    <definedName name="_13__123Graph_ASENS_COMPARISON">#REF!</definedName>
    <definedName name="_13__123Graph_AWAGES_BY_B_U">#REF!</definedName>
    <definedName name="_13__123Graph_BCONTRACT_BY_B_U">#REF!</definedName>
    <definedName name="_13__123Graph_BQRE_S_BY_CO.">#REF!</definedName>
    <definedName name="_13__123Graph_BSUPPLIES_BY_B_U" hidden="1">#REF!</definedName>
    <definedName name="_13__123Graph_BTAX_CREDIT">#REF!</definedName>
    <definedName name="_13__123Graph_BWAGES_BY_B_U">#REF!</definedName>
    <definedName name="_13__123Graph_CCONTRACT_BY_B_U">#REF!</definedName>
    <definedName name="_13__FDSAUDITLINK__" localSheetId="0"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_FDSAUDITLINK__"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_13_02_1998">#REF!</definedName>
    <definedName name="_13_12_2000">#REF!</definedName>
    <definedName name="_130__FDSAUDITLINK__" localSheetId="0"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__FDSAUDITLINK__" hidden="1">{"fdsup://directions/FAT Viewer?action=UPDATE&amp;creator=factset&amp;DYN_ARGS=TRUE&amp;DOC_NAME=FAT:FQL_AUDITING_CLIENT_TEMPLATE.FAT&amp;display_string=Audit&amp;VAR:KEY=BGNEZEVUJC&amp;VAR:QUERY=RkZfRElWX1lMRChBTk4sMTAvMDkvMDgsMTAvMDkvMDgp&amp;WINDOW=FIRST_POPUP&amp;HEIGHT=450&amp;WIDTH=450&amp;","START_MAXIMIZED=FALSE&amp;VAR:CALENDAR=US&amp;VAR:SYMBOL=RAI&amp;VAR:INDEX=0"}</definedName>
    <definedName name="_1300__FDSAUDITLINK__" localSheetId="0"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0__FDSAUDITLINK__" hidden="1">{"fdsup://directions/FAT Viewer?action=UPDATE&amp;creator=factset&amp;DYN_ARGS=TRUE&amp;DOC_NAME=FAT:FQL_AUDITING_CLIENT_TEMPLATE.FAT&amp;display_string=Audit&amp;VAR:KEY=JKNQRQHCJQ&amp;VAR:QUERY=RkZfRElWX1lMRChBTk4sNS8xMS8wNiw1LzExLzA2KQ==&amp;WINDOW=FIRST_POPUP&amp;HEIGHT=450&amp;WIDTH=450&amp;","START_MAXIMIZED=FALSE&amp;VAR:CALENDAR=US&amp;VAR:SYMBOL=LO&amp;VAR:INDEX=0"}</definedName>
    <definedName name="_1301__FDSAUDITLINK__" localSheetId="0"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1__FDSAUDITLINK__" hidden="1">{"fdsup://directions/FAT Viewer?action=UPDATE&amp;creator=factset&amp;DYN_ARGS=TRUE&amp;DOC_NAME=FAT:FQL_AUDITING_CLIENT_TEMPLATE.FAT&amp;display_string=Audit&amp;VAR:KEY=VIVITQNKNW&amp;VAR:QUERY=RkZfRElWX1lMRChBTk4sNS8wNC8wNiw1LzA0LzA2KQ==&amp;WINDOW=FIRST_POPUP&amp;HEIGHT=450&amp;WIDTH=450&amp;","START_MAXIMIZED=FALSE&amp;VAR:CALENDAR=US&amp;VAR:SYMBOL=LO&amp;VAR:INDEX=0"}</definedName>
    <definedName name="_1302__FDSAUDITLINK__" localSheetId="0"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2__FDSAUDITLINK__" hidden="1">{"fdsup://directions/FAT Viewer?action=UPDATE&amp;creator=factset&amp;DYN_ARGS=TRUE&amp;DOC_NAME=FAT:FQL_AUDITING_CLIENT_TEMPLATE.FAT&amp;display_string=Audit&amp;VAR:KEY=DQHONKRILQ&amp;VAR:QUERY=RkZfRElWX1lMRChBTk4sNC8yNy8wNiw0LzI3LzA2KQ==&amp;WINDOW=FIRST_POPUP&amp;HEIGHT=450&amp;WIDTH=450&amp;","START_MAXIMIZED=FALSE&amp;VAR:CALENDAR=US&amp;VAR:SYMBOL=LO&amp;VAR:INDEX=0"}</definedName>
    <definedName name="_1303">#REF!</definedName>
    <definedName name="_1303__FDSAUDITLINK__" localSheetId="0"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3__FDSAUDITLINK__" hidden="1">{"fdsup://directions/FAT Viewer?action=UPDATE&amp;creator=factset&amp;DYN_ARGS=TRUE&amp;DOC_NAME=FAT:FQL_AUDITING_CLIENT_TEMPLATE.FAT&amp;display_string=Audit&amp;VAR:KEY=XMZAZEPYPE&amp;VAR:QUERY=RkZfRElWX1lMRChBTk4sNC8yMC8wNiw0LzIwLzA2KQ==&amp;WINDOW=FIRST_POPUP&amp;HEIGHT=450&amp;WIDTH=450&amp;","START_MAXIMIZED=FALSE&amp;VAR:CALENDAR=US&amp;VAR:SYMBOL=LO&amp;VAR:INDEX=0"}</definedName>
    <definedName name="_1304__FDSAUDITLINK__" localSheetId="0"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4__FDSAUDITLINK__" hidden="1">{"fdsup://directions/FAT Viewer?action=UPDATE&amp;creator=factset&amp;DYN_ARGS=TRUE&amp;DOC_NAME=FAT:FQL_AUDITING_CLIENT_TEMPLATE.FAT&amp;display_string=Audit&amp;VAR:KEY=HMZALOBQFE&amp;VAR:QUERY=RkZfRElWX1lMRChBTk4sNC8xMy8wNiw0LzEzLzA2KQ==&amp;WINDOW=FIRST_POPUP&amp;HEIGHT=450&amp;WIDTH=450&amp;","START_MAXIMIZED=FALSE&amp;VAR:CALENDAR=US&amp;VAR:SYMBOL=LO&amp;VAR:INDEX=0"}</definedName>
    <definedName name="_1305__FDSAUDITLINK__" localSheetId="0"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5__FDSAUDITLINK__" hidden="1">{"fdsup://directions/FAT Viewer?action=UPDATE&amp;creator=factset&amp;DYN_ARGS=TRUE&amp;DOC_NAME=FAT:FQL_AUDITING_CLIENT_TEMPLATE.FAT&amp;display_string=Audit&amp;VAR:KEY=NINUNQLGHW&amp;VAR:QUERY=RkZfRElWX1lMRChBTk4sNC8wNi8wNiw0LzA2LzA2KQ==&amp;WINDOW=FIRST_POPUP&amp;HEIGHT=450&amp;WIDTH=450&amp;","START_MAXIMIZED=FALSE&amp;VAR:CALENDAR=US&amp;VAR:SYMBOL=LO&amp;VAR:INDEX=0"}</definedName>
    <definedName name="_1306__FDSAUDITLINK__" localSheetId="0"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6__FDSAUDITLINK__" hidden="1">{"fdsup://directions/FAT Viewer?action=UPDATE&amp;creator=factset&amp;DYN_ARGS=TRUE&amp;DOC_NAME=FAT:FQL_AUDITING_CLIENT_TEMPLATE.FAT&amp;display_string=Audit&amp;VAR:KEY=LGVQRMLORY&amp;VAR:QUERY=RkZfRElWX1lMRChBTk4sMy8zMC8wNiwzLzMwLzA2KQ==&amp;WINDOW=FIRST_POPUP&amp;HEIGHT=450&amp;WIDTH=450&amp;","START_MAXIMIZED=FALSE&amp;VAR:CALENDAR=US&amp;VAR:SYMBOL=LO&amp;VAR:INDEX=0"}</definedName>
    <definedName name="_1307">#REF!</definedName>
    <definedName name="_1307__FDSAUDITLINK__" localSheetId="0"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7__FDSAUDITLINK__" hidden="1">{"fdsup://directions/FAT Viewer?action=UPDATE&amp;creator=factset&amp;DYN_ARGS=TRUE&amp;DOC_NAME=FAT:FQL_AUDITING_CLIENT_TEMPLATE.FAT&amp;display_string=Audit&amp;VAR:KEY=TGJCLYRQXE&amp;VAR:QUERY=RkZfRElWX1lMRChBTk4sMy8yMy8wNiwzLzIzLzA2KQ==&amp;WINDOW=FIRST_POPUP&amp;HEIGHT=450&amp;WIDTH=450&amp;","START_MAXIMIZED=FALSE&amp;VAR:CALENDAR=US&amp;VAR:SYMBOL=LO&amp;VAR:INDEX=0"}</definedName>
    <definedName name="_1308">#REF!</definedName>
    <definedName name="_1308__FDSAUDITLINK__" localSheetId="0"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8__FDSAUDITLINK__" hidden="1">{"fdsup://directions/FAT Viewer?action=UPDATE&amp;creator=factset&amp;DYN_ARGS=TRUE&amp;DOC_NAME=FAT:FQL_AUDITING_CLIENT_TEMPLATE.FAT&amp;display_string=Audit&amp;VAR:KEY=XEFAFQHKHE&amp;VAR:QUERY=RkZfRElWX1lMRChBTk4sMy8xNi8wNiwzLzE2LzA2KQ==&amp;WINDOW=FIRST_POPUP&amp;HEIGHT=450&amp;WIDTH=450&amp;","START_MAXIMIZED=FALSE&amp;VAR:CALENDAR=US&amp;VAR:SYMBOL=LO&amp;VAR:INDEX=0"}</definedName>
    <definedName name="_1309">#REF!</definedName>
    <definedName name="_1309__FDSAUDITLINK__" localSheetId="0"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09__FDSAUDITLINK__" hidden="1">{"fdsup://directions/FAT Viewer?action=UPDATE&amp;creator=factset&amp;DYN_ARGS=TRUE&amp;DOC_NAME=FAT:FQL_AUDITING_CLIENT_TEMPLATE.FAT&amp;display_string=Audit&amp;VAR:KEY=BCHIPWZANQ&amp;VAR:QUERY=RkZfRElWX1lMRChBTk4sMy8wOS8wNiwzLzA5LzA2KQ==&amp;WINDOW=FIRST_POPUP&amp;HEIGHT=450&amp;WIDTH=450&amp;","START_MAXIMIZED=FALSE&amp;VAR:CALENDAR=US&amp;VAR:SYMBOL=LO&amp;VAR:INDEX=0"}</definedName>
    <definedName name="_131">#REF!</definedName>
    <definedName name="_131__123Graph_FCONTRACT_BY_B_U">#REF!</definedName>
    <definedName name="_131__FDSAUDITLINK__" localSheetId="0"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__FDSAUDITLINK__" hidden="1">{"fdsup://directions/FAT Viewer?action=UPDATE&amp;creator=factset&amp;DYN_ARGS=TRUE&amp;DOC_NAME=FAT:FQL_AUDITING_CLIENT_TEMPLATE.FAT&amp;display_string=Audit&amp;VAR:KEY=PQZADAXODG&amp;VAR:QUERY=RkZfRElWX1lMRChBTk4sMTAvMDIvMDgsMTAvMDIvMDgp&amp;WINDOW=FIRST_POPUP&amp;HEIGHT=450&amp;WIDTH=450&amp;","START_MAXIMIZED=FALSE&amp;VAR:CALENDAR=US&amp;VAR:SYMBOL=RAI&amp;VAR:INDEX=0"}</definedName>
    <definedName name="_1310">#REF!</definedName>
    <definedName name="_1310__FDSAUDITLINK__" localSheetId="0"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0__FDSAUDITLINK__" hidden="1">{"fdsup://directions/FAT Viewer?action=UPDATE&amp;creator=factset&amp;DYN_ARGS=TRUE&amp;DOC_NAME=FAT:FQL_AUDITING_CLIENT_TEMPLATE.FAT&amp;display_string=Audit&amp;VAR:KEY=ZCRMNCBMBW&amp;VAR:QUERY=RkZfRElWX1lMRChBTk4sMy8wMi8wNiwzLzAyLzA2KQ==&amp;WINDOW=FIRST_POPUP&amp;HEIGHT=450&amp;WIDTH=450&amp;","START_MAXIMIZED=FALSE&amp;VAR:CALENDAR=US&amp;VAR:SYMBOL=LO&amp;VAR:INDEX=0"}</definedName>
    <definedName name="_1311">#REF!</definedName>
    <definedName name="_1311__FDSAUDITLINK__" localSheetId="0"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1__FDSAUDITLINK__" hidden="1">{"fdsup://directions/FAT Viewer?action=UPDATE&amp;creator=factset&amp;DYN_ARGS=TRUE&amp;DOC_NAME=FAT:FQL_AUDITING_CLIENT_TEMPLATE.FAT&amp;display_string=Audit&amp;VAR:KEY=JWNWVOZYBC&amp;VAR:QUERY=RkZfRElWX1lMRChBTk4sMi8yMy8wNiwyLzIzLzA2KQ==&amp;WINDOW=FIRST_POPUP&amp;HEIGHT=450&amp;WIDTH=450&amp;","START_MAXIMIZED=FALSE&amp;VAR:CALENDAR=US&amp;VAR:SYMBOL=LO&amp;VAR:INDEX=0"}</definedName>
    <definedName name="_1312">#REF!</definedName>
    <definedName name="_1312__FDSAUDITLINK__" localSheetId="0"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2__FDSAUDITLINK__" hidden="1">{"fdsup://directions/FAT Viewer?action=UPDATE&amp;creator=factset&amp;DYN_ARGS=TRUE&amp;DOC_NAME=FAT:FQL_AUDITING_CLIENT_TEMPLATE.FAT&amp;display_string=Audit&amp;VAR:KEY=JGNENIBEBQ&amp;VAR:QUERY=RkZfRElWX1lMRChBTk4sMi8xNi8wNiwyLzE2LzA2KQ==&amp;WINDOW=FIRST_POPUP&amp;HEIGHT=450&amp;WIDTH=450&amp;","START_MAXIMIZED=FALSE&amp;VAR:CALENDAR=US&amp;VAR:SYMBOL=LO&amp;VAR:INDEX=0"}</definedName>
    <definedName name="_1313">#REF!</definedName>
    <definedName name="_1313__FDSAUDITLINK__" localSheetId="0"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3__FDSAUDITLINK__" hidden="1">{"fdsup://directions/FAT Viewer?action=UPDATE&amp;creator=factset&amp;DYN_ARGS=TRUE&amp;DOC_NAME=FAT:FQL_AUDITING_CLIENT_TEMPLATE.FAT&amp;display_string=Audit&amp;VAR:KEY=ZAHMXUXMNI&amp;VAR:QUERY=RkZfRElWX1lMRChBTk4sMi8wOS8wNiwyLzA5LzA2KQ==&amp;WINDOW=FIRST_POPUP&amp;HEIGHT=450&amp;WIDTH=450&amp;","START_MAXIMIZED=FALSE&amp;VAR:CALENDAR=US&amp;VAR:SYMBOL=LO&amp;VAR:INDEX=0"}</definedName>
    <definedName name="_1314">#REF!</definedName>
    <definedName name="_1314__FDSAUDITLINK__" localSheetId="0"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4__FDSAUDITLINK__" hidden="1">{"fdsup://directions/FAT Viewer?action=UPDATE&amp;creator=factset&amp;DYN_ARGS=TRUE&amp;DOC_NAME=FAT:FQL_AUDITING_CLIENT_TEMPLATE.FAT&amp;display_string=Audit&amp;VAR:KEY=HAXGVYBCVQ&amp;VAR:QUERY=RkZfRElWX1lMRChBTk4sMi8wMi8wNiwyLzAyLzA2KQ==&amp;WINDOW=FIRST_POPUP&amp;HEIGHT=450&amp;WIDTH=450&amp;","START_MAXIMIZED=FALSE&amp;VAR:CALENDAR=US&amp;VAR:SYMBOL=LO&amp;VAR:INDEX=0"}</definedName>
    <definedName name="_1315">#REF!</definedName>
    <definedName name="_1315__FDSAUDITLINK__" localSheetId="0"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5__FDSAUDITLINK__" hidden="1">{"fdsup://directions/FAT Viewer?action=UPDATE&amp;creator=factset&amp;DYN_ARGS=TRUE&amp;DOC_NAME=FAT:FQL_AUDITING_CLIENT_TEMPLATE.FAT&amp;display_string=Audit&amp;VAR:KEY=BYVMFENORQ&amp;VAR:QUERY=RkZfRElWX1lMRChBTk4sMS8yNi8wNiwxLzI2LzA2KQ==&amp;WINDOW=FIRST_POPUP&amp;HEIGHT=450&amp;WIDTH=450&amp;","START_MAXIMIZED=FALSE&amp;VAR:CALENDAR=US&amp;VAR:SYMBOL=LO&amp;VAR:INDEX=0"}</definedName>
    <definedName name="_1316">#REF!</definedName>
    <definedName name="_1316__FDSAUDITLINK__" localSheetId="0"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6__FDSAUDITLINK__" hidden="1">{"fdsup://directions/FAT Viewer?action=UPDATE&amp;creator=factset&amp;DYN_ARGS=TRUE&amp;DOC_NAME=FAT:FQL_AUDITING_CLIENT_TEMPLATE.FAT&amp;display_string=Audit&amp;VAR:KEY=LQNIVMFENU&amp;VAR:QUERY=RkZfRElWX1lMRChBTk4sMS8xOS8wNiwxLzE5LzA2KQ==&amp;WINDOW=FIRST_POPUP&amp;HEIGHT=450&amp;WIDTH=450&amp;","START_MAXIMIZED=FALSE&amp;VAR:CALENDAR=US&amp;VAR:SYMBOL=LO&amp;VAR:INDEX=0"}</definedName>
    <definedName name="_1317">#REF!</definedName>
    <definedName name="_1317__FDSAUDITLINK__" localSheetId="0"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7__FDSAUDITLINK__" hidden="1">{"fdsup://directions/FAT Viewer?action=UPDATE&amp;creator=factset&amp;DYN_ARGS=TRUE&amp;DOC_NAME=FAT:FQL_AUDITING_CLIENT_TEMPLATE.FAT&amp;display_string=Audit&amp;VAR:KEY=XCLKDOLCBA&amp;VAR:QUERY=RkZfRElWX1lMRChBTk4sMS8xMi8wNiwxLzEyLzA2KQ==&amp;WINDOW=FIRST_POPUP&amp;HEIGHT=450&amp;WIDTH=450&amp;","START_MAXIMIZED=FALSE&amp;VAR:CALENDAR=US&amp;VAR:SYMBOL=LO&amp;VAR:INDEX=0"}</definedName>
    <definedName name="_1318">#REF!</definedName>
    <definedName name="_1318__FDSAUDITLINK__" localSheetId="0"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8__FDSAUDITLINK__" hidden="1">{"fdsup://directions/FAT Viewer?action=UPDATE&amp;creator=factset&amp;DYN_ARGS=TRUE&amp;DOC_NAME=FAT:FQL_AUDITING_CLIENT_TEMPLATE.FAT&amp;display_string=Audit&amp;VAR:KEY=DIXAPGJGXS&amp;VAR:QUERY=RkZfRElWX1lMRChBTk4sMS8wNS8wNiwxLzA1LzA2KQ==&amp;WINDOW=FIRST_POPUP&amp;HEIGHT=450&amp;WIDTH=450&amp;","START_MAXIMIZED=FALSE&amp;VAR:CALENDAR=US&amp;VAR:SYMBOL=LO&amp;VAR:INDEX=0"}</definedName>
    <definedName name="_1319">#REF!</definedName>
    <definedName name="_1319__FDSAUDITLINK__" localSheetId="0"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9__FDSAUDITLINK__" hidden="1">{"fdsup://directions/FAT Viewer?action=UPDATE&amp;creator=factset&amp;DYN_ARGS=TRUE&amp;DOC_NAME=FAT:FQL_AUDITING_CLIENT_TEMPLATE.FAT&amp;display_string=Audit&amp;VAR:KEY=FKTKXSHSJI&amp;VAR:QUERY=RkZfRElWX1lMRChBTk4sMTIvMjkvMDUsMTIvMjkvMDUp&amp;WINDOW=FIRST_POPUP&amp;HEIGHT=450&amp;WIDTH=450&amp;","START_MAXIMIZED=FALSE&amp;VAR:CALENDAR=US&amp;VAR:SYMBOL=LO&amp;VAR:INDEX=0"}</definedName>
    <definedName name="_131S">#REF!</definedName>
    <definedName name="_132">#REF!</definedName>
    <definedName name="_132__123Graph_ECONTRACT_BY_B_U">#REF!</definedName>
    <definedName name="_132__123Graph_XSUPPLIES_BY_B_U">#REF!</definedName>
    <definedName name="_132__FDSAUDITLINK__" localSheetId="0"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__FDSAUDITLINK__" hidden="1">{"fdsup://directions/FAT Viewer?action=UPDATE&amp;creator=factset&amp;DYN_ARGS=TRUE&amp;DOC_NAME=FAT:FQL_AUDITING_CLIENT_TEMPLATE.FAT&amp;display_string=Audit&amp;VAR:KEY=JEDAZETWPA&amp;VAR:QUERY=RkZfRElWX1lMRChBTk4sOS8yNS8wOCw5LzI1LzA4KQ==&amp;WINDOW=FIRST_POPUP&amp;HEIGHT=450&amp;WIDTH=450&amp;","START_MAXIMIZED=FALSE&amp;VAR:CALENDAR=US&amp;VAR:SYMBOL=RAI&amp;VAR:INDEX=0"}</definedName>
    <definedName name="_1320">#REF!</definedName>
    <definedName name="_1320__FDSAUDITLINK__" localSheetId="0"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0__FDSAUDITLINK__" hidden="1">{"fdsup://directions/FAT Viewer?action=UPDATE&amp;creator=factset&amp;DYN_ARGS=TRUE&amp;DOC_NAME=FAT:FQL_AUDITING_CLIENT_TEMPLATE.FAT&amp;display_string=Audit&amp;VAR:KEY=ZMHEXGJYTK&amp;VAR:QUERY=RkZfRElWX1lMRChBTk4sMTIvMjIvMDUsMTIvMjIvMDUp&amp;WINDOW=FIRST_POPUP&amp;HEIGHT=450&amp;WIDTH=450&amp;","START_MAXIMIZED=FALSE&amp;VAR:CALENDAR=US&amp;VAR:SYMBOL=LO&amp;VAR:INDEX=0"}</definedName>
    <definedName name="_1321">#REF!</definedName>
    <definedName name="_1321__FDSAUDITLINK__" localSheetId="0"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1__FDSAUDITLINK__" hidden="1">{"fdsup://directions/FAT Viewer?action=UPDATE&amp;creator=factset&amp;DYN_ARGS=TRUE&amp;DOC_NAME=FAT:FQL_AUDITING_CLIENT_TEMPLATE.FAT&amp;display_string=Audit&amp;VAR:KEY=NWRAJGBINU&amp;VAR:QUERY=RkZfRElWX1lMRChBTk4sMTIvMTUvMDUsMTIvMTUvMDUp&amp;WINDOW=FIRST_POPUP&amp;HEIGHT=450&amp;WIDTH=450&amp;","START_MAXIMIZED=FALSE&amp;VAR:CALENDAR=US&amp;VAR:SYMBOL=LO&amp;VAR:INDEX=0"}</definedName>
    <definedName name="_1322">#REF!</definedName>
    <definedName name="_1322__FDSAUDITLINK__" localSheetId="0"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2__FDSAUDITLINK__" hidden="1">{"fdsup://directions/FAT Viewer?action=UPDATE&amp;creator=factset&amp;DYN_ARGS=TRUE&amp;DOC_NAME=FAT:FQL_AUDITING_CLIENT_TEMPLATE.FAT&amp;display_string=Audit&amp;VAR:KEY=RQXGNIFARI&amp;VAR:QUERY=RkZfRElWX1lMRChBTk4sMTIvMDgvMDUsMTIvMDgvMDUp&amp;WINDOW=FIRST_POPUP&amp;HEIGHT=450&amp;WIDTH=450&amp;","START_MAXIMIZED=FALSE&amp;VAR:CALENDAR=US&amp;VAR:SYMBOL=LO&amp;VAR:INDEX=0"}</definedName>
    <definedName name="_1323">#REF!</definedName>
    <definedName name="_1323__FDSAUDITLINK__" localSheetId="0"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3__FDSAUDITLINK__" hidden="1">{"fdsup://directions/FAT Viewer?action=UPDATE&amp;creator=factset&amp;DYN_ARGS=TRUE&amp;DOC_NAME=FAT:FQL_AUDITING_CLIENT_TEMPLATE.FAT&amp;display_string=Audit&amp;VAR:KEY=HATMXWDOFI&amp;VAR:QUERY=RkZfRElWX1lMRChBTk4sMTIvMDEvMDUsMTIvMDEvMDUp&amp;WINDOW=FIRST_POPUP&amp;HEIGHT=450&amp;WIDTH=450&amp;","START_MAXIMIZED=FALSE&amp;VAR:CALENDAR=US&amp;VAR:SYMBOL=LO&amp;VAR:INDEX=0"}</definedName>
    <definedName name="_1324">#REF!</definedName>
    <definedName name="_1324__FDSAUDITLINK__" localSheetId="0"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4__FDSAUDITLINK__" hidden="1">{"fdsup://directions/FAT Viewer?action=UPDATE&amp;creator=factset&amp;DYN_ARGS=TRUE&amp;DOC_NAME=FAT:FQL_AUDITING_CLIENT_TEMPLATE.FAT&amp;display_string=Audit&amp;VAR:KEY=VKREVQPETK&amp;VAR:QUERY=RkZfRElWX1lMRChBTk4sMTEvMjMvMDUsMTEvMjMvMDUp&amp;WINDOW=FIRST_POPUP&amp;HEIGHT=450&amp;WIDTH=450&amp;","START_MAXIMIZED=FALSE&amp;VAR:CALENDAR=US&amp;VAR:SYMBOL=LO&amp;VAR:INDEX=0"}</definedName>
    <definedName name="_1325">#REF!</definedName>
    <definedName name="_1325__FDSAUDITLINK__" localSheetId="0"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5__FDSAUDITLINK__" hidden="1">{"fdsup://directions/FAT Viewer?action=UPDATE&amp;creator=factset&amp;DYN_ARGS=TRUE&amp;DOC_NAME=FAT:FQL_AUDITING_CLIENT_TEMPLATE.FAT&amp;display_string=Audit&amp;VAR:KEY=BMFANGZIDW&amp;VAR:QUERY=RkZfRElWX1lMRChBTk4sMTEvMTcvMDUsMTEvMTcvMDUp&amp;WINDOW=FIRST_POPUP&amp;HEIGHT=450&amp;WIDTH=450&amp;","START_MAXIMIZED=FALSE&amp;VAR:CALENDAR=US&amp;VAR:SYMBOL=LO&amp;VAR:INDEX=0"}</definedName>
    <definedName name="_1326">#REF!</definedName>
    <definedName name="_1326__FDSAUDITLINK__" localSheetId="0"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6__FDSAUDITLINK__" hidden="1">{"fdsup://directions/FAT Viewer?action=UPDATE&amp;creator=factset&amp;DYN_ARGS=TRUE&amp;DOC_NAME=FAT:FQL_AUDITING_CLIENT_TEMPLATE.FAT&amp;display_string=Audit&amp;VAR:KEY=PMLWVMHSFY&amp;VAR:QUERY=RkZfRElWX1lMRChBTk4sMTEvMTAvMDUsMTEvMTAvMDUp&amp;WINDOW=FIRST_POPUP&amp;HEIGHT=450&amp;WIDTH=450&amp;","START_MAXIMIZED=FALSE&amp;VAR:CALENDAR=US&amp;VAR:SYMBOL=LO&amp;VAR:INDEX=0"}</definedName>
    <definedName name="_1327">#REF!</definedName>
    <definedName name="_1327__FDSAUDITLINK__" localSheetId="0"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7__FDSAUDITLINK__" hidden="1">{"fdsup://directions/FAT Viewer?action=UPDATE&amp;creator=factset&amp;DYN_ARGS=TRUE&amp;DOC_NAME=FAT:FQL_AUDITING_CLIENT_TEMPLATE.FAT&amp;display_string=Audit&amp;VAR:KEY=VMVYVIXCHK&amp;VAR:QUERY=RkZfRElWX1lMRChBTk4sMTEvMDMvMDUsMTEvMDMvMDUp&amp;WINDOW=FIRST_POPUP&amp;HEIGHT=450&amp;WIDTH=450&amp;","START_MAXIMIZED=FALSE&amp;VAR:CALENDAR=US&amp;VAR:SYMBOL=LO&amp;VAR:INDEX=0"}</definedName>
    <definedName name="_1328__FDSAUDITLINK__" localSheetId="0"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8__FDSAUDITLINK__" hidden="1">{"fdsup://directions/FAT Viewer?action=UPDATE&amp;creator=factset&amp;DYN_ARGS=TRUE&amp;DOC_NAME=FAT:FQL_AUDITING_CLIENT_TEMPLATE.FAT&amp;display_string=Audit&amp;VAR:KEY=HOPCVWRATM&amp;VAR:QUERY=RkZfRElWX1lMRChBTk4sMTAvMjcvMDUsMTAvMjcvMDUp&amp;WINDOW=FIRST_POPUP&amp;HEIGHT=450&amp;WIDTH=450&amp;","START_MAXIMIZED=FALSE&amp;VAR:CALENDAR=US&amp;VAR:SYMBOL=LO&amp;VAR:INDEX=0"}</definedName>
    <definedName name="_1329">#REF!</definedName>
    <definedName name="_1329__FDSAUDITLINK__" localSheetId="0"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29__FDSAUDITLINK__" hidden="1">{"fdsup://directions/FAT Viewer?action=UPDATE&amp;creator=factset&amp;DYN_ARGS=TRUE&amp;DOC_NAME=FAT:FQL_AUDITING_CLIENT_TEMPLATE.FAT&amp;display_string=Audit&amp;VAR:KEY=PSZCXWDMBS&amp;VAR:QUERY=RkZfRElWX1lMRChBTk4sMTAvMjAvMDUsMTAvMjAvMDUp&amp;WINDOW=FIRST_POPUP&amp;HEIGHT=450&amp;WIDTH=450&amp;","START_MAXIMIZED=FALSE&amp;VAR:CALENDAR=US&amp;VAR:SYMBOL=LO&amp;VAR:INDEX=0"}</definedName>
    <definedName name="_133__123Graph_ECONTRACT_BY_B_U">#REF!</definedName>
    <definedName name="_133__FDSAUDITLINK__" localSheetId="0"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__FDSAUDITLINK__" hidden="1">{"fdsup://directions/FAT Viewer?action=UPDATE&amp;creator=factset&amp;DYN_ARGS=TRUE&amp;DOC_NAME=FAT:FQL_AUDITING_CLIENT_TEMPLATE.FAT&amp;display_string=Audit&amp;VAR:KEY=DSFEBAVOXO&amp;VAR:QUERY=RkZfRElWX1lMRChBTk4sOS8xOC8wOCw5LzE4LzA4KQ==&amp;WINDOW=FIRST_POPUP&amp;HEIGHT=450&amp;WIDTH=450&amp;","START_MAXIMIZED=FALSE&amp;VAR:CALENDAR=US&amp;VAR:SYMBOL=RAI&amp;VAR:INDEX=0"}</definedName>
    <definedName name="_1330__FDSAUDITLINK__" localSheetId="0"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0__FDSAUDITLINK__" hidden="1">{"fdsup://directions/FAT Viewer?action=UPDATE&amp;creator=factset&amp;DYN_ARGS=TRUE&amp;DOC_NAME=FAT:FQL_AUDITING_CLIENT_TEMPLATE.FAT&amp;display_string=Audit&amp;VAR:KEY=ROXSPUXAJY&amp;VAR:QUERY=RkZfRElWX1lMRChBTk4sMTAvMTMvMDUsMTAvMTMvMDUp&amp;WINDOW=FIRST_POPUP&amp;HEIGHT=450&amp;WIDTH=450&amp;","START_MAXIMIZED=FALSE&amp;VAR:CALENDAR=US&amp;VAR:SYMBOL=LO&amp;VAR:INDEX=0"}</definedName>
    <definedName name="_1331__FDSAUDITLINK__" localSheetId="0"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1__FDSAUDITLINK__" hidden="1">{"fdsup://directions/FAT Viewer?action=UPDATE&amp;creator=factset&amp;DYN_ARGS=TRUE&amp;DOC_NAME=FAT:FQL_AUDITING_CLIENT_TEMPLATE.FAT&amp;display_string=Audit&amp;VAR:KEY=DMDSHSPAFK&amp;VAR:QUERY=RkZfRElWX1lMRChBTk4sMTAvMDYvMDUsMTAvMDYvMDUp&amp;WINDOW=FIRST_POPUP&amp;HEIGHT=450&amp;WIDTH=450&amp;","START_MAXIMIZED=FALSE&amp;VAR:CALENDAR=US&amp;VAR:SYMBOL=LO&amp;VAR:INDEX=0"}</definedName>
    <definedName name="_1332__FDSAUDITLINK__" localSheetId="0"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2__FDSAUDITLINK__" hidden="1">{"fdsup://directions/FAT Viewer?action=UPDATE&amp;creator=factset&amp;DYN_ARGS=TRUE&amp;DOC_NAME=FAT:FQL_AUDITING_CLIENT_TEMPLATE.FAT&amp;display_string=Audit&amp;VAR:KEY=FMVQRENUXI&amp;VAR:QUERY=RkZfRElWX1lMRChBTk4sOS8yOS8wNSw5LzI5LzA1KQ==&amp;WINDOW=FIRST_POPUP&amp;HEIGHT=450&amp;WIDTH=450&amp;","START_MAXIMIZED=FALSE&amp;VAR:CALENDAR=US&amp;VAR:SYMBOL=LO&amp;VAR:INDEX=0"}</definedName>
    <definedName name="_1333__FDSAUDITLINK__" localSheetId="0"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3__FDSAUDITLINK__" hidden="1">{"fdsup://directions/FAT Viewer?action=UPDATE&amp;creator=factset&amp;DYN_ARGS=TRUE&amp;DOC_NAME=FAT:FQL_AUDITING_CLIENT_TEMPLATE.FAT&amp;display_string=Audit&amp;VAR:KEY=PGROBCDSBA&amp;VAR:QUERY=RkZfRElWX1lMRChBTk4sOS8yMi8wNSw5LzIyLzA1KQ==&amp;WINDOW=FIRST_POPUP&amp;HEIGHT=450&amp;WIDTH=450&amp;","START_MAXIMIZED=FALSE&amp;VAR:CALENDAR=US&amp;VAR:SYMBOL=LO&amp;VAR:INDEX=0"}</definedName>
    <definedName name="_1334">#REF!</definedName>
    <definedName name="_1334__FDSAUDITLINK__" localSheetId="0"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4__FDSAUDITLINK__" hidden="1">{"fdsup://directions/FAT Viewer?action=UPDATE&amp;creator=factset&amp;DYN_ARGS=TRUE&amp;DOC_NAME=FAT:FQL_AUDITING_CLIENT_TEMPLATE.FAT&amp;display_string=Audit&amp;VAR:KEY=VQFWTEXCFI&amp;VAR:QUERY=RkZfRElWX1lMRChBTk4sOS8xNS8wNSw5LzE1LzA1KQ==&amp;WINDOW=FIRST_POPUP&amp;HEIGHT=450&amp;WIDTH=450&amp;","START_MAXIMIZED=FALSE&amp;VAR:CALENDAR=US&amp;VAR:SYMBOL=LO&amp;VAR:INDEX=0"}</definedName>
    <definedName name="_1335__FDSAUDITLINK__" localSheetId="0"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5__FDSAUDITLINK__" hidden="1">{"fdsup://directions/FAT Viewer?action=UPDATE&amp;creator=factset&amp;DYN_ARGS=TRUE&amp;DOC_NAME=FAT:FQL_AUDITING_CLIENT_TEMPLATE.FAT&amp;display_string=Audit&amp;VAR:KEY=DSFUHUPIFS&amp;VAR:QUERY=RkZfRElWX1lMRChBTk4sOS8wOC8wNSw5LzA4LzA1KQ==&amp;WINDOW=FIRST_POPUP&amp;HEIGHT=450&amp;WIDTH=450&amp;","START_MAXIMIZED=FALSE&amp;VAR:CALENDAR=US&amp;VAR:SYMBOL=LO&amp;VAR:INDEX=0"}</definedName>
    <definedName name="_1336__FDSAUDITLINK__" localSheetId="0"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6__FDSAUDITLINK__" hidden="1">{"fdsup://directions/FAT Viewer?action=UPDATE&amp;creator=factset&amp;DYN_ARGS=TRUE&amp;DOC_NAME=FAT:FQL_AUDITING_CLIENT_TEMPLATE.FAT&amp;display_string=Audit&amp;VAR:KEY=TCZUVIRGJK&amp;VAR:QUERY=RkZfRElWX1lMRChBTk4sOS8wMS8wNSw5LzAxLzA1KQ==&amp;WINDOW=FIRST_POPUP&amp;HEIGHT=450&amp;WIDTH=450&amp;","START_MAXIMIZED=FALSE&amp;VAR:CALENDAR=US&amp;VAR:SYMBOL=LO&amp;VAR:INDEX=0"}</definedName>
    <definedName name="_1337__FDSAUDITLINK__" localSheetId="0"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7__FDSAUDITLINK__" hidden="1">{"fdsup://directions/FAT Viewer?action=UPDATE&amp;creator=factset&amp;DYN_ARGS=TRUE&amp;DOC_NAME=FAT:FQL_AUDITING_CLIENT_TEMPLATE.FAT&amp;display_string=Audit&amp;VAR:KEY=FKFGBOXIPE&amp;VAR:QUERY=RkZfRElWX1lMRChBTk4sOC8yNS8wNSw4LzI1LzA1KQ==&amp;WINDOW=FIRST_POPUP&amp;HEIGHT=450&amp;WIDTH=450&amp;","START_MAXIMIZED=FALSE&amp;VAR:CALENDAR=US&amp;VAR:SYMBOL=LO&amp;VAR:INDEX=0"}</definedName>
    <definedName name="_1338__FDSAUDITLINK__" localSheetId="0"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8__FDSAUDITLINK__" hidden="1">{"fdsup://directions/FAT Viewer?action=UPDATE&amp;creator=factset&amp;DYN_ARGS=TRUE&amp;DOC_NAME=FAT:FQL_AUDITING_CLIENT_TEMPLATE.FAT&amp;display_string=Audit&amp;VAR:KEY=HELGLAFYRM&amp;VAR:QUERY=RkZfRElWX1lMRChBTk4sOC8xOC8wNSw4LzE4LzA1KQ==&amp;WINDOW=FIRST_POPUP&amp;HEIGHT=450&amp;WIDTH=450&amp;","START_MAXIMIZED=FALSE&amp;VAR:CALENDAR=US&amp;VAR:SYMBOL=LO&amp;VAR:INDEX=0"}</definedName>
    <definedName name="_1339">#REF!</definedName>
    <definedName name="_1339__FDSAUDITLINK__" localSheetId="0"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39__FDSAUDITLINK__" hidden="1">{"fdsup://directions/FAT Viewer?action=UPDATE&amp;creator=factset&amp;DYN_ARGS=TRUE&amp;DOC_NAME=FAT:FQL_AUDITING_CLIENT_TEMPLATE.FAT&amp;display_string=Audit&amp;VAR:KEY=XWNCLQPGDQ&amp;VAR:QUERY=RkZfRElWX1lMRChBTk4sOC8xMS8wNSw4LzExLzA1KQ==&amp;WINDOW=FIRST_POPUP&amp;HEIGHT=450&amp;WIDTH=450&amp;","START_MAXIMIZED=FALSE&amp;VAR:CALENDAR=US&amp;VAR:SYMBOL=LO&amp;VAR:INDEX=0"}</definedName>
    <definedName name="_134">#REF!</definedName>
    <definedName name="_134__FDSAUDITLINK__" localSheetId="0"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__FDSAUDITLINK__" hidden="1">{"fdsup://directions/FAT Viewer?action=UPDATE&amp;creator=factset&amp;DYN_ARGS=TRUE&amp;DOC_NAME=FAT:FQL_AUDITING_CLIENT_TEMPLATE.FAT&amp;display_string=Audit&amp;VAR:KEY=FSFINMFKLU&amp;VAR:QUERY=RkZfRElWX1lMRChBTk4sOS8xMS8wOCw5LzExLzA4KQ==&amp;WINDOW=FIRST_POPUP&amp;HEIGHT=450&amp;WIDTH=450&amp;","START_MAXIMIZED=FALSE&amp;VAR:CALENDAR=US&amp;VAR:SYMBOL=RAI&amp;VAR:INDEX=0"}</definedName>
    <definedName name="_1340__FDSAUDITLINK__" localSheetId="0"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0__FDSAUDITLINK__" hidden="1">{"fdsup://directions/FAT Viewer?action=UPDATE&amp;creator=factset&amp;DYN_ARGS=TRUE&amp;DOC_NAME=FAT:FQL_AUDITING_CLIENT_TEMPLATE.FAT&amp;display_string=Audit&amp;VAR:KEY=DELENOHURU&amp;VAR:QUERY=RkZfRElWX1lMRChBTk4sOC8wNC8wNSw4LzA0LzA1KQ==&amp;WINDOW=FIRST_POPUP&amp;HEIGHT=450&amp;WIDTH=450&amp;","START_MAXIMIZED=FALSE&amp;VAR:CALENDAR=US&amp;VAR:SYMBOL=LO&amp;VAR:INDEX=0"}</definedName>
    <definedName name="_1341__FDSAUDITLINK__" localSheetId="0"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1__FDSAUDITLINK__" hidden="1">{"fdsup://directions/FAT Viewer?action=UPDATE&amp;creator=factset&amp;DYN_ARGS=TRUE&amp;DOC_NAME=FAT:FQL_AUDITING_CLIENT_TEMPLATE.FAT&amp;display_string=Audit&amp;VAR:KEY=XAFCJCLSBK&amp;VAR:QUERY=RkZfRElWX1lMRChBTk4sNy8yOC8wNSw3LzI4LzA1KQ==&amp;WINDOW=FIRST_POPUP&amp;HEIGHT=450&amp;WIDTH=450&amp;","START_MAXIMIZED=FALSE&amp;VAR:CALENDAR=US&amp;VAR:SYMBOL=LO&amp;VAR:INDEX=0"}</definedName>
    <definedName name="_1342__FDSAUDITLINK__" localSheetId="0"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2__FDSAUDITLINK__" hidden="1">{"fdsup://directions/FAT Viewer?action=UPDATE&amp;creator=factset&amp;DYN_ARGS=TRUE&amp;DOC_NAME=FAT:FQL_AUDITING_CLIENT_TEMPLATE.FAT&amp;display_string=Audit&amp;VAR:KEY=RWPOFMRINM&amp;VAR:QUERY=RkZfRElWX1lMRChBTk4sNy8yMS8wNSw3LzIxLzA1KQ==&amp;WINDOW=FIRST_POPUP&amp;HEIGHT=450&amp;WIDTH=450&amp;","START_MAXIMIZED=FALSE&amp;VAR:CALENDAR=US&amp;VAR:SYMBOL=LO&amp;VAR:INDEX=0"}</definedName>
    <definedName name="_1343__FDSAUDITLINK__" localSheetId="0"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3__FDSAUDITLINK__" hidden="1">{"fdsup://directions/FAT Viewer?action=UPDATE&amp;creator=factset&amp;DYN_ARGS=TRUE&amp;DOC_NAME=FAT:FQL_AUDITING_CLIENT_TEMPLATE.FAT&amp;display_string=Audit&amp;VAR:KEY=ZYNAFCNOXE&amp;VAR:QUERY=RkZfRElWX1lMRChBTk4sNy8xNC8wNSw3LzE0LzA1KQ==&amp;WINDOW=FIRST_POPUP&amp;HEIGHT=450&amp;WIDTH=450&amp;","START_MAXIMIZED=FALSE&amp;VAR:CALENDAR=US&amp;VAR:SYMBOL=LO&amp;VAR:INDEX=0"}</definedName>
    <definedName name="_1344__FDSAUDITLINK__" localSheetId="0"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4__FDSAUDITLINK__" hidden="1">{"fdsup://directions/FAT Viewer?action=UPDATE&amp;creator=factset&amp;DYN_ARGS=TRUE&amp;DOC_NAME=FAT:FQL_AUDITING_CLIENT_TEMPLATE.FAT&amp;display_string=Audit&amp;VAR:KEY=JYPAHYNKJK&amp;VAR:QUERY=RkZfRElWX1lMRChBTk4sNy8wNy8wNSw3LzA3LzA1KQ==&amp;WINDOW=FIRST_POPUP&amp;HEIGHT=450&amp;WIDTH=450&amp;","START_MAXIMIZED=FALSE&amp;VAR:CALENDAR=US&amp;VAR:SYMBOL=LO&amp;VAR:INDEX=0"}</definedName>
    <definedName name="_1345__FDSAUDITLINK__" localSheetId="0"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5__FDSAUDITLINK__" hidden="1">{"fdsup://directions/FAT Viewer?action=UPDATE&amp;creator=factset&amp;DYN_ARGS=TRUE&amp;DOC_NAME=FAT:FQL_AUDITING_CLIENT_TEMPLATE.FAT&amp;display_string=Audit&amp;VAR:KEY=BALMVMLONW&amp;VAR:QUERY=RkZfRElWX1lMRChBTk4sNi8zMC8wNSw2LzMwLzA1KQ==&amp;WINDOW=FIRST_POPUP&amp;HEIGHT=450&amp;WIDTH=450&amp;","START_MAXIMIZED=FALSE&amp;VAR:CALENDAR=US&amp;VAR:SYMBOL=LO&amp;VAR:INDEX=0"}</definedName>
    <definedName name="_1346__FDSAUDITLINK__" localSheetId="0"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6__FDSAUDITLINK__" hidden="1">{"fdsup://directions/FAT Viewer?action=UPDATE&amp;creator=factset&amp;DYN_ARGS=TRUE&amp;DOC_NAME=FAT:FQL_AUDITING_CLIENT_TEMPLATE.FAT&amp;display_string=Audit&amp;VAR:KEY=ROFQFKHGFQ&amp;VAR:QUERY=RkZfRElWX1lMRChBTk4sNi8yMy8wNSw2LzIzLzA1KQ==&amp;WINDOW=FIRST_POPUP&amp;HEIGHT=450&amp;WIDTH=450&amp;","START_MAXIMIZED=FALSE&amp;VAR:CALENDAR=US&amp;VAR:SYMBOL=LO&amp;VAR:INDEX=0"}</definedName>
    <definedName name="_1347">#REF!</definedName>
    <definedName name="_1347__FDSAUDITLINK__" localSheetId="0"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7__FDSAUDITLINK__" hidden="1">{"fdsup://directions/FAT Viewer?action=UPDATE&amp;creator=factset&amp;DYN_ARGS=TRUE&amp;DOC_NAME=FAT:FQL_AUDITING_CLIENT_TEMPLATE.FAT&amp;display_string=Audit&amp;VAR:KEY=ZIPCTMBYTE&amp;VAR:QUERY=RkZfRElWX1lMRChBTk4sNi8xNi8wNSw2LzE2LzA1KQ==&amp;WINDOW=FIRST_POPUP&amp;HEIGHT=450&amp;WIDTH=450&amp;","START_MAXIMIZED=FALSE&amp;VAR:CALENDAR=US&amp;VAR:SYMBOL=LO&amp;VAR:INDEX=0"}</definedName>
    <definedName name="_1348__FDSAUDITLINK__" localSheetId="0"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8__FDSAUDITLINK__" hidden="1">{"fdsup://directions/FAT Viewer?action=UPDATE&amp;creator=factset&amp;DYN_ARGS=TRUE&amp;DOC_NAME=FAT:FQL_AUDITING_CLIENT_TEMPLATE.FAT&amp;display_string=Audit&amp;VAR:KEY=BQTODQVAPK&amp;VAR:QUERY=RkZfRElWX1lMRChBTk4sNi8wOS8wNSw2LzA5LzA1KQ==&amp;WINDOW=FIRST_POPUP&amp;HEIGHT=450&amp;WIDTH=450&amp;","START_MAXIMIZED=FALSE&amp;VAR:CALENDAR=US&amp;VAR:SYMBOL=LO&amp;VAR:INDEX=0"}</definedName>
    <definedName name="_1349__FDSAUDITLINK__" localSheetId="0"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49__FDSAUDITLINK__" hidden="1">{"fdsup://directions/FAT Viewer?action=UPDATE&amp;creator=factset&amp;DYN_ARGS=TRUE&amp;DOC_NAME=FAT:FQL_AUDITING_CLIENT_TEMPLATE.FAT&amp;display_string=Audit&amp;VAR:KEY=NYXEZQPEFE&amp;VAR:QUERY=RkZfRElWX1lMRChBTk4sNi8wMi8wNSw2LzAyLzA1KQ==&amp;WINDOW=FIRST_POPUP&amp;HEIGHT=450&amp;WIDTH=450&amp;","START_MAXIMIZED=FALSE&amp;VAR:CALENDAR=US&amp;VAR:SYMBOL=LO&amp;VAR:INDEX=0"}</definedName>
    <definedName name="_135">#REF!</definedName>
    <definedName name="_135__FDSAUDITLINK__" localSheetId="0"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__FDSAUDITLINK__" hidden="1">{"fdsup://directions/FAT Viewer?action=UPDATE&amp;creator=factset&amp;DYN_ARGS=TRUE&amp;DOC_NAME=FAT:FQL_AUDITING_CLIENT_TEMPLATE.FAT&amp;display_string=Audit&amp;VAR:KEY=HSBYRIFUXG&amp;VAR:QUERY=RkZfRElWX1lMRChBTk4sOS8wNC8wOCw5LzA0LzA4KQ==&amp;WINDOW=FIRST_POPUP&amp;HEIGHT=450&amp;WIDTH=450&amp;","START_MAXIMIZED=FALSE&amp;VAR:CALENDAR=US&amp;VAR:SYMBOL=RAI&amp;VAR:INDEX=0"}</definedName>
    <definedName name="_1350__FDSAUDITLINK__" localSheetId="0"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0__FDSAUDITLINK__" hidden="1">{"fdsup://directions/FAT Viewer?action=UPDATE&amp;creator=factset&amp;DYN_ARGS=TRUE&amp;DOC_NAME=FAT:FQL_AUDITING_CLIENT_TEMPLATE.FAT&amp;display_string=Audit&amp;VAR:KEY=XCHGRABIFS&amp;VAR:QUERY=RkZfRElWX1lMRChBTk4sNS8yNi8wNSw1LzI2LzA1KQ==&amp;WINDOW=FIRST_POPUP&amp;HEIGHT=450&amp;WIDTH=450&amp;","START_MAXIMIZED=FALSE&amp;VAR:CALENDAR=US&amp;VAR:SYMBOL=LO&amp;VAR:INDEX=0"}</definedName>
    <definedName name="_1351">#REF!</definedName>
    <definedName name="_1351__FDSAUDITLINK__" localSheetId="0"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1__FDSAUDITLINK__" hidden="1">{"fdsup://directions/FAT Viewer?action=UPDATE&amp;creator=factset&amp;DYN_ARGS=TRUE&amp;DOC_NAME=FAT:FQL_AUDITING_CLIENT_TEMPLATE.FAT&amp;display_string=Audit&amp;VAR:KEY=NYFUBSREJC&amp;VAR:QUERY=RkZfRElWX1lMRChBTk4sNS8xOS8wNSw1LzE5LzA1KQ==&amp;WINDOW=FIRST_POPUP&amp;HEIGHT=450&amp;WIDTH=450&amp;","START_MAXIMIZED=FALSE&amp;VAR:CALENDAR=US&amp;VAR:SYMBOL=LO&amp;VAR:INDEX=0"}</definedName>
    <definedName name="_1352">#REF!</definedName>
    <definedName name="_1352__FDSAUDITLINK__" localSheetId="0"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2__FDSAUDITLINK__" hidden="1">{"fdsup://directions/FAT Viewer?action=UPDATE&amp;creator=factset&amp;DYN_ARGS=TRUE&amp;DOC_NAME=FAT:FQL_AUDITING_CLIENT_TEMPLATE.FAT&amp;display_string=Audit&amp;VAR:KEY=HWHIRKZYDC&amp;VAR:QUERY=RkZfRElWX1lMRChBTk4sNS8xMi8wNSw1LzEyLzA1KQ==&amp;WINDOW=FIRST_POPUP&amp;HEIGHT=450&amp;WIDTH=450&amp;","START_MAXIMIZED=FALSE&amp;VAR:CALENDAR=US&amp;VAR:SYMBOL=LO&amp;VAR:INDEX=0"}</definedName>
    <definedName name="_1353">#REF!</definedName>
    <definedName name="_1353__FDSAUDITLINK__" localSheetId="0"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3__FDSAUDITLINK__" hidden="1">{"fdsup://directions/FAT Viewer?action=UPDATE&amp;creator=factset&amp;DYN_ARGS=TRUE&amp;DOC_NAME=FAT:FQL_AUDITING_CLIENT_TEMPLATE.FAT&amp;display_string=Audit&amp;VAR:KEY=ZMBOFMZYPU&amp;VAR:QUERY=RkZfRElWX1lMRChBTk4sNS8wNS8wNSw1LzA1LzA1KQ==&amp;WINDOW=FIRST_POPUP&amp;HEIGHT=450&amp;WIDTH=450&amp;","START_MAXIMIZED=FALSE&amp;VAR:CALENDAR=US&amp;VAR:SYMBOL=LO&amp;VAR:INDEX=0"}</definedName>
    <definedName name="_1354">#REF!</definedName>
    <definedName name="_1354__FDSAUDITLINK__" localSheetId="0"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4__FDSAUDITLINK__" hidden="1">{"fdsup://directions/FAT Viewer?action=UPDATE&amp;creator=factset&amp;DYN_ARGS=TRUE&amp;DOC_NAME=FAT:FQL_AUDITING_CLIENT_TEMPLATE.FAT&amp;display_string=Audit&amp;VAR:KEY=RWVAHUVCXY&amp;VAR:QUERY=RkZfRElWX1lMRChBTk4sNC8yOC8wNSw0LzI4LzA1KQ==&amp;WINDOW=FIRST_POPUP&amp;HEIGHT=450&amp;WIDTH=450&amp;","START_MAXIMIZED=FALSE&amp;VAR:CALENDAR=US&amp;VAR:SYMBOL=LO&amp;VAR:INDEX=0"}</definedName>
    <definedName name="_1355">#REF!</definedName>
    <definedName name="_1355__FDSAUDITLINK__" localSheetId="0"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5__FDSAUDITLINK__" hidden="1">{"fdsup://directions/FAT Viewer?action=UPDATE&amp;creator=factset&amp;DYN_ARGS=TRUE&amp;DOC_NAME=FAT:FQL_AUDITING_CLIENT_TEMPLATE.FAT&amp;display_string=Audit&amp;VAR:KEY=LQNENAPORY&amp;VAR:QUERY=RkZfRElWX1lMRChBTk4sNC8yMS8wNSw0LzIxLzA1KQ==&amp;WINDOW=FIRST_POPUP&amp;HEIGHT=450&amp;WIDTH=450&amp;","START_MAXIMIZED=FALSE&amp;VAR:CALENDAR=US&amp;VAR:SYMBOL=LO&amp;VAR:INDEX=0"}</definedName>
    <definedName name="_1356">#REF!</definedName>
    <definedName name="_1356__FDSAUDITLINK__" localSheetId="0"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6__FDSAUDITLINK__" hidden="1">{"fdsup://directions/FAT Viewer?action=UPDATE&amp;creator=factset&amp;DYN_ARGS=TRUE&amp;DOC_NAME=FAT:FQL_AUDITING_CLIENT_TEMPLATE.FAT&amp;display_string=Audit&amp;VAR:KEY=LKBSDMZQVK&amp;VAR:QUERY=RkZfRElWX1lMRChBTk4sNC8xNC8wNSw0LzE0LzA1KQ==&amp;WINDOW=FIRST_POPUP&amp;HEIGHT=450&amp;WIDTH=450&amp;","START_MAXIMIZED=FALSE&amp;VAR:CALENDAR=US&amp;VAR:SYMBOL=LO&amp;VAR:INDEX=0"}</definedName>
    <definedName name="_1357">#REF!</definedName>
    <definedName name="_1357__FDSAUDITLINK__" localSheetId="0"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7__FDSAUDITLINK__" hidden="1">{"fdsup://directions/FAT Viewer?action=UPDATE&amp;creator=factset&amp;DYN_ARGS=TRUE&amp;DOC_NAME=FAT:FQL_AUDITING_CLIENT_TEMPLATE.FAT&amp;display_string=Audit&amp;VAR:KEY=FMVWNOBALA&amp;VAR:QUERY=RkZfRElWX1lMRChBTk4sNC8wNy8wNSw0LzA3LzA1KQ==&amp;WINDOW=FIRST_POPUP&amp;HEIGHT=450&amp;WIDTH=450&amp;","START_MAXIMIZED=FALSE&amp;VAR:CALENDAR=US&amp;VAR:SYMBOL=LO&amp;VAR:INDEX=0"}</definedName>
    <definedName name="_1358">#REF!</definedName>
    <definedName name="_1358__FDSAUDITLINK__" localSheetId="0"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8__FDSAUDITLINK__" hidden="1">{"fdsup://directions/FAT Viewer?action=UPDATE&amp;creator=factset&amp;DYN_ARGS=TRUE&amp;DOC_NAME=FAT:FQL_AUDITING_CLIENT_TEMPLATE.FAT&amp;display_string=Audit&amp;VAR:KEY=VYDAJYPCLC&amp;VAR:QUERY=RkZfRElWX1lMRChBTk4sMy8zMS8wNSwzLzMxLzA1KQ==&amp;WINDOW=FIRST_POPUP&amp;HEIGHT=450&amp;WIDTH=450&amp;","START_MAXIMIZED=FALSE&amp;VAR:CALENDAR=US&amp;VAR:SYMBOL=LO&amp;VAR:INDEX=0"}</definedName>
    <definedName name="_1359">#REF!</definedName>
    <definedName name="_1359__FDSAUDITLINK__" localSheetId="0"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59__FDSAUDITLINK__" hidden="1">{"fdsup://directions/FAT Viewer?action=UPDATE&amp;creator=factset&amp;DYN_ARGS=TRUE&amp;DOC_NAME=FAT:FQL_AUDITING_CLIENT_TEMPLATE.FAT&amp;display_string=Audit&amp;VAR:KEY=NKZQNOLKRG&amp;VAR:QUERY=RkZfRElWX1lMRChBTk4sMy8yNC8wNSwzLzI0LzA1KQ==&amp;WINDOW=FIRST_POPUP&amp;HEIGHT=450&amp;WIDTH=450&amp;","START_MAXIMIZED=FALSE&amp;VAR:CALENDAR=US&amp;VAR:SYMBOL=LO&amp;VAR:INDEX=0"}</definedName>
    <definedName name="_136">#REF!</definedName>
    <definedName name="_136__123Graph_FQRE_S_BY_CO.">#REF!</definedName>
    <definedName name="_136__123Graph_XTAX_CREDIT">#REF!</definedName>
    <definedName name="_136__FDSAUDITLINK__" localSheetId="0"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__FDSAUDITLINK__" hidden="1">{"fdsup://directions/FAT Viewer?action=UPDATE&amp;creator=factset&amp;DYN_ARGS=TRUE&amp;DOC_NAME=FAT:FQL_AUDITING_CLIENT_TEMPLATE.FAT&amp;display_string=Audit&amp;VAR:KEY=TGNYRUVKBM&amp;VAR:QUERY=RkZfRElWX1lMRChBTk4sOC8yOC8wOCw4LzI4LzA4KQ==&amp;WINDOW=FIRST_POPUP&amp;HEIGHT=450&amp;WIDTH=450&amp;","START_MAXIMIZED=FALSE&amp;VAR:CALENDAR=US&amp;VAR:SYMBOL=RAI&amp;VAR:INDEX=0"}</definedName>
    <definedName name="_1360">#REF!</definedName>
    <definedName name="_1360__FDSAUDITLINK__" localSheetId="0"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0__FDSAUDITLINK__" hidden="1">{"fdsup://directions/FAT Viewer?action=UPDATE&amp;creator=factset&amp;DYN_ARGS=TRUE&amp;DOC_NAME=FAT:FQL_AUDITING_CLIENT_TEMPLATE.FAT&amp;display_string=Audit&amp;VAR:KEY=BSHUBSZSHQ&amp;VAR:QUERY=RkZfRElWX1lMRChBTk4sMy8xNy8wNSwzLzE3LzA1KQ==&amp;WINDOW=FIRST_POPUP&amp;HEIGHT=450&amp;WIDTH=450&amp;","START_MAXIMIZED=FALSE&amp;VAR:CALENDAR=US&amp;VAR:SYMBOL=LO&amp;VAR:INDEX=0"}</definedName>
    <definedName name="_1361">#REF!</definedName>
    <definedName name="_1361__FDSAUDITLINK__" localSheetId="0"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1__FDSAUDITLINK__" hidden="1">{"fdsup://directions/FAT Viewer?action=UPDATE&amp;creator=factset&amp;DYN_ARGS=TRUE&amp;DOC_NAME=FAT:FQL_AUDITING_CLIENT_TEMPLATE.FAT&amp;display_string=Audit&amp;VAR:KEY=HQFIPMZQFE&amp;VAR:QUERY=RkZfRElWX1lMRChBTk4sMy8xMC8wNSwzLzEwLzA1KQ==&amp;WINDOW=FIRST_POPUP&amp;HEIGHT=450&amp;WIDTH=450&amp;","START_MAXIMIZED=FALSE&amp;VAR:CALENDAR=US&amp;VAR:SYMBOL=LO&amp;VAR:INDEX=0"}</definedName>
    <definedName name="_1362">#REF!</definedName>
    <definedName name="_1362__FDSAUDITLINK__" localSheetId="0"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2__FDSAUDITLINK__" hidden="1">{"fdsup://directions/FAT Viewer?action=UPDATE&amp;creator=factset&amp;DYN_ARGS=TRUE&amp;DOC_NAME=FAT:FQL_AUDITING_CLIENT_TEMPLATE.FAT&amp;display_string=Audit&amp;VAR:KEY=BUPMTMNCJK&amp;VAR:QUERY=RkZfRElWX1lMRChBTk4sMy8wMy8wNSwzLzAzLzA1KQ==&amp;WINDOW=FIRST_POPUP&amp;HEIGHT=450&amp;WIDTH=450&amp;","START_MAXIMIZED=FALSE&amp;VAR:CALENDAR=US&amp;VAR:SYMBOL=LO&amp;VAR:INDEX=0"}</definedName>
    <definedName name="_1363">#REF!</definedName>
    <definedName name="_1363__FDSAUDITLINK__" localSheetId="0"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3__FDSAUDITLINK__" hidden="1">{"fdsup://directions/FAT Viewer?action=UPDATE&amp;creator=factset&amp;DYN_ARGS=TRUE&amp;DOC_NAME=FAT:FQL_AUDITING_CLIENT_TEMPLATE.FAT&amp;display_string=Audit&amp;VAR:KEY=XOFGDYNKHM&amp;VAR:QUERY=RkZfRElWX1lMRChBTk4sMi8yNC8wNSwyLzI0LzA1KQ==&amp;WINDOW=FIRST_POPUP&amp;HEIGHT=450&amp;WIDTH=450&amp;","START_MAXIMIZED=FALSE&amp;VAR:CALENDAR=US&amp;VAR:SYMBOL=LO&amp;VAR:INDEX=0"}</definedName>
    <definedName name="_1364">#REF!</definedName>
    <definedName name="_1364__FDSAUDITLINK__" localSheetId="0"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4__FDSAUDITLINK__" hidden="1">{"fdsup://directions/FAT Viewer?action=UPDATE&amp;creator=factset&amp;DYN_ARGS=TRUE&amp;DOC_NAME=FAT:FQL_AUDITING_CLIENT_TEMPLATE.FAT&amp;display_string=Audit&amp;VAR:KEY=VOZOFGVUDC&amp;VAR:QUERY=RkZfRElWX1lMRChBTk4sMi8xNy8wNSwyLzE3LzA1KQ==&amp;WINDOW=FIRST_POPUP&amp;HEIGHT=450&amp;WIDTH=450&amp;","START_MAXIMIZED=FALSE&amp;VAR:CALENDAR=US&amp;VAR:SYMBOL=LO&amp;VAR:INDEX=0"}</definedName>
    <definedName name="_1365">#REF!</definedName>
    <definedName name="_1365__FDSAUDITLINK__" localSheetId="0"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5__FDSAUDITLINK__" hidden="1">{"fdsup://directions/FAT Viewer?action=UPDATE&amp;creator=factset&amp;DYN_ARGS=TRUE&amp;DOC_NAME=FAT:FQL_AUDITING_CLIENT_TEMPLATE.FAT&amp;display_string=Audit&amp;VAR:KEY=NQLQFUJILM&amp;VAR:QUERY=RkZfRElWX1lMRChBTk4sMi8xMC8wNSwyLzEwLzA1KQ==&amp;WINDOW=FIRST_POPUP&amp;HEIGHT=450&amp;WIDTH=450&amp;","START_MAXIMIZED=FALSE&amp;VAR:CALENDAR=US&amp;VAR:SYMBOL=LO&amp;VAR:INDEX=0"}</definedName>
    <definedName name="_1366">#REF!</definedName>
    <definedName name="_1366__FDSAUDITLINK__" localSheetId="0"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6__FDSAUDITLINK__" hidden="1">{"fdsup://directions/FAT Viewer?action=UPDATE&amp;creator=factset&amp;DYN_ARGS=TRUE&amp;DOC_NAME=FAT:FQL_AUDITING_CLIENT_TEMPLATE.FAT&amp;display_string=Audit&amp;VAR:KEY=FMBEVKVUPE&amp;VAR:QUERY=RkZfRElWX1lMRChBTk4sMi8wMy8wNSwyLzAzLzA1KQ==&amp;WINDOW=FIRST_POPUP&amp;HEIGHT=450&amp;WIDTH=450&amp;","START_MAXIMIZED=FALSE&amp;VAR:CALENDAR=US&amp;VAR:SYMBOL=LO&amp;VAR:INDEX=0"}</definedName>
    <definedName name="_1367">#REF!</definedName>
    <definedName name="_1367__FDSAUDITLINK__" localSheetId="0"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7__FDSAUDITLINK__" hidden="1">{"fdsup://directions/FAT Viewer?action=UPDATE&amp;creator=factset&amp;DYN_ARGS=TRUE&amp;DOC_NAME=FAT:FQL_AUDITING_CLIENT_TEMPLATE.FAT&amp;display_string=Audit&amp;VAR:KEY=ZSBWLQRAZM&amp;VAR:QUERY=RkZfRElWX1lMRChBTk4sMS8yNy8wNSwxLzI3LzA1KQ==&amp;WINDOW=FIRST_POPUP&amp;HEIGHT=450&amp;WIDTH=450&amp;","START_MAXIMIZED=FALSE&amp;VAR:CALENDAR=US&amp;VAR:SYMBOL=LO&amp;VAR:INDEX=0"}</definedName>
    <definedName name="_1368">#REF!</definedName>
    <definedName name="_1368__FDSAUDITLINK__" localSheetId="0"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8__FDSAUDITLINK__" hidden="1">{"fdsup://directions/FAT Viewer?action=UPDATE&amp;creator=factset&amp;DYN_ARGS=TRUE&amp;DOC_NAME=FAT:FQL_AUDITING_CLIENT_TEMPLATE.FAT&amp;display_string=Audit&amp;VAR:KEY=XYLWFOZGTC&amp;VAR:QUERY=RkZfRElWX1lMRChBTk4sMS8yMC8wNSwxLzIwLzA1KQ==&amp;WINDOW=FIRST_POPUP&amp;HEIGHT=450&amp;WIDTH=450&amp;","START_MAXIMIZED=FALSE&amp;VAR:CALENDAR=US&amp;VAR:SYMBOL=LO&amp;VAR:INDEX=0"}</definedName>
    <definedName name="_1369">#REF!</definedName>
    <definedName name="_1369__FDSAUDITLINK__" localSheetId="0"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69__FDSAUDITLINK__" hidden="1">{"fdsup://directions/FAT Viewer?action=UPDATE&amp;creator=factset&amp;DYN_ARGS=TRUE&amp;DOC_NAME=FAT:FQL_AUDITING_CLIENT_TEMPLATE.FAT&amp;display_string=Audit&amp;VAR:KEY=HAFCDWVOXQ&amp;VAR:QUERY=RkZfRElWX1lMRChBTk4sMS8xMy8wNSwxLzEzLzA1KQ==&amp;WINDOW=FIRST_POPUP&amp;HEIGHT=450&amp;WIDTH=450&amp;","START_MAXIMIZED=FALSE&amp;VAR:CALENDAR=US&amp;VAR:SYMBOL=LO&amp;VAR:INDEX=0"}</definedName>
    <definedName name="_137">#REF!</definedName>
    <definedName name="_137__FDSAUDITLINK__" localSheetId="0"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__FDSAUDITLINK__" hidden="1">{"fdsup://directions/FAT Viewer?action=UPDATE&amp;creator=factset&amp;DYN_ARGS=TRUE&amp;DOC_NAME=FAT:FQL_AUDITING_CLIENT_TEMPLATE.FAT&amp;display_string=Audit&amp;VAR:KEY=ZERKLCNSJA&amp;VAR:QUERY=RkZfRElWX1lMRChBTk4sOC8yMS8wOCw4LzIxLzA4KQ==&amp;WINDOW=FIRST_POPUP&amp;HEIGHT=450&amp;WIDTH=450&amp;","START_MAXIMIZED=FALSE&amp;VAR:CALENDAR=US&amp;VAR:SYMBOL=RAI&amp;VAR:INDEX=0"}</definedName>
    <definedName name="_1370">#REF!</definedName>
    <definedName name="_1370__FDSAUDITLINK__" localSheetId="0"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0__FDSAUDITLINK__" hidden="1">{"fdsup://directions/FAT Viewer?action=UPDATE&amp;creator=factset&amp;DYN_ARGS=TRUE&amp;DOC_NAME=FAT:FQL_AUDITING_CLIENT_TEMPLATE.FAT&amp;display_string=Audit&amp;VAR:KEY=DKXANYNMJO&amp;VAR:QUERY=RkZfRElWX1lMRChBTk4sMS8wNi8wNSwxLzA2LzA1KQ==&amp;WINDOW=FIRST_POPUP&amp;HEIGHT=450&amp;WIDTH=450&amp;","START_MAXIMIZED=FALSE&amp;VAR:CALENDAR=US&amp;VAR:SYMBOL=LO&amp;VAR:INDEX=0"}</definedName>
    <definedName name="_1371__FDSAUDITLINK__" localSheetId="0"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1__FDSAUDITLINK__" hidden="1">{"fdsup://directions/FAT Viewer?action=UPDATE&amp;creator=factset&amp;DYN_ARGS=TRUE&amp;DOC_NAME=FAT:FQL_AUDITING_CLIENT_TEMPLATE.FAT&amp;display_string=Audit&amp;VAR:KEY=NIBSTIRMTE&amp;VAR:QUERY=RkZfRElWX1lMRChBTk4sMTIvMzAvMDQsMTIvMzAvMDQp&amp;WINDOW=FIRST_POPUP&amp;HEIGHT=450&amp;WIDTH=450&amp;","START_MAXIMIZED=FALSE&amp;VAR:CALENDAR=US&amp;VAR:SYMBOL=LO&amp;VAR:INDEX=0"}</definedName>
    <definedName name="_1372__FDSAUDITLINK__" localSheetId="0"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2__FDSAUDITLINK__" hidden="1">{"fdsup://directions/FAT Viewer?action=UPDATE&amp;creator=factset&amp;DYN_ARGS=TRUE&amp;DOC_NAME=FAT:FQL_AUDITING_CLIENT_TEMPLATE.FAT&amp;display_string=Audit&amp;VAR:KEY=FYHATWHIPG&amp;VAR:QUERY=RkZfRElWX1lMRChBTk4sMTIvMjMvMDQsMTIvMjMvMDQp&amp;WINDOW=FIRST_POPUP&amp;HEIGHT=450&amp;WIDTH=450&amp;","START_MAXIMIZED=FALSE&amp;VAR:CALENDAR=US&amp;VAR:SYMBOL=LO&amp;VAR:INDEX=0"}</definedName>
    <definedName name="_1373">#REF!</definedName>
    <definedName name="_1373__FDSAUDITLINK__" localSheetId="0"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3__FDSAUDITLINK__" hidden="1">{"fdsup://directions/FAT Viewer?action=UPDATE&amp;creator=factset&amp;DYN_ARGS=TRUE&amp;DOC_NAME=FAT:FQL_AUDITING_CLIENT_TEMPLATE.FAT&amp;display_string=Audit&amp;VAR:KEY=ZGHAFMHABU&amp;VAR:QUERY=RkZfRElWX1lMRChBTk4sMTIvMTYvMDQsMTIvMTYvMDQp&amp;WINDOW=FIRST_POPUP&amp;HEIGHT=450&amp;WIDTH=450&amp;","START_MAXIMIZED=FALSE&amp;VAR:CALENDAR=US&amp;VAR:SYMBOL=LO&amp;VAR:INDEX=0"}</definedName>
    <definedName name="_1374__FDSAUDITLINK__" localSheetId="0"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4__FDSAUDITLINK__" hidden="1">{"fdsup://directions/FAT Viewer?action=UPDATE&amp;creator=factset&amp;DYN_ARGS=TRUE&amp;DOC_NAME=FAT:FQL_AUDITING_CLIENT_TEMPLATE.FAT&amp;display_string=Audit&amp;VAR:KEY=ZMBSLEXEDW&amp;VAR:QUERY=RkZfRElWX1lMRChBTk4sMTIvMDkvMDQsMTIvMDkvMDQp&amp;WINDOW=FIRST_POPUP&amp;HEIGHT=450&amp;WIDTH=450&amp;","START_MAXIMIZED=FALSE&amp;VAR:CALENDAR=US&amp;VAR:SYMBOL=LO&amp;VAR:INDEX=0"}</definedName>
    <definedName name="_1375__FDSAUDITLINK__" localSheetId="0"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5__FDSAUDITLINK__" hidden="1">{"fdsup://directions/FAT Viewer?action=UPDATE&amp;creator=factset&amp;DYN_ARGS=TRUE&amp;DOC_NAME=FAT:FQL_AUDITING_CLIENT_TEMPLATE.FAT&amp;display_string=Audit&amp;VAR:KEY=BWNCRYLUBO&amp;VAR:QUERY=RkZfRElWX1lMRChBTk4sMTIvMDIvMDQsMTIvMDIvMDQp&amp;WINDOW=FIRST_POPUP&amp;HEIGHT=450&amp;WIDTH=450&amp;","START_MAXIMIZED=FALSE&amp;VAR:CALENDAR=US&amp;VAR:SYMBOL=LO&amp;VAR:INDEX=0"}</definedName>
    <definedName name="_1376__FDSAUDITLINK__" localSheetId="0"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6__FDSAUDITLINK__" hidden="1">{"fdsup://directions/FAT Viewer?action=UPDATE&amp;creator=factset&amp;DYN_ARGS=TRUE&amp;DOC_NAME=FAT:FQL_AUDITING_CLIENT_TEMPLATE.FAT&amp;display_string=Audit&amp;VAR:KEY=HWROFSFELC&amp;VAR:QUERY=RkZfRElWX1lMRChBTk4sMTEvMjQvMDQsMTEvMjQvMDQp&amp;WINDOW=FIRST_POPUP&amp;HEIGHT=450&amp;WIDTH=450&amp;","START_MAXIMIZED=FALSE&amp;VAR:CALENDAR=US&amp;VAR:SYMBOL=LO&amp;VAR:INDEX=0"}</definedName>
    <definedName name="_1377__FDSAUDITLINK__" localSheetId="0"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7__FDSAUDITLINK__" hidden="1">{"fdsup://directions/FAT Viewer?action=UPDATE&amp;creator=factset&amp;DYN_ARGS=TRUE&amp;DOC_NAME=FAT:FQL_AUDITING_CLIENT_TEMPLATE.FAT&amp;display_string=Audit&amp;VAR:KEY=LUXIBSTMRO&amp;VAR:QUERY=RkZfRElWX1lMRChBTk4sMTEvMTgvMDQsMTEvMTgvMDQp&amp;WINDOW=FIRST_POPUP&amp;HEIGHT=450&amp;WIDTH=450&amp;","START_MAXIMIZED=FALSE&amp;VAR:CALENDAR=US&amp;VAR:SYMBOL=LO&amp;VAR:INDEX=0"}</definedName>
    <definedName name="_1378">#REF!</definedName>
    <definedName name="_1378__FDSAUDITLINK__" localSheetId="0"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8__FDSAUDITLINK__" hidden="1">{"fdsup://directions/FAT Viewer?action=UPDATE&amp;creator=factset&amp;DYN_ARGS=TRUE&amp;DOC_NAME=FAT:FQL_AUDITING_CLIENT_TEMPLATE.FAT&amp;display_string=Audit&amp;VAR:KEY=TILMZSLODE&amp;VAR:QUERY=RkZfRElWX1lMRChBTk4sMTEvMTEvMDQsMTEvMTEvMDQp&amp;WINDOW=FIRST_POPUP&amp;HEIGHT=450&amp;WIDTH=450&amp;","START_MAXIMIZED=FALSE&amp;VAR:CALENDAR=US&amp;VAR:SYMBOL=LO&amp;VAR:INDEX=0"}</definedName>
    <definedName name="_1379__FDSAUDITLINK__" localSheetId="0"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9__FDSAUDITLINK__" hidden="1">{"fdsup://directions/FAT Viewer?action=UPDATE&amp;creator=factset&amp;DYN_ARGS=TRUE&amp;DOC_NAME=FAT:FQL_AUDITING_CLIENT_TEMPLATE.FAT&amp;display_string=Audit&amp;VAR:KEY=XATKJYNMRS&amp;VAR:QUERY=RkZfRElWX1lMRChBTk4sMTEvMDQvMDQsMTEvMDQvMDQp&amp;WINDOW=FIRST_POPUP&amp;HEIGHT=450&amp;WIDTH=450&amp;","START_MAXIMIZED=FALSE&amp;VAR:CALENDAR=US&amp;VAR:SYMBOL=LO&amp;VAR:INDEX=0"}</definedName>
    <definedName name="_137Table2_">#REF!</definedName>
    <definedName name="_138">#REF!</definedName>
    <definedName name="_138__123Graph_EQRE_S_BY_CO.">#REF!</definedName>
    <definedName name="_138__FDSAUDITLINK__" localSheetId="0"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__FDSAUDITLINK__" hidden="1">{"fdsup://directions/FAT Viewer?action=UPDATE&amp;creator=factset&amp;DYN_ARGS=TRUE&amp;DOC_NAME=FAT:FQL_AUDITING_CLIENT_TEMPLATE.FAT&amp;display_string=Audit&amp;VAR:KEY=DUPEDYNOJM&amp;VAR:QUERY=RkZfRElWX1lMRChBTk4sOC8xNC8wOCw4LzE0LzA4KQ==&amp;WINDOW=FIRST_POPUP&amp;HEIGHT=450&amp;WIDTH=450&amp;","START_MAXIMIZED=FALSE&amp;VAR:CALENDAR=US&amp;VAR:SYMBOL=RAI&amp;VAR:INDEX=0"}</definedName>
    <definedName name="_1380__FDSAUDITLINK__" localSheetId="0"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0__FDSAUDITLINK__" hidden="1">{"fdsup://directions/FAT Viewer?action=UPDATE&amp;creator=factset&amp;DYN_ARGS=TRUE&amp;DOC_NAME=FAT:FQL_AUDITING_CLIENT_TEMPLATE.FAT&amp;display_string=Audit&amp;VAR:KEY=FCPSXIDYVG&amp;VAR:QUERY=RkZfRElWX1lMRChBTk4sMTAvMjgvMDQsMTAvMjgvMDQp&amp;WINDOW=FIRST_POPUP&amp;HEIGHT=450&amp;WIDTH=450&amp;","START_MAXIMIZED=FALSE&amp;VAR:CALENDAR=US&amp;VAR:SYMBOL=LO&amp;VAR:INDEX=0"}</definedName>
    <definedName name="_1381__FDSAUDITLINK__" localSheetId="0"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1__FDSAUDITLINK__" hidden="1">{"fdsup://directions/FAT Viewer?action=UPDATE&amp;creator=factset&amp;DYN_ARGS=TRUE&amp;DOC_NAME=FAT:FQL_AUDITING_CLIENT_TEMPLATE.FAT&amp;display_string=Audit&amp;VAR:KEY=RIVSZWNWZI&amp;VAR:QUERY=RkZfRElWX1lMRChBTk4sMTAvMjEvMDQsMTAvMjEvMDQp&amp;WINDOW=FIRST_POPUP&amp;HEIGHT=450&amp;WIDTH=450&amp;","START_MAXIMIZED=FALSE&amp;VAR:CALENDAR=US&amp;VAR:SYMBOL=LO&amp;VAR:INDEX=0"}</definedName>
    <definedName name="_1382__FDSAUDITLINK__" localSheetId="0"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2__FDSAUDITLINK__" hidden="1">{"fdsup://directions/FAT Viewer?action=UPDATE&amp;creator=factset&amp;DYN_ARGS=TRUE&amp;DOC_NAME=FAT:FQL_AUDITING_CLIENT_TEMPLATE.FAT&amp;display_string=Audit&amp;VAR:KEY=NWNQJSTYJI&amp;VAR:QUERY=RkZfRElWX1lMRChBTk4sMTAvMTQvMDQsMTAvMTQvMDQp&amp;WINDOW=FIRST_POPUP&amp;HEIGHT=450&amp;WIDTH=450&amp;","START_MAXIMIZED=FALSE&amp;VAR:CALENDAR=US&amp;VAR:SYMBOL=LO&amp;VAR:INDEX=0"}</definedName>
    <definedName name="_1383">#REF!</definedName>
    <definedName name="_1383__FDSAUDITLINK__" localSheetId="0"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3__FDSAUDITLINK__" hidden="1">{"fdsup://directions/FAT Viewer?action=UPDATE&amp;creator=factset&amp;DYN_ARGS=TRUE&amp;DOC_NAME=FAT:FQL_AUDITING_CLIENT_TEMPLATE.FAT&amp;display_string=Audit&amp;VAR:KEY=XKREBUZQVK&amp;VAR:QUERY=RkZfRElWX1lMRChBTk4sMTAvMDcvMDQsMTAvMDcvMDQp&amp;WINDOW=FIRST_POPUP&amp;HEIGHT=450&amp;WIDTH=450&amp;","START_MAXIMIZED=FALSE&amp;VAR:CALENDAR=US&amp;VAR:SYMBOL=LO&amp;VAR:INDEX=0"}</definedName>
    <definedName name="_1384__FDSAUDITLINK__" localSheetId="0"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4__FDSAUDITLINK__" hidden="1">{"fdsup://directions/FAT Viewer?action=UPDATE&amp;creator=factset&amp;DYN_ARGS=TRUE&amp;DOC_NAME=FAT:FQL_AUDITING_CLIENT_TEMPLATE.FAT&amp;display_string=Audit&amp;VAR:KEY=JGHWZUFMJS&amp;VAR:QUERY=RkZfRElWX1lMRChBTk4sOS8zMC8wNCw5LzMwLzA0KQ==&amp;WINDOW=FIRST_POPUP&amp;HEIGHT=450&amp;WIDTH=450&amp;","START_MAXIMIZED=FALSE&amp;VAR:CALENDAR=US&amp;VAR:SYMBOL=LO&amp;VAR:INDEX=0"}</definedName>
    <definedName name="_1385__FDSAUDITLINK__" localSheetId="0"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5__FDSAUDITLINK__" hidden="1">{"fdsup://directions/FAT Viewer?action=UPDATE&amp;creator=factset&amp;DYN_ARGS=TRUE&amp;DOC_NAME=FAT:FQL_AUDITING_CLIENT_TEMPLATE.FAT&amp;display_string=Audit&amp;VAR:KEY=BOVIDMREHK&amp;VAR:QUERY=RkZfRElWX1lMRChBTk4sOS8yMy8wNCw5LzIzLzA0KQ==&amp;WINDOW=FIRST_POPUP&amp;HEIGHT=450&amp;WIDTH=450&amp;","START_MAXIMIZED=FALSE&amp;VAR:CALENDAR=US&amp;VAR:SYMBOL=LO&amp;VAR:INDEX=0"}</definedName>
    <definedName name="_1386__FDSAUDITLINK__" localSheetId="0"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6__FDSAUDITLINK__" hidden="1">{"fdsup://directions/FAT Viewer?action=UPDATE&amp;creator=factset&amp;DYN_ARGS=TRUE&amp;DOC_NAME=FAT:FQL_AUDITING_CLIENT_TEMPLATE.FAT&amp;display_string=Audit&amp;VAR:KEY=FIRMFIDYPG&amp;VAR:QUERY=RkZfRElWX1lMRChBTk4sOS8xNi8wNCw5LzE2LzA0KQ==&amp;WINDOW=FIRST_POPUP&amp;HEIGHT=450&amp;WIDTH=450&amp;","START_MAXIMIZED=FALSE&amp;VAR:CALENDAR=US&amp;VAR:SYMBOL=LO&amp;VAR:INDEX=0"}</definedName>
    <definedName name="_1387__FDSAUDITLINK__" localSheetId="0"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7__FDSAUDITLINK__" hidden="1">{"fdsup://directions/FAT Viewer?action=UPDATE&amp;creator=factset&amp;DYN_ARGS=TRUE&amp;DOC_NAME=FAT:FQL_AUDITING_CLIENT_TEMPLATE.FAT&amp;display_string=Audit&amp;VAR:KEY=TUDIHANIBG&amp;VAR:QUERY=RkZfRElWX1lMRChBTk4sOS8wOS8wNCw5LzA5LzA0KQ==&amp;WINDOW=FIRST_POPUP&amp;HEIGHT=450&amp;WIDTH=450&amp;","START_MAXIMIZED=FALSE&amp;VAR:CALENDAR=US&amp;VAR:SYMBOL=LO&amp;VAR:INDEX=0"}</definedName>
    <definedName name="_1388__FDSAUDITLINK__" localSheetId="0"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8__FDSAUDITLINK__" hidden="1">{"fdsup://directions/FAT Viewer?action=UPDATE&amp;creator=factset&amp;DYN_ARGS=TRUE&amp;DOC_NAME=FAT:FQL_AUDITING_CLIENT_TEMPLATE.FAT&amp;display_string=Audit&amp;VAR:KEY=BCLWJERCFW&amp;VAR:QUERY=RkZfRElWX1lMRChBTk4sOS8wMi8wNCw5LzAyLzA0KQ==&amp;WINDOW=FIRST_POPUP&amp;HEIGHT=450&amp;WIDTH=450&amp;","START_MAXIMIZED=FALSE&amp;VAR:CALENDAR=US&amp;VAR:SYMBOL=LO&amp;VAR:INDEX=0"}</definedName>
    <definedName name="_1389__FDSAUDITLINK__" localSheetId="0"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89__FDSAUDITLINK__" hidden="1">{"fdsup://directions/FAT Viewer?action=UPDATE&amp;creator=factset&amp;DYN_ARGS=TRUE&amp;DOC_NAME=FAT:FQL_AUDITING_CLIENT_TEMPLATE.FAT&amp;display_string=Audit&amp;VAR:KEY=PYFKNYXCVE&amp;VAR:QUERY=RkZfRElWX1lMRChBTk4sOC8yNi8wNCw4LzI2LzA0KQ==&amp;WINDOW=FIRST_POPUP&amp;HEIGHT=450&amp;WIDTH=450&amp;","START_MAXIMIZED=FALSE&amp;VAR:CALENDAR=US&amp;VAR:SYMBOL=LO&amp;VAR:INDEX=0"}</definedName>
    <definedName name="_139">#REF!</definedName>
    <definedName name="_139__123Graph_EQRE_S_BY_CO.">#REF!</definedName>
    <definedName name="_139__FDSAUDITLINK__" localSheetId="0"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__FDSAUDITLINK__" hidden="1">{"fdsup://directions/FAT Viewer?action=UPDATE&amp;creator=factset&amp;DYN_ARGS=TRUE&amp;DOC_NAME=FAT:FQL_AUDITING_CLIENT_TEMPLATE.FAT&amp;display_string=Audit&amp;VAR:KEY=DIHKDEREVI&amp;VAR:QUERY=RkZfRElWX1lMRChBTk4sOC8wNy8wOCw4LzA3LzA4KQ==&amp;WINDOW=FIRST_POPUP&amp;HEIGHT=450&amp;WIDTH=450&amp;","START_MAXIMIZED=FALSE&amp;VAR:CALENDAR=US&amp;VAR:SYMBOL=RAI&amp;VAR:INDEX=0"}</definedName>
    <definedName name="_1390__FDSAUDITLINK__" localSheetId="0"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0__FDSAUDITLINK__" hidden="1">{"fdsup://directions/FAT Viewer?action=UPDATE&amp;creator=factset&amp;DYN_ARGS=TRUE&amp;DOC_NAME=FAT:FQL_AUDITING_CLIENT_TEMPLATE.FAT&amp;display_string=Audit&amp;VAR:KEY=ZUXEJMREDW&amp;VAR:QUERY=RkZfRElWX1lMRChBTk4sOC8xOS8wNCw4LzE5LzA0KQ==&amp;WINDOW=FIRST_POPUP&amp;HEIGHT=450&amp;WIDTH=450&amp;","START_MAXIMIZED=FALSE&amp;VAR:CALENDAR=US&amp;VAR:SYMBOL=LO&amp;VAR:INDEX=0"}</definedName>
    <definedName name="_1391">#REF!</definedName>
    <definedName name="_1391__FDSAUDITLINK__" localSheetId="0"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1__FDSAUDITLINK__" hidden="1">{"fdsup://directions/FAT Viewer?action=UPDATE&amp;creator=factset&amp;DYN_ARGS=TRUE&amp;DOC_NAME=FAT:FQL_AUDITING_CLIENT_TEMPLATE.FAT&amp;display_string=Audit&amp;VAR:KEY=TGTGBYJEJQ&amp;VAR:QUERY=RkZfRElWX1lMRChBTk4sOC8xMi8wNCw4LzEyLzA0KQ==&amp;WINDOW=FIRST_POPUP&amp;HEIGHT=450&amp;WIDTH=450&amp;","START_MAXIMIZED=FALSE&amp;VAR:CALENDAR=US&amp;VAR:SYMBOL=LO&amp;VAR:INDEX=0"}</definedName>
    <definedName name="_1392__FDSAUDITLINK__" localSheetId="0"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2__FDSAUDITLINK__" hidden="1">{"fdsup://directions/FAT Viewer?action=UPDATE&amp;creator=factset&amp;DYN_ARGS=TRUE&amp;DOC_NAME=FAT:FQL_AUDITING_CLIENT_TEMPLATE.FAT&amp;display_string=Audit&amp;VAR:KEY=XEHABUDEHM&amp;VAR:QUERY=RkZfRElWX1lMRChBTk4sOC8wNS8wNCw4LzA1LzA0KQ==&amp;WINDOW=FIRST_POPUP&amp;HEIGHT=450&amp;WIDTH=450&amp;","START_MAXIMIZED=FALSE&amp;VAR:CALENDAR=US&amp;VAR:SYMBOL=LO&amp;VAR:INDEX=0"}</definedName>
    <definedName name="_1393__FDSAUDITLINK__" localSheetId="0"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3__FDSAUDITLINK__" hidden="1">{"fdsup://directions/FAT Viewer?action=UPDATE&amp;creator=factset&amp;DYN_ARGS=TRUE&amp;DOC_NAME=FAT:FQL_AUDITING_CLIENT_TEMPLATE.FAT&amp;display_string=Audit&amp;VAR:KEY=FGZOXYDQVI&amp;VAR:QUERY=RkZfRElWX1lMRChBTk4sNy8yOS8wNCw3LzI5LzA0KQ==&amp;WINDOW=FIRST_POPUP&amp;HEIGHT=450&amp;WIDTH=450&amp;","START_MAXIMIZED=FALSE&amp;VAR:CALENDAR=US&amp;VAR:SYMBOL=LO&amp;VAR:INDEX=0"}</definedName>
    <definedName name="_1394">#REF!</definedName>
    <definedName name="_1394__FDSAUDITLINK__" localSheetId="0"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4__FDSAUDITLINK__" hidden="1">{"fdsup://directions/FAT Viewer?action=UPDATE&amp;creator=factset&amp;DYN_ARGS=TRUE&amp;DOC_NAME=FAT:FQL_AUDITING_CLIENT_TEMPLATE.FAT&amp;display_string=Audit&amp;VAR:KEY=ZMDCHEZAVY&amp;VAR:QUERY=RkZfRElWX1lMRChBTk4sNy8yMi8wNCw3LzIyLzA0KQ==&amp;WINDOW=FIRST_POPUP&amp;HEIGHT=450&amp;WIDTH=450&amp;","START_MAXIMIZED=FALSE&amp;VAR:CALENDAR=US&amp;VAR:SYMBOL=LO&amp;VAR:INDEX=0"}</definedName>
    <definedName name="_1395">#REF!</definedName>
    <definedName name="_1395__FDSAUDITLINK__" localSheetId="0"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5__FDSAUDITLINK__" hidden="1">{"fdsup://directions/FAT Viewer?action=UPDATE&amp;creator=factset&amp;DYN_ARGS=TRUE&amp;DOC_NAME=FAT:FQL_AUDITING_CLIENT_TEMPLATE.FAT&amp;display_string=Audit&amp;VAR:KEY=BMHQPYTONC&amp;VAR:QUERY=RkZfRElWX1lMRChBTk4sNy8xNS8wNCw3LzE1LzA0KQ==&amp;WINDOW=FIRST_POPUP&amp;HEIGHT=450&amp;WIDTH=450&amp;","START_MAXIMIZED=FALSE&amp;VAR:CALENDAR=US&amp;VAR:SYMBOL=LO&amp;VAR:INDEX=0"}</definedName>
    <definedName name="_1396">#REF!</definedName>
    <definedName name="_1396__FDSAUDITLINK__" localSheetId="0"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6__FDSAUDITLINK__" hidden="1">{"fdsup://directions/FAT Viewer?action=UPDATE&amp;creator=factset&amp;DYN_ARGS=TRUE&amp;DOC_NAME=FAT:FQL_AUDITING_CLIENT_TEMPLATE.FAT&amp;display_string=Audit&amp;VAR:KEY=JGZILQZOLG&amp;VAR:QUERY=RkZfRElWX1lMRChBTk4sNy8wOC8wNCw3LzA4LzA0KQ==&amp;WINDOW=FIRST_POPUP&amp;HEIGHT=450&amp;WIDTH=450&amp;","START_MAXIMIZED=FALSE&amp;VAR:CALENDAR=US&amp;VAR:SYMBOL=LO&amp;VAR:INDEX=0"}</definedName>
    <definedName name="_1397">#REF!</definedName>
    <definedName name="_1397__FDSAUDITLINK__" localSheetId="0"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7__FDSAUDITLINK__" hidden="1">{"fdsup://directions/FAT Viewer?action=UPDATE&amp;creator=factset&amp;DYN_ARGS=TRUE&amp;DOC_NAME=FAT:FQL_AUDITING_CLIENT_TEMPLATE.FAT&amp;display_string=Audit&amp;VAR:KEY=TONMDKVWNM&amp;VAR:QUERY=RkZfRElWX1lMRChBTk4sNy8wMS8wNCw3LzAxLzA0KQ==&amp;WINDOW=FIRST_POPUP&amp;HEIGHT=450&amp;WIDTH=450&amp;","START_MAXIMIZED=FALSE&amp;VAR:CALENDAR=US&amp;VAR:SYMBOL=LO&amp;VAR:INDEX=0"}</definedName>
    <definedName name="_1398">#REF!</definedName>
    <definedName name="_1398__FDSAUDITLINK__" localSheetId="0"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8__FDSAUDITLINK__" hidden="1">{"fdsup://directions/FAT Viewer?action=UPDATE&amp;creator=factset&amp;DYN_ARGS=TRUE&amp;DOC_NAME=FAT:FQL_AUDITING_CLIENT_TEMPLATE.FAT&amp;display_string=Audit&amp;VAR:KEY=VMBOVWNOHW&amp;VAR:QUERY=RkZfRElWX1lMRChBTk4sNi8yNC8wNCw2LzI0LzA0KQ==&amp;WINDOW=FIRST_POPUP&amp;HEIGHT=450&amp;WIDTH=450&amp;","START_MAXIMIZED=FALSE&amp;VAR:CALENDAR=US&amp;VAR:SYMBOL=LO&amp;VAR:INDEX=0"}</definedName>
    <definedName name="_1399">#REF!</definedName>
    <definedName name="_1399__FDSAUDITLINK__" localSheetId="0"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99__FDSAUDITLINK__" hidden="1">{"fdsup://directions/FAT Viewer?action=UPDATE&amp;creator=factset&amp;DYN_ARGS=TRUE&amp;DOC_NAME=FAT:FQL_AUDITING_CLIENT_TEMPLATE.FAT&amp;display_string=Audit&amp;VAR:KEY=PORKXEXCTS&amp;VAR:QUERY=RkZfRElWX1lMRChBTk4sNi8xNy8wNCw2LzE3LzA0KQ==&amp;WINDOW=FIRST_POPUP&amp;HEIGHT=450&amp;WIDTH=450&amp;","START_MAXIMIZED=FALSE&amp;VAR:CALENDAR=US&amp;VAR:SYMBOL=LO&amp;VAR:INDEX=0"}</definedName>
    <definedName name="_13J_0_K" hidden="1">#REF!</definedName>
    <definedName name="_13s16_" hidden="1">{#N/A,#N/A,FALSE,"UNIT";#N/A,#N/A,FALSE,"UNIT";#N/A,#N/A,FALSE,"계정"}</definedName>
    <definedName name="_13s2_" hidden="1">{#N/A,#N/A,FALSE,"UNIT";#N/A,#N/A,FALSE,"UNIT";#N/A,#N/A,FALSE,"계정"}</definedName>
    <definedName name="_13s3_" hidden="1">{#N/A,#N/A,FALSE,"UNIT";#N/A,#N/A,FALSE,"UNIT";#N/A,#N/A,FALSE,"계정"}</definedName>
    <definedName name="_13Z05_">#REF!</definedName>
    <definedName name="_14">#REF!</definedName>
    <definedName name="_14__________NOTE10_12">#REF!</definedName>
    <definedName name="_14__123Graph_ACHART_29" hidden="1">#REF!</definedName>
    <definedName name="_14__123Graph_ACHART_3">#REF!</definedName>
    <definedName name="_14__123Graph_ACHART_4">#REF!</definedName>
    <definedName name="_14__123Graph_AChart_6J">#REF!</definedName>
    <definedName name="_14__123Graph_ASUPPLIES_BY_B_U">#REF!</definedName>
    <definedName name="_14__123Graph_BCONTRACT_BY_B_U">#REF!</definedName>
    <definedName name="_14__123Graph_BQRE_S_BY_CO.">#REF!</definedName>
    <definedName name="_14__123Graph_BQRE_S_BY_TYPE" hidden="1">#REF!</definedName>
    <definedName name="_14__123Graph_BSENS_COMPARISON">#REF!</definedName>
    <definedName name="_14__123Graph_BTAX_CREDIT" hidden="1">#REF!</definedName>
    <definedName name="_14__123Graph_BWAGES_BY_B_U">#REF!</definedName>
    <definedName name="_14__123Graph_CCONTRACT_BY_B_U">#REF!</definedName>
    <definedName name="_14__123Graph_CQRE_S_BY_CO.">#REF!</definedName>
    <definedName name="_14__FDSAUDITLINK__" localSheetId="0"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_FDSAUDITLINK__" hidden="1">{"fdsup://directions/FAT Viewer?action=UPDATE&amp;creator=factset&amp;DYN_ARGS=TRUE&amp;DOC_NAME=FAT:FQL_AUDITING_CLIENT_TEMPLATE.FAT&amp;display_string=Audit&amp;VAR:KEY=MLYPYDQNMJ&amp;VAR:QUERY=Q1NGX0RJVl9ZTEQoUVRSX1IsOS8yOC8yMDA3KQ==&amp;WINDOW=FIRST_POPUP&amp;HEIGHT=450&amp;WIDTH=450&amp;STAR","T_MAXIMIZED=FALSE&amp;VAR:CALENDAR=US&amp;VAR:SYMBOL=MO&amp;VAR:INDEX=0"}</definedName>
    <definedName name="_14_0_S" hidden="1">#REF!</definedName>
    <definedName name="_14_0_Table2_">#REF!</definedName>
    <definedName name="_14_1___F">#REF!</definedName>
    <definedName name="_140">#REF!</definedName>
    <definedName name="_140__FDSAUDITLINK__" localSheetId="0"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__FDSAUDITLINK__" hidden="1">{"fdsup://directions/FAT Viewer?action=UPDATE&amp;creator=factset&amp;DYN_ARGS=TRUE&amp;DOC_NAME=FAT:FQL_AUDITING_CLIENT_TEMPLATE.FAT&amp;display_string=Audit&amp;VAR:KEY=ZWPORSBGRE&amp;VAR:QUERY=RkZfRElWX1lMRChBTk4sNy8zMS8wOCw3LzMxLzA4KQ==&amp;WINDOW=FIRST_POPUP&amp;HEIGHT=450&amp;WIDTH=450&amp;","START_MAXIMIZED=FALSE&amp;VAR:CALENDAR=US&amp;VAR:SYMBOL=RAI&amp;VAR:INDEX=0"}</definedName>
    <definedName name="_1400">#REF!</definedName>
    <definedName name="_1400__FDSAUDITLINK__" localSheetId="0"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0__FDSAUDITLINK__" hidden="1">{"fdsup://directions/FAT Viewer?action=UPDATE&amp;creator=factset&amp;DYN_ARGS=TRUE&amp;DOC_NAME=FAT:FQL_AUDITING_CLIENT_TEMPLATE.FAT&amp;display_string=Audit&amp;VAR:KEY=DGXETMDAXA&amp;VAR:QUERY=RkZfRElWX1lMRChBTk4sNi8xMC8wNCw2LzEwLzA0KQ==&amp;WINDOW=FIRST_POPUP&amp;HEIGHT=450&amp;WIDTH=450&amp;","START_MAXIMIZED=FALSE&amp;VAR:CALENDAR=US&amp;VAR:SYMBOL=LO&amp;VAR:INDEX=0"}</definedName>
    <definedName name="_1401">#REF!</definedName>
    <definedName name="_1401__FDSAUDITLINK__" localSheetId="0"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1__FDSAUDITLINK__" hidden="1">{"fdsup://directions/FAT Viewer?action=UPDATE&amp;creator=factset&amp;DYN_ARGS=TRUE&amp;DOC_NAME=FAT:FQL_AUDITING_CLIENT_TEMPLATE.FAT&amp;display_string=Audit&amp;VAR:KEY=NCZYFEFQVE&amp;VAR:QUERY=RkZfRElWX1lMRChBTk4sNi8wMy8wNCw2LzAzLzA0KQ==&amp;WINDOW=FIRST_POPUP&amp;HEIGHT=450&amp;WIDTH=450&amp;","START_MAXIMIZED=FALSE&amp;VAR:CALENDAR=US&amp;VAR:SYMBOL=LO&amp;VAR:INDEX=0"}</definedName>
    <definedName name="_1402">#REF!</definedName>
    <definedName name="_1402__FDSAUDITLINK__" localSheetId="0"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2__FDSAUDITLINK__" hidden="1">{"fdsup://directions/FAT Viewer?action=UPDATE&amp;creator=factset&amp;DYN_ARGS=TRUE&amp;DOC_NAME=FAT:FQL_AUDITING_CLIENT_TEMPLATE.FAT&amp;display_string=Audit&amp;VAR:KEY=NQVWZMBKTG&amp;VAR:QUERY=RkZfRElWX1lMRChBTk4sNS8yNy8wNCw1LzI3LzA0KQ==&amp;WINDOW=FIRST_POPUP&amp;HEIGHT=450&amp;WIDTH=450&amp;","START_MAXIMIZED=FALSE&amp;VAR:CALENDAR=US&amp;VAR:SYMBOL=LO&amp;VAR:INDEX=0"}</definedName>
    <definedName name="_1403">#REF!</definedName>
    <definedName name="_1403__FDSAUDITLINK__" localSheetId="0"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3__FDSAUDITLINK__" hidden="1">{"fdsup://directions/FAT Viewer?action=UPDATE&amp;creator=factset&amp;DYN_ARGS=TRUE&amp;DOC_NAME=FAT:FQL_AUDITING_CLIENT_TEMPLATE.FAT&amp;display_string=Audit&amp;VAR:KEY=PWHKLKZQJY&amp;VAR:QUERY=RkZfRElWX1lMRChBTk4sNS8yMC8wNCw1LzIwLzA0KQ==&amp;WINDOW=FIRST_POPUP&amp;HEIGHT=450&amp;WIDTH=450&amp;","START_MAXIMIZED=FALSE&amp;VAR:CALENDAR=US&amp;VAR:SYMBOL=LO&amp;VAR:INDEX=0"}</definedName>
    <definedName name="_1404">#REF!</definedName>
    <definedName name="_1404__FDSAUDITLINK__" localSheetId="0"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4__FDSAUDITLINK__" hidden="1">{"fdsup://directions/FAT Viewer?action=UPDATE&amp;creator=factset&amp;DYN_ARGS=TRUE&amp;DOC_NAME=FAT:FQL_AUDITING_CLIENT_TEMPLATE.FAT&amp;display_string=Audit&amp;VAR:KEY=REZIHGHMBS&amp;VAR:QUERY=RkZfRElWX1lMRChBTk4sNS8xMy8wNCw1LzEzLzA0KQ==&amp;WINDOW=FIRST_POPUP&amp;HEIGHT=450&amp;WIDTH=450&amp;","START_MAXIMIZED=FALSE&amp;VAR:CALENDAR=US&amp;VAR:SYMBOL=LO&amp;VAR:INDEX=0"}</definedName>
    <definedName name="_1405">#REF!</definedName>
    <definedName name="_1405__FDSAUDITLINK__" localSheetId="0"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5__FDSAUDITLINK__" hidden="1">{"fdsup://directions/FAT Viewer?action=UPDATE&amp;creator=factset&amp;DYN_ARGS=TRUE&amp;DOC_NAME=FAT:FQL_AUDITING_CLIENT_TEMPLATE.FAT&amp;display_string=Audit&amp;VAR:KEY=TSDAJUNKXK&amp;VAR:QUERY=RkZfRElWX1lMRChBTk4sNS8wNi8wNCw1LzA2LzA0KQ==&amp;WINDOW=FIRST_POPUP&amp;HEIGHT=450&amp;WIDTH=450&amp;","START_MAXIMIZED=FALSE&amp;VAR:CALENDAR=US&amp;VAR:SYMBOL=LO&amp;VAR:INDEX=0"}</definedName>
    <definedName name="_1406">#REF!</definedName>
    <definedName name="_1406__FDSAUDITLINK__" localSheetId="0"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6__FDSAUDITLINK__" hidden="1">{"fdsup://directions/FAT Viewer?action=UPDATE&amp;creator=factset&amp;DYN_ARGS=TRUE&amp;DOC_NAME=FAT:FQL_AUDITING_CLIENT_TEMPLATE.FAT&amp;display_string=Audit&amp;VAR:KEY=XCLULUJEXO&amp;VAR:QUERY=RkZfRElWX1lMRChBTk4sNC8yOS8wNCw0LzI5LzA0KQ==&amp;WINDOW=FIRST_POPUP&amp;HEIGHT=450&amp;WIDTH=450&amp;","START_MAXIMIZED=FALSE&amp;VAR:CALENDAR=US&amp;VAR:SYMBOL=LO&amp;VAR:INDEX=0"}</definedName>
    <definedName name="_1407">#REF!</definedName>
    <definedName name="_1407__FDSAUDITLINK__" localSheetId="0"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7__FDSAUDITLINK__" hidden="1">{"fdsup://directions/FAT Viewer?action=UPDATE&amp;creator=factset&amp;DYN_ARGS=TRUE&amp;DOC_NAME=FAT:FQL_AUDITING_CLIENT_TEMPLATE.FAT&amp;display_string=Audit&amp;VAR:KEY=BQBUDQFIXK&amp;VAR:QUERY=RkZfRElWX1lMRChBTk4sNC8yMi8wNCw0LzIyLzA0KQ==&amp;WINDOW=FIRST_POPUP&amp;HEIGHT=450&amp;WIDTH=450&amp;","START_MAXIMIZED=FALSE&amp;VAR:CALENDAR=US&amp;VAR:SYMBOL=LO&amp;VAR:INDEX=0"}</definedName>
    <definedName name="_1408">#REF!</definedName>
    <definedName name="_1408__FDSAUDITLINK__" localSheetId="0"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8__FDSAUDITLINK__" hidden="1">{"fdsup://directions/FAT Viewer?action=UPDATE&amp;creator=factset&amp;DYN_ARGS=TRUE&amp;DOC_NAME=FAT:FQL_AUDITING_CLIENT_TEMPLATE.FAT&amp;display_string=Audit&amp;VAR:KEY=ZEXIXURWDE&amp;VAR:QUERY=RkZfRElWX1lMRChBTk4sNC8xNS8wNCw0LzE1LzA0KQ==&amp;WINDOW=FIRST_POPUP&amp;HEIGHT=450&amp;WIDTH=450&amp;","START_MAXIMIZED=FALSE&amp;VAR:CALENDAR=US&amp;VAR:SYMBOL=LO&amp;VAR:INDEX=0"}</definedName>
    <definedName name="_1409">#REF!</definedName>
    <definedName name="_1409__FDSAUDITLINK__" localSheetId="0"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09__FDSAUDITLINK__" hidden="1">{"fdsup://directions/FAT Viewer?action=UPDATE&amp;creator=factset&amp;DYN_ARGS=TRUE&amp;DOC_NAME=FAT:FQL_AUDITING_CLIENT_TEMPLATE.FAT&amp;display_string=Audit&amp;VAR:KEY=LGJEPCFEXI&amp;VAR:QUERY=RkZfRElWX1lMRChBTk4sNC8wOC8wNCw0LzA4LzA0KQ==&amp;WINDOW=FIRST_POPUP&amp;HEIGHT=450&amp;WIDTH=450&amp;","START_MAXIMIZED=FALSE&amp;VAR:CALENDAR=US&amp;VAR:SYMBOL=LO&amp;VAR:INDEX=0"}</definedName>
    <definedName name="_141">#REF!</definedName>
    <definedName name="_141__123Graph_FSUPPLIES_BY_B_U">#REF!</definedName>
    <definedName name="_141__FDSAUDITLINK__" localSheetId="0"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__FDSAUDITLINK__" hidden="1">{"fdsup://directions/FAT Viewer?action=UPDATE&amp;creator=factset&amp;DYN_ARGS=TRUE&amp;DOC_NAME=FAT:FQL_AUDITING_CLIENT_TEMPLATE.FAT&amp;display_string=Audit&amp;VAR:KEY=XSRWDCVOJE&amp;VAR:QUERY=RkZfRElWX1lMRChBTk4sNy8yNC8wOCw3LzI0LzA4KQ==&amp;WINDOW=FIRST_POPUP&amp;HEIGHT=450&amp;WIDTH=450&amp;","START_MAXIMIZED=FALSE&amp;VAR:CALENDAR=US&amp;VAR:SYMBOL=RAI&amp;VAR:INDEX=0"}</definedName>
    <definedName name="_1410">#REF!</definedName>
    <definedName name="_1410__FDSAUDITLINK__" localSheetId="0"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0__FDSAUDITLINK__" hidden="1">{"fdsup://directions/FAT Viewer?action=UPDATE&amp;creator=factset&amp;DYN_ARGS=TRUE&amp;DOC_NAME=FAT:FQL_AUDITING_CLIENT_TEMPLATE.FAT&amp;display_string=Audit&amp;VAR:KEY=RUTQRYRGXC&amp;VAR:QUERY=RkZfRElWX1lMRChBTk4sNC8wMS8wNCw0LzAxLzA0KQ==&amp;WINDOW=FIRST_POPUP&amp;HEIGHT=450&amp;WIDTH=450&amp;","START_MAXIMIZED=FALSE&amp;VAR:CALENDAR=US&amp;VAR:SYMBOL=LO&amp;VAR:INDEX=0"}</definedName>
    <definedName name="_1411">#REF!</definedName>
    <definedName name="_1411__FDSAUDITLINK__" localSheetId="0"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1__FDSAUDITLINK__" hidden="1">{"fdsup://directions/FAT Viewer?action=UPDATE&amp;creator=factset&amp;DYN_ARGS=TRUE&amp;DOC_NAME=FAT:FQL_AUDITING_CLIENT_TEMPLATE.FAT&amp;display_string=Audit&amp;VAR:KEY=DYXQNWFGJE&amp;VAR:QUERY=RkZfRElWX1lMRChBTk4sMy8yNS8wNCwzLzI1LzA0KQ==&amp;WINDOW=FIRST_POPUP&amp;HEIGHT=450&amp;WIDTH=450&amp;","START_MAXIMIZED=FALSE&amp;VAR:CALENDAR=US&amp;VAR:SYMBOL=LO&amp;VAR:INDEX=0"}</definedName>
    <definedName name="_1412">#REF!</definedName>
    <definedName name="_1412__FDSAUDITLINK__" localSheetId="0"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2__FDSAUDITLINK__" hidden="1">{"fdsup://directions/FAT Viewer?action=UPDATE&amp;creator=factset&amp;DYN_ARGS=TRUE&amp;DOC_NAME=FAT:FQL_AUDITING_CLIENT_TEMPLATE.FAT&amp;display_string=Audit&amp;VAR:KEY=ZMVIXANIJK&amp;VAR:QUERY=RkZfRElWX1lMRChBTk4sMy8xOC8wNCwzLzE4LzA0KQ==&amp;WINDOW=FIRST_POPUP&amp;HEIGHT=450&amp;WIDTH=450&amp;","START_MAXIMIZED=FALSE&amp;VAR:CALENDAR=US&amp;VAR:SYMBOL=LO&amp;VAR:INDEX=0"}</definedName>
    <definedName name="_1413">#REF!</definedName>
    <definedName name="_1413__FDSAUDITLINK__" localSheetId="0"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3__FDSAUDITLINK__" hidden="1">{"fdsup://directions/FAT Viewer?action=UPDATE&amp;creator=factset&amp;DYN_ARGS=TRUE&amp;DOC_NAME=FAT:FQL_AUDITING_CLIENT_TEMPLATE.FAT&amp;display_string=Audit&amp;VAR:KEY=JGDYPUPKZG&amp;VAR:QUERY=RkZfRElWX1lMRChBTk4sMy8xMS8wNCwzLzExLzA0KQ==&amp;WINDOW=FIRST_POPUP&amp;HEIGHT=450&amp;WIDTH=450&amp;","START_MAXIMIZED=FALSE&amp;VAR:CALENDAR=US&amp;VAR:SYMBOL=LO&amp;VAR:INDEX=0"}</definedName>
    <definedName name="_1414__FDSAUDITLINK__" localSheetId="0"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4__FDSAUDITLINK__" hidden="1">{"fdsup://directions/FAT Viewer?action=UPDATE&amp;creator=factset&amp;DYN_ARGS=TRUE&amp;DOC_NAME=FAT:FQL_AUDITING_CLIENT_TEMPLATE.FAT&amp;display_string=Audit&amp;VAR:KEY=DSJWLSJCRW&amp;VAR:QUERY=RkZfRElWX1lMRChBTk4sMy8wNC8wNCwzLzA0LzA0KQ==&amp;WINDOW=FIRST_POPUP&amp;HEIGHT=450&amp;WIDTH=450&amp;","START_MAXIMIZED=FALSE&amp;VAR:CALENDAR=US&amp;VAR:SYMBOL=LO&amp;VAR:INDEX=0"}</definedName>
    <definedName name="_1415__FDSAUDITLINK__" localSheetId="0"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5__FDSAUDITLINK__" hidden="1">{"fdsup://directions/FAT Viewer?action=UPDATE&amp;creator=factset&amp;DYN_ARGS=TRUE&amp;DOC_NAME=FAT:FQL_AUDITING_CLIENT_TEMPLATE.FAT&amp;display_string=Audit&amp;VAR:KEY=FSDEBCXSJC&amp;VAR:QUERY=RkZfRElWX1lMRChBTk4sMi8yNi8wNCwyLzI2LzA0KQ==&amp;WINDOW=FIRST_POPUP&amp;HEIGHT=450&amp;WIDTH=450&amp;","START_MAXIMIZED=FALSE&amp;VAR:CALENDAR=US&amp;VAR:SYMBOL=LO&amp;VAR:INDEX=0"}</definedName>
    <definedName name="_1416__FDSAUDITLINK__" localSheetId="0"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6__FDSAUDITLINK__" hidden="1">{"fdsup://directions/FAT Viewer?action=UPDATE&amp;creator=factset&amp;DYN_ARGS=TRUE&amp;DOC_NAME=FAT:FQL_AUDITING_CLIENT_TEMPLATE.FAT&amp;display_string=Audit&amp;VAR:KEY=HMTGPEZATS&amp;VAR:QUERY=RkZfRElWX1lMRChBTk4sMi8xOS8wNCwyLzE5LzA0KQ==&amp;WINDOW=FIRST_POPUP&amp;HEIGHT=450&amp;WIDTH=450&amp;","START_MAXIMIZED=FALSE&amp;VAR:CALENDAR=US&amp;VAR:SYMBOL=LO&amp;VAR:INDEX=0"}</definedName>
    <definedName name="_1417">#REF!</definedName>
    <definedName name="_1417__FDSAUDITLINK__" localSheetId="0"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7__FDSAUDITLINK__" hidden="1">{"fdsup://directions/FAT Viewer?action=UPDATE&amp;creator=factset&amp;DYN_ARGS=TRUE&amp;DOC_NAME=FAT:FQL_AUDITING_CLIENT_TEMPLATE.FAT&amp;display_string=Audit&amp;VAR:KEY=JABQJSTOXM&amp;VAR:QUERY=RkZfRElWX1lMRChBTk4sMi8xMi8wNCwyLzEyLzA0KQ==&amp;WINDOW=FIRST_POPUP&amp;HEIGHT=450&amp;WIDTH=450&amp;","START_MAXIMIZED=FALSE&amp;VAR:CALENDAR=US&amp;VAR:SYMBOL=LO&amp;VAR:INDEX=0"}</definedName>
    <definedName name="_1418__FDSAUDITLINK__" localSheetId="0"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8__FDSAUDITLINK__" hidden="1">{"fdsup://directions/FAT Viewer?action=UPDATE&amp;creator=factset&amp;DYN_ARGS=TRUE&amp;DOC_NAME=FAT:FQL_AUDITING_CLIENT_TEMPLATE.FAT&amp;display_string=Audit&amp;VAR:KEY=VMBKBUTMLC&amp;VAR:QUERY=RkZfRElWX1lMRChBTk4sMi8wNS8wNCwyLzA1LzA0KQ==&amp;WINDOW=FIRST_POPUP&amp;HEIGHT=450&amp;WIDTH=450&amp;","START_MAXIMIZED=FALSE&amp;VAR:CALENDAR=US&amp;VAR:SYMBOL=LO&amp;VAR:INDEX=0"}</definedName>
    <definedName name="_1419__FDSAUDITLINK__" localSheetId="0"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19__FDSAUDITLINK__" hidden="1">{"fdsup://directions/FAT Viewer?action=UPDATE&amp;creator=factset&amp;DYN_ARGS=TRUE&amp;DOC_NAME=FAT:FQL_AUDITING_CLIENT_TEMPLATE.FAT&amp;display_string=Audit&amp;VAR:KEY=DKRCBYXCXE&amp;VAR:QUERY=RkZfRElWX1lMRChBTk4sMS8yOS8wNCwxLzI5LzA0KQ==&amp;WINDOW=FIRST_POPUP&amp;HEIGHT=450&amp;WIDTH=450&amp;","START_MAXIMIZED=FALSE&amp;VAR:CALENDAR=US&amp;VAR:SYMBOL=LO&amp;VAR:INDEX=0"}</definedName>
    <definedName name="_142">#REF!</definedName>
    <definedName name="_142__FDSAUDITLINK__" localSheetId="0"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__FDSAUDITLINK__" hidden="1">{"fdsup://directions/FAT Viewer?action=UPDATE&amp;creator=factset&amp;DYN_ARGS=TRUE&amp;DOC_NAME=FAT:FQL_AUDITING_CLIENT_TEMPLATE.FAT&amp;display_string=Audit&amp;VAR:KEY=BOZCTAVWRE&amp;VAR:QUERY=RkZfRElWX1lMRChBTk4sNy8xNy8wOCw3LzE3LzA4KQ==&amp;WINDOW=FIRST_POPUP&amp;HEIGHT=450&amp;WIDTH=450&amp;","START_MAXIMIZED=FALSE&amp;VAR:CALENDAR=US&amp;VAR:SYMBOL=RAI&amp;VAR:INDEX=0"}</definedName>
    <definedName name="_1420__FDSAUDITLINK__" localSheetId="0"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0__FDSAUDITLINK__" hidden="1">{"fdsup://directions/FAT Viewer?action=UPDATE&amp;creator=factset&amp;DYN_ARGS=TRUE&amp;DOC_NAME=FAT:FQL_AUDITING_CLIENT_TEMPLATE.FAT&amp;display_string=Audit&amp;VAR:KEY=ZWXCTCHSLQ&amp;VAR:QUERY=RkZfRElWX1lMRChBTk4sMS8yMi8wNCwxLzIyLzA0KQ==&amp;WINDOW=FIRST_POPUP&amp;HEIGHT=450&amp;WIDTH=450&amp;","START_MAXIMIZED=FALSE&amp;VAR:CALENDAR=US&amp;VAR:SYMBOL=LO&amp;VAR:INDEX=0"}</definedName>
    <definedName name="_1421__FDSAUDITLINK__" localSheetId="0"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1__FDSAUDITLINK__" hidden="1">{"fdsup://directions/FAT Viewer?action=UPDATE&amp;creator=factset&amp;DYN_ARGS=TRUE&amp;DOC_NAME=FAT:FQL_AUDITING_CLIENT_TEMPLATE.FAT&amp;display_string=Audit&amp;VAR:KEY=PKTGNWFSDA&amp;VAR:QUERY=RkZfRElWX1lMRChBTk4sMS8xNS8wNCwxLzE1LzA0KQ==&amp;WINDOW=FIRST_POPUP&amp;HEIGHT=450&amp;WIDTH=450&amp;","START_MAXIMIZED=FALSE&amp;VAR:CALENDAR=US&amp;VAR:SYMBOL=LO&amp;VAR:INDEX=0"}</definedName>
    <definedName name="_1422">#REF!</definedName>
    <definedName name="_1422__FDSAUDITLINK__" localSheetId="0"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2__FDSAUDITLINK__" hidden="1">{"fdsup://directions/FAT Viewer?action=UPDATE&amp;creator=factset&amp;DYN_ARGS=TRUE&amp;DOC_NAME=FAT:FQL_AUDITING_CLIENT_TEMPLATE.FAT&amp;display_string=Audit&amp;VAR:KEY=TAXCVOTSFM&amp;VAR:QUERY=RkZfRElWX1lMRChBTk4sMS8wOC8wNCwxLzA4LzA0KQ==&amp;WINDOW=FIRST_POPUP&amp;HEIGHT=450&amp;WIDTH=450&amp;","START_MAXIMIZED=FALSE&amp;VAR:CALENDAR=US&amp;VAR:SYMBOL=LO&amp;VAR:INDEX=0"}</definedName>
    <definedName name="_1423__FDSAUDITLINK__" localSheetId="0"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3__FDSAUDITLINK__" hidden="1">{"fdsup://directions/FAT Viewer?action=UPDATE&amp;creator=factset&amp;DYN_ARGS=TRUE&amp;DOC_NAME=FAT:FQL_AUDITING_CLIENT_TEMPLATE.FAT&amp;display_string=Audit&amp;VAR:KEY=XYJEZQXANK&amp;VAR:QUERY=RkZfRElWX1lMRChBTk4sMTIvMzEvMDMsMTIvMzEvMDMp&amp;WINDOW=FIRST_POPUP&amp;HEIGHT=450&amp;WIDTH=450&amp;","START_MAXIMIZED=FALSE&amp;VAR:CALENDAR=US&amp;VAR:SYMBOL=LO&amp;VAR:INDEX=0"}</definedName>
    <definedName name="_1424__FDSAUDITLINK__" localSheetId="0"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4__FDSAUDITLINK__" hidden="1">{"fdsup://directions/FAT Viewer?action=UPDATE&amp;creator=factset&amp;DYN_ARGS=TRUE&amp;DOC_NAME=FAT:FQL_AUDITING_CLIENT_TEMPLATE.FAT&amp;display_string=Audit&amp;VAR:KEY=JWNEFALMPG&amp;VAR:QUERY=RkZfRElWX1lMRChBTk4sMTIvMjQvMDMsMTIvMjQvMDMp&amp;WINDOW=FIRST_POPUP&amp;HEIGHT=450&amp;WIDTH=450&amp;","START_MAXIMIZED=FALSE&amp;VAR:CALENDAR=US&amp;VAR:SYMBOL=LO&amp;VAR:INDEX=0"}</definedName>
    <definedName name="_1425__FDSAUDITLINK__" localSheetId="0"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5__FDSAUDITLINK__" hidden="1">{"fdsup://directions/FAT Viewer?action=UPDATE&amp;creator=factset&amp;DYN_ARGS=TRUE&amp;DOC_NAME=FAT:FQL_AUDITING_CLIENT_TEMPLATE.FAT&amp;display_string=Audit&amp;VAR:KEY=LKVULUPANU&amp;VAR:QUERY=RkZfRElWX1lMRChBTk4sMTIvMTgvMDMsMTIvMTgvMDMp&amp;WINDOW=FIRST_POPUP&amp;HEIGHT=450&amp;WIDTH=450&amp;","START_MAXIMIZED=FALSE&amp;VAR:CALENDAR=US&amp;VAR:SYMBOL=LO&amp;VAR:INDEX=0"}</definedName>
    <definedName name="_1426__FDSAUDITLINK__" localSheetId="0"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6__FDSAUDITLINK__" hidden="1">{"fdsup://directions/FAT Viewer?action=UPDATE&amp;creator=factset&amp;DYN_ARGS=TRUE&amp;DOC_NAME=FAT:FQL_AUDITING_CLIENT_TEMPLATE.FAT&amp;display_string=Audit&amp;VAR:KEY=HAJINOFOXG&amp;VAR:QUERY=RkZfRElWX1lMRChBTk4sMTIvMTEvMDMsMTIvMTEvMDMp&amp;WINDOW=FIRST_POPUP&amp;HEIGHT=450&amp;WIDTH=450&amp;","START_MAXIMIZED=FALSE&amp;VAR:CALENDAR=US&amp;VAR:SYMBOL=LO&amp;VAR:INDEX=0"}</definedName>
    <definedName name="_1427">#REF!</definedName>
    <definedName name="_1427__FDSAUDITLINK__" localSheetId="0"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7__FDSAUDITLINK__" hidden="1">{"fdsup://directions/FAT Viewer?action=UPDATE&amp;creator=factset&amp;DYN_ARGS=TRUE&amp;DOC_NAME=FAT:FQL_AUDITING_CLIENT_TEMPLATE.FAT&amp;display_string=Audit&amp;VAR:KEY=VCVYXYRMNA&amp;VAR:QUERY=RkZfRElWX1lMRChBTk4sMTIvMDQvMDMsMTIvMDQvMDMp&amp;WINDOW=FIRST_POPUP&amp;HEIGHT=450&amp;WIDTH=450&amp;","START_MAXIMIZED=FALSE&amp;VAR:CALENDAR=US&amp;VAR:SYMBOL=LO&amp;VAR:INDEX=0"}</definedName>
    <definedName name="_1428__FDSAUDITLINK__" localSheetId="0"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8__FDSAUDITLINK__" hidden="1">{"fdsup://directions/FAT Viewer?action=UPDATE&amp;creator=factset&amp;DYN_ARGS=TRUE&amp;DOC_NAME=FAT:FQL_AUDITING_CLIENT_TEMPLATE.FAT&amp;display_string=Audit&amp;VAR:KEY=NYDETQTETM&amp;VAR:QUERY=RkZfRElWX1lMRChBTk4sMTEvMjYvMDMsMTEvMjYvMDMp&amp;WINDOW=FIRST_POPUP&amp;HEIGHT=450&amp;WIDTH=450&amp;","START_MAXIMIZED=FALSE&amp;VAR:CALENDAR=US&amp;VAR:SYMBOL=LO&amp;VAR:INDEX=0"}</definedName>
    <definedName name="_1429__FDSAUDITLINK__" localSheetId="0"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29__FDSAUDITLINK__" hidden="1">{"fdsup://directions/FAT Viewer?action=UPDATE&amp;creator=factset&amp;DYN_ARGS=TRUE&amp;DOC_NAME=FAT:FQL_AUDITING_CLIENT_TEMPLATE.FAT&amp;display_string=Audit&amp;VAR:KEY=ZSNOBIRERK&amp;VAR:QUERY=RkZfRElWX1lMRChBTk4sMTEvMjAvMDMsMTEvMjAvMDMp&amp;WINDOW=FIRST_POPUP&amp;HEIGHT=450&amp;WIDTH=450&amp;","START_MAXIMIZED=FALSE&amp;VAR:CALENDAR=US&amp;VAR:SYMBOL=LO&amp;VAR:INDEX=0"}</definedName>
    <definedName name="_143">#REF!</definedName>
    <definedName name="_143__FDSAUDITLINK__" localSheetId="0"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__FDSAUDITLINK__" hidden="1">{"fdsup://directions/FAT Viewer?action=UPDATE&amp;creator=factset&amp;DYN_ARGS=TRUE&amp;DOC_NAME=FAT:FQL_AUDITING_CLIENT_TEMPLATE.FAT&amp;display_string=Audit&amp;VAR:KEY=JCXWBYJOPM&amp;VAR:QUERY=RkZfRElWX1lMRChBTk4sNy8xMC8wOCw3LzEwLzA4KQ==&amp;WINDOW=FIRST_POPUP&amp;HEIGHT=450&amp;WIDTH=450&amp;","START_MAXIMIZED=FALSE&amp;VAR:CALENDAR=US&amp;VAR:SYMBOL=RAI&amp;VAR:INDEX=0"}</definedName>
    <definedName name="_1430__FDSAUDITLINK__" localSheetId="0"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0__FDSAUDITLINK__" hidden="1">{"fdsup://directions/FAT Viewer?action=UPDATE&amp;creator=factset&amp;DYN_ARGS=TRUE&amp;DOC_NAME=FAT:FQL_AUDITING_CLIENT_TEMPLATE.FAT&amp;display_string=Audit&amp;VAR:KEY=RITMBSRGNO&amp;VAR:QUERY=RkZfRElWX1lMRChBTk4sMTEvMTMvMDMsMTEvMTMvMDMp&amp;WINDOW=FIRST_POPUP&amp;HEIGHT=450&amp;WIDTH=450&amp;","START_MAXIMIZED=FALSE&amp;VAR:CALENDAR=US&amp;VAR:SYMBOL=LO&amp;VAR:INDEX=0"}</definedName>
    <definedName name="_1431__FDSAUDITLINK__" localSheetId="0"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1__FDSAUDITLINK__" hidden="1">{"fdsup://directions/FAT Viewer?action=UPDATE&amp;creator=factset&amp;DYN_ARGS=TRUE&amp;DOC_NAME=FAT:FQL_AUDITING_CLIENT_TEMPLATE.FAT&amp;display_string=Audit&amp;VAR:KEY=VGTUJKPWBE&amp;VAR:QUERY=RkZfRElWX1lMRChBTk4sMTEvMDYvMDMsMTEvMDYvMDMp&amp;WINDOW=FIRST_POPUP&amp;HEIGHT=450&amp;WIDTH=450&amp;","START_MAXIMIZED=FALSE&amp;VAR:CALENDAR=US&amp;VAR:SYMBOL=LO&amp;VAR:INDEX=0"}</definedName>
    <definedName name="_1432__FDSAUDITLINK__" localSheetId="0"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2__FDSAUDITLINK__" hidden="1">{"fdsup://directions/FAT Viewer?action=UPDATE&amp;creator=factset&amp;DYN_ARGS=TRUE&amp;DOC_NAME=FAT:FQL_AUDITING_CLIENT_TEMPLATE.FAT&amp;display_string=Audit&amp;VAR:KEY=JUPWJSVQXG&amp;VAR:QUERY=RkZfRElWX1lMRChBTk4sMTAvMzAvMDMsMTAvMzAvMDMp&amp;WINDOW=FIRST_POPUP&amp;HEIGHT=450&amp;WIDTH=450&amp;","START_MAXIMIZED=FALSE&amp;VAR:CALENDAR=US&amp;VAR:SYMBOL=LO&amp;VAR:INDEX=0"}</definedName>
    <definedName name="_1433__FDSAUDITLINK__" localSheetId="0"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3__FDSAUDITLINK__" hidden="1">{"fdsup://directions/FAT Viewer?action=UPDATE&amp;creator=factset&amp;DYN_ARGS=TRUE&amp;DOC_NAME=FAT:FQL_AUDITING_CLIENT_TEMPLATE.FAT&amp;display_string=Audit&amp;VAR:KEY=LELOHUHCJI&amp;VAR:QUERY=RkZfRElWX1lMRChBTk4sMTAvMjMvMDMsMTAvMjMvMDMp&amp;WINDOW=FIRST_POPUP&amp;HEIGHT=450&amp;WIDTH=450&amp;","START_MAXIMIZED=FALSE&amp;VAR:CALENDAR=US&amp;VAR:SYMBOL=LO&amp;VAR:INDEX=0"}</definedName>
    <definedName name="_1434__FDSAUDITLINK__" localSheetId="0"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4__FDSAUDITLINK__" hidden="1">{"fdsup://directions/FAT Viewer?action=UPDATE&amp;creator=factset&amp;DYN_ARGS=TRUE&amp;DOC_NAME=FAT:FQL_AUDITING_CLIENT_TEMPLATE.FAT&amp;display_string=Audit&amp;VAR:KEY=VEPIJEFIDG&amp;VAR:QUERY=RkZfRElWX1lMRChBTk4sMTAvMTYvMDMsMTAvMTYvMDMp&amp;WINDOW=FIRST_POPUP&amp;HEIGHT=450&amp;WIDTH=450&amp;","START_MAXIMIZED=FALSE&amp;VAR:CALENDAR=US&amp;VAR:SYMBOL=LO&amp;VAR:INDEX=0"}</definedName>
    <definedName name="_1435__FDSAUDITLINK__" localSheetId="0"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5__FDSAUDITLINK__" hidden="1">{"fdsup://directions/FAT Viewer?action=UPDATE&amp;creator=factset&amp;DYN_ARGS=TRUE&amp;DOC_NAME=FAT:FQL_AUDITING_CLIENT_TEMPLATE.FAT&amp;display_string=Audit&amp;VAR:KEY=PGBCFWJODQ&amp;VAR:QUERY=RkZfRElWX1lMRChBTk4sMTAvMDkvMDMsMTAvMDkvMDMp&amp;WINDOW=FIRST_POPUP&amp;HEIGHT=450&amp;WIDTH=450&amp;","START_MAXIMIZED=FALSE&amp;VAR:CALENDAR=US&amp;VAR:SYMBOL=LO&amp;VAR:INDEX=0"}</definedName>
    <definedName name="_1436__FDSAUDITLINK__" localSheetId="0"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6__FDSAUDITLINK__" hidden="1">{"fdsup://directions/FAT Viewer?action=UPDATE&amp;creator=factset&amp;DYN_ARGS=TRUE&amp;DOC_NAME=FAT:FQL_AUDITING_CLIENT_TEMPLATE.FAT&amp;display_string=Audit&amp;VAR:KEY=RYJEDWRCDQ&amp;VAR:QUERY=RkZfRElWX1lMRChBTk4sMTAvMDIvMDMsMTAvMDIvMDMp&amp;WINDOW=FIRST_POPUP&amp;HEIGHT=450&amp;WIDTH=450&amp;","START_MAXIMIZED=FALSE&amp;VAR:CALENDAR=US&amp;VAR:SYMBOL=LO&amp;VAR:INDEX=0"}</definedName>
    <definedName name="_1437__FDSAUDITLINK__" localSheetId="0"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7__FDSAUDITLINK__" hidden="1">{"fdsup://directions/FAT Viewer?action=UPDATE&amp;creator=factset&amp;DYN_ARGS=TRUE&amp;DOC_NAME=FAT:FQL_AUDITING_CLIENT_TEMPLATE.FAT&amp;display_string=Audit&amp;VAR:KEY=JYXOLAROHW&amp;VAR:QUERY=RkZfRElWX1lMRChBTk4sOS8yNS8wMyw5LzI1LzAzKQ==&amp;WINDOW=FIRST_POPUP&amp;HEIGHT=450&amp;WIDTH=450&amp;","START_MAXIMIZED=FALSE&amp;VAR:CALENDAR=US&amp;VAR:SYMBOL=LO&amp;VAR:INDEX=0"}</definedName>
    <definedName name="_1438">#REF!</definedName>
    <definedName name="_1438__FDSAUDITLINK__" localSheetId="0"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8__FDSAUDITLINK__" hidden="1">{"fdsup://directions/FAT Viewer?action=UPDATE&amp;creator=factset&amp;DYN_ARGS=TRUE&amp;DOC_NAME=FAT:FQL_AUDITING_CLIENT_TEMPLATE.FAT&amp;display_string=Audit&amp;VAR:KEY=VIRIBIZWPO&amp;VAR:QUERY=RkZfRElWX1lMRChBTk4sOS8xOC8wMyw5LzE4LzAzKQ==&amp;WINDOW=FIRST_POPUP&amp;HEIGHT=450&amp;WIDTH=450&amp;","START_MAXIMIZED=FALSE&amp;VAR:CALENDAR=US&amp;VAR:SYMBOL=LO&amp;VAR:INDEX=0"}</definedName>
    <definedName name="_1439">#REF!</definedName>
    <definedName name="_1439__FDSAUDITLINK__" localSheetId="0"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9__FDSAUDITLINK__" hidden="1">{"fdsup://directions/FAT Viewer?action=UPDATE&amp;creator=factset&amp;DYN_ARGS=TRUE&amp;DOC_NAME=FAT:FQL_AUDITING_CLIENT_TEMPLATE.FAT&amp;display_string=Audit&amp;VAR:KEY=HCDMTYPMFI&amp;VAR:QUERY=RkZfRElWX1lMRChBTk4sOS8xMS8wMyw5LzExLzAzKQ==&amp;WINDOW=FIRST_POPUP&amp;HEIGHT=450&amp;WIDTH=450&amp;","START_MAXIMIZED=FALSE&amp;VAR:CALENDAR=US&amp;VAR:SYMBOL=LO&amp;VAR:INDEX=0"}</definedName>
    <definedName name="_143Table2_">#REF!</definedName>
    <definedName name="_144">#REF!</definedName>
    <definedName name="_144__123Graph_ESUPPLIES_BY_B_U">#REF!</definedName>
    <definedName name="_144__FDSAUDITLINK__" localSheetId="0"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__FDSAUDITLINK__" hidden="1">{"fdsup://directions/FAT Viewer?action=UPDATE&amp;creator=factset&amp;DYN_ARGS=TRUE&amp;DOC_NAME=FAT:FQL_AUDITING_CLIENT_TEMPLATE.FAT&amp;display_string=Audit&amp;VAR:KEY=NADKFURIFA&amp;VAR:QUERY=RkZfRElWX1lMRChBTk4sNy8wMy8wOCw3LzAzLzA4KQ==&amp;WINDOW=FIRST_POPUP&amp;HEIGHT=450&amp;WIDTH=450&amp;","START_MAXIMIZED=FALSE&amp;VAR:CALENDAR=US&amp;VAR:SYMBOL=RAI&amp;VAR:INDEX=0"}</definedName>
    <definedName name="_1440">#REF!</definedName>
    <definedName name="_1440__FDSAUDITLINK__" localSheetId="0"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0__FDSAUDITLINK__" hidden="1">{"fdsup://directions/FAT Viewer?action=UPDATE&amp;creator=factset&amp;DYN_ARGS=TRUE&amp;DOC_NAME=FAT:FQL_AUDITING_CLIENT_TEMPLATE.FAT&amp;display_string=Audit&amp;VAR:KEY=NIRONSZGZQ&amp;VAR:QUERY=RkZfRElWX1lMRChBTk4sOS8wNC8wMyw5LzA0LzAzKQ==&amp;WINDOW=FIRST_POPUP&amp;HEIGHT=450&amp;WIDTH=450&amp;","START_MAXIMIZED=FALSE&amp;VAR:CALENDAR=US&amp;VAR:SYMBOL=LO&amp;VAR:INDEX=0"}</definedName>
    <definedName name="_1441">#REF!</definedName>
    <definedName name="_1441__FDSAUDITLINK__" localSheetId="0"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1__FDSAUDITLINK__" hidden="1">{"fdsup://directions/FAT Viewer?action=UPDATE&amp;creator=factset&amp;DYN_ARGS=TRUE&amp;DOC_NAME=FAT:FQL_AUDITING_CLIENT_TEMPLATE.FAT&amp;display_string=Audit&amp;VAR:KEY=TUHYRSLWRK&amp;VAR:QUERY=RkZfRElWX1lMRChBTk4sOC8yOC8wMyw4LzI4LzAzKQ==&amp;WINDOW=FIRST_POPUP&amp;HEIGHT=450&amp;WIDTH=450&amp;","START_MAXIMIZED=FALSE&amp;VAR:CALENDAR=US&amp;VAR:SYMBOL=LO&amp;VAR:INDEX=0"}</definedName>
    <definedName name="_1442">#REF!</definedName>
    <definedName name="_1442__FDSAUDITLINK__" localSheetId="0"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2__FDSAUDITLINK__" hidden="1">{"fdsup://directions/FAT Viewer?action=UPDATE&amp;creator=factset&amp;DYN_ARGS=TRUE&amp;DOC_NAME=FAT:FQL_AUDITING_CLIENT_TEMPLATE.FAT&amp;display_string=Audit&amp;VAR:KEY=BCTKDOTUJC&amp;VAR:QUERY=RkZfRElWX1lMRChBTk4sOC8yMS8wMyw4LzIxLzAzKQ==&amp;WINDOW=FIRST_POPUP&amp;HEIGHT=450&amp;WIDTH=450&amp;","START_MAXIMIZED=FALSE&amp;VAR:CALENDAR=US&amp;VAR:SYMBOL=LO&amp;VAR:INDEX=0"}</definedName>
    <definedName name="_1443">#REF!</definedName>
    <definedName name="_1443__FDSAUDITLINK__" localSheetId="0"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3__FDSAUDITLINK__" hidden="1">{"fdsup://directions/FAT Viewer?action=UPDATE&amp;creator=factset&amp;DYN_ARGS=TRUE&amp;DOC_NAME=FAT:FQL_AUDITING_CLIENT_TEMPLATE.FAT&amp;display_string=Audit&amp;VAR:KEY=NWHQDCHEJC&amp;VAR:QUERY=RkZfRElWX1lMRChBTk4sOC8xNC8wMyw4LzE0LzAzKQ==&amp;WINDOW=FIRST_POPUP&amp;HEIGHT=450&amp;WIDTH=450&amp;","START_MAXIMIZED=FALSE&amp;VAR:CALENDAR=US&amp;VAR:SYMBOL=LO&amp;VAR:INDEX=0"}</definedName>
    <definedName name="_1444">#REF!</definedName>
    <definedName name="_1444__FDSAUDITLINK__" localSheetId="0"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4__FDSAUDITLINK__" hidden="1">{"fdsup://directions/FAT Viewer?action=UPDATE&amp;creator=factset&amp;DYN_ARGS=TRUE&amp;DOC_NAME=FAT:FQL_AUDITING_CLIENT_TEMPLATE.FAT&amp;display_string=Audit&amp;VAR:KEY=TSNOJSRWZG&amp;VAR:QUERY=RkZfRElWX1lMRChBTk4sOC8wNy8wMyw4LzA3LzAzKQ==&amp;WINDOW=FIRST_POPUP&amp;HEIGHT=450&amp;WIDTH=450&amp;","START_MAXIMIZED=FALSE&amp;VAR:CALENDAR=US&amp;VAR:SYMBOL=LO&amp;VAR:INDEX=0"}</definedName>
    <definedName name="_1445">#REF!</definedName>
    <definedName name="_1445__FDSAUDITLINK__" localSheetId="0"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5__FDSAUDITLINK__" hidden="1">{"fdsup://directions/FAT Viewer?action=UPDATE&amp;creator=factset&amp;DYN_ARGS=TRUE&amp;DOC_NAME=FAT:FQL_AUDITING_CLIENT_TEMPLATE.FAT&amp;display_string=Audit&amp;VAR:KEY=BWLYZKROHG&amp;VAR:QUERY=RkZfRElWX1lMRChBTk4sNy8zMS8wMyw3LzMxLzAzKQ==&amp;WINDOW=FIRST_POPUP&amp;HEIGHT=450&amp;WIDTH=450&amp;","START_MAXIMIZED=FALSE&amp;VAR:CALENDAR=US&amp;VAR:SYMBOL=LO&amp;VAR:INDEX=0"}</definedName>
    <definedName name="_1446">#REF!</definedName>
    <definedName name="_1446__FDSAUDITLINK__" localSheetId="0"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6__FDSAUDITLINK__" hidden="1">{"fdsup://directions/FAT Viewer?action=UPDATE&amp;creator=factset&amp;DYN_ARGS=TRUE&amp;DOC_NAME=FAT:FQL_AUDITING_CLIENT_TEMPLATE.FAT&amp;display_string=Audit&amp;VAR:KEY=RCFGBAHKFI&amp;VAR:QUERY=RkZfRElWX1lMRChBTk4sNy8yNC8wMyw3LzI0LzAzKQ==&amp;WINDOW=FIRST_POPUP&amp;HEIGHT=450&amp;WIDTH=450&amp;","START_MAXIMIZED=FALSE&amp;VAR:CALENDAR=US&amp;VAR:SYMBOL=LO&amp;VAR:INDEX=0"}</definedName>
    <definedName name="_1447">#REF!</definedName>
    <definedName name="_1447__FDSAUDITLINK__" localSheetId="0"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7__FDSAUDITLINK__" hidden="1">{"fdsup://directions/FAT Viewer?action=UPDATE&amp;creator=factset&amp;DYN_ARGS=TRUE&amp;DOC_NAME=FAT:FQL_AUDITING_CLIENT_TEMPLATE.FAT&amp;display_string=Audit&amp;VAR:KEY=FOVERMTMFS&amp;VAR:QUERY=RkZfRElWX1lMRChBTk4sNy8xNy8wMyw3LzE3LzAzKQ==&amp;WINDOW=FIRST_POPUP&amp;HEIGHT=450&amp;WIDTH=450&amp;","START_MAXIMIZED=FALSE&amp;VAR:CALENDAR=US&amp;VAR:SYMBOL=LO&amp;VAR:INDEX=0"}</definedName>
    <definedName name="_1448">#REF!</definedName>
    <definedName name="_1448__FDSAUDITLINK__" localSheetId="0"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8__FDSAUDITLINK__" hidden="1">{"fdsup://directions/FAT Viewer?action=UPDATE&amp;creator=factset&amp;DYN_ARGS=TRUE&amp;DOC_NAME=FAT:FQL_AUDITING_CLIENT_TEMPLATE.FAT&amp;display_string=Audit&amp;VAR:KEY=RCPMDCTCBW&amp;VAR:QUERY=RkZfRElWX1lMRChBTk4sNy8xMC8wMyw3LzEwLzAzKQ==&amp;WINDOW=FIRST_POPUP&amp;HEIGHT=450&amp;WIDTH=450&amp;","START_MAXIMIZED=FALSE&amp;VAR:CALENDAR=US&amp;VAR:SYMBOL=LO&amp;VAR:INDEX=0"}</definedName>
    <definedName name="_1449">#REF!</definedName>
    <definedName name="_1449__FDSAUDITLINK__" localSheetId="0"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49__FDSAUDITLINK__" hidden="1">{"fdsup://directions/FAT Viewer?action=UPDATE&amp;creator=factset&amp;DYN_ARGS=TRUE&amp;DOC_NAME=FAT:FQL_AUDITING_CLIENT_TEMPLATE.FAT&amp;display_string=Audit&amp;VAR:KEY=DYPARCHGHE&amp;VAR:QUERY=RkZfRElWX1lMRChBTk4sNy8wMy8wMyw3LzAzLzAzKQ==&amp;WINDOW=FIRST_POPUP&amp;HEIGHT=450&amp;WIDTH=450&amp;","START_MAXIMIZED=FALSE&amp;VAR:CALENDAR=US&amp;VAR:SYMBOL=LO&amp;VAR:INDEX=0"}</definedName>
    <definedName name="_145">#REF!</definedName>
    <definedName name="_145__123Graph_ESUPPLIES_BY_B_U">#REF!</definedName>
    <definedName name="_145__FDSAUDITLINK__" localSheetId="0"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__FDSAUDITLINK__" hidden="1">{"fdsup://directions/FAT Viewer?action=UPDATE&amp;creator=factset&amp;DYN_ARGS=TRUE&amp;DOC_NAME=FAT:FQL_AUDITING_CLIENT_TEMPLATE.FAT&amp;display_string=Audit&amp;VAR:KEY=PUHWBKXCFQ&amp;VAR:QUERY=RkZfRElWX1lMRChBTk4sNi8yNi8wOCw2LzI2LzA4KQ==&amp;WINDOW=FIRST_POPUP&amp;HEIGHT=450&amp;WIDTH=450&amp;","START_MAXIMIZED=FALSE&amp;VAR:CALENDAR=US&amp;VAR:SYMBOL=RAI&amp;VAR:INDEX=0"}</definedName>
    <definedName name="_1450">#REF!</definedName>
    <definedName name="_1450__FDSAUDITLINK__" localSheetId="0"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0__FDSAUDITLINK__" hidden="1">{"fdsup://directions/FAT Viewer?action=UPDATE&amp;creator=factset&amp;DYN_ARGS=TRUE&amp;DOC_NAME=FAT:FQL_AUDITING_CLIENT_TEMPLATE.FAT&amp;display_string=Audit&amp;VAR:KEY=NGVYHOTGPU&amp;VAR:QUERY=RkZfRElWX1lMRChBTk4sNi8yNi8wMyw2LzI2LzAzKQ==&amp;WINDOW=FIRST_POPUP&amp;HEIGHT=450&amp;WIDTH=450&amp;","START_MAXIMIZED=FALSE&amp;VAR:CALENDAR=US&amp;VAR:SYMBOL=LO&amp;VAR:INDEX=0"}</definedName>
    <definedName name="_1451">#REF!</definedName>
    <definedName name="_1451__FDSAUDITLINK__" localSheetId="0"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1__FDSAUDITLINK__" hidden="1">{"fdsup://directions/FAT Viewer?action=UPDATE&amp;creator=factset&amp;DYN_ARGS=TRUE&amp;DOC_NAME=FAT:FQL_AUDITING_CLIENT_TEMPLATE.FAT&amp;display_string=Audit&amp;VAR:KEY=TCTAFOFIBC&amp;VAR:QUERY=RkZfRElWX1lMRChBTk4sNi8xOS8wMyw2LzE5LzAzKQ==&amp;WINDOW=FIRST_POPUP&amp;HEIGHT=450&amp;WIDTH=450&amp;","START_MAXIMIZED=FALSE&amp;VAR:CALENDAR=US&amp;VAR:SYMBOL=LO&amp;VAR:INDEX=0"}</definedName>
    <definedName name="_1452">#REF!</definedName>
    <definedName name="_1452__FDSAUDITLINK__" localSheetId="0"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2__FDSAUDITLINK__" hidden="1">{"fdsup://directions/FAT Viewer?action=UPDATE&amp;creator=factset&amp;DYN_ARGS=TRUE&amp;DOC_NAME=FAT:FQL_AUDITING_CLIENT_TEMPLATE.FAT&amp;display_string=Audit&amp;VAR:KEY=BQBIZADCNC&amp;VAR:QUERY=RkZfRElWX1lMRChBTk4sNi8xMi8wMyw2LzEyLzAzKQ==&amp;WINDOW=FIRST_POPUP&amp;HEIGHT=450&amp;WIDTH=450&amp;","START_MAXIMIZED=FALSE&amp;VAR:CALENDAR=US&amp;VAR:SYMBOL=LO&amp;VAR:INDEX=0"}</definedName>
    <definedName name="_1453">#REF!</definedName>
    <definedName name="_1453__FDSAUDITLINK__" localSheetId="0"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3__FDSAUDITLINK__" hidden="1">{"fdsup://directions/FAT Viewer?action=UPDATE&amp;creator=factset&amp;DYN_ARGS=TRUE&amp;DOC_NAME=FAT:FQL_AUDITING_CLIENT_TEMPLATE.FAT&amp;display_string=Audit&amp;VAR:KEY=ZCLOTEHIXO&amp;VAR:QUERY=RkZfRElWX1lMRChBTk4sNi8wNS8wMyw2LzA1LzAzKQ==&amp;WINDOW=FIRST_POPUP&amp;HEIGHT=450&amp;WIDTH=450&amp;","START_MAXIMIZED=FALSE&amp;VAR:CALENDAR=US&amp;VAR:SYMBOL=LO&amp;VAR:INDEX=0"}</definedName>
    <definedName name="_1454">#REF!</definedName>
    <definedName name="_1454__FDSAUDITLINK__" localSheetId="0"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4__FDSAUDITLINK__" hidden="1">{"fdsup://directions/FAT Viewer?action=UPDATE&amp;creator=factset&amp;DYN_ARGS=TRUE&amp;DOC_NAME=FAT:FQL_AUDITING_CLIENT_TEMPLATE.FAT&amp;display_string=Audit&amp;VAR:KEY=JATYJANEZU&amp;VAR:QUERY=RkZfRElWX1lMRChBTk4sNS8yOS8wMyw1LzI5LzAzKQ==&amp;WINDOW=FIRST_POPUP&amp;HEIGHT=450&amp;WIDTH=450&amp;","START_MAXIMIZED=FALSE&amp;VAR:CALENDAR=US&amp;VAR:SYMBOL=LO&amp;VAR:INDEX=0"}</definedName>
    <definedName name="_1455">#REF!</definedName>
    <definedName name="_1455__FDSAUDITLINK__" localSheetId="0"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5__FDSAUDITLINK__" hidden="1">{"fdsup://directions/FAT Viewer?action=UPDATE&amp;creator=factset&amp;DYN_ARGS=TRUE&amp;DOC_NAME=FAT:FQL_AUDITING_CLIENT_TEMPLATE.FAT&amp;display_string=Audit&amp;VAR:KEY=VYPQFEPARW&amp;VAR:QUERY=RkZfRElWX1lMRChBTk4sNS8yMi8wMyw1LzIyLzAzKQ==&amp;WINDOW=FIRST_POPUP&amp;HEIGHT=450&amp;WIDTH=450&amp;","START_MAXIMIZED=FALSE&amp;VAR:CALENDAR=US&amp;VAR:SYMBOL=LO&amp;VAR:INDEX=0"}</definedName>
    <definedName name="_1456">#REF!</definedName>
    <definedName name="_1456__FDSAUDITLINK__" localSheetId="0"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6__FDSAUDITLINK__" hidden="1">{"fdsup://directions/FAT Viewer?action=UPDATE&amp;creator=factset&amp;DYN_ARGS=TRUE&amp;DOC_NAME=FAT:FQL_AUDITING_CLIENT_TEMPLATE.FAT&amp;display_string=Audit&amp;VAR:KEY=LCBCLQRGFU&amp;VAR:QUERY=RkZfRElWX1lMRChBTk4sNS8xNS8wMyw1LzE1LzAzKQ==&amp;WINDOW=FIRST_POPUP&amp;HEIGHT=450&amp;WIDTH=450&amp;","START_MAXIMIZED=FALSE&amp;VAR:CALENDAR=US&amp;VAR:SYMBOL=LO&amp;VAR:INDEX=0"}</definedName>
    <definedName name="_1457">#REF!</definedName>
    <definedName name="_1457__FDSAUDITLINK__" localSheetId="0"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7__FDSAUDITLINK__" hidden="1">{"fdsup://directions/FAT Viewer?action=UPDATE&amp;creator=factset&amp;DYN_ARGS=TRUE&amp;DOC_NAME=FAT:FQL_AUDITING_CLIENT_TEMPLATE.FAT&amp;display_string=Audit&amp;VAR:KEY=LAXQHQRWNM&amp;VAR:QUERY=RkZfRElWX1lMRChBTk4sNS8wOC8wMyw1LzA4LzAzKQ==&amp;WINDOW=FIRST_POPUP&amp;HEIGHT=450&amp;WIDTH=450&amp;","START_MAXIMIZED=FALSE&amp;VAR:CALENDAR=US&amp;VAR:SYMBOL=LO&amp;VAR:INDEX=0"}</definedName>
    <definedName name="_1458">#REF!</definedName>
    <definedName name="_1458__FDSAUDITLINK__" localSheetId="0"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8__FDSAUDITLINK__" hidden="1">{"fdsup://directions/FAT Viewer?action=UPDATE&amp;creator=factset&amp;DYN_ARGS=TRUE&amp;DOC_NAME=FAT:FQL_AUDITING_CLIENT_TEMPLATE.FAT&amp;display_string=Audit&amp;VAR:KEY=JEREDARCBQ&amp;VAR:QUERY=RkZfRElWX1lMRChBTk4sNS8wMS8wMyw1LzAxLzAzKQ==&amp;WINDOW=FIRST_POPUP&amp;HEIGHT=450&amp;WIDTH=450&amp;","START_MAXIMIZED=FALSE&amp;VAR:CALENDAR=US&amp;VAR:SYMBOL=LO&amp;VAR:INDEX=0"}</definedName>
    <definedName name="_1459">#REF!</definedName>
    <definedName name="_1459__FDSAUDITLINK__" localSheetId="0"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59__FDSAUDITLINK__" hidden="1">{"fdsup://directions/FAT Viewer?action=UPDATE&amp;creator=factset&amp;DYN_ARGS=TRUE&amp;DOC_NAME=FAT:FQL_AUDITING_CLIENT_TEMPLATE.FAT&amp;display_string=Audit&amp;VAR:KEY=RUVSRMDQTO&amp;VAR:QUERY=RkZfRElWX1lMRChBTk4sNC8yNC8wMyw0LzI0LzAzKQ==&amp;WINDOW=FIRST_POPUP&amp;HEIGHT=450&amp;WIDTH=450&amp;","START_MAXIMIZED=FALSE&amp;VAR:CALENDAR=US&amp;VAR:SYMBOL=LO&amp;VAR:INDEX=0"}</definedName>
    <definedName name="_146">#REF!</definedName>
    <definedName name="_146__123Graph_FWAGES_BY_B_U">#REF!</definedName>
    <definedName name="_146__FDSAUDITLINK__" localSheetId="0"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__FDSAUDITLINK__" hidden="1">{"fdsup://directions/FAT Viewer?action=UPDATE&amp;creator=factset&amp;DYN_ARGS=TRUE&amp;DOC_NAME=FAT:FQL_AUDITING_CLIENT_TEMPLATE.FAT&amp;display_string=Audit&amp;VAR:KEY=RYZKPWPQZU&amp;VAR:QUERY=RkZfRElWX1lMRChBTk4sNi8xOS8wOCw2LzE5LzA4KQ==&amp;WINDOW=FIRST_POPUP&amp;HEIGHT=450&amp;WIDTH=450&amp;","START_MAXIMIZED=FALSE&amp;VAR:CALENDAR=US&amp;VAR:SYMBOL=RAI&amp;VAR:INDEX=0"}</definedName>
    <definedName name="_1460">#REF!</definedName>
    <definedName name="_1460__FDSAUDITLINK__" localSheetId="0"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0__FDSAUDITLINK__" hidden="1">{"fdsup://directions/FAT Viewer?action=UPDATE&amp;creator=factset&amp;DYN_ARGS=TRUE&amp;DOC_NAME=FAT:FQL_AUDITING_CLIENT_TEMPLATE.FAT&amp;display_string=Audit&amp;VAR:KEY=LMNYHYXEJA&amp;VAR:QUERY=RkZfRElWX1lMRChBTk4sNC8xNy8wMyw0LzE3LzAzKQ==&amp;WINDOW=FIRST_POPUP&amp;HEIGHT=450&amp;WIDTH=450&amp;","START_MAXIMIZED=FALSE&amp;VAR:CALENDAR=US&amp;VAR:SYMBOL=LO&amp;VAR:INDEX=0"}</definedName>
    <definedName name="_1461__FDSAUDITLINK__" localSheetId="0"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1__FDSAUDITLINK__" hidden="1">{"fdsup://directions/FAT Viewer?action=UPDATE&amp;creator=factset&amp;DYN_ARGS=TRUE&amp;DOC_NAME=FAT:FQL_AUDITING_CLIENT_TEMPLATE.FAT&amp;display_string=Audit&amp;VAR:KEY=LAXYTIRSVI&amp;VAR:QUERY=RkZfRElWX1lMRChBTk4sNC8xMC8wMyw0LzEwLzAzKQ==&amp;WINDOW=FIRST_POPUP&amp;HEIGHT=450&amp;WIDTH=450&amp;","START_MAXIMIZED=FALSE&amp;VAR:CALENDAR=US&amp;VAR:SYMBOL=LO&amp;VAR:INDEX=0"}</definedName>
    <definedName name="_1462__FDSAUDITLINK__" localSheetId="0"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2__FDSAUDITLINK__" hidden="1">{"fdsup://directions/FAT Viewer?action=UPDATE&amp;creator=factset&amp;DYN_ARGS=TRUE&amp;DOC_NAME=FAT:FQL_AUDITING_CLIENT_TEMPLATE.FAT&amp;display_string=Audit&amp;VAR:KEY=JGZAJOHEBY&amp;VAR:QUERY=RkZfRElWX1lMRChBTk4sNC8wMy8wMyw0LzAzLzAzKQ==&amp;WINDOW=FIRST_POPUP&amp;HEIGHT=450&amp;WIDTH=450&amp;","START_MAXIMIZED=FALSE&amp;VAR:CALENDAR=US&amp;VAR:SYMBOL=LO&amp;VAR:INDEX=0"}</definedName>
    <definedName name="_1463__FDSAUDITLINK__" localSheetId="0"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3__FDSAUDITLINK__" hidden="1">{"fdsup://directions/FAT Viewer?action=UPDATE&amp;creator=factset&amp;DYN_ARGS=TRUE&amp;DOC_NAME=FAT:FQL_AUDITING_CLIENT_TEMPLATE.FAT&amp;display_string=Audit&amp;VAR:KEY=ZAJYJYXKZE&amp;VAR:QUERY=RkZfRElWX1lMRChBTk4sMy8yNy8wMywzLzI3LzAzKQ==&amp;WINDOW=FIRST_POPUP&amp;HEIGHT=450&amp;WIDTH=450&amp;","START_MAXIMIZED=FALSE&amp;VAR:CALENDAR=US&amp;VAR:SYMBOL=LO&amp;VAR:INDEX=0"}</definedName>
    <definedName name="_1464__FDSAUDITLINK__" localSheetId="0"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4__FDSAUDITLINK__" hidden="1">{"fdsup://directions/FAT Viewer?action=UPDATE&amp;creator=factset&amp;DYN_ARGS=TRUE&amp;DOC_NAME=FAT:FQL_AUDITING_CLIENT_TEMPLATE.FAT&amp;display_string=Audit&amp;VAR:KEY=ZUDUDOJOJM&amp;VAR:QUERY=RkZfRElWX1lMRChBTk4sMy8yMC8wMywzLzIwLzAzKQ==&amp;WINDOW=FIRST_POPUP&amp;HEIGHT=450&amp;WIDTH=450&amp;","START_MAXIMIZED=FALSE&amp;VAR:CALENDAR=US&amp;VAR:SYMBOL=LO&amp;VAR:INDEX=0"}</definedName>
    <definedName name="_1465">#REF!</definedName>
    <definedName name="_1465__FDSAUDITLINK__" localSheetId="0"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5__FDSAUDITLINK__" hidden="1">{"fdsup://directions/FAT Viewer?action=UPDATE&amp;creator=factset&amp;DYN_ARGS=TRUE&amp;DOC_NAME=FAT:FQL_AUDITING_CLIENT_TEMPLATE.FAT&amp;display_string=Audit&amp;VAR:KEY=XGDMVIXUDY&amp;VAR:QUERY=RkZfRElWX1lMRChBTk4sMy8xMy8wMywzLzEzLzAzKQ==&amp;WINDOW=FIRST_POPUP&amp;HEIGHT=450&amp;WIDTH=450&amp;","START_MAXIMIZED=FALSE&amp;VAR:CALENDAR=US&amp;VAR:SYMBOL=LO&amp;VAR:INDEX=0"}</definedName>
    <definedName name="_1466__FDSAUDITLINK__" localSheetId="0"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6__FDSAUDITLINK__" hidden="1">{"fdsup://directions/FAT Viewer?action=UPDATE&amp;creator=factset&amp;DYN_ARGS=TRUE&amp;DOC_NAME=FAT:FQL_AUDITING_CLIENT_TEMPLATE.FAT&amp;display_string=Audit&amp;VAR:KEY=TMVMTIXKNS&amp;VAR:QUERY=RkZfRElWX1lMRChBTk4sMy8wNi8wMywzLzA2LzAzKQ==&amp;WINDOW=FIRST_POPUP&amp;HEIGHT=450&amp;WIDTH=450&amp;","START_MAXIMIZED=FALSE&amp;VAR:CALENDAR=US&amp;VAR:SYMBOL=LO&amp;VAR:INDEX=0"}</definedName>
    <definedName name="_1467__FDSAUDITLINK__" localSheetId="0"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7__FDSAUDITLINK__" hidden="1">{"fdsup://directions/FAT Viewer?action=UPDATE&amp;creator=factset&amp;DYN_ARGS=TRUE&amp;DOC_NAME=FAT:FQL_AUDITING_CLIENT_TEMPLATE.FAT&amp;display_string=Audit&amp;VAR:KEY=LQREXEVSTK&amp;VAR:QUERY=RkZfRElWX1lMRChBTk4sMi8yNy8wMywyLzI3LzAzKQ==&amp;WINDOW=FIRST_POPUP&amp;HEIGHT=450&amp;WIDTH=450&amp;","START_MAXIMIZED=FALSE&amp;VAR:CALENDAR=US&amp;VAR:SYMBOL=LO&amp;VAR:INDEX=0"}</definedName>
    <definedName name="_1468__FDSAUDITLINK__" localSheetId="0"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8__FDSAUDITLINK__" hidden="1">{"fdsup://directions/FAT Viewer?action=UPDATE&amp;creator=factset&amp;DYN_ARGS=TRUE&amp;DOC_NAME=FAT:FQL_AUDITING_CLIENT_TEMPLATE.FAT&amp;display_string=Audit&amp;VAR:KEY=VAVKTGHURG&amp;VAR:QUERY=RkZfRElWX1lMRChBTk4sMi8yMC8wMywyLzIwLzAzKQ==&amp;WINDOW=FIRST_POPUP&amp;HEIGHT=450&amp;WIDTH=450&amp;","START_MAXIMIZED=FALSE&amp;VAR:CALENDAR=US&amp;VAR:SYMBOL=LO&amp;VAR:INDEX=0"}</definedName>
    <definedName name="_1469__FDSAUDITLINK__" localSheetId="0"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69__FDSAUDITLINK__" hidden="1">{"fdsup://directions/FAT Viewer?action=UPDATE&amp;creator=factset&amp;DYN_ARGS=TRUE&amp;DOC_NAME=FAT:FQL_AUDITING_CLIENT_TEMPLATE.FAT&amp;display_string=Audit&amp;VAR:KEY=JUHIPYVWLA&amp;VAR:QUERY=RkZfRElWX1lMRChBTk4sMi8xMy8wMywyLzEzLzAzKQ==&amp;WINDOW=FIRST_POPUP&amp;HEIGHT=450&amp;WIDTH=450&amp;","START_MAXIMIZED=FALSE&amp;VAR:CALENDAR=US&amp;VAR:SYMBOL=LO&amp;VAR:INDEX=0"}</definedName>
    <definedName name="_147">#REF!</definedName>
    <definedName name="_147__FDSAUDITLINK__" localSheetId="0"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__FDSAUDITLINK__" hidden="1">{"fdsup://directions/FAT Viewer?action=UPDATE&amp;creator=factset&amp;DYN_ARGS=TRUE&amp;DOC_NAME=FAT:FQL_AUDITING_CLIENT_TEMPLATE.FAT&amp;display_string=Audit&amp;VAR:KEY=LQFSDCBKJY&amp;VAR:QUERY=RkZfRElWX1lMRChBTk4sNi8xMi8wOCw2LzEyLzA4KQ==&amp;WINDOW=FIRST_POPUP&amp;HEIGHT=450&amp;WIDTH=450&amp;","START_MAXIMIZED=FALSE&amp;VAR:CALENDAR=US&amp;VAR:SYMBOL=RAI&amp;VAR:INDEX=0"}</definedName>
    <definedName name="_1470">#REF!</definedName>
    <definedName name="_1470__FDSAUDITLINK__" localSheetId="0"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0__FDSAUDITLINK__" hidden="1">{"fdsup://directions/FAT Viewer?action=UPDATE&amp;creator=factset&amp;DYN_ARGS=TRUE&amp;DOC_NAME=FAT:FQL_AUDITING_CLIENT_TEMPLATE.FAT&amp;display_string=Audit&amp;VAR:KEY=RGFENMFOFM&amp;VAR:QUERY=RkZfRElWX1lMRChBTk4sMi8wNi8wMywyLzA2LzAzKQ==&amp;WINDOW=FIRST_POPUP&amp;HEIGHT=450&amp;WIDTH=450&amp;","START_MAXIMIZED=FALSE&amp;VAR:CALENDAR=US&amp;VAR:SYMBOL=LO&amp;VAR:INDEX=0"}</definedName>
    <definedName name="_1471__FDSAUDITLINK__" localSheetId="0"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1__FDSAUDITLINK__" hidden="1">{"fdsup://directions/FAT Viewer?action=UPDATE&amp;creator=factset&amp;DYN_ARGS=TRUE&amp;DOC_NAME=FAT:FQL_AUDITING_CLIENT_TEMPLATE.FAT&amp;display_string=Audit&amp;VAR:KEY=HKJCJIBCLM&amp;VAR:QUERY=RkZfRElWX1lMRChBTk4sMS8zMC8wMywxLzMwLzAzKQ==&amp;WINDOW=FIRST_POPUP&amp;HEIGHT=450&amp;WIDTH=450&amp;","START_MAXIMIZED=FALSE&amp;VAR:CALENDAR=US&amp;VAR:SYMBOL=LO&amp;VAR:INDEX=0"}</definedName>
    <definedName name="_1472">#REF!</definedName>
    <definedName name="_1472__FDSAUDITLINK__" localSheetId="0"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2__FDSAUDITLINK__" hidden="1">{"fdsup://directions/FAT Viewer?action=UPDATE&amp;creator=factset&amp;DYN_ARGS=TRUE&amp;DOC_NAME=FAT:FQL_AUDITING_CLIENT_TEMPLATE.FAT&amp;display_string=Audit&amp;VAR:KEY=VOZUPMTSXC&amp;VAR:QUERY=RkZfRElWX1lMRChBTk4sMS8yMy8wMywxLzIzLzAzKQ==&amp;WINDOW=FIRST_POPUP&amp;HEIGHT=450&amp;WIDTH=450&amp;","START_MAXIMIZED=FALSE&amp;VAR:CALENDAR=US&amp;VAR:SYMBOL=LO&amp;VAR:INDEX=0"}</definedName>
    <definedName name="_1473">#REF!</definedName>
    <definedName name="_1473__FDSAUDITLINK__" localSheetId="0"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3__FDSAUDITLINK__" hidden="1">{"fdsup://directions/FAT Viewer?action=UPDATE&amp;creator=factset&amp;DYN_ARGS=TRUE&amp;DOC_NAME=FAT:FQL_AUDITING_CLIENT_TEMPLATE.FAT&amp;display_string=Audit&amp;VAR:KEY=REPWFGRGVS&amp;VAR:QUERY=RkZfRElWX1lMRChBTk4sMS8xNi8wMywxLzE2LzAzKQ==&amp;WINDOW=FIRST_POPUP&amp;HEIGHT=450&amp;WIDTH=450&amp;","START_MAXIMIZED=FALSE&amp;VAR:CALENDAR=US&amp;VAR:SYMBOL=LO&amp;VAR:INDEX=0"}</definedName>
    <definedName name="_1474__FDSAUDITLINK__" localSheetId="0"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4__FDSAUDITLINK__" hidden="1">{"fdsup://directions/FAT Viewer?action=UPDATE&amp;creator=factset&amp;DYN_ARGS=TRUE&amp;DOC_NAME=FAT:FQL_AUDITING_CLIENT_TEMPLATE.FAT&amp;display_string=Audit&amp;VAR:KEY=XSNSXQVGTA&amp;VAR:QUERY=RkZfRElWX1lMRChBTk4sMS8wOS8wMywxLzA5LzAzKQ==&amp;WINDOW=FIRST_POPUP&amp;HEIGHT=450&amp;WIDTH=450&amp;","START_MAXIMIZED=FALSE&amp;VAR:CALENDAR=US&amp;VAR:SYMBOL=LO&amp;VAR:INDEX=0"}</definedName>
    <definedName name="_1475">#REF!</definedName>
    <definedName name="_1475__FDSAUDITLINK__" localSheetId="0"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5__FDSAUDITLINK__" hidden="1">{"fdsup://directions/FAT Viewer?action=UPDATE&amp;creator=factset&amp;DYN_ARGS=TRUE&amp;DOC_NAME=FAT:FQL_AUDITING_CLIENT_TEMPLATE.FAT&amp;display_string=Audit&amp;VAR:KEY=JUPSRYJITO&amp;VAR:QUERY=RkZfRElWX1lMRChBTk4sMS8wMi8wMywxLzAyLzAzKQ==&amp;WINDOW=FIRST_POPUP&amp;HEIGHT=450&amp;WIDTH=450&amp;","START_MAXIMIZED=FALSE&amp;VAR:CALENDAR=US&amp;VAR:SYMBOL=LO&amp;VAR:INDEX=0"}</definedName>
    <definedName name="_1476">#REF!</definedName>
    <definedName name="_1476__FDSAUDITLINK__" localSheetId="0"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6__FDSAUDITLINK__" hidden="1">{"fdsup://directions/FAT Viewer?action=UPDATE&amp;creator=factset&amp;DYN_ARGS=TRUE&amp;DOC_NAME=FAT:FQL_AUDITING_CLIENT_TEMPLATE.FAT&amp;display_string=Audit&amp;VAR:KEY=NMLYDYZWRW&amp;VAR:QUERY=RkZfRElWX1lMRChBTk4sMTIvMjYvMDIsMTIvMjYvMDIp&amp;WINDOW=FIRST_POPUP&amp;HEIGHT=450&amp;WIDTH=450&amp;","START_MAXIMIZED=FALSE&amp;VAR:CALENDAR=US&amp;VAR:SYMBOL=LO&amp;VAR:INDEX=0"}</definedName>
    <definedName name="_1477__FDSAUDITLINK__" localSheetId="0"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7__FDSAUDITLINK__" hidden="1">{"fdsup://directions/FAT Viewer?action=UPDATE&amp;creator=factset&amp;DYN_ARGS=TRUE&amp;DOC_NAME=FAT:FQL_AUDITING_CLIENT_TEMPLATE.FAT&amp;display_string=Audit&amp;VAR:KEY=NAVOPKHMNY&amp;VAR:QUERY=RkZfRElWX1lMRChBTk4sMTIvMTkvMDIsMTIvMTkvMDIp&amp;WINDOW=FIRST_POPUP&amp;HEIGHT=450&amp;WIDTH=450&amp;","START_MAXIMIZED=FALSE&amp;VAR:CALENDAR=US&amp;VAR:SYMBOL=LO&amp;VAR:INDEX=0"}</definedName>
    <definedName name="_1478">#REF!</definedName>
    <definedName name="_1478__FDSAUDITLINK__" localSheetId="0"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8__FDSAUDITLINK__" hidden="1">{"fdsup://directions/FAT Viewer?action=UPDATE&amp;creator=factset&amp;DYN_ARGS=TRUE&amp;DOC_NAME=FAT:FQL_AUDITING_CLIENT_TEMPLATE.FAT&amp;display_string=Audit&amp;VAR:KEY=HCVQTCHUNE&amp;VAR:QUERY=RkZfRElWX1lMRChBTk4sMTIvMTIvMDIsMTIvMTIvMDIp&amp;WINDOW=FIRST_POPUP&amp;HEIGHT=450&amp;WIDTH=450&amp;","START_MAXIMIZED=FALSE&amp;VAR:CALENDAR=US&amp;VAR:SYMBOL=LO&amp;VAR:INDEX=0"}</definedName>
    <definedName name="_1479">#REF!</definedName>
    <definedName name="_1479__FDSAUDITLINK__" localSheetId="0"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79__FDSAUDITLINK__" hidden="1">{"fdsup://directions/FAT Viewer?action=UPDATE&amp;creator=factset&amp;DYN_ARGS=TRUE&amp;DOC_NAME=FAT:FQL_AUDITING_CLIENT_TEMPLATE.FAT&amp;display_string=Audit&amp;VAR:KEY=TWTSBEDUFE&amp;VAR:QUERY=RkZfRElWX1lMRChBTk4sMTIvMDUvMDIsMTIvMDUvMDIp&amp;WINDOW=FIRST_POPUP&amp;HEIGHT=450&amp;WIDTH=450&amp;","START_MAXIMIZED=FALSE&amp;VAR:CALENDAR=US&amp;VAR:SYMBOL=LO&amp;VAR:INDEX=0"}</definedName>
    <definedName name="_148">#REF!</definedName>
    <definedName name="_148__FDSAUDITLINK__" localSheetId="0"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__FDSAUDITLINK__" hidden="1">{"fdsup://directions/FAT Viewer?action=UPDATE&amp;creator=factset&amp;DYN_ARGS=TRUE&amp;DOC_NAME=FAT:FQL_AUDITING_CLIENT_TEMPLATE.FAT&amp;display_string=Audit&amp;VAR:KEY=DCZSXEVQDE&amp;VAR:QUERY=RkZfRElWX1lMRChBTk4sNi8wNS8wOCw2LzA1LzA4KQ==&amp;WINDOW=FIRST_POPUP&amp;HEIGHT=450&amp;WIDTH=450&amp;","START_MAXIMIZED=FALSE&amp;VAR:CALENDAR=US&amp;VAR:SYMBOL=RAI&amp;VAR:INDEX=0"}</definedName>
    <definedName name="_1480__FDSAUDITLINK__" localSheetId="0"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0__FDSAUDITLINK__" hidden="1">{"fdsup://directions/FAT Viewer?action=UPDATE&amp;creator=factset&amp;DYN_ARGS=TRUE&amp;DOC_NAME=FAT:FQL_AUDITING_CLIENT_TEMPLATE.FAT&amp;display_string=Audit&amp;VAR:KEY=RABCNMLCTS&amp;VAR:QUERY=RkZfRElWX1lMRChBTk4sMTEvMjcvMDIsMTEvMjcvMDIp&amp;WINDOW=FIRST_POPUP&amp;HEIGHT=450&amp;WIDTH=450&amp;","START_MAXIMIZED=FALSE&amp;VAR:CALENDAR=US&amp;VAR:SYMBOL=LO&amp;VAR:INDEX=0"}</definedName>
    <definedName name="_1481">#REF!</definedName>
    <definedName name="_1481__FDSAUDITLINK__" localSheetId="0"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1__FDSAUDITLINK__" hidden="1">{"fdsup://directions/FAT Viewer?action=UPDATE&amp;creator=factset&amp;DYN_ARGS=TRUE&amp;DOC_NAME=FAT:FQL_AUDITING_CLIENT_TEMPLATE.FAT&amp;display_string=Audit&amp;VAR:KEY=VGTSFEVATE&amp;VAR:QUERY=RkZfRElWX1lMRChBTk4sMTEvMjEvMDIsMTEvMjEvMDIp&amp;WINDOW=FIRST_POPUP&amp;HEIGHT=450&amp;WIDTH=450&amp;","START_MAXIMIZED=FALSE&amp;VAR:CALENDAR=US&amp;VAR:SYMBOL=LO&amp;VAR:INDEX=0"}</definedName>
    <definedName name="_1482">#REF!</definedName>
    <definedName name="_1482__FDSAUDITLINK__" localSheetId="0"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2__FDSAUDITLINK__" hidden="1">{"fdsup://directions/FAT Viewer?action=UPDATE&amp;creator=factset&amp;DYN_ARGS=TRUE&amp;DOC_NAME=FAT:FQL_AUDITING_CLIENT_TEMPLATE.FAT&amp;display_string=Audit&amp;VAR:KEY=TANYPQPETI&amp;VAR:QUERY=RkZfRElWX1lMRChBTk4sMTEvMTQvMDIsMTEvMTQvMDIp&amp;WINDOW=FIRST_POPUP&amp;HEIGHT=450&amp;WIDTH=450&amp;","START_MAXIMIZED=FALSE&amp;VAR:CALENDAR=US&amp;VAR:SYMBOL=LO&amp;VAR:INDEX=0"}</definedName>
    <definedName name="_1483">#REF!</definedName>
    <definedName name="_1483__FDSAUDITLINK__" localSheetId="0"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3__FDSAUDITLINK__" hidden="1">{"fdsup://directions/FAT Viewer?action=UPDATE&amp;creator=factset&amp;DYN_ARGS=TRUE&amp;DOC_NAME=FAT:FQL_AUDITING_CLIENT_TEMPLATE.FAT&amp;display_string=Audit&amp;VAR:KEY=FSLKLCJGZC&amp;VAR:QUERY=RkZfRElWX1lMRChBTk4sMTEvMDcvMDIsMTEvMDcvMDIp&amp;WINDOW=FIRST_POPUP&amp;HEIGHT=450&amp;WIDTH=450&amp;","START_MAXIMIZED=FALSE&amp;VAR:CALENDAR=US&amp;VAR:SYMBOL=LO&amp;VAR:INDEX=0"}</definedName>
    <definedName name="_1484">#REF!</definedName>
    <definedName name="_1484__FDSAUDITLINK__" localSheetId="0"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4__FDSAUDITLINK__" hidden="1">{"fdsup://directions/FAT Viewer?action=UPDATE&amp;creator=factset&amp;DYN_ARGS=TRUE&amp;DOC_NAME=FAT:FQL_AUDITING_CLIENT_TEMPLATE.FAT&amp;display_string=Audit&amp;VAR:KEY=NWZADKRKBA&amp;VAR:QUERY=RkZfRElWX1lMRChBTk4sMTAvMzEvMDIsMTAvMzEvMDIp&amp;WINDOW=FIRST_POPUP&amp;HEIGHT=450&amp;WIDTH=450&amp;","START_MAXIMIZED=FALSE&amp;VAR:CALENDAR=US&amp;VAR:SYMBOL=LO&amp;VAR:INDEX=0"}</definedName>
    <definedName name="_1485">#REF!</definedName>
    <definedName name="_1485__FDSAUDITLINK__" localSheetId="0"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5__FDSAUDITLINK__" hidden="1">{"fdsup://directions/FAT Viewer?action=UPDATE&amp;creator=factset&amp;DYN_ARGS=TRUE&amp;DOC_NAME=FAT:FQL_AUDITING_CLIENT_TEMPLATE.FAT&amp;display_string=Audit&amp;VAR:KEY=BSRYFGXCDO&amp;VAR:QUERY=RkZfRElWX1lMRChBTk4sMTAvMjQvMDIsMTAvMjQvMDIp&amp;WINDOW=FIRST_POPUP&amp;HEIGHT=450&amp;WIDTH=450&amp;","START_MAXIMIZED=FALSE&amp;VAR:CALENDAR=US&amp;VAR:SYMBOL=LO&amp;VAR:INDEX=0"}</definedName>
    <definedName name="_1486">#REF!</definedName>
    <definedName name="_1486__FDSAUDITLINK__" localSheetId="0"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6__FDSAUDITLINK__" hidden="1">{"fdsup://directions/FAT Viewer?action=UPDATE&amp;creator=factset&amp;DYN_ARGS=TRUE&amp;DOC_NAME=FAT:FQL_AUDITING_CLIENT_TEMPLATE.FAT&amp;display_string=Audit&amp;VAR:KEY=JORIXEHKHE&amp;VAR:QUERY=RkZfRElWX1lMRChBTk4sMTAvMTcvMDIsMTAvMTcvMDIp&amp;WINDOW=FIRST_POPUP&amp;HEIGHT=450&amp;WIDTH=450&amp;","START_MAXIMIZED=FALSE&amp;VAR:CALENDAR=US&amp;VAR:SYMBOL=LO&amp;VAR:INDEX=0"}</definedName>
    <definedName name="_1487">#REF!</definedName>
    <definedName name="_1487__FDSAUDITLINK__" localSheetId="0"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7__FDSAUDITLINK__" hidden="1">{"fdsup://directions/FAT Viewer?action=UPDATE&amp;creator=factset&amp;DYN_ARGS=TRUE&amp;DOC_NAME=FAT:FQL_AUDITING_CLIENT_TEMPLATE.FAT&amp;display_string=Audit&amp;VAR:KEY=BETELUNQZU&amp;VAR:QUERY=RkZfRElWX1lMRChBTk4sMTAvMTAvMDIsMTAvMTAvMDIp&amp;WINDOW=FIRST_POPUP&amp;HEIGHT=450&amp;WIDTH=450&amp;","START_MAXIMIZED=FALSE&amp;VAR:CALENDAR=US&amp;VAR:SYMBOL=LO&amp;VAR:INDEX=0"}</definedName>
    <definedName name="_1488">#REF!</definedName>
    <definedName name="_1488__FDSAUDITLINK__" localSheetId="0"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8__FDSAUDITLINK__" hidden="1">{"fdsup://directions/FAT Viewer?action=UPDATE&amp;creator=factset&amp;DYN_ARGS=TRUE&amp;DOC_NAME=FAT:FQL_AUDITING_CLIENT_TEMPLATE.FAT&amp;display_string=Audit&amp;VAR:KEY=TSVEZMHQBK&amp;VAR:QUERY=RkZfRElWX1lMRChBTk4sMTAvMDMvMDIsMTAvMDMvMDIp&amp;WINDOW=FIRST_POPUP&amp;HEIGHT=450&amp;WIDTH=450&amp;","START_MAXIMIZED=FALSE&amp;VAR:CALENDAR=US&amp;VAR:SYMBOL=LO&amp;VAR:INDEX=0"}</definedName>
    <definedName name="_1489">#REF!</definedName>
    <definedName name="_1489__FDSAUDITLINK__" localSheetId="0"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89__FDSAUDITLINK__" hidden="1">{"fdsup://directions/FAT Viewer?action=UPDATE&amp;creator=factset&amp;DYN_ARGS=TRUE&amp;DOC_NAME=FAT:FQL_AUDITING_CLIENT_TEMPLATE.FAT&amp;display_string=Audit&amp;VAR:KEY=FWTCBANSNC&amp;VAR:QUERY=RkZfRElWX1lMRChBTk4sOS8yNi8wMiw5LzI2LzAyKQ==&amp;WINDOW=FIRST_POPUP&amp;HEIGHT=450&amp;WIDTH=450&amp;","START_MAXIMIZED=FALSE&amp;VAR:CALENDAR=US&amp;VAR:SYMBOL=LO&amp;VAR:INDEX=0"}</definedName>
    <definedName name="_149">#REF!</definedName>
    <definedName name="_149__FDSAUDITLINK__" localSheetId="0"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__FDSAUDITLINK__" hidden="1">{"fdsup://directions/FAT Viewer?action=UPDATE&amp;creator=factset&amp;DYN_ARGS=TRUE&amp;DOC_NAME=FAT:FQL_AUDITING_CLIENT_TEMPLATE.FAT&amp;display_string=Audit&amp;VAR:KEY=NOPKPCPGBS&amp;VAR:QUERY=RkZfRElWX1lMRChBTk4sNS8yOS8wOCw1LzI5LzA4KQ==&amp;WINDOW=FIRST_POPUP&amp;HEIGHT=450&amp;WIDTH=450&amp;","START_MAXIMIZED=FALSE&amp;VAR:CALENDAR=US&amp;VAR:SYMBOL=RAI&amp;VAR:INDEX=0"}</definedName>
    <definedName name="_1490">#REF!</definedName>
    <definedName name="_1490__FDSAUDITLINK__" localSheetId="0"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0__FDSAUDITLINK__" hidden="1">{"fdsup://directions/FAT Viewer?action=UPDATE&amp;creator=factset&amp;DYN_ARGS=TRUE&amp;DOC_NAME=FAT:FQL_AUDITING_CLIENT_TEMPLATE.FAT&amp;display_string=Audit&amp;VAR:KEY=FGVGJEHKJU&amp;VAR:QUERY=RkZfRElWX1lMRChBTk4sOS8xOS8wMiw5LzE5LzAyKQ==&amp;WINDOW=FIRST_POPUP&amp;HEIGHT=450&amp;WIDTH=450&amp;","START_MAXIMIZED=FALSE&amp;VAR:CALENDAR=US&amp;VAR:SYMBOL=LO&amp;VAR:INDEX=0"}</definedName>
    <definedName name="_1491">#REF!</definedName>
    <definedName name="_1491__FDSAUDITLINK__" localSheetId="0"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1__FDSAUDITLINK__" hidden="1">{"fdsup://directions/FAT Viewer?action=UPDATE&amp;creator=factset&amp;DYN_ARGS=TRUE&amp;DOC_NAME=FAT:FQL_AUDITING_CLIENT_TEMPLATE.FAT&amp;display_string=Audit&amp;VAR:KEY=RKPYFQHAZK&amp;VAR:QUERY=RkZfRElWX1lMRChBTk4sOS8xMi8wMiw5LzEyLzAyKQ==&amp;WINDOW=FIRST_POPUP&amp;HEIGHT=450&amp;WIDTH=450&amp;","START_MAXIMIZED=FALSE&amp;VAR:CALENDAR=US&amp;VAR:SYMBOL=LO&amp;VAR:INDEX=0"}</definedName>
    <definedName name="_1492">#REF!</definedName>
    <definedName name="_1492__FDSAUDITLINK__" localSheetId="0"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2__FDSAUDITLINK__" hidden="1">{"fdsup://directions/FAT Viewer?action=UPDATE&amp;creator=factset&amp;DYN_ARGS=TRUE&amp;DOC_NAME=FAT:FQL_AUDITING_CLIENT_TEMPLATE.FAT&amp;display_string=Audit&amp;VAR:KEY=XYNYPUJOHO&amp;VAR:QUERY=RkZfRElWX1lMRChBTk4sOS8wNS8wMiw5LzA1LzAyKQ==&amp;WINDOW=FIRST_POPUP&amp;HEIGHT=450&amp;WIDTH=450&amp;","START_MAXIMIZED=FALSE&amp;VAR:CALENDAR=US&amp;VAR:SYMBOL=LO&amp;VAR:INDEX=0"}</definedName>
    <definedName name="_1493">#REF!</definedName>
    <definedName name="_1493__FDSAUDITLINK__" localSheetId="0"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3__FDSAUDITLINK__" hidden="1">{"fdsup://directions/FAT Viewer?action=UPDATE&amp;creator=factset&amp;DYN_ARGS=TRUE&amp;DOC_NAME=FAT:FQL_AUDITING_CLIENT_TEMPLATE.FAT&amp;display_string=Audit&amp;VAR:KEY=XEJCNSVMFS&amp;VAR:QUERY=RkZfRElWX1lMRChBTk4sOC8yOS8wMiw4LzI5LzAyKQ==&amp;WINDOW=FIRST_POPUP&amp;HEIGHT=450&amp;WIDTH=450&amp;","START_MAXIMIZED=FALSE&amp;VAR:CALENDAR=US&amp;VAR:SYMBOL=LO&amp;VAR:INDEX=0"}</definedName>
    <definedName name="_1494">#REF!</definedName>
    <definedName name="_1494__FDSAUDITLINK__" localSheetId="0"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4__FDSAUDITLINK__" hidden="1">{"fdsup://directions/FAT Viewer?action=UPDATE&amp;creator=factset&amp;DYN_ARGS=TRUE&amp;DOC_NAME=FAT:FQL_AUDITING_CLIENT_TEMPLATE.FAT&amp;display_string=Audit&amp;VAR:KEY=XCLSFUDYDE&amp;VAR:QUERY=RkZfRElWX1lMRChBTk4sOC8yMi8wMiw4LzIyLzAyKQ==&amp;WINDOW=FIRST_POPUP&amp;HEIGHT=450&amp;WIDTH=450&amp;","START_MAXIMIZED=FALSE&amp;VAR:CALENDAR=US&amp;VAR:SYMBOL=LO&amp;VAR:INDEX=0"}</definedName>
    <definedName name="_1495">#REF!</definedName>
    <definedName name="_1495__FDSAUDITLINK__" localSheetId="0"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5__FDSAUDITLINK__" hidden="1">{"fdsup://directions/FAT Viewer?action=UPDATE&amp;creator=factset&amp;DYN_ARGS=TRUE&amp;DOC_NAME=FAT:FQL_AUDITING_CLIENT_TEMPLATE.FAT&amp;display_string=Audit&amp;VAR:KEY=VOFMTSHAVG&amp;VAR:QUERY=RkZfRElWX1lMRChBTk4sOC8xNS8wMiw4LzE1LzAyKQ==&amp;WINDOW=FIRST_POPUP&amp;HEIGHT=450&amp;WIDTH=450&amp;","START_MAXIMIZED=FALSE&amp;VAR:CALENDAR=US&amp;VAR:SYMBOL=LO&amp;VAR:INDEX=0"}</definedName>
    <definedName name="_1496">#REF!</definedName>
    <definedName name="_1496__FDSAUDITLINK__" localSheetId="0"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6__FDSAUDITLINK__" hidden="1">{"fdsup://directions/FAT Viewer?action=UPDATE&amp;creator=factset&amp;DYN_ARGS=TRUE&amp;DOC_NAME=FAT:FQL_AUDITING_CLIENT_TEMPLATE.FAT&amp;display_string=Audit&amp;VAR:KEY=XWNEVOLSLW&amp;VAR:QUERY=RkZfRElWX1lMRChBTk4sOC8wOC8wMiw4LzA4LzAyKQ==&amp;WINDOW=FIRST_POPUP&amp;HEIGHT=450&amp;WIDTH=450&amp;","START_MAXIMIZED=FALSE&amp;VAR:CALENDAR=US&amp;VAR:SYMBOL=LO&amp;VAR:INDEX=0"}</definedName>
    <definedName name="_1497">#REF!</definedName>
    <definedName name="_1497__FDSAUDITLINK__" localSheetId="0"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7__FDSAUDITLINK__" hidden="1">{"fdsup://directions/FAT Viewer?action=UPDATE&amp;creator=factset&amp;DYN_ARGS=TRUE&amp;DOC_NAME=FAT:FQL_AUDITING_CLIENT_TEMPLATE.FAT&amp;display_string=Audit&amp;VAR:KEY=FWBOVELCDO&amp;VAR:QUERY=RkZfRElWX1lMRChBTk4sOC8wMS8wMiw4LzAxLzAyKQ==&amp;WINDOW=FIRST_POPUP&amp;HEIGHT=450&amp;WIDTH=450&amp;","START_MAXIMIZED=FALSE&amp;VAR:CALENDAR=US&amp;VAR:SYMBOL=LO&amp;VAR:INDEX=0"}</definedName>
    <definedName name="_1498">#REF!</definedName>
    <definedName name="_1498__FDSAUDITLINK__" localSheetId="0"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8__FDSAUDITLINK__" hidden="1">{"fdsup://directions/FAT Viewer?action=UPDATE&amp;creator=factset&amp;DYN_ARGS=TRUE&amp;DOC_NAME=FAT:FQL_AUDITING_CLIENT_TEMPLATE.FAT&amp;display_string=Audit&amp;VAR:KEY=PYTQVMHMHC&amp;VAR:QUERY=RkZfRElWX1lMRChBTk4sNy8yNS8wMiw3LzI1LzAyKQ==&amp;WINDOW=FIRST_POPUP&amp;HEIGHT=450&amp;WIDTH=450&amp;","START_MAXIMIZED=FALSE&amp;VAR:CALENDAR=US&amp;VAR:SYMBOL=LO&amp;VAR:INDEX=0"}</definedName>
    <definedName name="_1499">#REF!</definedName>
    <definedName name="_1499__FDSAUDITLINK__" localSheetId="0"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99__FDSAUDITLINK__" hidden="1">{"fdsup://directions/FAT Viewer?action=UPDATE&amp;creator=factset&amp;DYN_ARGS=TRUE&amp;DOC_NAME=FAT:FQL_AUDITING_CLIENT_TEMPLATE.FAT&amp;display_string=Audit&amp;VAR:KEY=RWBMHGDWLW&amp;VAR:QUERY=RkZfRElWX1lMRChBTk4sNy8xOC8wMiw3LzE4LzAyKQ==&amp;WINDOW=FIRST_POPUP&amp;HEIGHT=450&amp;WIDTH=450&amp;","START_MAXIMIZED=FALSE&amp;VAR:CALENDAR=US&amp;VAR:SYMBOL=LO&amp;VAR:INDEX=0"}</definedName>
    <definedName name="_14M___S" hidden="1">#REF!</definedName>
    <definedName name="_14main_form_account_grants_list_14_j_id1022">#REF!</definedName>
    <definedName name="_14s1_" hidden="1">{#N/A,#N/A,FALSE,"UNIT";#N/A,#N/A,FALSE,"UNIT";#N/A,#N/A,FALSE,"계정"}</definedName>
    <definedName name="_14s17_" hidden="1">{#N/A,#N/A,FALSE,"UNIT";#N/A,#N/A,FALSE,"UNIT";#N/A,#N/A,FALSE,"계정"}</definedName>
    <definedName name="_14s3_" hidden="1">{#N/A,#N/A,FALSE,"UNIT";#N/A,#N/A,FALSE,"UNIT";#N/A,#N/A,FALSE,"계정"}</definedName>
    <definedName name="_14s4_" hidden="1">{#N/A,#N/A,FALSE,"UNIT";#N/A,#N/A,FALSE,"UNIT";#N/A,#N/A,FALSE,"계정"}</definedName>
    <definedName name="_15">#REF!</definedName>
    <definedName name="_15__________NOTE1_3">#REF!</definedName>
    <definedName name="_15__123Graph_AChart_2A" hidden="1">#REF!</definedName>
    <definedName name="_15__123Graph_AChart_7J">#REF!</definedName>
    <definedName name="_15__123Graph_ATAX_CREDIT">#REF!</definedName>
    <definedName name="_15__123Graph_BCHART_3" hidden="1">#REF!</definedName>
    <definedName name="_15__123Graph_BCONTRACT_BY_B_U">#REF!</definedName>
    <definedName name="_15__123Graph_BSENS_COMPARISON">#REF!</definedName>
    <definedName name="_15__123Graph_BSUPPLIES_BY_B_U">#REF!</definedName>
    <definedName name="_15__123Graph_BWAGES_BY_B_U" hidden="1">#REF!</definedName>
    <definedName name="_15__123Graph_CCONTRACT_BY_B_U">#REF!</definedName>
    <definedName name="_15__123Graph_CQRE_S_BY_CO.">#REF!</definedName>
    <definedName name="_15__123Graph_CSENS_COMPARISON">#REF!</definedName>
    <definedName name="_15__FDSAUDITLINK__" localSheetId="0"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_FDSAUDITLINK__" hidden="1">{"fdsup://directions/FAT Viewer?action=UPDATE&amp;creator=factset&amp;DYN_ARGS=TRUE&amp;DOC_NAME=FAT:FQL_AUDITING_CLIENT_TEMPLATE.FAT&amp;display_string=Audit&amp;VAR:KEY=OPSHYDYRSN&amp;VAR:QUERY=Q1NGX0RJVl9ZTEQoUVRSX1IsNi8yOS8yMDA3KQ==&amp;WINDOW=FIRST_POPUP&amp;HEIGHT=450&amp;WIDTH=450&amp;STAR","T_MAXIMIZED=FALSE&amp;VAR:CALENDAR=US&amp;VAR:SYMBOL=MO&amp;VAR:INDEX=0"}</definedName>
    <definedName name="_15_0_Table2_">#REF!</definedName>
    <definedName name="_15_3__1_CRADDIN_DataGrid">#REF!</definedName>
    <definedName name="_150">#REF!</definedName>
    <definedName name="_150__123Graph_EWAGES_BY_B_U">#REF!</definedName>
    <definedName name="_150__FDSAUDITLINK__" localSheetId="0"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__FDSAUDITLINK__" hidden="1">{"fdsup://directions/FAT Viewer?action=UPDATE&amp;creator=factset&amp;DYN_ARGS=TRUE&amp;DOC_NAME=FAT:FQL_AUDITING_CLIENT_TEMPLATE.FAT&amp;display_string=Audit&amp;VAR:KEY=HOLQPSTWLE&amp;VAR:QUERY=RkZfRElWX1lMRChBTk4sNS8yMi8wOCw1LzIyLzA4KQ==&amp;WINDOW=FIRST_POPUP&amp;HEIGHT=450&amp;WIDTH=450&amp;","START_MAXIMIZED=FALSE&amp;VAR:CALENDAR=US&amp;VAR:SYMBOL=RAI&amp;VAR:INDEX=0"}</definedName>
    <definedName name="_1500">#REF!</definedName>
    <definedName name="_1500__FDSAUDITLINK__" localSheetId="0"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0__FDSAUDITLINK__" hidden="1">{"fdsup://directions/FAT Viewer?action=UPDATE&amp;creator=factset&amp;DYN_ARGS=TRUE&amp;DOC_NAME=FAT:FQL_AUDITING_CLIENT_TEMPLATE.FAT&amp;display_string=Audit&amp;VAR:KEY=DMBCZORGXC&amp;VAR:QUERY=RkZfRElWX1lMRChBTk4sNy8xMS8wMiw3LzExLzAyKQ==&amp;WINDOW=FIRST_POPUP&amp;HEIGHT=450&amp;WIDTH=450&amp;","START_MAXIMIZED=FALSE&amp;VAR:CALENDAR=US&amp;VAR:SYMBOL=LO&amp;VAR:INDEX=0"}</definedName>
    <definedName name="_1501__FDSAUDITLINK__" localSheetId="0"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1__FDSAUDITLINK__" hidden="1">{"fdsup://directions/FAT Viewer?action=UPDATE&amp;creator=factset&amp;DYN_ARGS=TRUE&amp;DOC_NAME=FAT:FQL_AUDITING_CLIENT_TEMPLATE.FAT&amp;display_string=Audit&amp;VAR:KEY=VUPWNULGFC&amp;VAR:QUERY=RkZfRElWX1lMRChBTk4sNy8wMy8wMiw3LzAzLzAyKQ==&amp;WINDOW=FIRST_POPUP&amp;HEIGHT=450&amp;WIDTH=450&amp;","START_MAXIMIZED=FALSE&amp;VAR:CALENDAR=US&amp;VAR:SYMBOL=LO&amp;VAR:INDEX=0"}</definedName>
    <definedName name="_1502__FDSAUDITLINK__" localSheetId="0"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2__FDSAUDITLINK__" hidden="1">{"fdsup://directions/FAT Viewer?action=UPDATE&amp;creator=factset&amp;DYN_ARGS=TRUE&amp;DOC_NAME=FAT:FQL_AUDITING_CLIENT_TEMPLATE.FAT&amp;display_string=Audit&amp;VAR:KEY=ZOXSNIFUJK&amp;VAR:QUERY=RkZfRElWX1lMRChBTk4sNi8yNy8wMiw2LzI3LzAyKQ==&amp;WINDOW=FIRST_POPUP&amp;HEIGHT=450&amp;WIDTH=450&amp;","START_MAXIMIZED=FALSE&amp;VAR:CALENDAR=US&amp;VAR:SYMBOL=LO&amp;VAR:INDEX=0"}</definedName>
    <definedName name="_1503__FDSAUDITLINK__" localSheetId="0"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3__FDSAUDITLINK__" hidden="1">{"fdsup://directions/FAT Viewer?action=UPDATE&amp;creator=factset&amp;DYN_ARGS=TRUE&amp;DOC_NAME=FAT:FQL_AUDITING_CLIENT_TEMPLATE.FAT&amp;display_string=Audit&amp;VAR:KEY=JCRWDOLOLK&amp;VAR:QUERY=RkZfRElWX1lMRChBTk4sNi8yMC8wMiw2LzIwLzAyKQ==&amp;WINDOW=FIRST_POPUP&amp;HEIGHT=450&amp;WIDTH=450&amp;","START_MAXIMIZED=FALSE&amp;VAR:CALENDAR=US&amp;VAR:SYMBOL=LO&amp;VAR:INDEX=0"}</definedName>
    <definedName name="_1504">#REF!</definedName>
    <definedName name="_1504__FDSAUDITLINK__" localSheetId="0"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4__FDSAUDITLINK__" hidden="1">{"fdsup://directions/FAT Viewer?action=UPDATE&amp;creator=factset&amp;DYN_ARGS=TRUE&amp;DOC_NAME=FAT:FQL_AUDITING_CLIENT_TEMPLATE.FAT&amp;display_string=Audit&amp;VAR:KEY=DKLGHSBCJM&amp;VAR:QUERY=RkZfRElWX1lMRChBTk4sNi8xMy8wMiw2LzEzLzAyKQ==&amp;WINDOW=FIRST_POPUP&amp;HEIGHT=450&amp;WIDTH=450&amp;","START_MAXIMIZED=FALSE&amp;VAR:CALENDAR=US&amp;VAR:SYMBOL=LO&amp;VAR:INDEX=0"}</definedName>
    <definedName name="_1505__FDSAUDITLINK__" localSheetId="0"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5__FDSAUDITLINK__" hidden="1">{"fdsup://directions/FAT Viewer?action=UPDATE&amp;creator=factset&amp;DYN_ARGS=TRUE&amp;DOC_NAME=FAT:FQL_AUDITING_CLIENT_TEMPLATE.FAT&amp;display_string=Audit&amp;VAR:KEY=XYPUNSRUXK&amp;VAR:QUERY=RkZfRElWX1lMRChBTk4sNi8wNi8wMiw2LzA2LzAyKQ==&amp;WINDOW=FIRST_POPUP&amp;HEIGHT=450&amp;WIDTH=450&amp;","START_MAXIMIZED=FALSE&amp;VAR:CALENDAR=US&amp;VAR:SYMBOL=LO&amp;VAR:INDEX=0"}</definedName>
    <definedName name="_1506">#REF!</definedName>
    <definedName name="_1506__FDSAUDITLINK__" localSheetId="0"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6__FDSAUDITLINK__" hidden="1">{"fdsup://directions/FAT Viewer?action=UPDATE&amp;creator=factset&amp;DYN_ARGS=TRUE&amp;DOC_NAME=FAT:FQL_AUDITING_CLIENT_TEMPLATE.FAT&amp;display_string=Audit&amp;VAR:KEY=XURWXUPGXM&amp;VAR:QUERY=RkZfRElWX1lMRChBTk4sNS8zMC8wMiw1LzMwLzAyKQ==&amp;WINDOW=FIRST_POPUP&amp;HEIGHT=450&amp;WIDTH=450&amp;","START_MAXIMIZED=FALSE&amp;VAR:CALENDAR=US&amp;VAR:SYMBOL=LO&amp;VAR:INDEX=0"}</definedName>
    <definedName name="_1507">#REF!</definedName>
    <definedName name="_1507__FDSAUDITLINK__" localSheetId="0"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7__FDSAUDITLINK__" hidden="1">{"fdsup://directions/FAT Viewer?action=UPDATE&amp;creator=factset&amp;DYN_ARGS=TRUE&amp;DOC_NAME=FAT:FQL_AUDITING_CLIENT_TEMPLATE.FAT&amp;display_string=Audit&amp;VAR:KEY=NIDMBGJOBE&amp;VAR:QUERY=RkZfRElWX1lMRChBTk4sNS8yMy8wMiw1LzIzLzAyKQ==&amp;WINDOW=FIRST_POPUP&amp;HEIGHT=450&amp;WIDTH=450&amp;","START_MAXIMIZED=FALSE&amp;VAR:CALENDAR=US&amp;VAR:SYMBOL=LO&amp;VAR:INDEX=0"}</definedName>
    <definedName name="_1508">#REF!</definedName>
    <definedName name="_1508__FDSAUDITLINK__" localSheetId="0"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8__FDSAUDITLINK__" hidden="1">{"fdsup://directions/FAT Viewer?action=UPDATE&amp;creator=factset&amp;DYN_ARGS=TRUE&amp;DOC_NAME=FAT:FQL_AUDITING_CLIENT_TEMPLATE.FAT&amp;display_string=Audit&amp;VAR:KEY=TSTONSFCDQ&amp;VAR:QUERY=RkZfRElWX1lMRChBTk4sNS8xNi8wMiw1LzE2LzAyKQ==&amp;WINDOW=FIRST_POPUP&amp;HEIGHT=450&amp;WIDTH=450&amp;","START_MAXIMIZED=FALSE&amp;VAR:CALENDAR=US&amp;VAR:SYMBOL=LO&amp;VAR:INDEX=0"}</definedName>
    <definedName name="_1509">#REF!</definedName>
    <definedName name="_1509__FDSAUDITLINK__" localSheetId="0"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09__FDSAUDITLINK__" hidden="1">{"fdsup://directions/FAT Viewer?action=UPDATE&amp;creator=factset&amp;DYN_ARGS=TRUE&amp;DOC_NAME=FAT:FQL_AUDITING_CLIENT_TEMPLATE.FAT&amp;display_string=Audit&amp;VAR:KEY=JEVANQDYXU&amp;VAR:QUERY=RkZfRElWX1lMRChBTk4sNS8wOS8wMiw1LzA5LzAyKQ==&amp;WINDOW=FIRST_POPUP&amp;HEIGHT=450&amp;WIDTH=450&amp;","START_MAXIMIZED=FALSE&amp;VAR:CALENDAR=US&amp;VAR:SYMBOL=LO&amp;VAR:INDEX=0"}</definedName>
    <definedName name="_151">#REF!</definedName>
    <definedName name="_151__123Graph_EWAGES_BY_B_U">#REF!</definedName>
    <definedName name="_151__123Graph_XCONTRACT_BY_B_U">#REF!</definedName>
    <definedName name="_151__FDSAUDITLINK__" localSheetId="0"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_FDSAUDITLINK__" hidden="1">{"fdsup://directions/FAT Viewer?action=UPDATE&amp;creator=factset&amp;DYN_ARGS=TRUE&amp;DOC_NAME=FAT:FQL_AUDITING_CLIENT_TEMPLATE.FAT&amp;display_string=Audit&amp;VAR:KEY=BOPSNWXGVI&amp;VAR:QUERY=RkZfRElWX1lMRChBTk4sNS8xNS8wOCw1LzE1LzA4KQ==&amp;WINDOW=FIRST_POPUP&amp;HEIGHT=450&amp;WIDTH=450&amp;","START_MAXIMIZED=FALSE&amp;VAR:CALENDAR=US&amp;VAR:SYMBOL=RAI&amp;VAR:INDEX=0"}</definedName>
    <definedName name="_151_0_S">#REF!</definedName>
    <definedName name="_1510">#REF!</definedName>
    <definedName name="_1510__FDSAUDITLINK__" localSheetId="0"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0__FDSAUDITLINK__" hidden="1">{"fdsup://directions/FAT Viewer?action=UPDATE&amp;creator=factset&amp;DYN_ARGS=TRUE&amp;DOC_NAME=FAT:FQL_AUDITING_CLIENT_TEMPLATE.FAT&amp;display_string=Audit&amp;VAR:KEY=XCLETWXWNG&amp;VAR:QUERY=RkZfRElWX1lMRChBTk4sNS8wMi8wMiw1LzAyLzAyKQ==&amp;WINDOW=FIRST_POPUP&amp;HEIGHT=450&amp;WIDTH=450&amp;","START_MAXIMIZED=FALSE&amp;VAR:CALENDAR=US&amp;VAR:SYMBOL=LO&amp;VAR:INDEX=0"}</definedName>
    <definedName name="_1511">#REF!</definedName>
    <definedName name="_1511__FDSAUDITLINK__" localSheetId="0"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1__FDSAUDITLINK__" hidden="1">{"fdsup://directions/FAT Viewer?action=UPDATE&amp;creator=factset&amp;DYN_ARGS=TRUE&amp;DOC_NAME=FAT:FQL_AUDITING_CLIENT_TEMPLATE.FAT&amp;display_string=Audit&amp;VAR:KEY=LIHCTWLSLA&amp;VAR:QUERY=RkZfRElWX1lMRChBTk4sNC8yNS8wMiw0LzI1LzAyKQ==&amp;WINDOW=FIRST_POPUP&amp;HEIGHT=450&amp;WIDTH=450&amp;","START_MAXIMIZED=FALSE&amp;VAR:CALENDAR=US&amp;VAR:SYMBOL=LO&amp;VAR:INDEX=0"}</definedName>
    <definedName name="_1512">#REF!</definedName>
    <definedName name="_1512__FDSAUDITLINK__" localSheetId="0"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2__FDSAUDITLINK__" hidden="1">{"fdsup://directions/FAT Viewer?action=UPDATE&amp;creator=factset&amp;DYN_ARGS=TRUE&amp;DOC_NAME=FAT:FQL_AUDITING_CLIENT_TEMPLATE.FAT&amp;display_string=Audit&amp;VAR:KEY=BUBCJSPQNC&amp;VAR:QUERY=RkZfRElWX1lMRChBTk4sNC8xOC8wMiw0LzE4LzAyKQ==&amp;WINDOW=FIRST_POPUP&amp;HEIGHT=450&amp;WIDTH=450&amp;","START_MAXIMIZED=FALSE&amp;VAR:CALENDAR=US&amp;VAR:SYMBOL=LO&amp;VAR:INDEX=0"}</definedName>
    <definedName name="_1513">#REF!</definedName>
    <definedName name="_1513__FDSAUDITLINK__" localSheetId="0"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3__FDSAUDITLINK__" hidden="1">{"fdsup://directions/FAT Viewer?action=UPDATE&amp;creator=factset&amp;DYN_ARGS=TRUE&amp;DOC_NAME=FAT:FQL_AUDITING_CLIENT_TEMPLATE.FAT&amp;display_string=Audit&amp;VAR:KEY=TEBITYPYZO&amp;VAR:QUERY=RkZfRElWX1lMRChBTk4sNC8xMS8wMiw0LzExLzAyKQ==&amp;WINDOW=FIRST_POPUP&amp;HEIGHT=450&amp;WIDTH=450&amp;","START_MAXIMIZED=FALSE&amp;VAR:CALENDAR=US&amp;VAR:SYMBOL=LO&amp;VAR:INDEX=0"}</definedName>
    <definedName name="_1514">#REF!</definedName>
    <definedName name="_1514__FDSAUDITLINK__" localSheetId="0"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4__FDSAUDITLINK__" hidden="1">{"fdsup://directions/FAT Viewer?action=UPDATE&amp;creator=factset&amp;DYN_ARGS=TRUE&amp;DOC_NAME=FAT:FQL_AUDITING_CLIENT_TEMPLATE.FAT&amp;display_string=Audit&amp;VAR:KEY=NUBOJKLSDY&amp;VAR:QUERY=RkZfRElWX1lMRChBTk4sNC8wNC8wMiw0LzA0LzAyKQ==&amp;WINDOW=FIRST_POPUP&amp;HEIGHT=450&amp;WIDTH=450&amp;","START_MAXIMIZED=FALSE&amp;VAR:CALENDAR=US&amp;VAR:SYMBOL=LO&amp;VAR:INDEX=0"}</definedName>
    <definedName name="_1515">#REF!</definedName>
    <definedName name="_1515__FDSAUDITLINK__" localSheetId="0"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5__FDSAUDITLINK__" hidden="1">{"fdsup://directions/FAT Viewer?action=UPDATE&amp;creator=factset&amp;DYN_ARGS=TRUE&amp;DOC_NAME=FAT:FQL_AUDITING_CLIENT_TEMPLATE.FAT&amp;display_string=Audit&amp;VAR:KEY=XUHUFERMPK&amp;VAR:QUERY=RkZfRElWX1lMRChBTk4sMy8yOC8wMiwzLzI4LzAyKQ==&amp;WINDOW=FIRST_POPUP&amp;HEIGHT=450&amp;WIDTH=450&amp;","START_MAXIMIZED=FALSE&amp;VAR:CALENDAR=US&amp;VAR:SYMBOL=LO&amp;VAR:INDEX=0"}</definedName>
    <definedName name="_1516">#REF!</definedName>
    <definedName name="_1516__FDSAUDITLINK__" localSheetId="0"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6__FDSAUDITLINK__" hidden="1">{"fdsup://directions/FAT Viewer?action=UPDATE&amp;creator=factset&amp;DYN_ARGS=TRUE&amp;DOC_NAME=FAT:FQL_AUDITING_CLIENT_TEMPLATE.FAT&amp;display_string=Audit&amp;VAR:KEY=HGFEZCHKZU&amp;VAR:QUERY=RkZfRElWX1lMRChBTk4sMy8yMS8wMiwzLzIxLzAyKQ==&amp;WINDOW=FIRST_POPUP&amp;HEIGHT=450&amp;WIDTH=450&amp;","START_MAXIMIZED=FALSE&amp;VAR:CALENDAR=US&amp;VAR:SYMBOL=LO&amp;VAR:INDEX=0"}</definedName>
    <definedName name="_1517">#REF!</definedName>
    <definedName name="_1517__FDSAUDITLINK__" localSheetId="0"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7__FDSAUDITLINK__" hidden="1">{"fdsup://directions/FAT Viewer?action=UPDATE&amp;creator=factset&amp;DYN_ARGS=TRUE&amp;DOC_NAME=FAT:FQL_AUDITING_CLIENT_TEMPLATE.FAT&amp;display_string=Audit&amp;VAR:KEY=TOJOJEHOJC&amp;VAR:QUERY=RkZfRElWX1lMRChBTk4sMy8xNC8wMiwzLzE0LzAyKQ==&amp;WINDOW=FIRST_POPUP&amp;HEIGHT=450&amp;WIDTH=450&amp;","START_MAXIMIZED=FALSE&amp;VAR:CALENDAR=US&amp;VAR:SYMBOL=LO&amp;VAR:INDEX=0"}</definedName>
    <definedName name="_1518">#REF!</definedName>
    <definedName name="_1518__FDSAUDITLINK__" localSheetId="0"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8__FDSAUDITLINK__" hidden="1">{"fdsup://directions/FAT Viewer?action=UPDATE&amp;creator=factset&amp;DYN_ARGS=TRUE&amp;DOC_NAME=FAT:FQL_AUDITING_CLIENT_TEMPLATE.FAT&amp;display_string=Audit&amp;VAR:KEY=BCHMZUVWPI&amp;VAR:QUERY=RkZfRElWX1lMRChBTk4sMy8wNy8wMiwzLzA3LzAyKQ==&amp;WINDOW=FIRST_POPUP&amp;HEIGHT=450&amp;WIDTH=450&amp;","START_MAXIMIZED=FALSE&amp;VAR:CALENDAR=US&amp;VAR:SYMBOL=LO&amp;VAR:INDEX=0"}</definedName>
    <definedName name="_1519">#REF!</definedName>
    <definedName name="_1519__FDSAUDITLINK__" localSheetId="0"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19__FDSAUDITLINK__" hidden="1">{"fdsup://directions/FAT Viewer?action=UPDATE&amp;creator=factset&amp;DYN_ARGS=TRUE&amp;DOC_NAME=FAT:FQL_AUDITING_CLIENT_TEMPLATE.FAT&amp;display_string=Audit&amp;VAR:KEY=JYRYLCJAZS&amp;VAR:QUERY=RkZfRElWX1lMRChBTk4sMi8yOC8wMiwyLzI4LzAyKQ==&amp;WINDOW=FIRST_POPUP&amp;HEIGHT=450&amp;WIDTH=450&amp;","START_MAXIMIZED=FALSE&amp;VAR:CALENDAR=US&amp;VAR:SYMBOL=LO&amp;VAR:INDEX=0"}</definedName>
    <definedName name="_152">#REF!</definedName>
    <definedName name="_152__FDSAUDITLINK__" localSheetId="0"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__FDSAUDITLINK__" hidden="1">{"fdsup://directions/FAT Viewer?action=UPDATE&amp;creator=factset&amp;DYN_ARGS=TRUE&amp;DOC_NAME=FAT:FQL_AUDITING_CLIENT_TEMPLATE.FAT&amp;display_string=Audit&amp;VAR:KEY=RCPCROPMNC&amp;VAR:QUERY=RkZfRElWX1lMRChBTk4sNS8wOC8wOCw1LzA4LzA4KQ==&amp;WINDOW=FIRST_POPUP&amp;HEIGHT=450&amp;WIDTH=450&amp;","START_MAXIMIZED=FALSE&amp;VAR:CALENDAR=US&amp;VAR:SYMBOL=RAI&amp;VAR:INDEX=0"}</definedName>
    <definedName name="_1520">#REF!</definedName>
    <definedName name="_1520__FDSAUDITLINK__" localSheetId="0"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0__FDSAUDITLINK__" hidden="1">{"fdsup://directions/FAT Viewer?action=UPDATE&amp;creator=factset&amp;DYN_ARGS=TRUE&amp;DOC_NAME=FAT:FQL_AUDITING_CLIENT_TEMPLATE.FAT&amp;display_string=Audit&amp;VAR:KEY=FAXKTWBEFU&amp;VAR:QUERY=RkZfRElWX1lMRChBTk4sMi8yMS8wMiwyLzIxLzAyKQ==&amp;WINDOW=FIRST_POPUP&amp;HEIGHT=450&amp;WIDTH=450&amp;","START_MAXIMIZED=FALSE&amp;VAR:CALENDAR=US&amp;VAR:SYMBOL=LO&amp;VAR:INDEX=0"}</definedName>
    <definedName name="_1521">#REF!</definedName>
    <definedName name="_1521__FDSAUDITLINK__" localSheetId="0"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1__FDSAUDITLINK__" hidden="1">{"fdsup://directions/FAT Viewer?action=UPDATE&amp;creator=factset&amp;DYN_ARGS=TRUE&amp;DOC_NAME=FAT:FQL_AUDITING_CLIENT_TEMPLATE.FAT&amp;display_string=Audit&amp;VAR:KEY=FANUXULOTS&amp;VAR:QUERY=RkZfRElWX1lMRChBTk4sMi8xNC8wMiwyLzE0LzAyKQ==&amp;WINDOW=FIRST_POPUP&amp;HEIGHT=450&amp;WIDTH=450&amp;","START_MAXIMIZED=FALSE&amp;VAR:CALENDAR=US&amp;VAR:SYMBOL=LO&amp;VAR:INDEX=0"}</definedName>
    <definedName name="_1522">#REF!</definedName>
    <definedName name="_1522__FDSAUDITLINK__" localSheetId="0"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2__FDSAUDITLINK__" hidden="1">{"fdsup://directions/FAT Viewer?action=UPDATE&amp;creator=factset&amp;DYN_ARGS=TRUE&amp;DOC_NAME=FAT:FQL_AUDITING_CLIENT_TEMPLATE.FAT&amp;display_string=Audit&amp;VAR:KEY=ZEFSVKNWJY&amp;VAR:QUERY=RkZfRElWX1lMRChBTk4sMi8wNy8wMiwyLzA3LzAyKQ==&amp;WINDOW=FIRST_POPUP&amp;HEIGHT=450&amp;WIDTH=450&amp;","START_MAXIMIZED=FALSE&amp;VAR:CALENDAR=US&amp;VAR:SYMBOL=LO&amp;VAR:INDEX=0"}</definedName>
    <definedName name="_1523">#REF!</definedName>
    <definedName name="_1523__FDSAUDITLINK__" localSheetId="0"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3__FDSAUDITLINK__" hidden="1">{"fdsup://directions/FAT Viewer?action=UPDATE&amp;creator=factset&amp;DYN_ARGS=TRUE&amp;DOC_NAME=FAT:FQL_AUDITING_CLIENT_TEMPLATE.FAT&amp;display_string=Audit&amp;VAR:KEY=PGFEDYBEJY&amp;VAR:QUERY=RkZfRElWX1lMRChBTk4sMS8zMS8wMiwxLzMxLzAyKQ==&amp;WINDOW=FIRST_POPUP&amp;HEIGHT=450&amp;WIDTH=450&amp;","START_MAXIMIZED=FALSE&amp;VAR:CALENDAR=US&amp;VAR:SYMBOL=LO&amp;VAR:INDEX=0"}</definedName>
    <definedName name="_1524__FDSAUDITLINK__" localSheetId="0"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4__FDSAUDITLINK__" hidden="1">{"fdsup://directions/FAT Viewer?action=UPDATE&amp;creator=factset&amp;DYN_ARGS=TRUE&amp;DOC_NAME=FAT:FQL_AUDITING_CLIENT_TEMPLATE.FAT&amp;display_string=Audit&amp;VAR:KEY=BIDCTARAVI&amp;VAR:QUERY=RkZfRElWX1lMRChBTk4sMS8yNC8wMiwxLzI0LzAyKQ==&amp;WINDOW=FIRST_POPUP&amp;HEIGHT=450&amp;WIDTH=450&amp;","START_MAXIMIZED=FALSE&amp;VAR:CALENDAR=US&amp;VAR:SYMBOL=LO&amp;VAR:INDEX=0"}</definedName>
    <definedName name="_1525__FDSAUDITLINK__" localSheetId="0"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5__FDSAUDITLINK__" hidden="1">{"fdsup://directions/FAT Viewer?action=UPDATE&amp;creator=factset&amp;DYN_ARGS=TRUE&amp;DOC_NAME=FAT:FQL_AUDITING_CLIENT_TEMPLATE.FAT&amp;display_string=Audit&amp;VAR:KEY=JEJAFGVWXQ&amp;VAR:QUERY=RkZfRElWX1lMRChBTk4sMS8xNy8wMiwxLzE3LzAyKQ==&amp;WINDOW=FIRST_POPUP&amp;HEIGHT=450&amp;WIDTH=450&amp;","START_MAXIMIZED=FALSE&amp;VAR:CALENDAR=US&amp;VAR:SYMBOL=LO&amp;VAR:INDEX=0"}</definedName>
    <definedName name="_1526">#REF!</definedName>
    <definedName name="_1526__FDSAUDITLINK__" localSheetId="0"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6__FDSAUDITLINK__" hidden="1">{"fdsup://directions/FAT Viewer?action=UPDATE&amp;creator=factset&amp;DYN_ARGS=TRUE&amp;DOC_NAME=FAT:FQL_AUDITING_CLIENT_TEMPLATE.FAT&amp;display_string=Audit&amp;VAR:KEY=XADSNCFALA&amp;VAR:QUERY=RkZfRElWX1lMRChBTk4sMS8xMC8wMiwxLzEwLzAyKQ==&amp;WINDOW=FIRST_POPUP&amp;HEIGHT=450&amp;WIDTH=450&amp;","START_MAXIMIZED=FALSE&amp;VAR:CALENDAR=US&amp;VAR:SYMBOL=LO&amp;VAR:INDEX=0"}</definedName>
    <definedName name="_1527__FDSAUDITLINK__" localSheetId="0"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7__FDSAUDITLINK__" hidden="1">{"fdsup://directions/FAT Viewer?action=UPDATE&amp;creator=factset&amp;DYN_ARGS=TRUE&amp;DOC_NAME=FAT:FQL_AUDITING_CLIENT_TEMPLATE.FAT&amp;display_string=Audit&amp;VAR:KEY=RIJEVGRQRW&amp;VAR:QUERY=RkZfRElWX1lMRChBTk4sMS8wMy8wMiwxLzAzLzAyKQ==&amp;WINDOW=FIRST_POPUP&amp;HEIGHT=450&amp;WIDTH=450&amp;","START_MAXIMIZED=FALSE&amp;VAR:CALENDAR=US&amp;VAR:SYMBOL=LO&amp;VAR:INDEX=0"}</definedName>
    <definedName name="_1528__FDSAUDITLINK__" localSheetId="0"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8__FDSAUDITLINK__" hidden="1">{"fdsup://directions/FAT Viewer?action=UPDATE&amp;creator=factset&amp;DYN_ARGS=TRUE&amp;DOC_NAME=FAT:FQL_AUDITING_CLIENT_TEMPLATE.FAT&amp;display_string=Audit&amp;VAR:KEY=LGNSRAFSPC&amp;VAR:QUERY=RkZfRElWX1lMRChBTk4sMTIvMjcvMDEsMTIvMjcvMDEp&amp;WINDOW=FIRST_POPUP&amp;HEIGHT=450&amp;WIDTH=450&amp;","START_MAXIMIZED=FALSE&amp;VAR:CALENDAR=US&amp;VAR:SYMBOL=LO&amp;VAR:INDEX=0"}</definedName>
    <definedName name="_1529__FDSAUDITLINK__" localSheetId="0"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29__FDSAUDITLINK__" hidden="1">{"fdsup://directions/FAT Viewer?action=UPDATE&amp;creator=factset&amp;DYN_ARGS=TRUE&amp;DOC_NAME=FAT:FQL_AUDITING_CLIENT_TEMPLATE.FAT&amp;display_string=Audit&amp;VAR:KEY=JARKRARABA&amp;VAR:QUERY=RkZfRElWX1lMRChBTk4sMTIvMjAvMDEsMTIvMjAvMDEp&amp;WINDOW=FIRST_POPUP&amp;HEIGHT=450&amp;WIDTH=450&amp;","START_MAXIMIZED=FALSE&amp;VAR:CALENDAR=US&amp;VAR:SYMBOL=LO&amp;VAR:INDEX=0"}</definedName>
    <definedName name="_153">#REF!</definedName>
    <definedName name="_153__FDSAUDITLINK__" localSheetId="0"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__FDSAUDITLINK__" hidden="1">{"fdsup://directions/FAT Viewer?action=UPDATE&amp;creator=factset&amp;DYN_ARGS=TRUE&amp;DOC_NAME=FAT:FQL_AUDITING_CLIENT_TEMPLATE.FAT&amp;display_string=Audit&amp;VAR:KEY=PQDELQROXY&amp;VAR:QUERY=RkZfRElWX1lMRChBTk4sNS8wMS8wOCw1LzAxLzA4KQ==&amp;WINDOW=FIRST_POPUP&amp;HEIGHT=450&amp;WIDTH=450&amp;","START_MAXIMIZED=FALSE&amp;VAR:CALENDAR=US&amp;VAR:SYMBOL=RAI&amp;VAR:INDEX=0"}</definedName>
    <definedName name="_1530__FDSAUDITLINK__" localSheetId="0"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0__FDSAUDITLINK__" hidden="1">{"fdsup://directions/FAT Viewer?action=UPDATE&amp;creator=factset&amp;DYN_ARGS=TRUE&amp;DOC_NAME=FAT:FQL_AUDITING_CLIENT_TEMPLATE.FAT&amp;display_string=Audit&amp;VAR:KEY=ZEBWPUFSLS&amp;VAR:QUERY=RkZfRElWX1lMRChBTk4sMTIvMTMvMDEsMTIvMTMvMDEp&amp;WINDOW=FIRST_POPUP&amp;HEIGHT=450&amp;WIDTH=450&amp;","START_MAXIMIZED=FALSE&amp;VAR:CALENDAR=US&amp;VAR:SYMBOL=LO&amp;VAR:INDEX=0"}</definedName>
    <definedName name="_1531">#REF!</definedName>
    <definedName name="_1531__FDSAUDITLINK__" localSheetId="0"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1__FDSAUDITLINK__" hidden="1">{"fdsup://directions/FAT Viewer?action=UPDATE&amp;creator=factset&amp;DYN_ARGS=TRUE&amp;DOC_NAME=FAT:FQL_AUDITING_CLIENT_TEMPLATE.FAT&amp;display_string=Audit&amp;VAR:KEY=FCLMJQNKTI&amp;VAR:QUERY=RkZfRElWX1lMRChBTk4sMTIvMDYvMDEsMTIvMDYvMDEp&amp;WINDOW=FIRST_POPUP&amp;HEIGHT=450&amp;WIDTH=450&amp;","START_MAXIMIZED=FALSE&amp;VAR:CALENDAR=US&amp;VAR:SYMBOL=LO&amp;VAR:INDEX=0"}</definedName>
    <definedName name="_1532__FDSAUDITLINK__" localSheetId="0"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2__FDSAUDITLINK__" hidden="1">{"fdsup://directions/FAT Viewer?action=UPDATE&amp;creator=factset&amp;DYN_ARGS=TRUE&amp;DOC_NAME=FAT:FQL_AUDITING_CLIENT_TEMPLATE.FAT&amp;display_string=Audit&amp;VAR:KEY=FANAFKPARG&amp;VAR:QUERY=RkZfRElWX1lMRChBTk4sMTEvMjkvMDEsMTEvMjkvMDEp&amp;WINDOW=FIRST_POPUP&amp;HEIGHT=450&amp;WIDTH=450&amp;","START_MAXIMIZED=FALSE&amp;VAR:CALENDAR=US&amp;VAR:SYMBOL=LO&amp;VAR:INDEX=0"}</definedName>
    <definedName name="_1533__FDSAUDITLINK__" localSheetId="0"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3__FDSAUDITLINK__" hidden="1">{"fdsup://directions/FAT Viewer?action=UPDATE&amp;creator=factset&amp;DYN_ARGS=TRUE&amp;DOC_NAME=FAT:FQL_AUDITING_CLIENT_TEMPLATE.FAT&amp;display_string=Audit&amp;VAR:KEY=HWHYJEPYRE&amp;VAR:QUERY=RkZfRElWX1lMRChBTk4sMTEvMjEvMDEsMTEvMjEvMDEp&amp;WINDOW=FIRST_POPUP&amp;HEIGHT=450&amp;WIDTH=450&amp;","START_MAXIMIZED=FALSE&amp;VAR:CALENDAR=US&amp;VAR:SYMBOL=LO&amp;VAR:INDEX=0"}</definedName>
    <definedName name="_1534__FDSAUDITLINK__" localSheetId="0"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4__FDSAUDITLINK__" hidden="1">{"fdsup://directions/FAT Viewer?action=UPDATE&amp;creator=factset&amp;DYN_ARGS=TRUE&amp;DOC_NAME=FAT:FQL_AUDITING_CLIENT_TEMPLATE.FAT&amp;display_string=Audit&amp;VAR:KEY=NGFWLIJQFW&amp;VAR:QUERY=RkZfRElWX1lMRChBTk4sMTEvMTUvMDEsMTEvMTUvMDEp&amp;WINDOW=FIRST_POPUP&amp;HEIGHT=450&amp;WIDTH=450&amp;","START_MAXIMIZED=FALSE&amp;VAR:CALENDAR=US&amp;VAR:SYMBOL=LO&amp;VAR:INDEX=0"}</definedName>
    <definedName name="_1535__FDSAUDITLINK__" localSheetId="0"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5__FDSAUDITLINK__" hidden="1">{"fdsup://directions/FAT Viewer?action=UPDATE&amp;creator=factset&amp;DYN_ARGS=TRUE&amp;DOC_NAME=FAT:FQL_AUDITING_CLIENT_TEMPLATE.FAT&amp;display_string=Audit&amp;VAR:KEY=BMRSVEBOLG&amp;VAR:QUERY=RkZfRElWX1lMRChBTk4sMTEvMDgvMDEsMTEvMDgvMDEp&amp;WINDOW=FIRST_POPUP&amp;HEIGHT=450&amp;WIDTH=450&amp;","START_MAXIMIZED=FALSE&amp;VAR:CALENDAR=US&amp;VAR:SYMBOL=LO&amp;VAR:INDEX=0"}</definedName>
    <definedName name="_1536">#REF!</definedName>
    <definedName name="_1536__FDSAUDITLINK__" localSheetId="0"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6__FDSAUDITLINK__" hidden="1">{"fdsup://directions/FAT Viewer?action=UPDATE&amp;creator=factset&amp;DYN_ARGS=TRUE&amp;DOC_NAME=FAT:FQL_AUDITING_CLIENT_TEMPLATE.FAT&amp;display_string=Audit&amp;VAR:KEY=DYXOFMPWJM&amp;VAR:QUERY=RkZfRElWX1lMRChBTk4sMTEvMDEvMDEsMTEvMDEvMDEp&amp;WINDOW=FIRST_POPUP&amp;HEIGHT=450&amp;WIDTH=450&amp;","START_MAXIMIZED=FALSE&amp;VAR:CALENDAR=US&amp;VAR:SYMBOL=LO&amp;VAR:INDEX=0"}</definedName>
    <definedName name="_1537__FDSAUDITLINK__" localSheetId="0"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7__FDSAUDITLINK__" hidden="1">{"fdsup://directions/FAT Viewer?action=UPDATE&amp;creator=factset&amp;DYN_ARGS=TRUE&amp;DOC_NAME=FAT:FQL_AUDITING_CLIENT_TEMPLATE.FAT&amp;display_string=Audit&amp;VAR:KEY=TYDALUNCXM&amp;VAR:QUERY=RkZfRElWX1lMRChBTk4sMTAvMjUvMDEsMTAvMjUvMDEp&amp;WINDOW=FIRST_POPUP&amp;HEIGHT=450&amp;WIDTH=450&amp;","START_MAXIMIZED=FALSE&amp;VAR:CALENDAR=US&amp;VAR:SYMBOL=LO&amp;VAR:INDEX=0"}</definedName>
    <definedName name="_1538__FDSAUDITLINK__" localSheetId="0"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8__FDSAUDITLINK__" hidden="1">{"fdsup://directions/FAT Viewer?action=UPDATE&amp;creator=factset&amp;DYN_ARGS=TRUE&amp;DOC_NAME=FAT:FQL_AUDITING_CLIENT_TEMPLATE.FAT&amp;display_string=Audit&amp;VAR:KEY=FUJURWFWBI&amp;VAR:QUERY=RkZfRElWX1lMRChBTk4sMTAvMTgvMDEsMTAvMTgvMDEp&amp;WINDOW=FIRST_POPUP&amp;HEIGHT=450&amp;WIDTH=450&amp;","START_MAXIMIZED=FALSE&amp;VAR:CALENDAR=US&amp;VAR:SYMBOL=LO&amp;VAR:INDEX=0"}</definedName>
    <definedName name="_1539__FDSAUDITLINK__" localSheetId="0"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39__FDSAUDITLINK__" hidden="1">{"fdsup://directions/FAT Viewer?action=UPDATE&amp;creator=factset&amp;DYN_ARGS=TRUE&amp;DOC_NAME=FAT:FQL_AUDITING_CLIENT_TEMPLATE.FAT&amp;display_string=Audit&amp;VAR:KEY=LQNKTIZCHW&amp;VAR:QUERY=RkZfRElWX1lMRChBTk4sMTAvMTEvMDEsMTAvMTEvMDEp&amp;WINDOW=FIRST_POPUP&amp;HEIGHT=450&amp;WIDTH=450&amp;","START_MAXIMIZED=FALSE&amp;VAR:CALENDAR=US&amp;VAR:SYMBOL=LO&amp;VAR:INDEX=0"}</definedName>
    <definedName name="_154__FDSAUDITLINK__" localSheetId="0"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__FDSAUDITLINK__" hidden="1">{"fdsup://directions/FAT Viewer?action=UPDATE&amp;creator=factset&amp;DYN_ARGS=TRUE&amp;DOC_NAME=FAT:FQL_AUDITING_CLIENT_TEMPLATE.FAT&amp;display_string=Audit&amp;VAR:KEY=PIXCVKREDK&amp;VAR:QUERY=RkZfRElWX1lMRChBTk4sNC8yNC8wOCw0LzI0LzA4KQ==&amp;WINDOW=FIRST_POPUP&amp;HEIGHT=450&amp;WIDTH=450&amp;","START_MAXIMIZED=FALSE&amp;VAR:CALENDAR=US&amp;VAR:SYMBOL=RAI&amp;VAR:INDEX=0"}</definedName>
    <definedName name="_1540__FDSAUDITLINK__" localSheetId="0"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0__FDSAUDITLINK__" hidden="1">{"fdsup://directions/FAT Viewer?action=UPDATE&amp;creator=factset&amp;DYN_ARGS=TRUE&amp;DOC_NAME=FAT:FQL_AUDITING_CLIENT_TEMPLATE.FAT&amp;display_string=Audit&amp;VAR:KEY=JYDAHMRYNO&amp;VAR:QUERY=RkZfRElWX1lMRChBTk4sMTAvMDQvMDEsMTAvMDQvMDEp&amp;WINDOW=FIRST_POPUP&amp;HEIGHT=450&amp;WIDTH=450&amp;","START_MAXIMIZED=FALSE&amp;VAR:CALENDAR=US&amp;VAR:SYMBOL=LO&amp;VAR:INDEX=0"}</definedName>
    <definedName name="_1541__FDSAUDITLINK__" localSheetId="0"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1__FDSAUDITLINK__" hidden="1">{"fdsup://directions/FAT Viewer?action=UPDATE&amp;creator=factset&amp;DYN_ARGS=TRUE&amp;DOC_NAME=FAT:FQL_AUDITING_CLIENT_TEMPLATE.FAT&amp;display_string=Audit&amp;VAR:KEY=NYLCFSVCZK&amp;VAR:QUERY=RkZfRElWX1lMRChBTk4sOS8yNy8wMSw5LzI3LzAxKQ==&amp;WINDOW=FIRST_POPUP&amp;HEIGHT=450&amp;WIDTH=450&amp;","START_MAXIMIZED=FALSE&amp;VAR:CALENDAR=US&amp;VAR:SYMBOL=LO&amp;VAR:INDEX=0"}</definedName>
    <definedName name="_1542__FDSAUDITLINK__" localSheetId="0"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2__FDSAUDITLINK__" hidden="1">{"fdsup://directions/FAT Viewer?action=UPDATE&amp;creator=factset&amp;DYN_ARGS=TRUE&amp;DOC_NAME=FAT:FQL_AUDITING_CLIENT_TEMPLATE.FAT&amp;display_string=Audit&amp;VAR:KEY=TCXWRWXORC&amp;VAR:QUERY=RkZfRElWX1lMRChBTk4sOS8yMC8wMSw5LzIwLzAxKQ==&amp;WINDOW=FIRST_POPUP&amp;HEIGHT=450&amp;WIDTH=450&amp;","START_MAXIMIZED=FALSE&amp;VAR:CALENDAR=US&amp;VAR:SYMBOL=LO&amp;VAR:INDEX=0"}</definedName>
    <definedName name="_1543__FDSAUDITLINK__" localSheetId="0"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3__FDSAUDITLINK__" hidden="1">{"fdsup://directions/FAT Viewer?action=UPDATE&amp;creator=factset&amp;DYN_ARGS=TRUE&amp;DOC_NAME=FAT:FQL_AUDITING_CLIENT_TEMPLATE.FAT&amp;display_string=Audit&amp;VAR:KEY=JUJAZAHYTG&amp;VAR:QUERY=RkZfRElWX1lMRChBTk4sOS8xMC8wMSw5LzEwLzAxKQ==&amp;WINDOW=FIRST_POPUP&amp;HEIGHT=450&amp;WIDTH=450&amp;","START_MAXIMIZED=FALSE&amp;VAR:CALENDAR=US&amp;VAR:SYMBOL=LO&amp;VAR:INDEX=0"}</definedName>
    <definedName name="_1544">#REF!</definedName>
    <definedName name="_1544__FDSAUDITLINK__" localSheetId="0"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4__FDSAUDITLINK__" hidden="1">{"fdsup://directions/FAT Viewer?action=UPDATE&amp;creator=factset&amp;DYN_ARGS=TRUE&amp;DOC_NAME=FAT:FQL_AUDITING_CLIENT_TEMPLATE.FAT&amp;display_string=Audit&amp;VAR:KEY=VIBCNUFYVK&amp;VAR:QUERY=RkZfRElWX1lMRChBTk4sOS8wNi8wMSw5LzA2LzAxKQ==&amp;WINDOW=FIRST_POPUP&amp;HEIGHT=450&amp;WIDTH=450&amp;","START_MAXIMIZED=FALSE&amp;VAR:CALENDAR=US&amp;VAR:SYMBOL=LO&amp;VAR:INDEX=0"}</definedName>
    <definedName name="_1545__FDSAUDITLINK__" localSheetId="0"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5__FDSAUDITLINK__" hidden="1">{"fdsup://directions/FAT Viewer?action=UPDATE&amp;creator=factset&amp;DYN_ARGS=TRUE&amp;DOC_NAME=FAT:FQL_AUDITING_CLIENT_TEMPLATE.FAT&amp;display_string=Audit&amp;VAR:KEY=LMZGLWZSLG&amp;VAR:QUERY=RkZfRElWX1lMRChBTk4sOC8zMC8wMSw4LzMwLzAxKQ==&amp;WINDOW=FIRST_POPUP&amp;HEIGHT=450&amp;WIDTH=450&amp;","START_MAXIMIZED=FALSE&amp;VAR:CALENDAR=US&amp;VAR:SYMBOL=LO&amp;VAR:INDEX=0"}</definedName>
    <definedName name="_1546__FDSAUDITLINK__" localSheetId="0"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6__FDSAUDITLINK__" hidden="1">{"fdsup://directions/FAT Viewer?action=UPDATE&amp;creator=factset&amp;DYN_ARGS=TRUE&amp;DOC_NAME=FAT:FQL_AUDITING_CLIENT_TEMPLATE.FAT&amp;display_string=Audit&amp;VAR:KEY=HYZOLSVUJQ&amp;VAR:QUERY=RkZfRElWX1lMRChBTk4sOC8yMy8wMSw4LzIzLzAxKQ==&amp;WINDOW=FIRST_POPUP&amp;HEIGHT=450&amp;WIDTH=450&amp;","START_MAXIMIZED=FALSE&amp;VAR:CALENDAR=US&amp;VAR:SYMBOL=LO&amp;VAR:INDEX=0"}</definedName>
    <definedName name="_1547__FDSAUDITLINK__" localSheetId="0"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7__FDSAUDITLINK__" hidden="1">{"fdsup://directions/FAT Viewer?action=UPDATE&amp;creator=factset&amp;DYN_ARGS=TRUE&amp;DOC_NAME=FAT:FQL_AUDITING_CLIENT_TEMPLATE.FAT&amp;display_string=Audit&amp;VAR:KEY=NKLKFAFCFC&amp;VAR:QUERY=RkZfRElWX1lMRChBTk4sOC8xNi8wMSw4LzE2LzAxKQ==&amp;WINDOW=FIRST_POPUP&amp;HEIGHT=450&amp;WIDTH=450&amp;","START_MAXIMIZED=FALSE&amp;VAR:CALENDAR=US&amp;VAR:SYMBOL=LO&amp;VAR:INDEX=0"}</definedName>
    <definedName name="_1548">#REF!</definedName>
    <definedName name="_1548__FDSAUDITLINK__" localSheetId="0"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8__FDSAUDITLINK__" hidden="1">{"fdsup://directions/FAT Viewer?action=UPDATE&amp;creator=factset&amp;DYN_ARGS=TRUE&amp;DOC_NAME=FAT:FQL_AUDITING_CLIENT_TEMPLATE.FAT&amp;display_string=Audit&amp;VAR:KEY=TKVERKLGVG&amp;VAR:QUERY=RkZfRElWX1lMRChBTk4sOC8wOS8wMSw4LzA5LzAxKQ==&amp;WINDOW=FIRST_POPUP&amp;HEIGHT=450&amp;WIDTH=450&amp;","START_MAXIMIZED=FALSE&amp;VAR:CALENDAR=US&amp;VAR:SYMBOL=LO&amp;VAR:INDEX=0"}</definedName>
    <definedName name="_1549">#REF!</definedName>
    <definedName name="_1549__FDSAUDITLINK__" localSheetId="0"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49__FDSAUDITLINK__" hidden="1">{"fdsup://directions/FAT Viewer?action=UPDATE&amp;creator=factset&amp;DYN_ARGS=TRUE&amp;DOC_NAME=FAT:FQL_AUDITING_CLIENT_TEMPLATE.FAT&amp;display_string=Audit&amp;VAR:KEY=HEXYBGHYPU&amp;VAR:QUERY=RkZfRElWX1lMRChBTk4sOC8wMi8wMSw4LzAyLzAxKQ==&amp;WINDOW=FIRST_POPUP&amp;HEIGHT=450&amp;WIDTH=450&amp;","START_MAXIMIZED=FALSE&amp;VAR:CALENDAR=US&amp;VAR:SYMBOL=LO&amp;VAR:INDEX=0"}</definedName>
    <definedName name="_155__FDSAUDITLINK__" localSheetId="0"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__FDSAUDITLINK__" hidden="1">{"fdsup://directions/FAT Viewer?action=UPDATE&amp;creator=factset&amp;DYN_ARGS=TRUE&amp;DOC_NAME=FAT:FQL_AUDITING_CLIENT_TEMPLATE.FAT&amp;display_string=Audit&amp;VAR:KEY=NCHQZCVIFA&amp;VAR:QUERY=RkZfRElWX1lMRChBTk4sNC8xNy8wOCw0LzE3LzA4KQ==&amp;WINDOW=FIRST_POPUP&amp;HEIGHT=450&amp;WIDTH=450&amp;","START_MAXIMIZED=FALSE&amp;VAR:CALENDAR=US&amp;VAR:SYMBOL=RAI&amp;VAR:INDEX=0"}</definedName>
    <definedName name="_1550">#REF!</definedName>
    <definedName name="_1550__FDSAUDITLINK__" localSheetId="0"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0__FDSAUDITLINK__" hidden="1">{"fdsup://directions/FAT Viewer?action=UPDATE&amp;creator=factset&amp;DYN_ARGS=TRUE&amp;DOC_NAME=FAT:FQL_AUDITING_CLIENT_TEMPLATE.FAT&amp;display_string=Audit&amp;VAR:KEY=BKVCRIJKRO&amp;VAR:QUERY=RkZfRElWX1lMRChBTk4sNy8yNi8wMSw3LzI2LzAxKQ==&amp;WINDOW=FIRST_POPUP&amp;HEIGHT=450&amp;WIDTH=450&amp;","START_MAXIMIZED=FALSE&amp;VAR:CALENDAR=US&amp;VAR:SYMBOL=LO&amp;VAR:INDEX=0"}</definedName>
    <definedName name="_1551">#REF!</definedName>
    <definedName name="_1551__FDSAUDITLINK__" localSheetId="0"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1__FDSAUDITLINK__" hidden="1">{"fdsup://directions/FAT Viewer?action=UPDATE&amp;creator=factset&amp;DYN_ARGS=TRUE&amp;DOC_NAME=FAT:FQL_AUDITING_CLIENT_TEMPLATE.FAT&amp;display_string=Audit&amp;VAR:KEY=FILKXGHSTK&amp;VAR:QUERY=RkZfRElWX1lMRChBTk4sNy8xOS8wMSw3LzE5LzAxKQ==&amp;WINDOW=FIRST_POPUP&amp;HEIGHT=450&amp;WIDTH=450&amp;","START_MAXIMIZED=FALSE&amp;VAR:CALENDAR=US&amp;VAR:SYMBOL=LO&amp;VAR:INDEX=0"}</definedName>
    <definedName name="_1552">#REF!</definedName>
    <definedName name="_1552__FDSAUDITLINK__" localSheetId="0"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2__FDSAUDITLINK__" hidden="1">{"fdsup://directions/FAT Viewer?action=UPDATE&amp;creator=factset&amp;DYN_ARGS=TRUE&amp;DOC_NAME=FAT:FQL_AUDITING_CLIENT_TEMPLATE.FAT&amp;display_string=Audit&amp;VAR:KEY=LYFABOHAJI&amp;VAR:QUERY=RkZfRElWX1lMRChBTk4sNy8xMi8wMSw3LzEyLzAxKQ==&amp;WINDOW=FIRST_POPUP&amp;HEIGHT=450&amp;WIDTH=450&amp;","START_MAXIMIZED=FALSE&amp;VAR:CALENDAR=US&amp;VAR:SYMBOL=LO&amp;VAR:INDEX=0"}</definedName>
    <definedName name="_1553">#REF!</definedName>
    <definedName name="_1553__FDSAUDITLINK__" localSheetId="0"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3__FDSAUDITLINK__" hidden="1">{"fdsup://directions/FAT Viewer?action=UPDATE&amp;creator=factset&amp;DYN_ARGS=TRUE&amp;DOC_NAME=FAT:FQL_AUDITING_CLIENT_TEMPLATE.FAT&amp;display_string=Audit&amp;VAR:KEY=PCXUHELYTU&amp;VAR:QUERY=RkZfRElWX1lMRChBTk4sNy8wNS8wMSw3LzA1LzAxKQ==&amp;WINDOW=FIRST_POPUP&amp;HEIGHT=450&amp;WIDTH=450&amp;","START_MAXIMIZED=FALSE&amp;VAR:CALENDAR=US&amp;VAR:SYMBOL=LO&amp;VAR:INDEX=0"}</definedName>
    <definedName name="_1554">#REF!</definedName>
    <definedName name="_1554__FDSAUDITLINK__" localSheetId="0"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4__FDSAUDITLINK__" hidden="1">{"fdsup://directions/FAT Viewer?action=UPDATE&amp;creator=factset&amp;DYN_ARGS=TRUE&amp;DOC_NAME=FAT:FQL_AUDITING_CLIENT_TEMPLATE.FAT&amp;display_string=Audit&amp;VAR:KEY=RCTEVOHIFY&amp;VAR:QUERY=RkZfRElWX1lMRChBTk4sNi8yOC8wMSw2LzI4LzAxKQ==&amp;WINDOW=FIRST_POPUP&amp;HEIGHT=450&amp;WIDTH=450&amp;","START_MAXIMIZED=FALSE&amp;VAR:CALENDAR=US&amp;VAR:SYMBOL=LO&amp;VAR:INDEX=0"}</definedName>
    <definedName name="_1555">#REF!</definedName>
    <definedName name="_1555__FDSAUDITLINK__" localSheetId="0"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5__FDSAUDITLINK__" hidden="1">{"fdsup://directions/FAT Viewer?action=UPDATE&amp;creator=factset&amp;DYN_ARGS=TRUE&amp;DOC_NAME=FAT:FQL_AUDITING_CLIENT_TEMPLATE.FAT&amp;display_string=Audit&amp;VAR:KEY=LEDMPMTAVA&amp;VAR:QUERY=RkZfRElWX1lMRChBTk4sNi8yMS8wMSw2LzIxLzAxKQ==&amp;WINDOW=FIRST_POPUP&amp;HEIGHT=450&amp;WIDTH=450&amp;","START_MAXIMIZED=FALSE&amp;VAR:CALENDAR=US&amp;VAR:SYMBOL=LO&amp;VAR:INDEX=0"}</definedName>
    <definedName name="_1556">#REF!</definedName>
    <definedName name="_1556__FDSAUDITLINK__" localSheetId="0"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6__FDSAUDITLINK__" hidden="1">{"fdsup://directions/FAT Viewer?action=UPDATE&amp;creator=factset&amp;DYN_ARGS=TRUE&amp;DOC_NAME=FAT:FQL_AUDITING_CLIENT_TEMPLATE.FAT&amp;display_string=Audit&amp;VAR:KEY=TSRQHUXKXA&amp;VAR:QUERY=RkZfRElWX1lMRChBTk4sNi8xNC8wMSw2LzE0LzAxKQ==&amp;WINDOW=FIRST_POPUP&amp;HEIGHT=450&amp;WIDTH=450&amp;","START_MAXIMIZED=FALSE&amp;VAR:CALENDAR=US&amp;VAR:SYMBOL=LO&amp;VAR:INDEX=0"}</definedName>
    <definedName name="_1557">#REF!</definedName>
    <definedName name="_1557__FDSAUDITLINK__" localSheetId="0"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7__FDSAUDITLINK__" hidden="1">{"fdsup://directions/FAT Viewer?action=UPDATE&amp;creator=factset&amp;DYN_ARGS=TRUE&amp;DOC_NAME=FAT:FQL_AUDITING_CLIENT_TEMPLATE.FAT&amp;display_string=Audit&amp;VAR:KEY=RQNGZGVAFO&amp;VAR:QUERY=RkZfRElWX1lMRChBTk4sNi8wNy8wMSw2LzA3LzAxKQ==&amp;WINDOW=FIRST_POPUP&amp;HEIGHT=450&amp;WIDTH=450&amp;","START_MAXIMIZED=FALSE&amp;VAR:CALENDAR=US&amp;VAR:SYMBOL=LO&amp;VAR:INDEX=0"}</definedName>
    <definedName name="_1558">#REF!</definedName>
    <definedName name="_1558__FDSAUDITLINK__" localSheetId="0"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8__FDSAUDITLINK__" hidden="1">{"fdsup://directions/FAT Viewer?action=UPDATE&amp;creator=factset&amp;DYN_ARGS=TRUE&amp;DOC_NAME=FAT:FQL_AUDITING_CLIENT_TEMPLATE.FAT&amp;display_string=Audit&amp;VAR:KEY=JURKPOFYHQ&amp;VAR:QUERY=RkZfRElWX1lMRChBTk4sNS8zMS8wMSw1LzMxLzAxKQ==&amp;WINDOW=FIRST_POPUP&amp;HEIGHT=450&amp;WIDTH=450&amp;","START_MAXIMIZED=FALSE&amp;VAR:CALENDAR=US&amp;VAR:SYMBOL=LO&amp;VAR:INDEX=0"}</definedName>
    <definedName name="_1559">#REF!</definedName>
    <definedName name="_1559__FDSAUDITLINK__" localSheetId="0"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59__FDSAUDITLINK__" hidden="1">{"fdsup://directions/FAT Viewer?action=UPDATE&amp;creator=factset&amp;DYN_ARGS=TRUE&amp;DOC_NAME=FAT:FQL_AUDITING_CLIENT_TEMPLATE.FAT&amp;display_string=Audit&amp;VAR:KEY=HYPQPQPUZO&amp;VAR:QUERY=RkZfRElWX1lMRChBTk4sNS8yNC8wMSw1LzI0LzAxKQ==&amp;WINDOW=FIRST_POPUP&amp;HEIGHT=450&amp;WIDTH=450&amp;","START_MAXIMIZED=FALSE&amp;VAR:CALENDAR=US&amp;VAR:SYMBOL=LO&amp;VAR:INDEX=0"}</definedName>
    <definedName name="_156">#REF!</definedName>
    <definedName name="_156__123Graph_FCONTRACT_BY_B_U">#REF!</definedName>
    <definedName name="_156__123Graph_XQRE_S_BY_CO.">#REF!</definedName>
    <definedName name="_156__FDSAUDITLINK__" localSheetId="0"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__FDSAUDITLINK__" hidden="1">{"fdsup://directions/FAT Viewer?action=UPDATE&amp;creator=factset&amp;DYN_ARGS=TRUE&amp;DOC_NAME=FAT:FQL_AUDITING_CLIENT_TEMPLATE.FAT&amp;display_string=Audit&amp;VAR:KEY=DYNKBOFUVO&amp;VAR:QUERY=RkZfRElWX1lMRChBTk4sNC8xMC8wOCw0LzEwLzA4KQ==&amp;WINDOW=FIRST_POPUP&amp;HEIGHT=450&amp;WIDTH=450&amp;","START_MAXIMIZED=FALSE&amp;VAR:CALENDAR=US&amp;VAR:SYMBOL=RAI&amp;VAR:INDEX=0"}</definedName>
    <definedName name="_1560">#REF!</definedName>
    <definedName name="_1560__FDSAUDITLINK__" localSheetId="0"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0__FDSAUDITLINK__" hidden="1">{"fdsup://directions/FAT Viewer?action=UPDATE&amp;creator=factset&amp;DYN_ARGS=TRUE&amp;DOC_NAME=FAT:FQL_AUDITING_CLIENT_TEMPLATE.FAT&amp;display_string=Audit&amp;VAR:KEY=PUFUNONKZG&amp;VAR:QUERY=RkZfRElWX1lMRChBTk4sNS8xNy8wMSw1LzE3LzAxKQ==&amp;WINDOW=FIRST_POPUP&amp;HEIGHT=450&amp;WIDTH=450&amp;","START_MAXIMIZED=FALSE&amp;VAR:CALENDAR=US&amp;VAR:SYMBOL=LO&amp;VAR:INDEX=0"}</definedName>
    <definedName name="_1561">#REF!</definedName>
    <definedName name="_1561__FDSAUDITLINK__" localSheetId="0"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1__FDSAUDITLINK__" hidden="1">{"fdsup://directions/FAT Viewer?action=UPDATE&amp;creator=factset&amp;DYN_ARGS=TRUE&amp;DOC_NAME=FAT:FQL_AUDITING_CLIENT_TEMPLATE.FAT&amp;display_string=Audit&amp;VAR:KEY=PEZSLABWVY&amp;VAR:QUERY=RkZfRElWX1lMRChBTk4sNS8xMC8wMSw1LzEwLzAxKQ==&amp;WINDOW=FIRST_POPUP&amp;HEIGHT=450&amp;WIDTH=450&amp;","START_MAXIMIZED=FALSE&amp;VAR:CALENDAR=US&amp;VAR:SYMBOL=LO&amp;VAR:INDEX=0"}</definedName>
    <definedName name="_1562">#REF!</definedName>
    <definedName name="_1562__FDSAUDITLINK__" localSheetId="0"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2__FDSAUDITLINK__" hidden="1">{"fdsup://directions/FAT Viewer?action=UPDATE&amp;creator=factset&amp;DYN_ARGS=TRUE&amp;DOC_NAME=FAT:FQL_AUDITING_CLIENT_TEMPLATE.FAT&amp;display_string=Audit&amp;VAR:KEY=FGBQPYBUJC&amp;VAR:QUERY=RkZfRElWX1lMRChBTk4sNS8wMy8wMSw1LzAzLzAxKQ==&amp;WINDOW=FIRST_POPUP&amp;HEIGHT=450&amp;WIDTH=450&amp;","START_MAXIMIZED=FALSE&amp;VAR:CALENDAR=US&amp;VAR:SYMBOL=LO&amp;VAR:INDEX=0"}</definedName>
    <definedName name="_1563">#REF!</definedName>
    <definedName name="_1563__FDSAUDITLINK__" localSheetId="0"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3__FDSAUDITLINK__" hidden="1">{"fdsup://directions/FAT Viewer?action=UPDATE&amp;creator=factset&amp;DYN_ARGS=TRUE&amp;DOC_NAME=FAT:FQL_AUDITING_CLIENT_TEMPLATE.FAT&amp;display_string=Audit&amp;VAR:KEY=PCTCPCNGXI&amp;VAR:QUERY=RkZfRElWX1lMRChBTk4sNC8yNi8wMSw0LzI2LzAxKQ==&amp;WINDOW=FIRST_POPUP&amp;HEIGHT=450&amp;WIDTH=450&amp;","START_MAXIMIZED=FALSE&amp;VAR:CALENDAR=US&amp;VAR:SYMBOL=LO&amp;VAR:INDEX=0"}</definedName>
    <definedName name="_1564">#REF!</definedName>
    <definedName name="_1564__FDSAUDITLINK__" localSheetId="0"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4__FDSAUDITLINK__" hidden="1">{"fdsup://directions/FAT Viewer?action=UPDATE&amp;creator=factset&amp;DYN_ARGS=TRUE&amp;DOC_NAME=FAT:FQL_AUDITING_CLIENT_TEMPLATE.FAT&amp;display_string=Audit&amp;VAR:KEY=FUZKNANADI&amp;VAR:QUERY=RkZfRElWX1lMRChBTk4sNC8xOS8wMSw0LzE5LzAxKQ==&amp;WINDOW=FIRST_POPUP&amp;HEIGHT=450&amp;WIDTH=450&amp;","START_MAXIMIZED=FALSE&amp;VAR:CALENDAR=US&amp;VAR:SYMBOL=LO&amp;VAR:INDEX=0"}</definedName>
    <definedName name="_1565">#REF!</definedName>
    <definedName name="_1565__FDSAUDITLINK__" localSheetId="0"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5__FDSAUDITLINK__" hidden="1">{"fdsup://directions/FAT Viewer?action=UPDATE&amp;creator=factset&amp;DYN_ARGS=TRUE&amp;DOC_NAME=FAT:FQL_AUDITING_CLIENT_TEMPLATE.FAT&amp;display_string=Audit&amp;VAR:KEY=VMRYVETWTO&amp;VAR:QUERY=RkZfRElWX1lMRChBTk4sNC8xMi8wMSw0LzEyLzAxKQ==&amp;WINDOW=FIRST_POPUP&amp;HEIGHT=450&amp;WIDTH=450&amp;","START_MAXIMIZED=FALSE&amp;VAR:CALENDAR=US&amp;VAR:SYMBOL=LO&amp;VAR:INDEX=0"}</definedName>
    <definedName name="_1566">#REF!</definedName>
    <definedName name="_1566__FDSAUDITLINK__" localSheetId="0"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6__FDSAUDITLINK__" hidden="1">{"fdsup://directions/FAT Viewer?action=UPDATE&amp;creator=factset&amp;DYN_ARGS=TRUE&amp;DOC_NAME=FAT:FQL_AUDITING_CLIENT_TEMPLATE.FAT&amp;display_string=Audit&amp;VAR:KEY=TCBEBURWJY&amp;VAR:QUERY=RkZfRElWX1lMRChBTk4sNC8wNS8wMSw0LzA1LzAxKQ==&amp;WINDOW=FIRST_POPUP&amp;HEIGHT=450&amp;WIDTH=450&amp;","START_MAXIMIZED=FALSE&amp;VAR:CALENDAR=US&amp;VAR:SYMBOL=LO&amp;VAR:INDEX=0"}</definedName>
    <definedName name="_1567">#REF!</definedName>
    <definedName name="_1567__FDSAUDITLINK__" localSheetId="0"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7__FDSAUDITLINK__" hidden="1">{"fdsup://directions/FAT Viewer?action=UPDATE&amp;creator=factset&amp;DYN_ARGS=TRUE&amp;DOC_NAME=FAT:FQL_AUDITING_CLIENT_TEMPLATE.FAT&amp;display_string=Audit&amp;VAR:KEY=YHGZAFUBEJ&amp;VAR:QUERY=RkZfRElWX1lMRChBTk4sNS8zMC8wMSw1LzMwLzAxKQ==&amp;WINDOW=FIRST_POPUP&amp;HEIGHT=450&amp;WIDTH=450&amp;","START_MAXIMIZED=FALSE&amp;VAR:CALENDAR=US&amp;VAR:SYMBOL=LO&amp;VAR:INDEX=0"}</definedName>
    <definedName name="_1568__FDSAUDITLINK__" localSheetId="0"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8__FDSAUDITLINK__" hidden="1">{"fdsup://directions/FAT Viewer?action=UPDATE&amp;creator=factset&amp;DYN_ARGS=TRUE&amp;DOC_NAME=FAT:FQL_AUDITING_CLIENT_TEMPLATE.FAT&amp;display_string=Audit&amp;VAR:KEY=SRQRMDIFEP&amp;VAR:QUERY=RkZfRElWX1lMRChBTk4sNS8yMy8wMSw1LzIzLzAxKQ==&amp;WINDOW=FIRST_POPUP&amp;HEIGHT=450&amp;WIDTH=450&amp;","START_MAXIMIZED=FALSE&amp;VAR:CALENDAR=US&amp;VAR:SYMBOL=LO&amp;VAR:INDEX=0"}</definedName>
    <definedName name="_1569__FDSAUDITLINK__" localSheetId="0"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69__FDSAUDITLINK__" hidden="1">{"fdsup://directions/FAT Viewer?action=UPDATE&amp;creator=factset&amp;DYN_ARGS=TRUE&amp;DOC_NAME=FAT:FQL_AUDITING_CLIENT_TEMPLATE.FAT&amp;display_string=Audit&amp;VAR:KEY=QPKVWPWZUR&amp;VAR:QUERY=RkZfRElWX1lMRChBTk4sNS8xNi8wMSw1LzE2LzAxKQ==&amp;WINDOW=FIRST_POPUP&amp;HEIGHT=450&amp;WIDTH=450&amp;","START_MAXIMIZED=FALSE&amp;VAR:CALENDAR=US&amp;VAR:SYMBOL=LO&amp;VAR:INDEX=0"}</definedName>
    <definedName name="_157">#REF!</definedName>
    <definedName name="_157__123Graph_FCONTRACT_BY_B_U">#REF!</definedName>
    <definedName name="_157__FDSAUDITLINK__" localSheetId="0"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__FDSAUDITLINK__" hidden="1">{"fdsup://directions/FAT Viewer?action=UPDATE&amp;creator=factset&amp;DYN_ARGS=TRUE&amp;DOC_NAME=FAT:FQL_AUDITING_CLIENT_TEMPLATE.FAT&amp;display_string=Audit&amp;VAR:KEY=HGNEXUXMJY&amp;VAR:QUERY=RkZfRElWX1lMRChBTk4sNC8wMy8wOCw0LzAzLzA4KQ==&amp;WINDOW=FIRST_POPUP&amp;HEIGHT=450&amp;WIDTH=450&amp;","START_MAXIMIZED=FALSE&amp;VAR:CALENDAR=US&amp;VAR:SYMBOL=RAI&amp;VAR:INDEX=0"}</definedName>
    <definedName name="_1570">#REF!</definedName>
    <definedName name="_1570__FDSAUDITLINK__" localSheetId="0"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0__FDSAUDITLINK__" hidden="1">{"fdsup://directions/FAT Viewer?action=UPDATE&amp;creator=factset&amp;DYN_ARGS=TRUE&amp;DOC_NAME=FAT:FQL_AUDITING_CLIENT_TEMPLATE.FAT&amp;display_string=Audit&amp;VAR:KEY=WHUNCVIPML&amp;VAR:QUERY=RkZfRElWX1lMRChBTk4sNS8wOS8wMSw1LzA5LzAxKQ==&amp;WINDOW=FIRST_POPUP&amp;HEIGHT=450&amp;WIDTH=450&amp;","START_MAXIMIZED=FALSE&amp;VAR:CALENDAR=US&amp;VAR:SYMBOL=LO&amp;VAR:INDEX=0"}</definedName>
    <definedName name="_1571__FDSAUDITLINK__" localSheetId="0"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1__FDSAUDITLINK__" hidden="1">{"fdsup://directions/FAT Viewer?action=UPDATE&amp;creator=factset&amp;DYN_ARGS=TRUE&amp;DOC_NAME=FAT:FQL_AUDITING_CLIENT_TEMPLATE.FAT&amp;display_string=Audit&amp;VAR:KEY=QFGBWBEJMB&amp;VAR:QUERY=RkZfRElWX1lMRChBTk4sNS8wMi8wMSw1LzAyLzAxKQ==&amp;WINDOW=FIRST_POPUP&amp;HEIGHT=450&amp;WIDTH=450&amp;","START_MAXIMIZED=FALSE&amp;VAR:CALENDAR=US&amp;VAR:SYMBOL=LO&amp;VAR:INDEX=0"}</definedName>
    <definedName name="_1572__FDSAUDITLINK__" localSheetId="0"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2__FDSAUDITLINK__" hidden="1">{"fdsup://directions/FAT Viewer?action=UPDATE&amp;creator=factset&amp;DYN_ARGS=TRUE&amp;DOC_NAME=FAT:FQL_AUDITING_CLIENT_TEMPLATE.FAT&amp;display_string=Audit&amp;VAR:KEY=EXUZEVSZMR&amp;VAR:QUERY=RkZfRElWX1lMRChBTk4sNC8yNS8wMSw0LzI1LzAxKQ==&amp;WINDOW=FIRST_POPUP&amp;HEIGHT=450&amp;WIDTH=450&amp;","START_MAXIMIZED=FALSE&amp;VAR:CALENDAR=US&amp;VAR:SYMBOL=LO&amp;VAR:INDEX=0"}</definedName>
    <definedName name="_1573__FDSAUDITLINK__" localSheetId="0"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3__FDSAUDITLINK__" hidden="1">{"fdsup://directions/FAT Viewer?action=UPDATE&amp;creator=factset&amp;DYN_ARGS=TRUE&amp;DOC_NAME=FAT:FQL_AUDITING_CLIENT_TEMPLATE.FAT&amp;display_string=Audit&amp;VAR:KEY=UBIPEPUDIZ&amp;VAR:QUERY=RkZfRElWX1lMRChBTk4sNC8xOC8wMSw0LzE4LzAxKQ==&amp;WINDOW=FIRST_POPUP&amp;HEIGHT=450&amp;WIDTH=450&amp;","START_MAXIMIZED=FALSE&amp;VAR:CALENDAR=US&amp;VAR:SYMBOL=LO&amp;VAR:INDEX=0"}</definedName>
    <definedName name="_1574__FDSAUDITLINK__" localSheetId="0"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4__FDSAUDITLINK__" hidden="1">{"fdsup://directions/FAT Viewer?action=UPDATE&amp;creator=factset&amp;DYN_ARGS=TRUE&amp;DOC_NAME=FAT:FQL_AUDITING_CLIENT_TEMPLATE.FAT&amp;display_string=Audit&amp;VAR:KEY=KBAPEVOFYX&amp;VAR:QUERY=RkZfRElWX1lMRChBTk4sNC8xMS8wMSw0LzExLzAxKQ==&amp;WINDOW=FIRST_POPUP&amp;HEIGHT=450&amp;WIDTH=450&amp;","START_MAXIMIZED=FALSE&amp;VAR:CALENDAR=US&amp;VAR:SYMBOL=LO&amp;VAR:INDEX=0"}</definedName>
    <definedName name="_1575">#REF!</definedName>
    <definedName name="_1575__FDSAUDITLINK__" localSheetId="0"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5__FDSAUDITLINK__" hidden="1">{"fdsup://directions/FAT Viewer?action=UPDATE&amp;creator=factset&amp;DYN_ARGS=TRUE&amp;DOC_NAME=FAT:FQL_AUDITING_CLIENT_TEMPLATE.FAT&amp;display_string=Audit&amp;VAR:KEY=MTSDQFARGT&amp;VAR:QUERY=RkZfRElWX1lMRChBTk4sMy8zMC8xMSwzLzMwLzExKQ==&amp;WINDOW=FIRST_POPUP&amp;HEIGHT=450&amp;WIDTH=450&amp;","START_MAXIMIZED=FALSE&amp;VAR:CALENDAR=US&amp;VAR:SYMBOL=KO&amp;VAR:INDEX=0"}</definedName>
    <definedName name="_1576__FDSAUDITLINK__" localSheetId="0"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6__FDSAUDITLINK__" hidden="1">{"fdsup://directions/FAT Viewer?action=UPDATE&amp;creator=factset&amp;DYN_ARGS=TRUE&amp;DOC_NAME=FAT:FQL_AUDITING_CLIENT_TEMPLATE.FAT&amp;display_string=Audit&amp;VAR:KEY=QBGDUDWXUT&amp;VAR:QUERY=RkZfRElWX1lMRChBTk4sMy8yMy8xMSwzLzIzLzExKQ==&amp;WINDOW=FIRST_POPUP&amp;HEIGHT=450&amp;WIDTH=450&amp;","START_MAXIMIZED=FALSE&amp;VAR:CALENDAR=US&amp;VAR:SYMBOL=KO&amp;VAR:INDEX=0"}</definedName>
    <definedName name="_1577__FDSAUDITLINK__" localSheetId="0"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7__FDSAUDITLINK__" hidden="1">{"fdsup://directions/FAT Viewer?action=UPDATE&amp;creator=factset&amp;DYN_ARGS=TRUE&amp;DOC_NAME=FAT:FQL_AUDITING_CLIENT_TEMPLATE.FAT&amp;display_string=Audit&amp;VAR:KEY=GXYJWJGHSL&amp;VAR:QUERY=RkZfRElWX1lMRChBTk4sMy8xNi8xMSwzLzE2LzExKQ==&amp;WINDOW=FIRST_POPUP&amp;HEIGHT=450&amp;WIDTH=450&amp;","START_MAXIMIZED=FALSE&amp;VAR:CALENDAR=US&amp;VAR:SYMBOL=KO&amp;VAR:INDEX=0"}</definedName>
    <definedName name="_1578__FDSAUDITLINK__" localSheetId="0"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8__FDSAUDITLINK__" hidden="1">{"fdsup://directions/FAT Viewer?action=UPDATE&amp;creator=factset&amp;DYN_ARGS=TRUE&amp;DOC_NAME=FAT:FQL_AUDITING_CLIENT_TEMPLATE.FAT&amp;display_string=Audit&amp;VAR:KEY=KFYPERMDUN&amp;VAR:QUERY=RkZfRElWX1lMRChBTk4sMy8wOS8xMSwzLzA5LzExKQ==&amp;WINDOW=FIRST_POPUP&amp;HEIGHT=450&amp;WIDTH=450&amp;","START_MAXIMIZED=FALSE&amp;VAR:CALENDAR=US&amp;VAR:SYMBOL=KO&amp;VAR:INDEX=0"}</definedName>
    <definedName name="_1579__FDSAUDITLINK__" localSheetId="0"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79__FDSAUDITLINK__" hidden="1">{"fdsup://directions/FAT Viewer?action=UPDATE&amp;creator=factset&amp;DYN_ARGS=TRUE&amp;DOC_NAME=FAT:FQL_AUDITING_CLIENT_TEMPLATE.FAT&amp;display_string=Audit&amp;VAR:KEY=IVYNOVADCB&amp;VAR:QUERY=RkZfRElWX1lMRChBTk4sMy8wMi8xMSwzLzAyLzExKQ==&amp;WINDOW=FIRST_POPUP&amp;HEIGHT=450&amp;WIDTH=450&amp;","START_MAXIMIZED=FALSE&amp;VAR:CALENDAR=US&amp;VAR:SYMBOL=KO&amp;VAR:INDEX=0"}</definedName>
    <definedName name="_158">#REF!</definedName>
    <definedName name="_158__FDSAUDITLINK__" localSheetId="0"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__FDSAUDITLINK__" hidden="1">{"fdsup://directions/FAT Viewer?action=UPDATE&amp;creator=factset&amp;DYN_ARGS=TRUE&amp;DOC_NAME=FAT:FQL_AUDITING_CLIENT_TEMPLATE.FAT&amp;display_string=Audit&amp;VAR:KEY=ZGDSFWJYPA&amp;VAR:QUERY=RkZfRElWX1lMRChBTk4sMy8yNy8wOCwzLzI3LzA4KQ==&amp;WINDOW=FIRST_POPUP&amp;HEIGHT=450&amp;WIDTH=450&amp;","START_MAXIMIZED=FALSE&amp;VAR:CALENDAR=US&amp;VAR:SYMBOL=RAI&amp;VAR:INDEX=0"}</definedName>
    <definedName name="_1580">#REF!</definedName>
    <definedName name="_1580__FDSAUDITLINK__" localSheetId="0"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0__FDSAUDITLINK__" hidden="1">{"fdsup://directions/FAT Viewer?action=UPDATE&amp;creator=factset&amp;DYN_ARGS=TRUE&amp;DOC_NAME=FAT:FQL_AUDITING_CLIENT_TEMPLATE.FAT&amp;display_string=Audit&amp;VAR:KEY=AFUNIBUJAD&amp;VAR:QUERY=RkZfRElWX1lMRChBTk4sMi8yMy8xMSwyLzIzLzExKQ==&amp;WINDOW=FIRST_POPUP&amp;HEIGHT=450&amp;WIDTH=450&amp;","START_MAXIMIZED=FALSE&amp;VAR:CALENDAR=US&amp;VAR:SYMBOL=KO&amp;VAR:INDEX=0"}</definedName>
    <definedName name="_1581__FDSAUDITLINK__" localSheetId="0"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1__FDSAUDITLINK__" hidden="1">{"fdsup://directions/FAT Viewer?action=UPDATE&amp;creator=factset&amp;DYN_ARGS=TRUE&amp;DOC_NAME=FAT:FQL_AUDITING_CLIENT_TEMPLATE.FAT&amp;display_string=Audit&amp;VAR:KEY=YBIRIPQFSZ&amp;VAR:QUERY=RkZfRElWX1lMRChBTk4sMi8xNi8xMSwyLzE2LzExKQ==&amp;WINDOW=FIRST_POPUP&amp;HEIGHT=450&amp;WIDTH=450&amp;","START_MAXIMIZED=FALSE&amp;VAR:CALENDAR=US&amp;VAR:SYMBOL=KO&amp;VAR:INDEX=0"}</definedName>
    <definedName name="_1582__FDSAUDITLINK__" localSheetId="0"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2__FDSAUDITLINK__" hidden="1">{"fdsup://directions/FAT Viewer?action=UPDATE&amp;creator=factset&amp;DYN_ARGS=TRUE&amp;DOC_NAME=FAT:FQL_AUDITING_CLIENT_TEMPLATE.FAT&amp;display_string=Audit&amp;VAR:KEY=GPYBKPWPMF&amp;VAR:QUERY=RkZfRElWX1lMRChBTk4sMi8wOS8xMSwyLzA5LzExKQ==&amp;WINDOW=FIRST_POPUP&amp;HEIGHT=450&amp;WIDTH=450&amp;","START_MAXIMIZED=FALSE&amp;VAR:CALENDAR=US&amp;VAR:SYMBOL=KO&amp;VAR:INDEX=0"}</definedName>
    <definedName name="_1583__FDSAUDITLINK__" localSheetId="0"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3__FDSAUDITLINK__" hidden="1">{"fdsup://directions/FAT Viewer?action=UPDATE&amp;creator=factset&amp;DYN_ARGS=TRUE&amp;DOC_NAME=FAT:FQL_AUDITING_CLIENT_TEMPLATE.FAT&amp;display_string=Audit&amp;VAR:KEY=OFENIPYZUH&amp;VAR:QUERY=RkZfRElWX1lMRChBTk4sMi8wMi8xMSwyLzAyLzExKQ==&amp;WINDOW=FIRST_POPUP&amp;HEIGHT=450&amp;WIDTH=450&amp;","START_MAXIMIZED=FALSE&amp;VAR:CALENDAR=US&amp;VAR:SYMBOL=KO&amp;VAR:INDEX=0"}</definedName>
    <definedName name="_1584__FDSAUDITLINK__" localSheetId="0"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4__FDSAUDITLINK__" hidden="1">{"fdsup://directions/FAT Viewer?action=UPDATE&amp;creator=factset&amp;DYN_ARGS=TRUE&amp;DOC_NAME=FAT:FQL_AUDITING_CLIENT_TEMPLATE.FAT&amp;display_string=Audit&amp;VAR:KEY=YTSTAHALYR&amp;VAR:QUERY=RkZfRElWX1lMRChBTk4sMS8yNi8xMSwxLzI2LzExKQ==&amp;WINDOW=FIRST_POPUP&amp;HEIGHT=450&amp;WIDTH=450&amp;","START_MAXIMIZED=FALSE&amp;VAR:CALENDAR=US&amp;VAR:SYMBOL=KO&amp;VAR:INDEX=0"}</definedName>
    <definedName name="_1585__FDSAUDITLINK__" localSheetId="0"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5__FDSAUDITLINK__" hidden="1">{"fdsup://directions/FAT Viewer?action=UPDATE&amp;creator=factset&amp;DYN_ARGS=TRUE&amp;DOC_NAME=FAT:FQL_AUDITING_CLIENT_TEMPLATE.FAT&amp;display_string=Audit&amp;VAR:KEY=KJWVYDCPKP&amp;VAR:QUERY=RkZfRElWX1lMRChBTk4sMS8xOS8xMSwxLzE5LzExKQ==&amp;WINDOW=FIRST_POPUP&amp;HEIGHT=450&amp;WIDTH=450&amp;","START_MAXIMIZED=FALSE&amp;VAR:CALENDAR=US&amp;VAR:SYMBOL=KO&amp;VAR:INDEX=0"}</definedName>
    <definedName name="_1586__FDSAUDITLINK__" localSheetId="0"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6__FDSAUDITLINK__" hidden="1">{"fdsup://directions/FAT Viewer?action=UPDATE&amp;creator=factset&amp;DYN_ARGS=TRUE&amp;DOC_NAME=FAT:FQL_AUDITING_CLIENT_TEMPLATE.FAT&amp;display_string=Audit&amp;VAR:KEY=IHSVODWZAX&amp;VAR:QUERY=RkZfRElWX1lMRChBTk4sMS8xMi8xMSwxLzEyLzExKQ==&amp;WINDOW=FIRST_POPUP&amp;HEIGHT=450&amp;WIDTH=450&amp;","START_MAXIMIZED=FALSE&amp;VAR:CALENDAR=US&amp;VAR:SYMBOL=KO&amp;VAR:INDEX=0"}</definedName>
    <definedName name="_1587__FDSAUDITLINK__" localSheetId="0"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7__FDSAUDITLINK__" hidden="1">{"fdsup://directions/FAT Viewer?action=UPDATE&amp;creator=factset&amp;DYN_ARGS=TRUE&amp;DOC_NAME=FAT:FQL_AUDITING_CLIENT_TEMPLATE.FAT&amp;display_string=Audit&amp;VAR:KEY=CDQDOFCFCT&amp;VAR:QUERY=RkZfRElWX1lMRChBTk4sMS8wNS8xMSwxLzA1LzExKQ==&amp;WINDOW=FIRST_POPUP&amp;HEIGHT=450&amp;WIDTH=450&amp;","START_MAXIMIZED=FALSE&amp;VAR:CALENDAR=US&amp;VAR:SYMBOL=KO&amp;VAR:INDEX=0"}</definedName>
    <definedName name="_1588">#REF!</definedName>
    <definedName name="_1588__FDSAUDITLINK__" localSheetId="0"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8__FDSAUDITLINK__" hidden="1">{"fdsup://directions/FAT Viewer?action=UPDATE&amp;creator=factset&amp;DYN_ARGS=TRUE&amp;DOC_NAME=FAT:FQL_AUDITING_CLIENT_TEMPLATE.FAT&amp;display_string=Audit&amp;VAR:KEY=GFCVUBEBAN&amp;VAR:QUERY=RkZfRElWX1lMRChBTk4sMTIvMjkvMTAsMTIvMjkvMTAp&amp;WINDOW=FIRST_POPUP&amp;HEIGHT=450&amp;WIDTH=450&amp;","START_MAXIMIZED=FALSE&amp;VAR:CALENDAR=US&amp;VAR:SYMBOL=KO&amp;VAR:INDEX=0"}</definedName>
    <definedName name="_1589__FDSAUDITLINK__" localSheetId="0"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89__FDSAUDITLINK__" hidden="1">{"fdsup://directions/FAT Viewer?action=UPDATE&amp;creator=factset&amp;DYN_ARGS=TRUE&amp;DOC_NAME=FAT:FQL_AUDITING_CLIENT_TEMPLATE.FAT&amp;display_string=Audit&amp;VAR:KEY=UBCHSXCBOV&amp;VAR:QUERY=RkZfRElWX1lMRChBTk4sMTIvMjIvMTAsMTIvMjIvMTAp&amp;WINDOW=FIRST_POPUP&amp;HEIGHT=450&amp;WIDTH=450&amp;","START_MAXIMIZED=FALSE&amp;VAR:CALENDAR=US&amp;VAR:SYMBOL=KO&amp;VAR:INDEX=0"}</definedName>
    <definedName name="_159">#REF!</definedName>
    <definedName name="_159__FDSAUDITLINK__" localSheetId="0"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__FDSAUDITLINK__" hidden="1">{"fdsup://directions/FAT Viewer?action=UPDATE&amp;creator=factset&amp;DYN_ARGS=TRUE&amp;DOC_NAME=FAT:FQL_AUDITING_CLIENT_TEMPLATE.FAT&amp;display_string=Audit&amp;VAR:KEY=DADYDUHAJC&amp;VAR:QUERY=RkZfRElWX1lMRChBTk4sMy8yMC8wOCwzLzIwLzA4KQ==&amp;WINDOW=FIRST_POPUP&amp;HEIGHT=450&amp;WIDTH=450&amp;","START_MAXIMIZED=FALSE&amp;VAR:CALENDAR=US&amp;VAR:SYMBOL=RAI&amp;VAR:INDEX=0"}</definedName>
    <definedName name="_1590__FDSAUDITLINK__" localSheetId="0"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0__FDSAUDITLINK__" hidden="1">{"fdsup://directions/FAT Viewer?action=UPDATE&amp;creator=factset&amp;DYN_ARGS=TRUE&amp;DOC_NAME=FAT:FQL_AUDITING_CLIENT_TEMPLATE.FAT&amp;display_string=Audit&amp;VAR:KEY=QHAFQLQVAV&amp;VAR:QUERY=RkZfRElWX1lMRChBTk4sMTIvMTUvMTAsMTIvMTUvMTAp&amp;WINDOW=FIRST_POPUP&amp;HEIGHT=450&amp;WIDTH=450&amp;","START_MAXIMIZED=FALSE&amp;VAR:CALENDAR=US&amp;VAR:SYMBOL=KO&amp;VAR:INDEX=0"}</definedName>
    <definedName name="_1591">#REF!</definedName>
    <definedName name="_1591__FDSAUDITLINK__" localSheetId="0"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1__FDSAUDITLINK__" hidden="1">{"fdsup://directions/FAT Viewer?action=UPDATE&amp;creator=factset&amp;DYN_ARGS=TRUE&amp;DOC_NAME=FAT:FQL_AUDITING_CLIENT_TEMPLATE.FAT&amp;display_string=Audit&amp;VAR:KEY=YFCLGTCXAF&amp;VAR:QUERY=RkZfRElWX1lMRChBTk4sMTIvMDgvMTAsMTIvMDgvMTAp&amp;WINDOW=FIRST_POPUP&amp;HEIGHT=450&amp;WIDTH=450&amp;","START_MAXIMIZED=FALSE&amp;VAR:CALENDAR=US&amp;VAR:SYMBOL=KO&amp;VAR:INDEX=0"}</definedName>
    <definedName name="_1592">#REF!</definedName>
    <definedName name="_1592__FDSAUDITLINK__" localSheetId="0"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2__FDSAUDITLINK__" hidden="1">{"fdsup://directions/FAT Viewer?action=UPDATE&amp;creator=factset&amp;DYN_ARGS=TRUE&amp;DOC_NAME=FAT:FQL_AUDITING_CLIENT_TEMPLATE.FAT&amp;display_string=Audit&amp;VAR:KEY=ETCHEFEZAD&amp;VAR:QUERY=RkZfRElWX1lMRChBTk4sMTIvMDEvMTAsMTIvMDEvMTAp&amp;WINDOW=FIRST_POPUP&amp;HEIGHT=450&amp;WIDTH=450&amp;","START_MAXIMIZED=FALSE&amp;VAR:CALENDAR=US&amp;VAR:SYMBOL=KO&amp;VAR:INDEX=0"}</definedName>
    <definedName name="_1593">#REF!</definedName>
    <definedName name="_1593__FDSAUDITLINK__" localSheetId="0"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3__FDSAUDITLINK__" hidden="1">{"fdsup://directions/FAT Viewer?action=UPDATE&amp;creator=factset&amp;DYN_ARGS=TRUE&amp;DOC_NAME=FAT:FQL_AUDITING_CLIENT_TEMPLATE.FAT&amp;display_string=Audit&amp;VAR:KEY=YVKJWROZWB&amp;VAR:QUERY=RkZfRElWX1lMRChBTk4sMTEvMjQvMTAsMTEvMjQvMTAp&amp;WINDOW=FIRST_POPUP&amp;HEIGHT=450&amp;WIDTH=450&amp;","START_MAXIMIZED=FALSE&amp;VAR:CALENDAR=US&amp;VAR:SYMBOL=KO&amp;VAR:INDEX=0"}</definedName>
    <definedName name="_1594">#REF!</definedName>
    <definedName name="_1594__FDSAUDITLINK__" localSheetId="0"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4__FDSAUDITLINK__" hidden="1">{"fdsup://directions/FAT Viewer?action=UPDATE&amp;creator=factset&amp;DYN_ARGS=TRUE&amp;DOC_NAME=FAT:FQL_AUDITING_CLIENT_TEMPLATE.FAT&amp;display_string=Audit&amp;VAR:KEY=MFWXAVIVOT&amp;VAR:QUERY=RkZfRElWX1lMRChBTk4sMTEvMTcvMTAsMTEvMTcvMTAp&amp;WINDOW=FIRST_POPUP&amp;HEIGHT=450&amp;WIDTH=450&amp;","START_MAXIMIZED=FALSE&amp;VAR:CALENDAR=US&amp;VAR:SYMBOL=KO&amp;VAR:INDEX=0"}</definedName>
    <definedName name="_1595">#REF!</definedName>
    <definedName name="_1595__FDSAUDITLINK__" localSheetId="0"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5__FDSAUDITLINK__" hidden="1">{"fdsup://directions/FAT Viewer?action=UPDATE&amp;creator=factset&amp;DYN_ARGS=TRUE&amp;DOC_NAME=FAT:FQL_AUDITING_CLIENT_TEMPLATE.FAT&amp;display_string=Audit&amp;VAR:KEY=KNYVKZQFSX&amp;VAR:QUERY=RkZfRElWX1lMRChBTk4sMTEvMTAvMTAsMTEvMTAvMTAp&amp;WINDOW=FIRST_POPUP&amp;HEIGHT=450&amp;WIDTH=450&amp;","START_MAXIMIZED=FALSE&amp;VAR:CALENDAR=US&amp;VAR:SYMBOL=KO&amp;VAR:INDEX=0"}</definedName>
    <definedName name="_1596">#REF!</definedName>
    <definedName name="_1596__FDSAUDITLINK__" localSheetId="0"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6__FDSAUDITLINK__" hidden="1">{"fdsup://directions/FAT Viewer?action=UPDATE&amp;creator=factset&amp;DYN_ARGS=TRUE&amp;DOC_NAME=FAT:FQL_AUDITING_CLIENT_TEMPLATE.FAT&amp;display_string=Audit&amp;VAR:KEY=EBIPONMPAV&amp;VAR:QUERY=RkZfRElWX1lMRChBTk4sMTEvMDMvMTAsMTEvMDMvMTAp&amp;WINDOW=FIRST_POPUP&amp;HEIGHT=450&amp;WIDTH=450&amp;","START_MAXIMIZED=FALSE&amp;VAR:CALENDAR=US&amp;VAR:SYMBOL=KO&amp;VAR:INDEX=0"}</definedName>
    <definedName name="_1597">#REF!</definedName>
    <definedName name="_1597__FDSAUDITLINK__" localSheetId="0"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7__FDSAUDITLINK__" hidden="1">{"fdsup://directions/FAT Viewer?action=UPDATE&amp;creator=factset&amp;DYN_ARGS=TRUE&amp;DOC_NAME=FAT:FQL_AUDITING_CLIENT_TEMPLATE.FAT&amp;display_string=Audit&amp;VAR:KEY=IHUFQJAXCT&amp;VAR:QUERY=RkZfRElWX1lMRChBTk4sMTAvMjcvMTAsMTAvMjcvMTAp&amp;WINDOW=FIRST_POPUP&amp;HEIGHT=450&amp;WIDTH=450&amp;","START_MAXIMIZED=FALSE&amp;VAR:CALENDAR=US&amp;VAR:SYMBOL=KO&amp;VAR:INDEX=0"}</definedName>
    <definedName name="_1598">#REF!</definedName>
    <definedName name="_1598__FDSAUDITLINK__" localSheetId="0"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8__FDSAUDITLINK__" hidden="1">{"fdsup://directions/FAT Viewer?action=UPDATE&amp;creator=factset&amp;DYN_ARGS=TRUE&amp;DOC_NAME=FAT:FQL_AUDITING_CLIENT_TEMPLATE.FAT&amp;display_string=Audit&amp;VAR:KEY=GBQXINWNKJ&amp;VAR:QUERY=RkZfRElWX1lMRChBTk4sMTAvMjAvMTAsMTAvMjAvMTAp&amp;WINDOW=FIRST_POPUP&amp;HEIGHT=450&amp;WIDTH=450&amp;","START_MAXIMIZED=FALSE&amp;VAR:CALENDAR=US&amp;VAR:SYMBOL=KO&amp;VAR:INDEX=0"}</definedName>
    <definedName name="_1599">#REF!</definedName>
    <definedName name="_1599__FDSAUDITLINK__" localSheetId="0"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99__FDSAUDITLINK__" hidden="1">{"fdsup://directions/FAT Viewer?action=UPDATE&amp;creator=factset&amp;DYN_ARGS=TRUE&amp;DOC_NAME=FAT:FQL_AUDITING_CLIENT_TEMPLATE.FAT&amp;display_string=Audit&amp;VAR:KEY=IBANOHQBUP&amp;VAR:QUERY=RkZfRElWX1lMRChBTk4sMTAvMTMvMTAsMTAvMTMvMTAp&amp;WINDOW=FIRST_POPUP&amp;HEIGHT=450&amp;WIDTH=450&amp;","START_MAXIMIZED=FALSE&amp;VAR:CALENDAR=US&amp;VAR:SYMBOL=KO&amp;VAR:INDEX=0"}</definedName>
    <definedName name="_15M_0_S" hidden="1">#REF!</definedName>
    <definedName name="_15s10_" hidden="1">{#N/A,#N/A,FALSE,"UNIT";#N/A,#N/A,FALSE,"UNIT";#N/A,#N/A,FALSE,"계정"}</definedName>
    <definedName name="_15s2_" hidden="1">{#N/A,#N/A,FALSE,"UNIT";#N/A,#N/A,FALSE,"UNIT";#N/A,#N/A,FALSE,"계정"}</definedName>
    <definedName name="_15s4_" hidden="1">{#N/A,#N/A,FALSE,"UNIT";#N/A,#N/A,FALSE,"UNIT";#N/A,#N/A,FALSE,"계정"}</definedName>
    <definedName name="_15s5_" hidden="1">{#N/A,#N/A,FALSE,"UNIT";#N/A,#N/A,FALSE,"UNIT";#N/A,#N/A,FALSE,"계정"}</definedName>
    <definedName name="_15Table2_" hidden="1">#REF!</definedName>
    <definedName name="_16">#REF!</definedName>
    <definedName name="_16_????_3">#REF!</definedName>
    <definedName name="_16_????8_3">#REF!</definedName>
    <definedName name="_16_??_3">#REF!</definedName>
    <definedName name="_16__________NOTE5_7">#REF!</definedName>
    <definedName name="_16__123Graph_ACHART_29" hidden="1">#REF!</definedName>
    <definedName name="_16__123Graph_ACHART_30" hidden="1">#REF!</definedName>
    <definedName name="_16__123Graph_AChart_8J">#REF!</definedName>
    <definedName name="_16__123Graph_ASENS_COMPARISON">#REF!</definedName>
    <definedName name="_16__123Graph_ASUPPLIES_BY_B_U">#REF!</definedName>
    <definedName name="_16__123Graph_AWAGES_BY_B_U">#REF!</definedName>
    <definedName name="_16__123Graph_BQRE_S_BY_CO.">#REF!</definedName>
    <definedName name="_16__123Graph_BQRE_S_BY_TYPE" hidden="1">#REF!</definedName>
    <definedName name="_16__123Graph_BSUPPLIES_BY_B_U">#REF!</definedName>
    <definedName name="_16__123Graph_BTAX_CREDIT">#REF!</definedName>
    <definedName name="_16__123Graph_CCONTRACT_BY_B_U" hidden="1">#REF!</definedName>
    <definedName name="_16__123Graph_CQRE_S_BY_CO.">#REF!</definedName>
    <definedName name="_16__123Graph_CSENS_COMPARISON">#REF!</definedName>
    <definedName name="_16__123Graph_CSUPPLIES_BY_B_U">#REF!</definedName>
    <definedName name="_16__FDSAUDITLINK__" localSheetId="0"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_FDSAUDITLINK__" hidden="1">{"fdsup://directions/FAT Viewer?action=UPDATE&amp;creator=factset&amp;DYN_ARGS=TRUE&amp;DOC_NAME=FAT:FQL_AUDITING_CLIENT_TEMPLATE.FAT&amp;display_string=Audit&amp;VAR:KEY=KJCLCHSFST&amp;VAR:QUERY=Q1NGX0RJVl9ZTEQoUVRSX1IsMy8zMC8yMDA3KQ==&amp;WINDOW=FIRST_POPUP&amp;HEIGHT=450&amp;WIDTH=450&amp;STAR","T_MAXIMIZED=FALSE&amp;VAR:CALENDAR=US&amp;VAR:SYMBOL=MO&amp;VAR:INDEX=0"}</definedName>
    <definedName name="_16_0_Table2_">#REF!</definedName>
    <definedName name="_16_08_2000">#REF!</definedName>
    <definedName name="_16_3__1_CRADDIN_Headings">#REF!</definedName>
    <definedName name="_160__FDSAUDITLINK__" localSheetId="0"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_FDSAUDITLINK__" hidden="1">{"fdsup://directions/FAT Viewer?action=UPDATE&amp;creator=factset&amp;DYN_ARGS=TRUE&amp;DOC_NAME=FAT:FQL_AUDITING_CLIENT_TEMPLATE.FAT&amp;display_string=Audit&amp;VAR:KEY=RIBKTIRAFO&amp;VAR:QUERY=RkZfRElWX1lMRChBTk4sMy8xMy8wOCwzLzEzLzA4KQ==&amp;WINDOW=FIRST_POPUP&amp;HEIGHT=450&amp;WIDTH=450&amp;","START_MAXIMIZED=FALSE&amp;VAR:CALENDAR=US&amp;VAR:SYMBOL=RAI&amp;VAR:INDEX=0"}</definedName>
    <definedName name="_160_0_Table2_">#REF!</definedName>
    <definedName name="_1600">#REF!</definedName>
    <definedName name="_1600__FDSAUDITLINK__" localSheetId="0"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__FDSAUDITLINK__" hidden="1">{"fdsup://directions/FAT Viewer?action=UPDATE&amp;creator=factset&amp;DYN_ARGS=TRUE&amp;DOC_NAME=FAT:FQL_AUDITING_CLIENT_TEMPLATE.FAT&amp;display_string=Audit&amp;VAR:KEY=KFENWHSJAP&amp;VAR:QUERY=RkZfRElWX1lMRChBTk4sMTAvMDYvMTAsMTAvMDYvMTAp&amp;WINDOW=FIRST_POPUP&amp;HEIGHT=450&amp;WIDTH=450&amp;","START_MAXIMIZED=FALSE&amp;VAR:CALENDAR=US&amp;VAR:SYMBOL=KO&amp;VAR:INDEX=0"}</definedName>
    <definedName name="_160000000" hidden="1">#REF!</definedName>
    <definedName name="_1601">#REF!</definedName>
    <definedName name="_1601__FDSAUDITLINK__" localSheetId="0"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1__FDSAUDITLINK__" hidden="1">{"fdsup://directions/FAT Viewer?action=UPDATE&amp;creator=factset&amp;DYN_ARGS=TRUE&amp;DOC_NAME=FAT:FQL_AUDITING_CLIENT_TEMPLATE.FAT&amp;display_string=Audit&amp;VAR:KEY=SPYTEFEPUT&amp;VAR:QUERY=RkZfRElWX1lMRChBTk4sOS8yOS8xMCw5LzI5LzEwKQ==&amp;WINDOW=FIRST_POPUP&amp;HEIGHT=450&amp;WIDTH=450&amp;","START_MAXIMIZED=FALSE&amp;VAR:CALENDAR=US&amp;VAR:SYMBOL=KO&amp;VAR:INDEX=0"}</definedName>
    <definedName name="_1602">#REF!</definedName>
    <definedName name="_1602__FDSAUDITLINK__" localSheetId="0"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2__FDSAUDITLINK__" hidden="1">{"fdsup://directions/FAT Viewer?action=UPDATE&amp;creator=factset&amp;DYN_ARGS=TRUE&amp;DOC_NAME=FAT:FQL_AUDITING_CLIENT_TEMPLATE.FAT&amp;display_string=Audit&amp;VAR:KEY=OPOZCFAJGT&amp;VAR:QUERY=RkZfRElWX1lMRChBTk4sOS8yMi8xMCw5LzIyLzEwKQ==&amp;WINDOW=FIRST_POPUP&amp;HEIGHT=450&amp;WIDTH=450&amp;","START_MAXIMIZED=FALSE&amp;VAR:CALENDAR=US&amp;VAR:SYMBOL=KO&amp;VAR:INDEX=0"}</definedName>
    <definedName name="_1603">#REF!</definedName>
    <definedName name="_1603__FDSAUDITLINK__" localSheetId="0"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3__FDSAUDITLINK__" hidden="1">{"fdsup://directions/FAT Viewer?action=UPDATE&amp;creator=factset&amp;DYN_ARGS=TRUE&amp;DOC_NAME=FAT:FQL_AUDITING_CLIENT_TEMPLATE.FAT&amp;display_string=Audit&amp;VAR:KEY=KTOXEDMZKP&amp;VAR:QUERY=RkZfRElWX1lMRChBTk4sOS8xNS8xMCw5LzE1LzEwKQ==&amp;WINDOW=FIRST_POPUP&amp;HEIGHT=450&amp;WIDTH=450&amp;","START_MAXIMIZED=FALSE&amp;VAR:CALENDAR=US&amp;VAR:SYMBOL=KO&amp;VAR:INDEX=0"}</definedName>
    <definedName name="_1604">#REF!</definedName>
    <definedName name="_1604__FDSAUDITLINK__" localSheetId="0"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4__FDSAUDITLINK__" hidden="1">{"fdsup://directions/FAT Viewer?action=UPDATE&amp;creator=factset&amp;DYN_ARGS=TRUE&amp;DOC_NAME=FAT:FQL_AUDITING_CLIENT_TEMPLATE.FAT&amp;display_string=Audit&amp;VAR:KEY=OBILAXSNSF&amp;VAR:QUERY=RkZfRElWX1lMRChBTk4sOS8wOC8xMCw5LzA4LzEwKQ==&amp;WINDOW=FIRST_POPUP&amp;HEIGHT=450&amp;WIDTH=450&amp;","START_MAXIMIZED=FALSE&amp;VAR:CALENDAR=US&amp;VAR:SYMBOL=KO&amp;VAR:INDEX=0"}</definedName>
    <definedName name="_1605">#REF!</definedName>
    <definedName name="_1605__FDSAUDITLINK__" localSheetId="0"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5__FDSAUDITLINK__" hidden="1">{"fdsup://directions/FAT Viewer?action=UPDATE&amp;creator=factset&amp;DYN_ARGS=TRUE&amp;DOC_NAME=FAT:FQL_AUDITING_CLIENT_TEMPLATE.FAT&amp;display_string=Audit&amp;VAR:KEY=KNQRKPOBWL&amp;VAR:QUERY=RkZfRElWX1lMRChBTk4sOS8wMS8xMCw5LzAxLzEwKQ==&amp;WINDOW=FIRST_POPUP&amp;HEIGHT=450&amp;WIDTH=450&amp;","START_MAXIMIZED=FALSE&amp;VAR:CALENDAR=US&amp;VAR:SYMBOL=KO&amp;VAR:INDEX=0"}</definedName>
    <definedName name="_1606">#REF!</definedName>
    <definedName name="_1606__FDSAUDITLINK__" localSheetId="0"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6__FDSAUDITLINK__" hidden="1">{"fdsup://directions/FAT Viewer?action=UPDATE&amp;creator=factset&amp;DYN_ARGS=TRUE&amp;DOC_NAME=FAT:FQL_AUDITING_CLIENT_TEMPLATE.FAT&amp;display_string=Audit&amp;VAR:KEY=SRSJOHUXUB&amp;VAR:QUERY=RkZfRElWX1lMRChBTk4sOC8yNS8xMCw4LzI1LzEwKQ==&amp;WINDOW=FIRST_POPUP&amp;HEIGHT=450&amp;WIDTH=450&amp;","START_MAXIMIZED=FALSE&amp;VAR:CALENDAR=US&amp;VAR:SYMBOL=KO&amp;VAR:INDEX=0"}</definedName>
    <definedName name="_1607">#REF!</definedName>
    <definedName name="_1607__FDSAUDITLINK__" localSheetId="0"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7__FDSAUDITLINK__" hidden="1">{"fdsup://directions/FAT Viewer?action=UPDATE&amp;creator=factset&amp;DYN_ARGS=TRUE&amp;DOC_NAME=FAT:FQL_AUDITING_CLIENT_TEMPLATE.FAT&amp;display_string=Audit&amp;VAR:KEY=QFOLQDAZSV&amp;VAR:QUERY=RkZfRElWX1lMRChBTk4sOC8xOC8xMCw4LzE4LzEwKQ==&amp;WINDOW=FIRST_POPUP&amp;HEIGHT=450&amp;WIDTH=450&amp;","START_MAXIMIZED=FALSE&amp;VAR:CALENDAR=US&amp;VAR:SYMBOL=KO&amp;VAR:INDEX=0"}</definedName>
    <definedName name="_1608">#REF!</definedName>
    <definedName name="_1608__FDSAUDITLINK__" localSheetId="0"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8__FDSAUDITLINK__" hidden="1">{"fdsup://directions/FAT Viewer?action=UPDATE&amp;creator=factset&amp;DYN_ARGS=TRUE&amp;DOC_NAME=FAT:FQL_AUDITING_CLIENT_TEMPLATE.FAT&amp;display_string=Audit&amp;VAR:KEY=ITWTYFAHOZ&amp;VAR:QUERY=RkZfRElWX1lMRChBTk4sOC8xMS8xMCw4LzExLzEwKQ==&amp;WINDOW=FIRST_POPUP&amp;HEIGHT=450&amp;WIDTH=450&amp;","START_MAXIMIZED=FALSE&amp;VAR:CALENDAR=US&amp;VAR:SYMBOL=KO&amp;VAR:INDEX=0"}</definedName>
    <definedName name="_1609">#REF!</definedName>
    <definedName name="_1609__FDSAUDITLINK__" localSheetId="0"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09__FDSAUDITLINK__" hidden="1">{"fdsup://directions/FAT Viewer?action=UPDATE&amp;creator=factset&amp;DYN_ARGS=TRUE&amp;DOC_NAME=FAT:FQL_AUDITING_CLIENT_TEMPLATE.FAT&amp;display_string=Audit&amp;VAR:KEY=SXOPMFCHQB&amp;VAR:QUERY=RkZfRElWX1lMRChBTk4sOC8wNC8xMCw4LzA0LzEwKQ==&amp;WINDOW=FIRST_POPUP&amp;HEIGHT=450&amp;WIDTH=450&amp;","START_MAXIMIZED=FALSE&amp;VAR:CALENDAR=US&amp;VAR:SYMBOL=KO&amp;VAR:INDEX=0"}</definedName>
    <definedName name="_161">#REF!</definedName>
    <definedName name="_161__123Graph_XQRE_S_BY_TYPE">#REF!</definedName>
    <definedName name="_161__FDSAUDITLINK__" localSheetId="0"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__FDSAUDITLINK__" hidden="1">{"fdsup://directions/FAT Viewer?action=UPDATE&amp;creator=factset&amp;DYN_ARGS=TRUE&amp;DOC_NAME=FAT:FQL_AUDITING_CLIENT_TEMPLATE.FAT&amp;display_string=Audit&amp;VAR:KEY=TIPERCLCDO&amp;VAR:QUERY=RkZfRElWX1lMRChBTk4sMy8wNi8wOCwzLzA2LzA4KQ==&amp;WINDOW=FIRST_POPUP&amp;HEIGHT=450&amp;WIDTH=450&amp;","START_MAXIMIZED=FALSE&amp;VAR:CALENDAR=US&amp;VAR:SYMBOL=RAI&amp;VAR:INDEX=0"}</definedName>
    <definedName name="_1610">#REF!</definedName>
    <definedName name="_1610__FDSAUDITLINK__" localSheetId="0"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0__FDSAUDITLINK__" hidden="1">{"fdsup://directions/FAT Viewer?action=UPDATE&amp;creator=factset&amp;DYN_ARGS=TRUE&amp;DOC_NAME=FAT:FQL_AUDITING_CLIENT_TEMPLATE.FAT&amp;display_string=Audit&amp;VAR:KEY=GDWRCNIBOZ&amp;VAR:QUERY=RkZfRElWX1lMRChBTk4sNy8yOC8xMCw3LzI4LzEwKQ==&amp;WINDOW=FIRST_POPUP&amp;HEIGHT=450&amp;WIDTH=450&amp;","START_MAXIMIZED=FALSE&amp;VAR:CALENDAR=US&amp;VAR:SYMBOL=KO&amp;VAR:INDEX=0"}</definedName>
    <definedName name="_1611__FDSAUDITLINK__" localSheetId="0"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1__FDSAUDITLINK__" hidden="1">{"fdsup://directions/FAT Viewer?action=UPDATE&amp;creator=factset&amp;DYN_ARGS=TRUE&amp;DOC_NAME=FAT:FQL_AUDITING_CLIENT_TEMPLATE.FAT&amp;display_string=Audit&amp;VAR:KEY=OXMPSNKTQD&amp;VAR:QUERY=RkZfRElWX1lMRChBTk4sNy8yMS8xMCw3LzIxLzEwKQ==&amp;WINDOW=FIRST_POPUP&amp;HEIGHT=450&amp;WIDTH=450&amp;","START_MAXIMIZED=FALSE&amp;VAR:CALENDAR=US&amp;VAR:SYMBOL=KO&amp;VAR:INDEX=0"}</definedName>
    <definedName name="_1612__FDSAUDITLINK__" localSheetId="0"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2__FDSAUDITLINK__" hidden="1">{"fdsup://directions/FAT Viewer?action=UPDATE&amp;creator=factset&amp;DYN_ARGS=TRUE&amp;DOC_NAME=FAT:FQL_AUDITING_CLIENT_TEMPLATE.FAT&amp;display_string=Audit&amp;VAR:KEY=MBQLODIZWJ&amp;VAR:QUERY=RkZfRElWX1lMRChBTk4sNy8xNC8xMCw3LzE0LzEwKQ==&amp;WINDOW=FIRST_POPUP&amp;HEIGHT=450&amp;WIDTH=450&amp;","START_MAXIMIZED=FALSE&amp;VAR:CALENDAR=US&amp;VAR:SYMBOL=KO&amp;VAR:INDEX=0"}</definedName>
    <definedName name="_1613__FDSAUDITLINK__" localSheetId="0"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3__FDSAUDITLINK__" hidden="1">{"fdsup://directions/FAT Viewer?action=UPDATE&amp;creator=factset&amp;DYN_ARGS=TRUE&amp;DOC_NAME=FAT:FQL_AUDITING_CLIENT_TEMPLATE.FAT&amp;display_string=Audit&amp;VAR:KEY=WHIZOBIXUB&amp;VAR:QUERY=RkZfRElWX1lMRChBTk4sNy8wNy8xMCw3LzA3LzEwKQ==&amp;WINDOW=FIRST_POPUP&amp;HEIGHT=450&amp;WIDTH=450&amp;","START_MAXIMIZED=FALSE&amp;VAR:CALENDAR=US&amp;VAR:SYMBOL=KO&amp;VAR:INDEX=0"}</definedName>
    <definedName name="_1614">#REF!</definedName>
    <definedName name="_1614__FDSAUDITLINK__" localSheetId="0"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4__FDSAUDITLINK__" hidden="1">{"fdsup://directions/FAT Viewer?action=UPDATE&amp;creator=factset&amp;DYN_ARGS=TRUE&amp;DOC_NAME=FAT:FQL_AUDITING_CLIENT_TEMPLATE.FAT&amp;display_string=Audit&amp;VAR:KEY=MFURKDERWH&amp;VAR:QUERY=RkZfRElWX1lMRChBTk4sNi8zMC8xMCw2LzMwLzEwKQ==&amp;WINDOW=FIRST_POPUP&amp;HEIGHT=450&amp;WIDTH=450&amp;","START_MAXIMIZED=FALSE&amp;VAR:CALENDAR=US&amp;VAR:SYMBOL=KO&amp;VAR:INDEX=0"}</definedName>
    <definedName name="_1615__FDSAUDITLINK__" localSheetId="0"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5__FDSAUDITLINK__" hidden="1">{"fdsup://directions/FAT Viewer?action=UPDATE&amp;creator=factset&amp;DYN_ARGS=TRUE&amp;DOC_NAME=FAT:FQL_AUDITING_CLIENT_TEMPLATE.FAT&amp;display_string=Audit&amp;VAR:KEY=WXMFWHCDWH&amp;VAR:QUERY=RkZfRElWX1lMRChBTk4sNi8yMy8xMCw2LzIzLzEwKQ==&amp;WINDOW=FIRST_POPUP&amp;HEIGHT=450&amp;WIDTH=450&amp;","START_MAXIMIZED=FALSE&amp;VAR:CALENDAR=US&amp;VAR:SYMBOL=KO&amp;VAR:INDEX=0"}</definedName>
    <definedName name="_1616__FDSAUDITLINK__" localSheetId="0"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6__FDSAUDITLINK__" hidden="1">{"fdsup://directions/FAT Viewer?action=UPDATE&amp;creator=factset&amp;DYN_ARGS=TRUE&amp;DOC_NAME=FAT:FQL_AUDITING_CLIENT_TEMPLATE.FAT&amp;display_string=Audit&amp;VAR:KEY=ELQLKVCLKX&amp;VAR:QUERY=RkZfRElWX1lMRChBTk4sNi8xNi8xMCw2LzE2LzEwKQ==&amp;WINDOW=FIRST_POPUP&amp;HEIGHT=450&amp;WIDTH=450&amp;","START_MAXIMIZED=FALSE&amp;VAR:CALENDAR=US&amp;VAR:SYMBOL=KO&amp;VAR:INDEX=0"}</definedName>
    <definedName name="_1617__FDSAUDITLINK__" localSheetId="0"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7__FDSAUDITLINK__" hidden="1">{"fdsup://directions/FAT Viewer?action=UPDATE&amp;creator=factset&amp;DYN_ARGS=TRUE&amp;DOC_NAME=FAT:FQL_AUDITING_CLIENT_TEMPLATE.FAT&amp;display_string=Audit&amp;VAR:KEY=WHKJGHAXAN&amp;VAR:QUERY=RkZfRElWX1lMRChBTk4sNi8wOS8xMCw2LzA5LzEwKQ==&amp;WINDOW=FIRST_POPUP&amp;HEIGHT=450&amp;WIDTH=450&amp;","START_MAXIMIZED=FALSE&amp;VAR:CALENDAR=US&amp;VAR:SYMBOL=KO&amp;VAR:INDEX=0"}</definedName>
    <definedName name="_1618__FDSAUDITLINK__" localSheetId="0"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8__FDSAUDITLINK__" hidden="1">{"fdsup://directions/FAT Viewer?action=UPDATE&amp;creator=factset&amp;DYN_ARGS=TRUE&amp;DOC_NAME=FAT:FQL_AUDITING_CLIENT_TEMPLATE.FAT&amp;display_string=Audit&amp;VAR:KEY=QXOBCLUPKX&amp;VAR:QUERY=RkZfRElWX1lMRChBTk4sNi8wMi8xMCw2LzAyLzEwKQ==&amp;WINDOW=FIRST_POPUP&amp;HEIGHT=450&amp;WIDTH=450&amp;","START_MAXIMIZED=FALSE&amp;VAR:CALENDAR=US&amp;VAR:SYMBOL=KO&amp;VAR:INDEX=0"}</definedName>
    <definedName name="_1619">#REF!</definedName>
    <definedName name="_1619__FDSAUDITLINK__" localSheetId="0"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19__FDSAUDITLINK__" hidden="1">{"fdsup://directions/FAT Viewer?action=UPDATE&amp;creator=factset&amp;DYN_ARGS=TRUE&amp;DOC_NAME=FAT:FQL_AUDITING_CLIENT_TEMPLATE.FAT&amp;display_string=Audit&amp;VAR:KEY=YFUPCRQNSH&amp;VAR:QUERY=RkZfRElWX1lMRChBTk4sNS8yNi8xMCw1LzI2LzEwKQ==&amp;WINDOW=FIRST_POPUP&amp;HEIGHT=450&amp;WIDTH=450&amp;","START_MAXIMIZED=FALSE&amp;VAR:CALENDAR=US&amp;VAR:SYMBOL=KO&amp;VAR:INDEX=0"}</definedName>
    <definedName name="_162__123Graph_FQRE_S_BY_CO.">#REF!</definedName>
    <definedName name="_162__FDSAUDITLINK__" localSheetId="0"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__FDSAUDITLINK__" hidden="1">{"fdsup://directions/FAT Viewer?action=UPDATE&amp;creator=factset&amp;DYN_ARGS=TRUE&amp;DOC_NAME=FAT:FQL_AUDITING_CLIENT_TEMPLATE.FAT&amp;display_string=Audit&amp;VAR:KEY=JWDMJMJOBE&amp;VAR:QUERY=RkZfRElWX1lMRChBTk4sMi8yOC8wOCwyLzI4LzA4KQ==&amp;WINDOW=FIRST_POPUP&amp;HEIGHT=450&amp;WIDTH=450&amp;","START_MAXIMIZED=FALSE&amp;VAR:CALENDAR=US&amp;VAR:SYMBOL=RAI&amp;VAR:INDEX=0"}</definedName>
    <definedName name="_1620__FDSAUDITLINK__" localSheetId="0"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0__FDSAUDITLINK__" hidden="1">{"fdsup://directions/FAT Viewer?action=UPDATE&amp;creator=factset&amp;DYN_ARGS=TRUE&amp;DOC_NAME=FAT:FQL_AUDITING_CLIENT_TEMPLATE.FAT&amp;display_string=Audit&amp;VAR:KEY=KJMDOJSTSZ&amp;VAR:QUERY=RkZfRElWX1lMRChBTk4sNS8xOS8xMCw1LzE5LzEwKQ==&amp;WINDOW=FIRST_POPUP&amp;HEIGHT=450&amp;WIDTH=450&amp;","START_MAXIMIZED=FALSE&amp;VAR:CALENDAR=US&amp;VAR:SYMBOL=KO&amp;VAR:INDEX=0"}</definedName>
    <definedName name="_1621__FDSAUDITLINK__" localSheetId="0"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1__FDSAUDITLINK__" hidden="1">{"fdsup://directions/FAT Viewer?action=UPDATE&amp;creator=factset&amp;DYN_ARGS=TRUE&amp;DOC_NAME=FAT:FQL_AUDITING_CLIENT_TEMPLATE.FAT&amp;display_string=Audit&amp;VAR:KEY=OZSTKFOZGJ&amp;VAR:QUERY=RkZfRElWX1lMRChBTk4sNS8xMi8xMCw1LzEyLzEwKQ==&amp;WINDOW=FIRST_POPUP&amp;HEIGHT=450&amp;WIDTH=450&amp;","START_MAXIMIZED=FALSE&amp;VAR:CALENDAR=US&amp;VAR:SYMBOL=KO&amp;VAR:INDEX=0"}</definedName>
    <definedName name="_1622__FDSAUDITLINK__" localSheetId="0"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2__FDSAUDITLINK__" hidden="1">{"fdsup://directions/FAT Viewer?action=UPDATE&amp;creator=factset&amp;DYN_ARGS=TRUE&amp;DOC_NAME=FAT:FQL_AUDITING_CLIENT_TEMPLATE.FAT&amp;display_string=Audit&amp;VAR:KEY=GHELMROJUH&amp;VAR:QUERY=RkZfRElWX1lMRChBTk4sNS8wNS8xMCw1LzA1LzEwKQ==&amp;WINDOW=FIRST_POPUP&amp;HEIGHT=450&amp;WIDTH=450&amp;","START_MAXIMIZED=FALSE&amp;VAR:CALENDAR=US&amp;VAR:SYMBOL=KO&amp;VAR:INDEX=0"}</definedName>
    <definedName name="_1623__FDSAUDITLINK__" localSheetId="0"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3__FDSAUDITLINK__" hidden="1">{"fdsup://directions/FAT Viewer?action=UPDATE&amp;creator=factset&amp;DYN_ARGS=TRUE&amp;DOC_NAME=FAT:FQL_AUDITING_CLIENT_TEMPLATE.FAT&amp;display_string=Audit&amp;VAR:KEY=WJOLMPUVQR&amp;VAR:QUERY=RkZfRElWX1lMRChBTk4sNC8yOC8xMCw0LzI4LzEwKQ==&amp;WINDOW=FIRST_POPUP&amp;HEIGHT=450&amp;WIDTH=450&amp;","START_MAXIMIZED=FALSE&amp;VAR:CALENDAR=US&amp;VAR:SYMBOL=KO&amp;VAR:INDEX=0"}</definedName>
    <definedName name="_1624">#REF!</definedName>
    <definedName name="_1624__FDSAUDITLINK__" localSheetId="0"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4__FDSAUDITLINK__" hidden="1">{"fdsup://directions/FAT Viewer?action=UPDATE&amp;creator=factset&amp;DYN_ARGS=TRUE&amp;DOC_NAME=FAT:FQL_AUDITING_CLIENT_TEMPLATE.FAT&amp;display_string=Audit&amp;VAR:KEY=ADSJAFQFIB&amp;VAR:QUERY=RkZfRElWX1lMRChBTk4sNC8yMS8xMCw0LzIxLzEwKQ==&amp;WINDOW=FIRST_POPUP&amp;HEIGHT=450&amp;WIDTH=450&amp;","START_MAXIMIZED=FALSE&amp;VAR:CALENDAR=US&amp;VAR:SYMBOL=KO&amp;VAR:INDEX=0"}</definedName>
    <definedName name="_1625">#REF!</definedName>
    <definedName name="_1625__FDSAUDITLINK__" localSheetId="0"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5__FDSAUDITLINK__" hidden="1">{"fdsup://directions/FAT Viewer?action=UPDATE&amp;creator=factset&amp;DYN_ARGS=TRUE&amp;DOC_NAME=FAT:FQL_AUDITING_CLIENT_TEMPLATE.FAT&amp;display_string=Audit&amp;VAR:KEY=EXALYXYRIB&amp;VAR:QUERY=RkZfRElWX1lMRChBTk4sNC8xNC8xMCw0LzE0LzEwKQ==&amp;WINDOW=FIRST_POPUP&amp;HEIGHT=450&amp;WIDTH=450&amp;","START_MAXIMIZED=FALSE&amp;VAR:CALENDAR=US&amp;VAR:SYMBOL=KO&amp;VAR:INDEX=0"}</definedName>
    <definedName name="_1626__FDSAUDITLINK__" localSheetId="0"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6__FDSAUDITLINK__" hidden="1">{"fdsup://directions/FAT Viewer?action=UPDATE&amp;creator=factset&amp;DYN_ARGS=TRUE&amp;DOC_NAME=FAT:FQL_AUDITING_CLIENT_TEMPLATE.FAT&amp;display_string=Audit&amp;VAR:KEY=ERGHWBELAD&amp;VAR:QUERY=RkZfRElWX1lMRChBTk4sNC8wNy8xMCw0LzA3LzEwKQ==&amp;WINDOW=FIRST_POPUP&amp;HEIGHT=450&amp;WIDTH=450&amp;","START_MAXIMIZED=FALSE&amp;VAR:CALENDAR=US&amp;VAR:SYMBOL=KO&amp;VAR:INDEX=0"}</definedName>
    <definedName name="_1627">#REF!</definedName>
    <definedName name="_1627__FDSAUDITLINK__" localSheetId="0"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7__FDSAUDITLINK__" hidden="1">{"fdsup://directions/FAT Viewer?action=UPDATE&amp;creator=factset&amp;DYN_ARGS=TRUE&amp;DOC_NAME=FAT:FQL_AUDITING_CLIENT_TEMPLATE.FAT&amp;display_string=Audit&amp;VAR:KEY=YVIPWZIRWX&amp;VAR:QUERY=RkZfRElWX1lMRChBTk4sMy8zMS8xMCwzLzMxLzEwKQ==&amp;WINDOW=FIRST_POPUP&amp;HEIGHT=450&amp;WIDTH=450&amp;","START_MAXIMIZED=FALSE&amp;VAR:CALENDAR=US&amp;VAR:SYMBOL=KO&amp;VAR:INDEX=0"}</definedName>
    <definedName name="_1628">#REF!</definedName>
    <definedName name="_1628__FDSAUDITLINK__" localSheetId="0"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8__FDSAUDITLINK__" hidden="1">{"fdsup://directions/FAT Viewer?action=UPDATE&amp;creator=factset&amp;DYN_ARGS=TRUE&amp;DOC_NAME=FAT:FQL_AUDITING_CLIENT_TEMPLATE.FAT&amp;display_string=Audit&amp;VAR:KEY=UPSNGDMZIZ&amp;VAR:QUERY=RkZfRElWX1lMRChBTk4sMy8yNC8xMCwzLzI0LzEwKQ==&amp;WINDOW=FIRST_POPUP&amp;HEIGHT=450&amp;WIDTH=450&amp;","START_MAXIMIZED=FALSE&amp;VAR:CALENDAR=US&amp;VAR:SYMBOL=KO&amp;VAR:INDEX=0"}</definedName>
    <definedName name="_1629__FDSAUDITLINK__" localSheetId="0"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29__FDSAUDITLINK__" hidden="1">{"fdsup://directions/FAT Viewer?action=UPDATE&amp;creator=factset&amp;DYN_ARGS=TRUE&amp;DOC_NAME=FAT:FQL_AUDITING_CLIENT_TEMPLATE.FAT&amp;display_string=Audit&amp;VAR:KEY=ALSJETQDSB&amp;VAR:QUERY=RkZfRElWX1lMRChBTk4sMy8xNy8xMCwzLzE3LzEwKQ==&amp;WINDOW=FIRST_POPUP&amp;HEIGHT=450&amp;WIDTH=450&amp;","START_MAXIMIZED=FALSE&amp;VAR:CALENDAR=US&amp;VAR:SYMBOL=KO&amp;VAR:INDEX=0"}</definedName>
    <definedName name="_163__123Graph_FQRE_S_BY_CO.">#REF!</definedName>
    <definedName name="_163__FDSAUDITLINK__" localSheetId="0"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__FDSAUDITLINK__" hidden="1">{"fdsup://directions/FAT Viewer?action=UPDATE&amp;creator=factset&amp;DYN_ARGS=TRUE&amp;DOC_NAME=FAT:FQL_AUDITING_CLIENT_TEMPLATE.FAT&amp;display_string=Audit&amp;VAR:KEY=XCTCLYRKTI&amp;VAR:QUERY=RkZfRElWX1lMRChBTk4sMi8yMS8wOCwyLzIxLzA4KQ==&amp;WINDOW=FIRST_POPUP&amp;HEIGHT=450&amp;WIDTH=450&amp;","START_MAXIMIZED=FALSE&amp;VAR:CALENDAR=US&amp;VAR:SYMBOL=RAI&amp;VAR:INDEX=0"}</definedName>
    <definedName name="_1630">#REF!</definedName>
    <definedName name="_1630__FDSAUDITLINK__" localSheetId="0"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0__FDSAUDITLINK__" hidden="1">{"fdsup://directions/FAT Viewer?action=UPDATE&amp;creator=factset&amp;DYN_ARGS=TRUE&amp;DOC_NAME=FAT:FQL_AUDITING_CLIENT_TEMPLATE.FAT&amp;display_string=Audit&amp;VAR:KEY=INORATCZAL&amp;VAR:QUERY=RkZfRElWX1lMRChBTk4sMy8xMC8xMCwzLzEwLzEwKQ==&amp;WINDOW=FIRST_POPUP&amp;HEIGHT=450&amp;WIDTH=450&amp;","START_MAXIMIZED=FALSE&amp;VAR:CALENDAR=US&amp;VAR:SYMBOL=KO&amp;VAR:INDEX=0"}</definedName>
    <definedName name="_1631">#REF!</definedName>
    <definedName name="_1631__FDSAUDITLINK__" localSheetId="0"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1__FDSAUDITLINK__" hidden="1">{"fdsup://directions/FAT Viewer?action=UPDATE&amp;creator=factset&amp;DYN_ARGS=TRUE&amp;DOC_NAME=FAT:FQL_AUDITING_CLIENT_TEMPLATE.FAT&amp;display_string=Audit&amp;VAR:KEY=ILGTKNGXQD&amp;VAR:QUERY=RkZfRElWX1lMRChBTk4sMy8wMy8xMCwzLzAzLzEwKQ==&amp;WINDOW=FIRST_POPUP&amp;HEIGHT=450&amp;WIDTH=450&amp;","START_MAXIMIZED=FALSE&amp;VAR:CALENDAR=US&amp;VAR:SYMBOL=KO&amp;VAR:INDEX=0"}</definedName>
    <definedName name="_1632">#REF!</definedName>
    <definedName name="_1632__FDSAUDITLINK__" localSheetId="0"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2__FDSAUDITLINK__" hidden="1">{"fdsup://directions/FAT Viewer?action=UPDATE&amp;creator=factset&amp;DYN_ARGS=TRUE&amp;DOC_NAME=FAT:FQL_AUDITING_CLIENT_TEMPLATE.FAT&amp;display_string=Audit&amp;VAR:KEY=EDSFKBSVIV&amp;VAR:QUERY=RkZfRElWX1lMRChBTk4sMi8yNC8xMCwyLzI0LzEwKQ==&amp;WINDOW=FIRST_POPUP&amp;HEIGHT=450&amp;WIDTH=450&amp;","START_MAXIMIZED=FALSE&amp;VAR:CALENDAR=US&amp;VAR:SYMBOL=KO&amp;VAR:INDEX=0"}</definedName>
    <definedName name="_1633">#REF!</definedName>
    <definedName name="_1633__FDSAUDITLINK__" localSheetId="0"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3__FDSAUDITLINK__" hidden="1">{"fdsup://directions/FAT Viewer?action=UPDATE&amp;creator=factset&amp;DYN_ARGS=TRUE&amp;DOC_NAME=FAT:FQL_AUDITING_CLIENT_TEMPLATE.FAT&amp;display_string=Audit&amp;VAR:KEY=ADUTOTENOD&amp;VAR:QUERY=RkZfRElWX1lMRChBTk4sMi8xNy8xMCwyLzE3LzEwKQ==&amp;WINDOW=FIRST_POPUP&amp;HEIGHT=450&amp;WIDTH=450&amp;","START_MAXIMIZED=FALSE&amp;VAR:CALENDAR=US&amp;VAR:SYMBOL=KO&amp;VAR:INDEX=0"}</definedName>
    <definedName name="_1634">#REF!</definedName>
    <definedName name="_1634__FDSAUDITLINK__" localSheetId="0"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4__FDSAUDITLINK__" hidden="1">{"fdsup://directions/FAT Viewer?action=UPDATE&amp;creator=factset&amp;DYN_ARGS=TRUE&amp;DOC_NAME=FAT:FQL_AUDITING_CLIENT_TEMPLATE.FAT&amp;display_string=Audit&amp;VAR:KEY=SJMXOLCTCL&amp;VAR:QUERY=RkZfRElWX1lMRChBTk4sMi8xMC8xMCwyLzEwLzEwKQ==&amp;WINDOW=FIRST_POPUP&amp;HEIGHT=450&amp;WIDTH=450&amp;","START_MAXIMIZED=FALSE&amp;VAR:CALENDAR=US&amp;VAR:SYMBOL=KO&amp;VAR:INDEX=0"}</definedName>
    <definedName name="_1635">#REF!</definedName>
    <definedName name="_1635__FDSAUDITLINK__" localSheetId="0"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5__FDSAUDITLINK__" hidden="1">{"fdsup://directions/FAT Viewer?action=UPDATE&amp;creator=factset&amp;DYN_ARGS=TRUE&amp;DOC_NAME=FAT:FQL_AUDITING_CLIENT_TEMPLATE.FAT&amp;display_string=Audit&amp;VAR:KEY=EXSJSVYBUX&amp;VAR:QUERY=RkZfRElWX1lMRChBTk4sMi8wMy8xMCwyLzAzLzEwKQ==&amp;WINDOW=FIRST_POPUP&amp;HEIGHT=450&amp;WIDTH=450&amp;","START_MAXIMIZED=FALSE&amp;VAR:CALENDAR=US&amp;VAR:SYMBOL=KO&amp;VAR:INDEX=0"}</definedName>
    <definedName name="_1636">#REF!</definedName>
    <definedName name="_1636__FDSAUDITLINK__" localSheetId="0"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6__FDSAUDITLINK__" hidden="1">{"fdsup://directions/FAT Viewer?action=UPDATE&amp;creator=factset&amp;DYN_ARGS=TRUE&amp;DOC_NAME=FAT:FQL_AUDITING_CLIENT_TEMPLATE.FAT&amp;display_string=Audit&amp;VAR:KEY=GVOROTYFYB&amp;VAR:QUERY=RkZfRElWX1lMRChBTk4sMS8yNy8xMCwxLzI3LzEwKQ==&amp;WINDOW=FIRST_POPUP&amp;HEIGHT=450&amp;WIDTH=450&amp;","START_MAXIMIZED=FALSE&amp;VAR:CALENDAR=US&amp;VAR:SYMBOL=KO&amp;VAR:INDEX=0"}</definedName>
    <definedName name="_1637">#REF!</definedName>
    <definedName name="_1637__FDSAUDITLINK__" localSheetId="0"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7__FDSAUDITLINK__" hidden="1">{"fdsup://directions/FAT Viewer?action=UPDATE&amp;creator=factset&amp;DYN_ARGS=TRUE&amp;DOC_NAME=FAT:FQL_AUDITING_CLIENT_TEMPLATE.FAT&amp;display_string=Audit&amp;VAR:KEY=SDGDOLGLAJ&amp;VAR:QUERY=RkZfRElWX1lMRChBTk4sMS8yMC8xMCwxLzIwLzEwKQ==&amp;WINDOW=FIRST_POPUP&amp;HEIGHT=450&amp;WIDTH=450&amp;","START_MAXIMIZED=FALSE&amp;VAR:CALENDAR=US&amp;VAR:SYMBOL=KO&amp;VAR:INDEX=0"}</definedName>
    <definedName name="_1638">#REF!</definedName>
    <definedName name="_1638__FDSAUDITLINK__" localSheetId="0"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8__FDSAUDITLINK__" hidden="1">{"fdsup://directions/FAT Viewer?action=UPDATE&amp;creator=factset&amp;DYN_ARGS=TRUE&amp;DOC_NAME=FAT:FQL_AUDITING_CLIENT_TEMPLATE.FAT&amp;display_string=Audit&amp;VAR:KEY=ATCTUZEXAT&amp;VAR:QUERY=RkZfRElWX1lMRChBTk4sMS8xMy8xMCwxLzEzLzEwKQ==&amp;WINDOW=FIRST_POPUP&amp;HEIGHT=450&amp;WIDTH=450&amp;","START_MAXIMIZED=FALSE&amp;VAR:CALENDAR=US&amp;VAR:SYMBOL=KO&amp;VAR:INDEX=0"}</definedName>
    <definedName name="_1639">#REF!</definedName>
    <definedName name="_1639__FDSAUDITLINK__" localSheetId="0"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39__FDSAUDITLINK__" hidden="1">{"fdsup://directions/FAT Viewer?action=UPDATE&amp;creator=factset&amp;DYN_ARGS=TRUE&amp;DOC_NAME=FAT:FQL_AUDITING_CLIENT_TEMPLATE.FAT&amp;display_string=Audit&amp;VAR:KEY=MLWJGPGZMB&amp;VAR:QUERY=RkZfRElWX1lMRChBTk4sMS8wNi8xMCwxLzA2LzEwKQ==&amp;WINDOW=FIRST_POPUP&amp;HEIGHT=450&amp;WIDTH=450&amp;","START_MAXIMIZED=FALSE&amp;VAR:CALENDAR=US&amp;VAR:SYMBOL=KO&amp;VAR:INDEX=0"}</definedName>
    <definedName name="_164__FDSAUDITLINK__" localSheetId="0"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__FDSAUDITLINK__" hidden="1">{"fdsup://directions/FAT Viewer?action=UPDATE&amp;creator=factset&amp;DYN_ARGS=TRUE&amp;DOC_NAME=FAT:FQL_AUDITING_CLIENT_TEMPLATE.FAT&amp;display_string=Audit&amp;VAR:KEY=DATGNSPGDK&amp;VAR:QUERY=RkZfRElWX1lMRChBTk4sMi8xNC8wOCwyLzE0LzA4KQ==&amp;WINDOW=FIRST_POPUP&amp;HEIGHT=450&amp;WIDTH=450&amp;","START_MAXIMIZED=FALSE&amp;VAR:CALENDAR=US&amp;VAR:SYMBOL=RAI&amp;VAR:INDEX=0"}</definedName>
    <definedName name="_1640">#REF!</definedName>
    <definedName name="_1640__FDSAUDITLINK__" localSheetId="0"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0__FDSAUDITLINK__" hidden="1">{"fdsup://directions/FAT Viewer?action=UPDATE&amp;creator=factset&amp;DYN_ARGS=TRUE&amp;DOC_NAME=FAT:FQL_AUDITING_CLIENT_TEMPLATE.FAT&amp;display_string=Audit&amp;VAR:KEY=AJSTUXUNGD&amp;VAR:QUERY=RkZfRElWX1lMRChBTk4sMTIvMzAvMDksMTIvMzAvMDkp&amp;WINDOW=FIRST_POPUP&amp;HEIGHT=450&amp;WIDTH=450&amp;","START_MAXIMIZED=FALSE&amp;VAR:CALENDAR=US&amp;VAR:SYMBOL=KO&amp;VAR:INDEX=0"}</definedName>
    <definedName name="_1641">#REF!</definedName>
    <definedName name="_1641__FDSAUDITLINK__" localSheetId="0"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1__FDSAUDITLINK__" hidden="1">{"fdsup://directions/FAT Viewer?action=UPDATE&amp;creator=factset&amp;DYN_ARGS=TRUE&amp;DOC_NAME=FAT:FQL_AUDITING_CLIENT_TEMPLATE.FAT&amp;display_string=Audit&amp;VAR:KEY=WLCRYXINKL&amp;VAR:QUERY=RkZfRElWX1lMRChBTk4sMTIvMjMvMDksMTIvMjMvMDkp&amp;WINDOW=FIRST_POPUP&amp;HEIGHT=450&amp;WIDTH=450&amp;","START_MAXIMIZED=FALSE&amp;VAR:CALENDAR=US&amp;VAR:SYMBOL=KO&amp;VAR:INDEX=0"}</definedName>
    <definedName name="_1642">#REF!</definedName>
    <definedName name="_1642__FDSAUDITLINK__" localSheetId="0"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2__FDSAUDITLINK__" hidden="1">{"fdsup://directions/FAT Viewer?action=UPDATE&amp;creator=factset&amp;DYN_ARGS=TRUE&amp;DOC_NAME=FAT:FQL_AUDITING_CLIENT_TEMPLATE.FAT&amp;display_string=Audit&amp;VAR:KEY=GPSDUFWHCJ&amp;VAR:QUERY=RkZfRElWX1lMRChBTk4sMTIvMTYvMDksMTIvMTYvMDkp&amp;WINDOW=FIRST_POPUP&amp;HEIGHT=450&amp;WIDTH=450&amp;","START_MAXIMIZED=FALSE&amp;VAR:CALENDAR=US&amp;VAR:SYMBOL=KO&amp;VAR:INDEX=0"}</definedName>
    <definedName name="_1643">#REF!</definedName>
    <definedName name="_1643__FDSAUDITLINK__" localSheetId="0"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3__FDSAUDITLINK__" hidden="1">{"fdsup://directions/FAT Viewer?action=UPDATE&amp;creator=factset&amp;DYN_ARGS=TRUE&amp;DOC_NAME=FAT:FQL_AUDITING_CLIENT_TEMPLATE.FAT&amp;display_string=Audit&amp;VAR:KEY=KFGJINILUF&amp;VAR:QUERY=RkZfRElWX1lMRChBTk4sMTIvMDkvMDksMTIvMDkvMDkp&amp;WINDOW=FIRST_POPUP&amp;HEIGHT=450&amp;WIDTH=450&amp;","START_MAXIMIZED=FALSE&amp;VAR:CALENDAR=US&amp;VAR:SYMBOL=KO&amp;VAR:INDEX=0"}</definedName>
    <definedName name="_1644">#REF!</definedName>
    <definedName name="_1644__FDSAUDITLINK__" localSheetId="0"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4__FDSAUDITLINK__" hidden="1">{"fdsup://directions/FAT Viewer?action=UPDATE&amp;creator=factset&amp;DYN_ARGS=TRUE&amp;DOC_NAME=FAT:FQL_AUDITING_CLIENT_TEMPLATE.FAT&amp;display_string=Audit&amp;VAR:KEY=GZMXCZIDKR&amp;VAR:QUERY=RkZfRElWX1lMRChBTk4sMTIvMDIvMDksMTIvMDIvMDkp&amp;WINDOW=FIRST_POPUP&amp;HEIGHT=450&amp;WIDTH=450&amp;","START_MAXIMIZED=FALSE&amp;VAR:CALENDAR=US&amp;VAR:SYMBOL=KO&amp;VAR:INDEX=0"}</definedName>
    <definedName name="_1645">#REF!</definedName>
    <definedName name="_1645__FDSAUDITLINK__" localSheetId="0"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5__FDSAUDITLINK__" hidden="1">{"fdsup://directions/FAT Viewer?action=UPDATE&amp;creator=factset&amp;DYN_ARGS=TRUE&amp;DOC_NAME=FAT:FQL_AUDITING_CLIENT_TEMPLATE.FAT&amp;display_string=Audit&amp;VAR:KEY=KTEZYFCDUH&amp;VAR:QUERY=RkZfRElWX1lMRChBTk4sMTEvMjUvMDksMTEvMjUvMDkp&amp;WINDOW=FIRST_POPUP&amp;HEIGHT=450&amp;WIDTH=450&amp;","START_MAXIMIZED=FALSE&amp;VAR:CALENDAR=US&amp;VAR:SYMBOL=KO&amp;VAR:INDEX=0"}</definedName>
    <definedName name="_1646">#REF!</definedName>
    <definedName name="_1646__FDSAUDITLINK__" localSheetId="0"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6__FDSAUDITLINK__" hidden="1">{"fdsup://directions/FAT Viewer?action=UPDATE&amp;creator=factset&amp;DYN_ARGS=TRUE&amp;DOC_NAME=FAT:FQL_AUDITING_CLIENT_TEMPLATE.FAT&amp;display_string=Audit&amp;VAR:KEY=YTIHSTIXOX&amp;VAR:QUERY=RkZfRElWX1lMRChBTk4sMTEvMTgvMDksMTEvMTgvMDkp&amp;WINDOW=FIRST_POPUP&amp;HEIGHT=450&amp;WIDTH=450&amp;","START_MAXIMIZED=FALSE&amp;VAR:CALENDAR=US&amp;VAR:SYMBOL=KO&amp;VAR:INDEX=0"}</definedName>
    <definedName name="_1647">#REF!</definedName>
    <definedName name="_1647__FDSAUDITLINK__" localSheetId="0"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7__FDSAUDITLINK__" hidden="1">{"fdsup://directions/FAT Viewer?action=UPDATE&amp;creator=factset&amp;DYN_ARGS=TRUE&amp;DOC_NAME=FAT:FQL_AUDITING_CLIENT_TEMPLATE.FAT&amp;display_string=Audit&amp;VAR:KEY=GJCFCLQRYZ&amp;VAR:QUERY=RkZfRElWX1lMRChBTk4sMTEvMTEvMDksMTEvMTEvMDkp&amp;WINDOW=FIRST_POPUP&amp;HEIGHT=450&amp;WIDTH=450&amp;","START_MAXIMIZED=FALSE&amp;VAR:CALENDAR=US&amp;VAR:SYMBOL=KO&amp;VAR:INDEX=0"}</definedName>
    <definedName name="_1648">#REF!</definedName>
    <definedName name="_1648__FDSAUDITLINK__" localSheetId="0"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8__FDSAUDITLINK__" hidden="1">{"fdsup://directions/FAT Viewer?action=UPDATE&amp;creator=factset&amp;DYN_ARGS=TRUE&amp;DOC_NAME=FAT:FQL_AUDITING_CLIENT_TEMPLATE.FAT&amp;display_string=Audit&amp;VAR:KEY=OXWHCBOPQL&amp;VAR:QUERY=RkZfRElWX1lMRChBTk4sMTEvMDQvMDksMTEvMDQvMDkp&amp;WINDOW=FIRST_POPUP&amp;HEIGHT=450&amp;WIDTH=450&amp;","START_MAXIMIZED=FALSE&amp;VAR:CALENDAR=US&amp;VAR:SYMBOL=KO&amp;VAR:INDEX=0"}</definedName>
    <definedName name="_1649">#REF!</definedName>
    <definedName name="_1649__FDSAUDITLINK__" localSheetId="0"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49__FDSAUDITLINK__" hidden="1">{"fdsup://directions/FAT Viewer?action=UPDATE&amp;creator=factset&amp;DYN_ARGS=TRUE&amp;DOC_NAME=FAT:FQL_AUDITING_CLIENT_TEMPLATE.FAT&amp;display_string=Audit&amp;VAR:KEY=GJEFEJUDSF&amp;VAR:QUERY=RkZfRElWX1lMRChBTk4sMTAvMjgvMDksMTAvMjgvMDkp&amp;WINDOW=FIRST_POPUP&amp;HEIGHT=450&amp;WIDTH=450&amp;","START_MAXIMIZED=FALSE&amp;VAR:CALENDAR=US&amp;VAR:SYMBOL=KO&amp;VAR:INDEX=0"}</definedName>
    <definedName name="_165">#REF!</definedName>
    <definedName name="_165__FDSAUDITLINK__" localSheetId="0"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__FDSAUDITLINK__" hidden="1">{"fdsup://directions/FAT Viewer?action=UPDATE&amp;creator=factset&amp;DYN_ARGS=TRUE&amp;DOC_NAME=FAT:FQL_AUDITING_CLIENT_TEMPLATE.FAT&amp;display_string=Audit&amp;VAR:KEY=XUBWFGHKXW&amp;VAR:QUERY=RkZfRElWX1lMRChBTk4sMi8wNy8wOCwyLzA3LzA4KQ==&amp;WINDOW=FIRST_POPUP&amp;HEIGHT=450&amp;WIDTH=450&amp;","START_MAXIMIZED=FALSE&amp;VAR:CALENDAR=US&amp;VAR:SYMBOL=RAI&amp;VAR:INDEX=0"}</definedName>
    <definedName name="_1650">#REF!</definedName>
    <definedName name="_1650__FDSAUDITLINK__" localSheetId="0"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0__FDSAUDITLINK__" hidden="1">{"fdsup://directions/FAT Viewer?action=UPDATE&amp;creator=factset&amp;DYN_ARGS=TRUE&amp;DOC_NAME=FAT:FQL_AUDITING_CLIENT_TEMPLATE.FAT&amp;display_string=Audit&amp;VAR:KEY=URCNOPSJSR&amp;VAR:QUERY=RkZfRElWX1lMRChBTk4sMTAvMjEvMDksMTAvMjEvMDkp&amp;WINDOW=FIRST_POPUP&amp;HEIGHT=450&amp;WIDTH=450&amp;","START_MAXIMIZED=FALSE&amp;VAR:CALENDAR=US&amp;VAR:SYMBOL=KO&amp;VAR:INDEX=0"}</definedName>
    <definedName name="_1651">#REF!</definedName>
    <definedName name="_1651__FDSAUDITLINK__" localSheetId="0"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1__FDSAUDITLINK__" hidden="1">{"fdsup://directions/FAT Viewer?action=UPDATE&amp;creator=factset&amp;DYN_ARGS=TRUE&amp;DOC_NAME=FAT:FQL_AUDITING_CLIENT_TEMPLATE.FAT&amp;display_string=Audit&amp;VAR:KEY=IFSFKBOBQP&amp;VAR:QUERY=RkZfRElWX1lMRChBTk4sMTAvMTQvMDksMTAvMTQvMDkp&amp;WINDOW=FIRST_POPUP&amp;HEIGHT=450&amp;WIDTH=450&amp;","START_MAXIMIZED=FALSE&amp;VAR:CALENDAR=US&amp;VAR:SYMBOL=KO&amp;VAR:INDEX=0"}</definedName>
    <definedName name="_1652">#REF!</definedName>
    <definedName name="_1652__FDSAUDITLINK__" localSheetId="0"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2__FDSAUDITLINK__" hidden="1">{"fdsup://directions/FAT Viewer?action=UPDATE&amp;creator=factset&amp;DYN_ARGS=TRUE&amp;DOC_NAME=FAT:FQL_AUDITING_CLIENT_TEMPLATE.FAT&amp;display_string=Audit&amp;VAR:KEY=YFKLYVMPKD&amp;VAR:QUERY=RkZfRElWX1lMRChBTk4sMTAvMDcvMDksMTAvMDcvMDkp&amp;WINDOW=FIRST_POPUP&amp;HEIGHT=450&amp;WIDTH=450&amp;","START_MAXIMIZED=FALSE&amp;VAR:CALENDAR=US&amp;VAR:SYMBOL=KO&amp;VAR:INDEX=0"}</definedName>
    <definedName name="_1653">#REF!</definedName>
    <definedName name="_1653__FDSAUDITLINK__" localSheetId="0"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3__FDSAUDITLINK__" hidden="1">{"fdsup://directions/FAT Viewer?action=UPDATE&amp;creator=factset&amp;DYN_ARGS=TRUE&amp;DOC_NAME=FAT:FQL_AUDITING_CLIENT_TEMPLATE.FAT&amp;display_string=Audit&amp;VAR:KEY=IHAPALWDSZ&amp;VAR:QUERY=RkZfRElWX1lMRChBTk4sOS8zMC8wOSw5LzMwLzA5KQ==&amp;WINDOW=FIRST_POPUP&amp;HEIGHT=450&amp;WIDTH=450&amp;","START_MAXIMIZED=FALSE&amp;VAR:CALENDAR=US&amp;VAR:SYMBOL=KO&amp;VAR:INDEX=0"}</definedName>
    <definedName name="_1654">#REF!</definedName>
    <definedName name="_1654__FDSAUDITLINK__" localSheetId="0"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4__FDSAUDITLINK__" hidden="1">{"fdsup://directions/FAT Viewer?action=UPDATE&amp;creator=factset&amp;DYN_ARGS=TRUE&amp;DOC_NAME=FAT:FQL_AUDITING_CLIENT_TEMPLATE.FAT&amp;display_string=Audit&amp;VAR:KEY=OFUTAJKXCB&amp;VAR:QUERY=RkZfRElWX1lMRChBTk4sOS8yMy8wOSw5LzIzLzA5KQ==&amp;WINDOW=FIRST_POPUP&amp;HEIGHT=450&amp;WIDTH=450&amp;","START_MAXIMIZED=FALSE&amp;VAR:CALENDAR=US&amp;VAR:SYMBOL=KO&amp;VAR:INDEX=0"}</definedName>
    <definedName name="_1655__FDSAUDITLINK__" localSheetId="0"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5__FDSAUDITLINK__" hidden="1">{"fdsup://directions/FAT Viewer?action=UPDATE&amp;creator=factset&amp;DYN_ARGS=TRUE&amp;DOC_NAME=FAT:FQL_AUDITING_CLIENT_TEMPLATE.FAT&amp;display_string=Audit&amp;VAR:KEY=UFIFMLSFMH&amp;VAR:QUERY=RkZfRElWX1lMRChBTk4sOS8xNi8wOSw5LzE2LzA5KQ==&amp;WINDOW=FIRST_POPUP&amp;HEIGHT=450&amp;WIDTH=450&amp;","START_MAXIMIZED=FALSE&amp;VAR:CALENDAR=US&amp;VAR:SYMBOL=KO&amp;VAR:INDEX=0"}</definedName>
    <definedName name="_1656__FDSAUDITLINK__" localSheetId="0"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6__FDSAUDITLINK__" hidden="1">{"fdsup://directions/FAT Viewer?action=UPDATE&amp;creator=factset&amp;DYN_ARGS=TRUE&amp;DOC_NAME=FAT:FQL_AUDITING_CLIENT_TEMPLATE.FAT&amp;display_string=Audit&amp;VAR:KEY=QDWZOFSZQP&amp;VAR:QUERY=RkZfRElWX1lMRChBTk4sOS8wOS8wOSw5LzA5LzA5KQ==&amp;WINDOW=FIRST_POPUP&amp;HEIGHT=450&amp;WIDTH=450&amp;","START_MAXIMIZED=FALSE&amp;VAR:CALENDAR=US&amp;VAR:SYMBOL=KO&amp;VAR:INDEX=0"}</definedName>
    <definedName name="_1657__FDSAUDITLINK__" localSheetId="0"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7__FDSAUDITLINK__" hidden="1">{"fdsup://directions/FAT Viewer?action=UPDATE&amp;creator=factset&amp;DYN_ARGS=TRUE&amp;DOC_NAME=FAT:FQL_AUDITING_CLIENT_TEMPLATE.FAT&amp;display_string=Audit&amp;VAR:KEY=MLUJSJWXAH&amp;VAR:QUERY=RkZfRElWX1lMRChBTk4sOS8wMi8wOSw5LzAyLzA5KQ==&amp;WINDOW=FIRST_POPUP&amp;HEIGHT=450&amp;WIDTH=450&amp;","START_MAXIMIZED=FALSE&amp;VAR:CALENDAR=US&amp;VAR:SYMBOL=KO&amp;VAR:INDEX=0"}</definedName>
    <definedName name="_1658">#REF!</definedName>
    <definedName name="_1658__FDSAUDITLINK__" localSheetId="0"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8__FDSAUDITLINK__" hidden="1">{"fdsup://directions/FAT Viewer?action=UPDATE&amp;creator=factset&amp;DYN_ARGS=TRUE&amp;DOC_NAME=FAT:FQL_AUDITING_CLIENT_TEMPLATE.FAT&amp;display_string=Audit&amp;VAR:KEY=GFMXWXGLKJ&amp;VAR:QUERY=RkZfRElWX1lMRChBTk4sOC8yNi8wOSw4LzI2LzA5KQ==&amp;WINDOW=FIRST_POPUP&amp;HEIGHT=450&amp;WIDTH=450&amp;","START_MAXIMIZED=FALSE&amp;VAR:CALENDAR=US&amp;VAR:SYMBOL=KO&amp;VAR:INDEX=0"}</definedName>
    <definedName name="_1659__FDSAUDITLINK__" localSheetId="0"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59__FDSAUDITLINK__" hidden="1">{"fdsup://directions/FAT Viewer?action=UPDATE&amp;creator=factset&amp;DYN_ARGS=TRUE&amp;DOC_NAME=FAT:FQL_AUDITING_CLIENT_TEMPLATE.FAT&amp;display_string=Audit&amp;VAR:KEY=IXINKXUTIL&amp;VAR:QUERY=RkZfRElWX1lMRChBTk4sOC8xOS8wOSw4LzE5LzA5KQ==&amp;WINDOW=FIRST_POPUP&amp;HEIGHT=450&amp;WIDTH=450&amp;","START_MAXIMIZED=FALSE&amp;VAR:CALENDAR=US&amp;VAR:SYMBOL=KO&amp;VAR:INDEX=0"}</definedName>
    <definedName name="_166">#REF!</definedName>
    <definedName name="_166__123Graph_XSUPPLIES_BY_B_U">#REF!</definedName>
    <definedName name="_166__FDSAUDITLINK__" localSheetId="0"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__FDSAUDITLINK__" hidden="1">{"fdsup://directions/FAT Viewer?action=UPDATE&amp;creator=factset&amp;DYN_ARGS=TRUE&amp;DOC_NAME=FAT:FQL_AUDITING_CLIENT_TEMPLATE.FAT&amp;display_string=Audit&amp;VAR:KEY=RQZERSVEHI&amp;VAR:QUERY=RkZfRElWX1lMRChBTk4sMS8zMS8wOCwxLzMxLzA4KQ==&amp;WINDOW=FIRST_POPUP&amp;HEIGHT=450&amp;WIDTH=450&amp;","START_MAXIMIZED=FALSE&amp;VAR:CALENDAR=US&amp;VAR:SYMBOL=RAI&amp;VAR:INDEX=0"}</definedName>
    <definedName name="_1660__FDSAUDITLINK__" localSheetId="0"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0__FDSAUDITLINK__" hidden="1">{"fdsup://directions/FAT Viewer?action=UPDATE&amp;creator=factset&amp;DYN_ARGS=TRUE&amp;DOC_NAME=FAT:FQL_AUDITING_CLIENT_TEMPLATE.FAT&amp;display_string=Audit&amp;VAR:KEY=GJYFMPUFEH&amp;VAR:QUERY=RkZfRElWX1lMRChBTk4sOC8xMi8wOSw4LzEyLzA5KQ==&amp;WINDOW=FIRST_POPUP&amp;HEIGHT=450&amp;WIDTH=450&amp;","START_MAXIMIZED=FALSE&amp;VAR:CALENDAR=US&amp;VAR:SYMBOL=KO&amp;VAR:INDEX=0"}</definedName>
    <definedName name="_1661__FDSAUDITLINK__" localSheetId="0"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1__FDSAUDITLINK__" hidden="1">{"fdsup://directions/FAT Viewer?action=UPDATE&amp;creator=factset&amp;DYN_ARGS=TRUE&amp;DOC_NAME=FAT:FQL_AUDITING_CLIENT_TEMPLATE.FAT&amp;display_string=Audit&amp;VAR:KEY=GTYXWPELAD&amp;VAR:QUERY=RkZfRElWX1lMRChBTk4sOC8wNS8wOSw4LzA1LzA5KQ==&amp;WINDOW=FIRST_POPUP&amp;HEIGHT=450&amp;WIDTH=450&amp;","START_MAXIMIZED=FALSE&amp;VAR:CALENDAR=US&amp;VAR:SYMBOL=KO&amp;VAR:INDEX=0"}</definedName>
    <definedName name="_1662__FDSAUDITLINK__" localSheetId="0"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2__FDSAUDITLINK__" hidden="1">{"fdsup://directions/FAT Viewer?action=UPDATE&amp;creator=factset&amp;DYN_ARGS=TRUE&amp;DOC_NAME=FAT:FQL_AUDITING_CLIENT_TEMPLATE.FAT&amp;display_string=Audit&amp;VAR:KEY=EFEXAJERCX&amp;VAR:QUERY=RkZfRElWX1lMRChBTk4sNy8yOS8wOSw3LzI5LzA5KQ==&amp;WINDOW=FIRST_POPUP&amp;HEIGHT=450&amp;WIDTH=450&amp;","START_MAXIMIZED=FALSE&amp;VAR:CALENDAR=US&amp;VAR:SYMBOL=KO&amp;VAR:INDEX=0"}</definedName>
    <definedName name="_1663">#REF!</definedName>
    <definedName name="_1663__FDSAUDITLINK__" localSheetId="0"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3__FDSAUDITLINK__" hidden="1">{"fdsup://directions/FAT Viewer?action=UPDATE&amp;creator=factset&amp;DYN_ARGS=TRUE&amp;DOC_NAME=FAT:FQL_AUDITING_CLIENT_TEMPLATE.FAT&amp;display_string=Audit&amp;VAR:KEY=QNAFABQRGP&amp;VAR:QUERY=RkZfRElWX1lMRChBTk4sNy8yMi8wOSw3LzIyLzA5KQ==&amp;WINDOW=FIRST_POPUP&amp;HEIGHT=450&amp;WIDTH=450&amp;","START_MAXIMIZED=FALSE&amp;VAR:CALENDAR=US&amp;VAR:SYMBOL=KO&amp;VAR:INDEX=0"}</definedName>
    <definedName name="_1664__FDSAUDITLINK__" localSheetId="0"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4__FDSAUDITLINK__" hidden="1">{"fdsup://directions/FAT Viewer?action=UPDATE&amp;creator=factset&amp;DYN_ARGS=TRUE&amp;DOC_NAME=FAT:FQL_AUDITING_CLIENT_TEMPLATE.FAT&amp;display_string=Audit&amp;VAR:KEY=OHUNSLYDAR&amp;VAR:QUERY=RkZfRElWX1lMRChBTk4sNy8xNS8wOSw3LzE1LzA5KQ==&amp;WINDOW=FIRST_POPUP&amp;HEIGHT=450&amp;WIDTH=450&amp;","START_MAXIMIZED=FALSE&amp;VAR:CALENDAR=US&amp;VAR:SYMBOL=KO&amp;VAR:INDEX=0"}</definedName>
    <definedName name="_1665__FDSAUDITLINK__" localSheetId="0"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5__FDSAUDITLINK__" hidden="1">{"fdsup://directions/FAT Viewer?action=UPDATE&amp;creator=factset&amp;DYN_ARGS=TRUE&amp;DOC_NAME=FAT:FQL_AUDITING_CLIENT_TEMPLATE.FAT&amp;display_string=Audit&amp;VAR:KEY=OXMNKTUJSX&amp;VAR:QUERY=RkZfRElWX1lMRChBTk4sNy8wOC8wOSw3LzA4LzA5KQ==&amp;WINDOW=FIRST_POPUP&amp;HEIGHT=450&amp;WIDTH=450&amp;","START_MAXIMIZED=FALSE&amp;VAR:CALENDAR=US&amp;VAR:SYMBOL=KO&amp;VAR:INDEX=0"}</definedName>
    <definedName name="_1666__FDSAUDITLINK__" localSheetId="0"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6__FDSAUDITLINK__" hidden="1">{"fdsup://directions/FAT Viewer?action=UPDATE&amp;creator=factset&amp;DYN_ARGS=TRUE&amp;DOC_NAME=FAT:FQL_AUDITING_CLIENT_TEMPLATE.FAT&amp;display_string=Audit&amp;VAR:KEY=MPCBQBMNIL&amp;VAR:QUERY=RkZfRElWX1lMRChBTk4sNy8wMS8wOSw3LzAxLzA5KQ==&amp;WINDOW=FIRST_POPUP&amp;HEIGHT=450&amp;WIDTH=450&amp;","START_MAXIMIZED=FALSE&amp;VAR:CALENDAR=US&amp;VAR:SYMBOL=KO&amp;VAR:INDEX=0"}</definedName>
    <definedName name="_1667__FDSAUDITLINK__" localSheetId="0"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7__FDSAUDITLINK__" hidden="1">{"fdsup://directions/FAT Viewer?action=UPDATE&amp;creator=factset&amp;DYN_ARGS=TRUE&amp;DOC_NAME=FAT:FQL_AUDITING_CLIENT_TEMPLATE.FAT&amp;display_string=Audit&amp;VAR:KEY=URMBOHINAR&amp;VAR:QUERY=RkZfRElWX1lMRChBTk4sNi8yNC8wOSw2LzI0LzA5KQ==&amp;WINDOW=FIRST_POPUP&amp;HEIGHT=450&amp;WIDTH=450&amp;","START_MAXIMIZED=FALSE&amp;VAR:CALENDAR=US&amp;VAR:SYMBOL=KO&amp;VAR:INDEX=0"}</definedName>
    <definedName name="_1668">#REF!</definedName>
    <definedName name="_1668__FDSAUDITLINK__" localSheetId="0"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8__FDSAUDITLINK__" hidden="1">{"fdsup://directions/FAT Viewer?action=UPDATE&amp;creator=factset&amp;DYN_ARGS=TRUE&amp;DOC_NAME=FAT:FQL_AUDITING_CLIENT_TEMPLATE.FAT&amp;display_string=Audit&amp;VAR:KEY=MDYHKPANKD&amp;VAR:QUERY=RkZfRElWX1lMRChBTk4sNi8xNy8wOSw2LzE3LzA5KQ==&amp;WINDOW=FIRST_POPUP&amp;HEIGHT=450&amp;WIDTH=450&amp;","START_MAXIMIZED=FALSE&amp;VAR:CALENDAR=US&amp;VAR:SYMBOL=KO&amp;VAR:INDEX=0"}</definedName>
    <definedName name="_1669__FDSAUDITLINK__" localSheetId="0"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69__FDSAUDITLINK__" hidden="1">{"fdsup://directions/FAT Viewer?action=UPDATE&amp;creator=factset&amp;DYN_ARGS=TRUE&amp;DOC_NAME=FAT:FQL_AUDITING_CLIENT_TEMPLATE.FAT&amp;display_string=Audit&amp;VAR:KEY=YHMJMHCLUF&amp;VAR:QUERY=RkZfRElWX1lMRChBTk4sNi8xMC8wOSw2LzEwLzA5KQ==&amp;WINDOW=FIRST_POPUP&amp;HEIGHT=450&amp;WIDTH=450&amp;","START_MAXIMIZED=FALSE&amp;VAR:CALENDAR=US&amp;VAR:SYMBOL=KO&amp;VAR:INDEX=0"}</definedName>
    <definedName name="_167">#REF!</definedName>
    <definedName name="_167__FDSAUDITLINK__" localSheetId="0"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__FDSAUDITLINK__" hidden="1">{"fdsup://directions/FAT Viewer?action=UPDATE&amp;creator=factset&amp;DYN_ARGS=TRUE&amp;DOC_NAME=FAT:FQL_AUDITING_CLIENT_TEMPLATE.FAT&amp;display_string=Audit&amp;VAR:KEY=FSRABKLGXW&amp;VAR:QUERY=RkZfRElWX1lMRChBTk4sMS8yNC8wOCwxLzI0LzA4KQ==&amp;WINDOW=FIRST_POPUP&amp;HEIGHT=450&amp;WIDTH=450&amp;","START_MAXIMIZED=FALSE&amp;VAR:CALENDAR=US&amp;VAR:SYMBOL=RAI&amp;VAR:INDEX=0"}</definedName>
    <definedName name="_1670__FDSAUDITLINK__" localSheetId="0"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0__FDSAUDITLINK__" hidden="1">{"fdsup://directions/FAT Viewer?action=UPDATE&amp;creator=factset&amp;DYN_ARGS=TRUE&amp;DOC_NAME=FAT:FQL_AUDITING_CLIENT_TEMPLATE.FAT&amp;display_string=Audit&amp;VAR:KEY=AXYXCXGDMF&amp;VAR:QUERY=RkZfRElWX1lMRChBTk4sNi8wMy8wOSw2LzAzLzA5KQ==&amp;WINDOW=FIRST_POPUP&amp;HEIGHT=450&amp;WIDTH=450&amp;","START_MAXIMIZED=FALSE&amp;VAR:CALENDAR=US&amp;VAR:SYMBOL=KO&amp;VAR:INDEX=0"}</definedName>
    <definedName name="_1671__FDSAUDITLINK__" localSheetId="0"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1__FDSAUDITLINK__" hidden="1">{"fdsup://directions/FAT Viewer?action=UPDATE&amp;creator=factset&amp;DYN_ARGS=TRUE&amp;DOC_NAME=FAT:FQL_AUDITING_CLIENT_TEMPLATE.FAT&amp;display_string=Audit&amp;VAR:KEY=MPCROZMNCV&amp;VAR:QUERY=RkZfRElWX1lMRChBTk4sNS8yNy8wOSw1LzI3LzA5KQ==&amp;WINDOW=FIRST_POPUP&amp;HEIGHT=450&amp;WIDTH=450&amp;","START_MAXIMIZED=FALSE&amp;VAR:CALENDAR=US&amp;VAR:SYMBOL=KO&amp;VAR:INDEX=0"}</definedName>
    <definedName name="_1672__FDSAUDITLINK__" localSheetId="0"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2__FDSAUDITLINK__" hidden="1">{"fdsup://directions/FAT Viewer?action=UPDATE&amp;creator=factset&amp;DYN_ARGS=TRUE&amp;DOC_NAME=FAT:FQL_AUDITING_CLIENT_TEMPLATE.FAT&amp;display_string=Audit&amp;VAR:KEY=GTEXIHYHWX&amp;VAR:QUERY=RkZfRElWX1lMRChBTk4sNS8yMC8wOSw1LzIwLzA5KQ==&amp;WINDOW=FIRST_POPUP&amp;HEIGHT=450&amp;WIDTH=450&amp;","START_MAXIMIZED=FALSE&amp;VAR:CALENDAR=US&amp;VAR:SYMBOL=KO&amp;VAR:INDEX=0"}</definedName>
    <definedName name="_1673__FDSAUDITLINK__" localSheetId="0"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3__FDSAUDITLINK__" hidden="1">{"fdsup://directions/FAT Viewer?action=UPDATE&amp;creator=factset&amp;DYN_ARGS=TRUE&amp;DOC_NAME=FAT:FQL_AUDITING_CLIENT_TEMPLATE.FAT&amp;display_string=Audit&amp;VAR:KEY=KRWXALGVMX&amp;VAR:QUERY=RkZfRElWX1lMRChBTk4sNS8xMy8wOSw1LzEzLzA5KQ==&amp;WINDOW=FIRST_POPUP&amp;HEIGHT=450&amp;WIDTH=450&amp;","START_MAXIMIZED=FALSE&amp;VAR:CALENDAR=US&amp;VAR:SYMBOL=KO&amp;VAR:INDEX=0"}</definedName>
    <definedName name="_1674__FDSAUDITLINK__" localSheetId="0"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4__FDSAUDITLINK__" hidden="1">{"fdsup://directions/FAT Viewer?action=UPDATE&amp;creator=factset&amp;DYN_ARGS=TRUE&amp;DOC_NAME=FAT:FQL_AUDITING_CLIENT_TEMPLATE.FAT&amp;display_string=Audit&amp;VAR:KEY=WBKDYVAJKZ&amp;VAR:QUERY=RkZfRElWX1lMRChBTk4sNS8wNi8wOSw1LzA2LzA5KQ==&amp;WINDOW=FIRST_POPUP&amp;HEIGHT=450&amp;WIDTH=450&amp;","START_MAXIMIZED=FALSE&amp;VAR:CALENDAR=US&amp;VAR:SYMBOL=KO&amp;VAR:INDEX=0"}</definedName>
    <definedName name="_1675__FDSAUDITLINK__" localSheetId="0"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5__FDSAUDITLINK__" hidden="1">{"fdsup://directions/FAT Viewer?action=UPDATE&amp;creator=factset&amp;DYN_ARGS=TRUE&amp;DOC_NAME=FAT:FQL_AUDITING_CLIENT_TEMPLATE.FAT&amp;display_string=Audit&amp;VAR:KEY=KBWHMNCTYV&amp;VAR:QUERY=RkZfRElWX1lMRChBTk4sNC8yOS8wOSw0LzI5LzA5KQ==&amp;WINDOW=FIRST_POPUP&amp;HEIGHT=450&amp;WIDTH=450&amp;","START_MAXIMIZED=FALSE&amp;VAR:CALENDAR=US&amp;VAR:SYMBOL=KO&amp;VAR:INDEX=0"}</definedName>
    <definedName name="_1676">#REF!</definedName>
    <definedName name="_1676__FDSAUDITLINK__" localSheetId="0"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6__FDSAUDITLINK__" hidden="1">{"fdsup://directions/FAT Viewer?action=UPDATE&amp;creator=factset&amp;DYN_ARGS=TRUE&amp;DOC_NAME=FAT:FQL_AUDITING_CLIENT_TEMPLATE.FAT&amp;display_string=Audit&amp;VAR:KEY=IRYVKFGTCL&amp;VAR:QUERY=RkZfRElWX1lMRChBTk4sNC8yMi8wOSw0LzIyLzA5KQ==&amp;WINDOW=FIRST_POPUP&amp;HEIGHT=450&amp;WIDTH=450&amp;","START_MAXIMIZED=FALSE&amp;VAR:CALENDAR=US&amp;VAR:SYMBOL=KO&amp;VAR:INDEX=0"}</definedName>
    <definedName name="_1677__FDSAUDITLINK__" localSheetId="0"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7__FDSAUDITLINK__" hidden="1">{"fdsup://directions/FAT Viewer?action=UPDATE&amp;creator=factset&amp;DYN_ARGS=TRUE&amp;DOC_NAME=FAT:FQL_AUDITING_CLIENT_TEMPLATE.FAT&amp;display_string=Audit&amp;VAR:KEY=EPQNIZOJIF&amp;VAR:QUERY=RkZfRElWX1lMRChBTk4sNC8xNS8wOSw0LzE1LzA5KQ==&amp;WINDOW=FIRST_POPUP&amp;HEIGHT=450&amp;WIDTH=450&amp;","START_MAXIMIZED=FALSE&amp;VAR:CALENDAR=US&amp;VAR:SYMBOL=KO&amp;VAR:INDEX=0"}</definedName>
    <definedName name="_1678">#REF!</definedName>
    <definedName name="_1678__FDSAUDITLINK__" localSheetId="0"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8__FDSAUDITLINK__" hidden="1">{"fdsup://directions/FAT Viewer?action=UPDATE&amp;creator=factset&amp;DYN_ARGS=TRUE&amp;DOC_NAME=FAT:FQL_AUDITING_CLIENT_TEMPLATE.FAT&amp;display_string=Audit&amp;VAR:KEY=SLOBCLCXYB&amp;VAR:QUERY=RkZfRElWX1lMRChBTk4sNC8wOC8wOSw0LzA4LzA5KQ==&amp;WINDOW=FIRST_POPUP&amp;HEIGHT=450&amp;WIDTH=450&amp;","START_MAXIMIZED=FALSE&amp;VAR:CALENDAR=US&amp;VAR:SYMBOL=KO&amp;VAR:INDEX=0"}</definedName>
    <definedName name="_1679">#REF!</definedName>
    <definedName name="_1679__FDSAUDITLINK__" localSheetId="0"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79__FDSAUDITLINK__" hidden="1">{"fdsup://directions/FAT Viewer?action=UPDATE&amp;creator=factset&amp;DYN_ARGS=TRUE&amp;DOC_NAME=FAT:FQL_AUDITING_CLIENT_TEMPLATE.FAT&amp;display_string=Audit&amp;VAR:KEY=AZGNAXGTIZ&amp;VAR:QUERY=RkZfRElWX1lMRChBTk4sNC8wMS8wOSw0LzAxLzA5KQ==&amp;WINDOW=FIRST_POPUP&amp;HEIGHT=450&amp;WIDTH=450&amp;","START_MAXIMIZED=FALSE&amp;VAR:CALENDAR=US&amp;VAR:SYMBOL=KO&amp;VAR:INDEX=0"}</definedName>
    <definedName name="_168">#REF!</definedName>
    <definedName name="_168__123Graph_FSUPPLIES_BY_B_U">#REF!</definedName>
    <definedName name="_168__FDSAUDITLINK__" localSheetId="0"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__FDSAUDITLINK__" hidden="1">{"fdsup://directions/FAT Viewer?action=UPDATE&amp;creator=factset&amp;DYN_ARGS=TRUE&amp;DOC_NAME=FAT:FQL_AUDITING_CLIENT_TEMPLATE.FAT&amp;display_string=Audit&amp;VAR:KEY=JEZAVWPCRS&amp;VAR:QUERY=RkZfRElWX1lMRChBTk4sMS8xNy8wOCwxLzE3LzA4KQ==&amp;WINDOW=FIRST_POPUP&amp;HEIGHT=450&amp;WIDTH=450&amp;","START_MAXIMIZED=FALSE&amp;VAR:CALENDAR=US&amp;VAR:SYMBOL=RAI&amp;VAR:INDEX=0"}</definedName>
    <definedName name="_1680">#REF!</definedName>
    <definedName name="_1680__FDSAUDITLINK__" localSheetId="0"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0__FDSAUDITLINK__" hidden="1">{"fdsup://directions/FAT Viewer?action=UPDATE&amp;creator=factset&amp;DYN_ARGS=TRUE&amp;DOC_NAME=FAT:FQL_AUDITING_CLIENT_TEMPLATE.FAT&amp;display_string=Audit&amp;VAR:KEY=SNULCFWVOJ&amp;VAR:QUERY=RkZfRElWX1lMRChBTk4sMy8yNS8wOSwzLzI1LzA5KQ==&amp;WINDOW=FIRST_POPUP&amp;HEIGHT=450&amp;WIDTH=450&amp;","START_MAXIMIZED=FALSE&amp;VAR:CALENDAR=US&amp;VAR:SYMBOL=KO&amp;VAR:INDEX=0"}</definedName>
    <definedName name="_1681">#REF!</definedName>
    <definedName name="_1681__FDSAUDITLINK__" localSheetId="0"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1__FDSAUDITLINK__" hidden="1">{"fdsup://directions/FAT Viewer?action=UPDATE&amp;creator=factset&amp;DYN_ARGS=TRUE&amp;DOC_NAME=FAT:FQL_AUDITING_CLIENT_TEMPLATE.FAT&amp;display_string=Audit&amp;VAR:KEY=CDGVITQNWD&amp;VAR:QUERY=RkZfRElWX1lMRChBTk4sMy8xOC8wOSwzLzE4LzA5KQ==&amp;WINDOW=FIRST_POPUP&amp;HEIGHT=450&amp;WIDTH=450&amp;","START_MAXIMIZED=FALSE&amp;VAR:CALENDAR=US&amp;VAR:SYMBOL=KO&amp;VAR:INDEX=0"}</definedName>
    <definedName name="_1682">#REF!</definedName>
    <definedName name="_1682__FDSAUDITLINK__" localSheetId="0"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2__FDSAUDITLINK__" hidden="1">{"fdsup://directions/FAT Viewer?action=UPDATE&amp;creator=factset&amp;DYN_ARGS=TRUE&amp;DOC_NAME=FAT:FQL_AUDITING_CLIENT_TEMPLATE.FAT&amp;display_string=Audit&amp;VAR:KEY=GLITIBIBWV&amp;VAR:QUERY=RkZfRElWX1lMRChBTk4sMy8xMS8wOSwzLzExLzA5KQ==&amp;WINDOW=FIRST_POPUP&amp;HEIGHT=450&amp;WIDTH=450&amp;","START_MAXIMIZED=FALSE&amp;VAR:CALENDAR=US&amp;VAR:SYMBOL=KO&amp;VAR:INDEX=0"}</definedName>
    <definedName name="_1683">#REF!</definedName>
    <definedName name="_1683__FDSAUDITLINK__" localSheetId="0"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3__FDSAUDITLINK__" hidden="1">{"fdsup://directions/FAT Viewer?action=UPDATE&amp;creator=factset&amp;DYN_ARGS=TRUE&amp;DOC_NAME=FAT:FQL_AUDITING_CLIENT_TEMPLATE.FAT&amp;display_string=Audit&amp;VAR:KEY=OXAPMHYRCP&amp;VAR:QUERY=RkZfRElWX1lMRChBTk4sMy8wNC8wOSwzLzA0LzA5KQ==&amp;WINDOW=FIRST_POPUP&amp;HEIGHT=450&amp;WIDTH=450&amp;","START_MAXIMIZED=FALSE&amp;VAR:CALENDAR=US&amp;VAR:SYMBOL=KO&amp;VAR:INDEX=0"}</definedName>
    <definedName name="_1684">#REF!</definedName>
    <definedName name="_1684__FDSAUDITLINK__" localSheetId="0"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4__FDSAUDITLINK__" hidden="1">{"fdsup://directions/FAT Viewer?action=UPDATE&amp;creator=factset&amp;DYN_ARGS=TRUE&amp;DOC_NAME=FAT:FQL_AUDITING_CLIENT_TEMPLATE.FAT&amp;display_string=Audit&amp;VAR:KEY=YVCXINUVKP&amp;VAR:QUERY=RkZfRElWX1lMRChBTk4sMi8yNS8wOSwyLzI1LzA5KQ==&amp;WINDOW=FIRST_POPUP&amp;HEIGHT=450&amp;WIDTH=450&amp;","START_MAXIMIZED=FALSE&amp;VAR:CALENDAR=US&amp;VAR:SYMBOL=KO&amp;VAR:INDEX=0"}</definedName>
    <definedName name="_1685">#REF!</definedName>
    <definedName name="_1685__FDSAUDITLINK__" localSheetId="0"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5__FDSAUDITLINK__" hidden="1">{"fdsup://directions/FAT Viewer?action=UPDATE&amp;creator=factset&amp;DYN_ARGS=TRUE&amp;DOC_NAME=FAT:FQL_AUDITING_CLIENT_TEMPLATE.FAT&amp;display_string=Audit&amp;VAR:KEY=UNSBEDSPMP&amp;VAR:QUERY=RkZfRElWX1lMRChBTk4sMi8xOC8wOSwyLzE4LzA5KQ==&amp;WINDOW=FIRST_POPUP&amp;HEIGHT=450&amp;WIDTH=450&amp;","START_MAXIMIZED=FALSE&amp;VAR:CALENDAR=US&amp;VAR:SYMBOL=KO&amp;VAR:INDEX=0"}</definedName>
    <definedName name="_1686">#REF!</definedName>
    <definedName name="_1686__FDSAUDITLINK__" localSheetId="0"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6__FDSAUDITLINK__" hidden="1">{"fdsup://directions/FAT Viewer?action=UPDATE&amp;creator=factset&amp;DYN_ARGS=TRUE&amp;DOC_NAME=FAT:FQL_AUDITING_CLIENT_TEMPLATE.FAT&amp;display_string=Audit&amp;VAR:KEY=KRWXAPSHIL&amp;VAR:QUERY=RkZfRElWX1lMRChBTk4sMi8xMS8wOSwyLzExLzA5KQ==&amp;WINDOW=FIRST_POPUP&amp;HEIGHT=450&amp;WIDTH=450&amp;","START_MAXIMIZED=FALSE&amp;VAR:CALENDAR=US&amp;VAR:SYMBOL=KO&amp;VAR:INDEX=0"}</definedName>
    <definedName name="_1687">#REF!</definedName>
    <definedName name="_1687__FDSAUDITLINK__" localSheetId="0"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7__FDSAUDITLINK__" hidden="1">{"fdsup://directions/FAT Viewer?action=UPDATE&amp;creator=factset&amp;DYN_ARGS=TRUE&amp;DOC_NAME=FAT:FQL_AUDITING_CLIENT_TEMPLATE.FAT&amp;display_string=Audit&amp;VAR:KEY=WRMHARMLOD&amp;VAR:QUERY=RkZfRElWX1lMRChBTk4sMi8wNC8wOSwyLzA0LzA5KQ==&amp;WINDOW=FIRST_POPUP&amp;HEIGHT=450&amp;WIDTH=450&amp;","START_MAXIMIZED=FALSE&amp;VAR:CALENDAR=US&amp;VAR:SYMBOL=KO&amp;VAR:INDEX=0"}</definedName>
    <definedName name="_1688">#REF!</definedName>
    <definedName name="_1688__FDSAUDITLINK__" localSheetId="0"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8__FDSAUDITLINK__" hidden="1">{"fdsup://directions/FAT Viewer?action=UPDATE&amp;creator=factset&amp;DYN_ARGS=TRUE&amp;DOC_NAME=FAT:FQL_AUDITING_CLIENT_TEMPLATE.FAT&amp;display_string=Audit&amp;VAR:KEY=KLORSVQNQD&amp;VAR:QUERY=RkZfRElWX1lMRChBTk4sMS8yOC8wOSwxLzI4LzA5KQ==&amp;WINDOW=FIRST_POPUP&amp;HEIGHT=450&amp;WIDTH=450&amp;","START_MAXIMIZED=FALSE&amp;VAR:CALENDAR=US&amp;VAR:SYMBOL=KO&amp;VAR:INDEX=0"}</definedName>
    <definedName name="_1689">#REF!</definedName>
    <definedName name="_1689__FDSAUDITLINK__" localSheetId="0"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89__FDSAUDITLINK__" hidden="1">{"fdsup://directions/FAT Viewer?action=UPDATE&amp;creator=factset&amp;DYN_ARGS=TRUE&amp;DOC_NAME=FAT:FQL_AUDITING_CLIENT_TEMPLATE.FAT&amp;display_string=Audit&amp;VAR:KEY=EFWDAPMDER&amp;VAR:QUERY=RkZfRElWX1lMRChBTk4sMS8yMS8wOSwxLzIxLzA5KQ==&amp;WINDOW=FIRST_POPUP&amp;HEIGHT=450&amp;WIDTH=450&amp;","START_MAXIMIZED=FALSE&amp;VAR:CALENDAR=US&amp;VAR:SYMBOL=KO&amp;VAR:INDEX=0"}</definedName>
    <definedName name="_169__123Graph_FSUPPLIES_BY_B_U">#REF!</definedName>
    <definedName name="_169__FDSAUDITLINK__" localSheetId="0"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_FDSAUDITLINK__" hidden="1">{"fdsup://directions/FAT Viewer?action=UPDATE&amp;creator=factset&amp;DYN_ARGS=TRUE&amp;DOC_NAME=FAT:FQL_AUDITING_CLIENT_TEMPLATE.FAT&amp;display_string=Audit&amp;VAR:KEY=LCZQNQLMPW&amp;VAR:QUERY=RkZfRElWX1lMRChBTk4sMS8xMC8wOCwxLzEwLzA4KQ==&amp;WINDOW=FIRST_POPUP&amp;HEIGHT=450&amp;WIDTH=450&amp;","START_MAXIMIZED=FALSE&amp;VAR:CALENDAR=US&amp;VAR:SYMBOL=RAI&amp;VAR:INDEX=0"}</definedName>
    <definedName name="_169_0_Table2_">#REF!</definedName>
    <definedName name="_1690">#REF!</definedName>
    <definedName name="_1690__FDSAUDITLINK__" localSheetId="0"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0__FDSAUDITLINK__" hidden="1">{"fdsup://directions/FAT Viewer?action=UPDATE&amp;creator=factset&amp;DYN_ARGS=TRUE&amp;DOC_NAME=FAT:FQL_AUDITING_CLIENT_TEMPLATE.FAT&amp;display_string=Audit&amp;VAR:KEY=EDQRIJADIN&amp;VAR:QUERY=RkZfRElWX1lMRChBTk4sMS8xNC8wOSwxLzE0LzA5KQ==&amp;WINDOW=FIRST_POPUP&amp;HEIGHT=450&amp;WIDTH=450&amp;","START_MAXIMIZED=FALSE&amp;VAR:CALENDAR=US&amp;VAR:SYMBOL=KO&amp;VAR:INDEX=0"}</definedName>
    <definedName name="_1691">#REF!</definedName>
    <definedName name="_1691__FDSAUDITLINK__" localSheetId="0"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1__FDSAUDITLINK__" hidden="1">{"fdsup://directions/FAT Viewer?action=UPDATE&amp;creator=factset&amp;DYN_ARGS=TRUE&amp;DOC_NAME=FAT:FQL_AUDITING_CLIENT_TEMPLATE.FAT&amp;display_string=Audit&amp;VAR:KEY=WVKXWFCVIV&amp;VAR:QUERY=RkZfRElWX1lMRChBTk4sMS8wNy8wOSwxLzA3LzA5KQ==&amp;WINDOW=FIRST_POPUP&amp;HEIGHT=450&amp;WIDTH=450&amp;","START_MAXIMIZED=FALSE&amp;VAR:CALENDAR=US&amp;VAR:SYMBOL=KO&amp;VAR:INDEX=0"}</definedName>
    <definedName name="_1692">#REF!</definedName>
    <definedName name="_1692__FDSAUDITLINK__" localSheetId="0"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2__FDSAUDITLINK__" hidden="1">{"fdsup://directions/FAT Viewer?action=UPDATE&amp;creator=factset&amp;DYN_ARGS=TRUE&amp;DOC_NAME=FAT:FQL_AUDITING_CLIENT_TEMPLATE.FAT&amp;display_string=Audit&amp;VAR:KEY=KRENQJSTSP&amp;VAR:QUERY=RkZfRElWX1lMRChBTk4sMTIvMzEvMDgsMTIvMzEvMDgp&amp;WINDOW=FIRST_POPUP&amp;HEIGHT=450&amp;WIDTH=450&amp;","START_MAXIMIZED=FALSE&amp;VAR:CALENDAR=US&amp;VAR:SYMBOL=KO&amp;VAR:INDEX=0"}</definedName>
    <definedName name="_1693">#REF!</definedName>
    <definedName name="_1693__FDSAUDITLINK__" localSheetId="0"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3__FDSAUDITLINK__" hidden="1">{"fdsup://directions/FAT Viewer?action=UPDATE&amp;creator=factset&amp;DYN_ARGS=TRUE&amp;DOC_NAME=FAT:FQL_AUDITING_CLIENT_TEMPLATE.FAT&amp;display_string=Audit&amp;VAR:KEY=KDYPEPEDKZ&amp;VAR:QUERY=RkZfRElWX1lMRChBTk4sMTIvMjQvMDgsMTIvMjQvMDgp&amp;WINDOW=FIRST_POPUP&amp;HEIGHT=450&amp;WIDTH=450&amp;","START_MAXIMIZED=FALSE&amp;VAR:CALENDAR=US&amp;VAR:SYMBOL=KO&amp;VAR:INDEX=0"}</definedName>
    <definedName name="_1694">#REF!</definedName>
    <definedName name="_1694__FDSAUDITLINK__" localSheetId="0"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4__FDSAUDITLINK__" hidden="1">{"fdsup://directions/FAT Viewer?action=UPDATE&amp;creator=factset&amp;DYN_ARGS=TRUE&amp;DOC_NAME=FAT:FQL_AUDITING_CLIENT_TEMPLATE.FAT&amp;display_string=Audit&amp;VAR:KEY=SHKNCXOBYJ&amp;VAR:QUERY=RkZfRElWX1lMRChBTk4sMTIvMTcvMDgsMTIvMTcvMDgp&amp;WINDOW=FIRST_POPUP&amp;HEIGHT=450&amp;WIDTH=450&amp;","START_MAXIMIZED=FALSE&amp;VAR:CALENDAR=US&amp;VAR:SYMBOL=KO&amp;VAR:INDEX=0"}</definedName>
    <definedName name="_1695">#REF!</definedName>
    <definedName name="_1695__FDSAUDITLINK__" localSheetId="0"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5__FDSAUDITLINK__" hidden="1">{"fdsup://directions/FAT Viewer?action=UPDATE&amp;creator=factset&amp;DYN_ARGS=TRUE&amp;DOC_NAME=FAT:FQL_AUDITING_CLIENT_TEMPLATE.FAT&amp;display_string=Audit&amp;VAR:KEY=ITGPCJGBOF&amp;VAR:QUERY=RkZfRElWX1lMRChBTk4sMTIvMTAvMDgsMTIvMTAvMDgp&amp;WINDOW=FIRST_POPUP&amp;HEIGHT=450&amp;WIDTH=450&amp;","START_MAXIMIZED=FALSE&amp;VAR:CALENDAR=US&amp;VAR:SYMBOL=KO&amp;VAR:INDEX=0"}</definedName>
    <definedName name="_1696">#REF!</definedName>
    <definedName name="_1696__FDSAUDITLINK__" localSheetId="0"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6__FDSAUDITLINK__" hidden="1">{"fdsup://directions/FAT Viewer?action=UPDATE&amp;creator=factset&amp;DYN_ARGS=TRUE&amp;DOC_NAME=FAT:FQL_AUDITING_CLIENT_TEMPLATE.FAT&amp;display_string=Audit&amp;VAR:KEY=STKFSPQDQZ&amp;VAR:QUERY=RkZfRElWX1lMRChBTk4sMTIvMDMvMDgsMTIvMDMvMDgp&amp;WINDOW=FIRST_POPUP&amp;HEIGHT=450&amp;WIDTH=450&amp;","START_MAXIMIZED=FALSE&amp;VAR:CALENDAR=US&amp;VAR:SYMBOL=KO&amp;VAR:INDEX=0"}</definedName>
    <definedName name="_1697">#REF!</definedName>
    <definedName name="_1697__FDSAUDITLINK__" localSheetId="0"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7__FDSAUDITLINK__" hidden="1">{"fdsup://directions/FAT Viewer?action=UPDATE&amp;creator=factset&amp;DYN_ARGS=TRUE&amp;DOC_NAME=FAT:FQL_AUDITING_CLIENT_TEMPLATE.FAT&amp;display_string=Audit&amp;VAR:KEY=QBYNIFUZKJ&amp;VAR:QUERY=RkZfRElWX1lMRChBTk4sMTEvMjYvMDgsMTEvMjYvMDgp&amp;WINDOW=FIRST_POPUP&amp;HEIGHT=450&amp;WIDTH=450&amp;","START_MAXIMIZED=FALSE&amp;VAR:CALENDAR=US&amp;VAR:SYMBOL=KO&amp;VAR:INDEX=0"}</definedName>
    <definedName name="_1698">#REF!</definedName>
    <definedName name="_1698__FDSAUDITLINK__" localSheetId="0"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8__FDSAUDITLINK__" hidden="1">{"fdsup://directions/FAT Viewer?action=UPDATE&amp;creator=factset&amp;DYN_ARGS=TRUE&amp;DOC_NAME=FAT:FQL_AUDITING_CLIENT_TEMPLATE.FAT&amp;display_string=Audit&amp;VAR:KEY=GVEVOHWFUF&amp;VAR:QUERY=RkZfRElWX1lMRChBTk4sMTEvMTkvMDgsMTEvMTkvMDgp&amp;WINDOW=FIRST_POPUP&amp;HEIGHT=450&amp;WIDTH=450&amp;","START_MAXIMIZED=FALSE&amp;VAR:CALENDAR=US&amp;VAR:SYMBOL=KO&amp;VAR:INDEX=0"}</definedName>
    <definedName name="_1699__FDSAUDITLINK__" localSheetId="0"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99__FDSAUDITLINK__" hidden="1">{"fdsup://directions/FAT Viewer?action=UPDATE&amp;creator=factset&amp;DYN_ARGS=TRUE&amp;DOC_NAME=FAT:FQL_AUDITING_CLIENT_TEMPLATE.FAT&amp;display_string=Audit&amp;VAR:KEY=CNILMFODGR&amp;VAR:QUERY=RkZfRElWX1lMRChBTk4sMTEvMTIvMDgsMTEvMTIvMDgp&amp;WINDOW=FIRST_POPUP&amp;HEIGHT=450&amp;WIDTH=450&amp;","START_MAXIMIZED=FALSE&amp;VAR:CALENDAR=US&amp;VAR:SYMBOL=KO&amp;VAR:INDEX=0"}</definedName>
    <definedName name="_16M_0_S" hidden="1">#REF!</definedName>
    <definedName name="_16main_form_account_grants_list_15_j_id1022">#REF!</definedName>
    <definedName name="_16s11_" hidden="1">{#N/A,#N/A,FALSE,"UNIT";#N/A,#N/A,FALSE,"UNIT";#N/A,#N/A,FALSE,"계정"}</definedName>
    <definedName name="_16s3_" hidden="1">{#N/A,#N/A,FALSE,"UNIT";#N/A,#N/A,FALSE,"UNIT";#N/A,#N/A,FALSE,"계정"}</definedName>
    <definedName name="_16s5_" hidden="1">{#N/A,#N/A,FALSE,"UNIT";#N/A,#N/A,FALSE,"UNIT";#N/A,#N/A,FALSE,"계정"}</definedName>
    <definedName name="_16s6_" hidden="1">{#N/A,#N/A,FALSE,"UNIT";#N/A,#N/A,FALSE,"UNIT";#N/A,#N/A,FALSE,"계정"}</definedName>
    <definedName name="_17">#REF!</definedName>
    <definedName name="_17__________NOTE8_9">#REF!</definedName>
    <definedName name="_17__123Graph_AChart_2A" hidden="1">#REF!</definedName>
    <definedName name="_17__123Graph_ACHART_8">#REF!</definedName>
    <definedName name="_17__123Graph_AGROSS_MARGINS" hidden="1">#REF!</definedName>
    <definedName name="_17__123Graph_BChart_18K">#REF!</definedName>
    <definedName name="_17__123Graph_BCONTRACT_BY_B_U">#REF!</definedName>
    <definedName name="_17__123Graph_BQRE_S_BY_CO.">#REF!</definedName>
    <definedName name="_17__123Graph_BTAX_CREDIT">#REF!</definedName>
    <definedName name="_17__123Graph_BWAGES_BY_B_U">#REF!</definedName>
    <definedName name="_17__123Graph_CQRE_S_BY_CO." hidden="1">#REF!</definedName>
    <definedName name="_17__123Graph_CQRE_S_BY_TYPE" hidden="1">#REF!</definedName>
    <definedName name="_17__123Graph_CSENS_COMPARISON">#REF!</definedName>
    <definedName name="_17__123Graph_CSUPPLIES_BY_B_U">#REF!</definedName>
    <definedName name="_17__123Graph_CWAGES_BY_B_U">#REF!</definedName>
    <definedName name="_17__FDSAUDITLINK__" localSheetId="0"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_FDSAUDITLINK__" hidden="1">{"fdsup://directions/FAT Viewer?action=UPDATE&amp;creator=factset&amp;DYN_ARGS=TRUE&amp;DOC_NAME=FAT:FQL_AUDITING_CLIENT_TEMPLATE.FAT&amp;display_string=Audit&amp;VAR:KEY=MVWZILYXWN&amp;VAR:QUERY=Q1NGX0RJVl9ZTEQoUVRSX1IsMTIvMjkvMjAwNik=&amp;WINDOW=FIRST_POPUP&amp;HEIGHT=450&amp;WIDTH=450&amp;STAR","T_MAXIMIZED=FALSE&amp;VAR:CALENDAR=US&amp;VAR:SYMBOL=MO&amp;VAR:INDEX=0"}</definedName>
    <definedName name="_17_0_Table2_" hidden="1">#REF!</definedName>
    <definedName name="_17_01_1999">#REF!</definedName>
    <definedName name="_17_04_1998">#REF!</definedName>
    <definedName name="_17_09_97">#REF!</definedName>
    <definedName name="_17_12_1999">#REF!</definedName>
    <definedName name="_17_3__1_CRADDIN_Table">#REF!</definedName>
    <definedName name="_170">#REF!</definedName>
    <definedName name="_170__FDSAUDITLINK__" localSheetId="0"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__FDSAUDITLINK__" hidden="1">{"fdsup://directions/FAT Viewer?action=UPDATE&amp;creator=factset&amp;DYN_ARGS=TRUE&amp;DOC_NAME=FAT:FQL_AUDITING_CLIENT_TEMPLATE.FAT&amp;display_string=Audit&amp;VAR:KEY=TYDITUDKVY&amp;VAR:QUERY=RkZfRElWX1lMRChBTk4sMS8wMy8wOCwxLzAzLzA4KQ==&amp;WINDOW=FIRST_POPUP&amp;HEIGHT=450&amp;WIDTH=450&amp;","START_MAXIMIZED=FALSE&amp;VAR:CALENDAR=US&amp;VAR:SYMBOL=RAI&amp;VAR:INDEX=0"}</definedName>
    <definedName name="_1700__FDSAUDITLINK__" localSheetId="0"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0__FDSAUDITLINK__" hidden="1">{"fdsup://directions/FAT Viewer?action=UPDATE&amp;creator=factset&amp;DYN_ARGS=TRUE&amp;DOC_NAME=FAT:FQL_AUDITING_CLIENT_TEMPLATE.FAT&amp;display_string=Audit&amp;VAR:KEY=UROJUFGHEZ&amp;VAR:QUERY=RkZfRElWX1lMRChBTk4sMTEvMDUvMDgsMTEvMDUvMDgp&amp;WINDOW=FIRST_POPUP&amp;HEIGHT=450&amp;WIDTH=450&amp;","START_MAXIMIZED=FALSE&amp;VAR:CALENDAR=US&amp;VAR:SYMBOL=KO&amp;VAR:INDEX=0"}</definedName>
    <definedName name="_1701__FDSAUDITLINK__" localSheetId="0"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1__FDSAUDITLINK__" hidden="1">{"fdsup://directions/FAT Viewer?action=UPDATE&amp;creator=factset&amp;DYN_ARGS=TRUE&amp;DOC_NAME=FAT:FQL_AUDITING_CLIENT_TEMPLATE.FAT&amp;display_string=Audit&amp;VAR:KEY=IFQNQHQTIJ&amp;VAR:QUERY=RkZfRElWX1lMRChBTk4sMTAvMjkvMDgsMTAvMjkvMDgp&amp;WINDOW=FIRST_POPUP&amp;HEIGHT=450&amp;WIDTH=450&amp;","START_MAXIMIZED=FALSE&amp;VAR:CALENDAR=US&amp;VAR:SYMBOL=KO&amp;VAR:INDEX=0"}</definedName>
    <definedName name="_1702">#REF!</definedName>
    <definedName name="_1702__FDSAUDITLINK__" localSheetId="0"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2__FDSAUDITLINK__" hidden="1">{"fdsup://directions/FAT Viewer?action=UPDATE&amp;creator=factset&amp;DYN_ARGS=TRUE&amp;DOC_NAME=FAT:FQL_AUDITING_CLIENT_TEMPLATE.FAT&amp;display_string=Audit&amp;VAR:KEY=KLAJCBOLKJ&amp;VAR:QUERY=RkZfRElWX1lMRChBTk4sMTAvMjIvMDgsMTAvMjIvMDgp&amp;WINDOW=FIRST_POPUP&amp;HEIGHT=450&amp;WIDTH=450&amp;","START_MAXIMIZED=FALSE&amp;VAR:CALENDAR=US&amp;VAR:SYMBOL=KO&amp;VAR:INDEX=0"}</definedName>
    <definedName name="_1703__FDSAUDITLINK__" localSheetId="0"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3__FDSAUDITLINK__" hidden="1">{"fdsup://directions/FAT Viewer?action=UPDATE&amp;creator=factset&amp;DYN_ARGS=TRUE&amp;DOC_NAME=FAT:FQL_AUDITING_CLIENT_TEMPLATE.FAT&amp;display_string=Audit&amp;VAR:KEY=MLALGLEVIX&amp;VAR:QUERY=RkZfRElWX1lMRChBTk4sMTAvMTUvMDgsMTAvMTUvMDgp&amp;WINDOW=FIRST_POPUP&amp;HEIGHT=450&amp;WIDTH=450&amp;","START_MAXIMIZED=FALSE&amp;VAR:CALENDAR=US&amp;VAR:SYMBOL=KO&amp;VAR:INDEX=0"}</definedName>
    <definedName name="_1704__FDSAUDITLINK__" localSheetId="0"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4__FDSAUDITLINK__" hidden="1">{"fdsup://directions/FAT Viewer?action=UPDATE&amp;creator=factset&amp;DYN_ARGS=TRUE&amp;DOC_NAME=FAT:FQL_AUDITING_CLIENT_TEMPLATE.FAT&amp;display_string=Audit&amp;VAR:KEY=AHCLEVKPWJ&amp;VAR:QUERY=RkZfRElWX1lMRChBTk4sMTAvMDgvMDgsMTAvMDgvMDgp&amp;WINDOW=FIRST_POPUP&amp;HEIGHT=450&amp;WIDTH=450&amp;","START_MAXIMIZED=FALSE&amp;VAR:CALENDAR=US&amp;VAR:SYMBOL=KO&amp;VAR:INDEX=0"}</definedName>
    <definedName name="_1705__FDSAUDITLINK__" localSheetId="0"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5__FDSAUDITLINK__" hidden="1">{"fdsup://directions/FAT Viewer?action=UPDATE&amp;creator=factset&amp;DYN_ARGS=TRUE&amp;DOC_NAME=FAT:FQL_AUDITING_CLIENT_TEMPLATE.FAT&amp;display_string=Audit&amp;VAR:KEY=KBUBGFSNED&amp;VAR:QUERY=RkZfRElWX1lMRChBTk4sMTAvMDEvMDgsMTAvMDEvMDgp&amp;WINDOW=FIRST_POPUP&amp;HEIGHT=450&amp;WIDTH=450&amp;","START_MAXIMIZED=FALSE&amp;VAR:CALENDAR=US&amp;VAR:SYMBOL=KO&amp;VAR:INDEX=0"}</definedName>
    <definedName name="_1706__FDSAUDITLINK__" localSheetId="0"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6__FDSAUDITLINK__" hidden="1">{"fdsup://directions/FAT Viewer?action=UPDATE&amp;creator=factset&amp;DYN_ARGS=TRUE&amp;DOC_NAME=FAT:FQL_AUDITING_CLIENT_TEMPLATE.FAT&amp;display_string=Audit&amp;VAR:KEY=GPSFKXCFCN&amp;VAR:QUERY=RkZfRElWX1lMRChBTk4sOS8yNC8wOCw5LzI0LzA4KQ==&amp;WINDOW=FIRST_POPUP&amp;HEIGHT=450&amp;WIDTH=450&amp;","START_MAXIMIZED=FALSE&amp;VAR:CALENDAR=US&amp;VAR:SYMBOL=KO&amp;VAR:INDEX=0"}</definedName>
    <definedName name="_1707">#REF!</definedName>
    <definedName name="_1707__FDSAUDITLINK__" localSheetId="0"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7__FDSAUDITLINK__" hidden="1">{"fdsup://directions/FAT Viewer?action=UPDATE&amp;creator=factset&amp;DYN_ARGS=TRUE&amp;DOC_NAME=FAT:FQL_AUDITING_CLIENT_TEMPLATE.FAT&amp;display_string=Audit&amp;VAR:KEY=ILSFWRORWZ&amp;VAR:QUERY=RkZfRElWX1lMRChBTk4sOS8xNy8wOCw5LzE3LzA4KQ==&amp;WINDOW=FIRST_POPUP&amp;HEIGHT=450&amp;WIDTH=450&amp;","START_MAXIMIZED=FALSE&amp;VAR:CALENDAR=US&amp;VAR:SYMBOL=KO&amp;VAR:INDEX=0"}</definedName>
    <definedName name="_1708__FDSAUDITLINK__" localSheetId="0"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8__FDSAUDITLINK__" hidden="1">{"fdsup://directions/FAT Viewer?action=UPDATE&amp;creator=factset&amp;DYN_ARGS=TRUE&amp;DOC_NAME=FAT:FQL_AUDITING_CLIENT_TEMPLATE.FAT&amp;display_string=Audit&amp;VAR:KEY=IDQVOZIBYH&amp;VAR:QUERY=RkZfRElWX1lMRChBTk4sOS8xMC8wOCw5LzEwLzA4KQ==&amp;WINDOW=FIRST_POPUP&amp;HEIGHT=450&amp;WIDTH=450&amp;","START_MAXIMIZED=FALSE&amp;VAR:CALENDAR=US&amp;VAR:SYMBOL=KO&amp;VAR:INDEX=0"}</definedName>
    <definedName name="_1709__FDSAUDITLINK__" localSheetId="0"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09__FDSAUDITLINK__" hidden="1">{"fdsup://directions/FAT Viewer?action=UPDATE&amp;creator=factset&amp;DYN_ARGS=TRUE&amp;DOC_NAME=FAT:FQL_AUDITING_CLIENT_TEMPLATE.FAT&amp;display_string=Audit&amp;VAR:KEY=IRABWXAPIP&amp;VAR:QUERY=RkZfRElWX1lMRChBTk4sOS8wMy8wOCw5LzAzLzA4KQ==&amp;WINDOW=FIRST_POPUP&amp;HEIGHT=450&amp;WIDTH=450&amp;","START_MAXIMIZED=FALSE&amp;VAR:CALENDAR=US&amp;VAR:SYMBOL=KO&amp;VAR:INDEX=0"}</definedName>
    <definedName name="_171__123Graph_XTAX_CREDIT">#REF!</definedName>
    <definedName name="_171__FDSAUDITLINK__" localSheetId="0"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__FDSAUDITLINK__" hidden="1">{"fdsup://directions/FAT Viewer?action=UPDATE&amp;creator=factset&amp;DYN_ARGS=TRUE&amp;DOC_NAME=FAT:FQL_AUDITING_CLIENT_TEMPLATE.FAT&amp;display_string=Audit&amp;VAR:KEY=JCVIPUFOHO&amp;VAR:QUERY=RkZfRElWX1lMRChBTk4sMTIvMjcvMDcsMTIvMjcvMDcp&amp;WINDOW=FIRST_POPUP&amp;HEIGHT=450&amp;WIDTH=450&amp;","START_MAXIMIZED=FALSE&amp;VAR:CALENDAR=US&amp;VAR:SYMBOL=RAI&amp;VAR:INDEX=0"}</definedName>
    <definedName name="_1710__FDSAUDITLINK__" localSheetId="0"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0__FDSAUDITLINK__" hidden="1">{"fdsup://directions/FAT Viewer?action=UPDATE&amp;creator=factset&amp;DYN_ARGS=TRUE&amp;DOC_NAME=FAT:FQL_AUDITING_CLIENT_TEMPLATE.FAT&amp;display_string=Audit&amp;VAR:KEY=IZCZGJUXAB&amp;VAR:QUERY=RkZfRElWX1lMRChBTk4sOC8yNy8wOCw4LzI3LzA4KQ==&amp;WINDOW=FIRST_POPUP&amp;HEIGHT=450&amp;WIDTH=450&amp;","START_MAXIMIZED=FALSE&amp;VAR:CALENDAR=US&amp;VAR:SYMBOL=KO&amp;VAR:INDEX=0"}</definedName>
    <definedName name="_1711__FDSAUDITLINK__" localSheetId="0"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1__FDSAUDITLINK__" hidden="1">{"fdsup://directions/FAT Viewer?action=UPDATE&amp;creator=factset&amp;DYN_ARGS=TRUE&amp;DOC_NAME=FAT:FQL_AUDITING_CLIENT_TEMPLATE.FAT&amp;display_string=Audit&amp;VAR:KEY=AXSTEFEBUN&amp;VAR:QUERY=RkZfRElWX1lMRChBTk4sOC8yMC8wOCw4LzIwLzA4KQ==&amp;WINDOW=FIRST_POPUP&amp;HEIGHT=450&amp;WIDTH=450&amp;","START_MAXIMIZED=FALSE&amp;VAR:CALENDAR=US&amp;VAR:SYMBOL=KO&amp;VAR:INDEX=0"}</definedName>
    <definedName name="_1712">#REF!</definedName>
    <definedName name="_1712__FDSAUDITLINK__" localSheetId="0"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2__FDSAUDITLINK__" hidden="1">{"fdsup://directions/FAT Viewer?action=UPDATE&amp;creator=factset&amp;DYN_ARGS=TRUE&amp;DOC_NAME=FAT:FQL_AUDITING_CLIENT_TEMPLATE.FAT&amp;display_string=Audit&amp;VAR:KEY=OZCNWHAPQB&amp;VAR:QUERY=RkZfRElWX1lMRChBTk4sOC8xMy8wOCw4LzEzLzA4KQ==&amp;WINDOW=FIRST_POPUP&amp;HEIGHT=450&amp;WIDTH=450&amp;","START_MAXIMIZED=FALSE&amp;VAR:CALENDAR=US&amp;VAR:SYMBOL=KO&amp;VAR:INDEX=0"}</definedName>
    <definedName name="_1713__FDSAUDITLINK__" localSheetId="0"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3__FDSAUDITLINK__" hidden="1">{"fdsup://directions/FAT Viewer?action=UPDATE&amp;creator=factset&amp;DYN_ARGS=TRUE&amp;DOC_NAME=FAT:FQL_AUDITING_CLIENT_TEMPLATE.FAT&amp;display_string=Audit&amp;VAR:KEY=IJMLEDGTMN&amp;VAR:QUERY=RkZfRElWX1lMRChBTk4sOC8wNi8wOCw4LzA2LzA4KQ==&amp;WINDOW=FIRST_POPUP&amp;HEIGHT=450&amp;WIDTH=450&amp;","START_MAXIMIZED=FALSE&amp;VAR:CALENDAR=US&amp;VAR:SYMBOL=KO&amp;VAR:INDEX=0"}</definedName>
    <definedName name="_1714__FDSAUDITLINK__" localSheetId="0"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4__FDSAUDITLINK__" hidden="1">{"fdsup://directions/FAT Viewer?action=UPDATE&amp;creator=factset&amp;DYN_ARGS=TRUE&amp;DOC_NAME=FAT:FQL_AUDITING_CLIENT_TEMPLATE.FAT&amp;display_string=Audit&amp;VAR:KEY=CRQTKTWZGJ&amp;VAR:QUERY=RkZfRElWX1lMRChBTk4sNy8zMC8wOCw3LzMwLzA4KQ==&amp;WINDOW=FIRST_POPUP&amp;HEIGHT=450&amp;WIDTH=450&amp;","START_MAXIMIZED=FALSE&amp;VAR:CALENDAR=US&amp;VAR:SYMBOL=KO&amp;VAR:INDEX=0"}</definedName>
    <definedName name="_1715__FDSAUDITLINK__" localSheetId="0"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5__FDSAUDITLINK__" hidden="1">{"fdsup://directions/FAT Viewer?action=UPDATE&amp;creator=factset&amp;DYN_ARGS=TRUE&amp;DOC_NAME=FAT:FQL_AUDITING_CLIENT_TEMPLATE.FAT&amp;display_string=Audit&amp;VAR:KEY=KLWBUZKTQP&amp;VAR:QUERY=RkZfRElWX1lMRChBTk4sNy8yMy8wOCw3LzIzLzA4KQ==&amp;WINDOW=FIRST_POPUP&amp;HEIGHT=450&amp;WIDTH=450&amp;","START_MAXIMIZED=FALSE&amp;VAR:CALENDAR=US&amp;VAR:SYMBOL=KO&amp;VAR:INDEX=0"}</definedName>
    <definedName name="_1716__FDSAUDITLINK__" localSheetId="0"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6__FDSAUDITLINK__" hidden="1">{"fdsup://directions/FAT Viewer?action=UPDATE&amp;creator=factset&amp;DYN_ARGS=TRUE&amp;DOC_NAME=FAT:FQL_AUDITING_CLIENT_TEMPLATE.FAT&amp;display_string=Audit&amp;VAR:KEY=URGLOXOBQN&amp;VAR:QUERY=RkZfRElWX1lMRChBTk4sNy8xNi8wOCw3LzE2LzA4KQ==&amp;WINDOW=FIRST_POPUP&amp;HEIGHT=450&amp;WIDTH=450&amp;","START_MAXIMIZED=FALSE&amp;VAR:CALENDAR=US&amp;VAR:SYMBOL=KO&amp;VAR:INDEX=0"}</definedName>
    <definedName name="_1717__FDSAUDITLINK__" localSheetId="0"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7__FDSAUDITLINK__" hidden="1">{"fdsup://directions/FAT Viewer?action=UPDATE&amp;creator=factset&amp;DYN_ARGS=TRUE&amp;DOC_NAME=FAT:FQL_AUDITING_CLIENT_TEMPLATE.FAT&amp;display_string=Audit&amp;VAR:KEY=UXWBCBCRML&amp;VAR:QUERY=RkZfRElWX1lMRChBTk4sNy8wOS8wOCw3LzA5LzA4KQ==&amp;WINDOW=FIRST_POPUP&amp;HEIGHT=450&amp;WIDTH=450&amp;","START_MAXIMIZED=FALSE&amp;VAR:CALENDAR=US&amp;VAR:SYMBOL=KO&amp;VAR:INDEX=0"}</definedName>
    <definedName name="_1718__FDSAUDITLINK__" localSheetId="0"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8__FDSAUDITLINK__" hidden="1">{"fdsup://directions/FAT Viewer?action=UPDATE&amp;creator=factset&amp;DYN_ARGS=TRUE&amp;DOC_NAME=FAT:FQL_AUDITING_CLIENT_TEMPLATE.FAT&amp;display_string=Audit&amp;VAR:KEY=IRUBWZQFGB&amp;VAR:QUERY=RkZfRElWX1lMRChBTk4sNy8wMi8wOCw3LzAyLzA4KQ==&amp;WINDOW=FIRST_POPUP&amp;HEIGHT=450&amp;WIDTH=450&amp;","START_MAXIMIZED=FALSE&amp;VAR:CALENDAR=US&amp;VAR:SYMBOL=KO&amp;VAR:INDEX=0"}</definedName>
    <definedName name="_1719__FDSAUDITLINK__" localSheetId="0"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19__FDSAUDITLINK__" hidden="1">{"fdsup://directions/FAT Viewer?action=UPDATE&amp;creator=factset&amp;DYN_ARGS=TRUE&amp;DOC_NAME=FAT:FQL_AUDITING_CLIENT_TEMPLATE.FAT&amp;display_string=Audit&amp;VAR:KEY=SFONQXCROX&amp;VAR:QUERY=RkZfRElWX1lMRChBTk4sNi8yNS8wOCw2LzI1LzA4KQ==&amp;WINDOW=FIRST_POPUP&amp;HEIGHT=450&amp;WIDTH=450&amp;","START_MAXIMIZED=FALSE&amp;VAR:CALENDAR=US&amp;VAR:SYMBOL=KO&amp;VAR:INDEX=0"}</definedName>
    <definedName name="_172">#REF!</definedName>
    <definedName name="_172__FDSAUDITLINK__" localSheetId="0"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__FDSAUDITLINK__" hidden="1">{"fdsup://directions/FAT Viewer?action=UPDATE&amp;creator=factset&amp;DYN_ARGS=TRUE&amp;DOC_NAME=FAT:FQL_AUDITING_CLIENT_TEMPLATE.FAT&amp;display_string=Audit&amp;VAR:KEY=NOXSBCTELA&amp;VAR:QUERY=RkZfRElWX1lMRChBTk4sMTIvMjAvMDcsMTIvMjAvMDcp&amp;WINDOW=FIRST_POPUP&amp;HEIGHT=450&amp;WIDTH=450&amp;","START_MAXIMIZED=FALSE&amp;VAR:CALENDAR=US&amp;VAR:SYMBOL=RAI&amp;VAR:INDEX=0"}</definedName>
    <definedName name="_1720">#REF!</definedName>
    <definedName name="_1720__FDSAUDITLINK__" localSheetId="0"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0__FDSAUDITLINK__" hidden="1">{"fdsup://directions/FAT Viewer?action=UPDATE&amp;creator=factset&amp;DYN_ARGS=TRUE&amp;DOC_NAME=FAT:FQL_AUDITING_CLIENT_TEMPLATE.FAT&amp;display_string=Audit&amp;VAR:KEY=EFONULKTSL&amp;VAR:QUERY=RkZfRElWX1lMRChBTk4sNi8xOC8wOCw2LzE4LzA4KQ==&amp;WINDOW=FIRST_POPUP&amp;HEIGHT=450&amp;WIDTH=450&amp;","START_MAXIMIZED=FALSE&amp;VAR:CALENDAR=US&amp;VAR:SYMBOL=KO&amp;VAR:INDEX=0"}</definedName>
    <definedName name="_1721__FDSAUDITLINK__" localSheetId="0"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1__FDSAUDITLINK__" hidden="1">{"fdsup://directions/FAT Viewer?action=UPDATE&amp;creator=factset&amp;DYN_ARGS=TRUE&amp;DOC_NAME=FAT:FQL_AUDITING_CLIENT_TEMPLATE.FAT&amp;display_string=Audit&amp;VAR:KEY=KLSFWTINST&amp;VAR:QUERY=RkZfRElWX1lMRChBTk4sNi8xMS8wOCw2LzExLzA4KQ==&amp;WINDOW=FIRST_POPUP&amp;HEIGHT=450&amp;WIDTH=450&amp;","START_MAXIMIZED=FALSE&amp;VAR:CALENDAR=US&amp;VAR:SYMBOL=KO&amp;VAR:INDEX=0"}</definedName>
    <definedName name="_1722__FDSAUDITLINK__" localSheetId="0"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2__FDSAUDITLINK__" hidden="1">{"fdsup://directions/FAT Viewer?action=UPDATE&amp;creator=factset&amp;DYN_ARGS=TRUE&amp;DOC_NAME=FAT:FQL_AUDITING_CLIENT_TEMPLATE.FAT&amp;display_string=Audit&amp;VAR:KEY=SFWXAPUBEZ&amp;VAR:QUERY=RkZfRElWX1lMRChBTk4sNi8wNC8wOCw2LzA0LzA4KQ==&amp;WINDOW=FIRST_POPUP&amp;HEIGHT=450&amp;WIDTH=450&amp;","START_MAXIMIZED=FALSE&amp;VAR:CALENDAR=US&amp;VAR:SYMBOL=KO&amp;VAR:INDEX=0"}</definedName>
    <definedName name="_1723__FDSAUDITLINK__" localSheetId="0"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3__FDSAUDITLINK__" hidden="1">{"fdsup://directions/FAT Viewer?action=UPDATE&amp;creator=factset&amp;DYN_ARGS=TRUE&amp;DOC_NAME=FAT:FQL_AUDITING_CLIENT_TEMPLATE.FAT&amp;display_string=Audit&amp;VAR:KEY=AFSFSXULIX&amp;VAR:QUERY=RkZfRElWX1lMRChBTk4sNS8yOC8wOCw1LzI4LzA4KQ==&amp;WINDOW=FIRST_POPUP&amp;HEIGHT=450&amp;WIDTH=450&amp;","START_MAXIMIZED=FALSE&amp;VAR:CALENDAR=US&amp;VAR:SYMBOL=KO&amp;VAR:INDEX=0"}</definedName>
    <definedName name="_1724">#REF!</definedName>
    <definedName name="_1724__FDSAUDITLINK__" localSheetId="0"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4__FDSAUDITLINK__" hidden="1">{"fdsup://directions/FAT Viewer?action=UPDATE&amp;creator=factset&amp;DYN_ARGS=TRUE&amp;DOC_NAME=FAT:FQL_AUDITING_CLIENT_TEMPLATE.FAT&amp;display_string=Audit&amp;VAR:KEY=MLARKJCTSP&amp;VAR:QUERY=RkZfRElWX1lMRChBTk4sNS8yMS8wOCw1LzIxLzA4KQ==&amp;WINDOW=FIRST_POPUP&amp;HEIGHT=450&amp;WIDTH=450&amp;","START_MAXIMIZED=FALSE&amp;VAR:CALENDAR=US&amp;VAR:SYMBOL=KO&amp;VAR:INDEX=0"}</definedName>
    <definedName name="_1725__FDSAUDITLINK__" localSheetId="0"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5__FDSAUDITLINK__" hidden="1">{"fdsup://directions/FAT Viewer?action=UPDATE&amp;creator=factset&amp;DYN_ARGS=TRUE&amp;DOC_NAME=FAT:FQL_AUDITING_CLIENT_TEMPLATE.FAT&amp;display_string=Audit&amp;VAR:KEY=GBUNGFOVQL&amp;VAR:QUERY=RkZfRElWX1lMRChBTk4sNS8xNC8wOCw1LzE0LzA4KQ==&amp;WINDOW=FIRST_POPUP&amp;HEIGHT=450&amp;WIDTH=450&amp;","START_MAXIMIZED=FALSE&amp;VAR:CALENDAR=US&amp;VAR:SYMBOL=KO&amp;VAR:INDEX=0"}</definedName>
    <definedName name="_1726__FDSAUDITLINK__" localSheetId="0"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6__FDSAUDITLINK__" hidden="1">{"fdsup://directions/FAT Viewer?action=UPDATE&amp;creator=factset&amp;DYN_ARGS=TRUE&amp;DOC_NAME=FAT:FQL_AUDITING_CLIENT_TEMPLATE.FAT&amp;display_string=Audit&amp;VAR:KEY=EBMFILGZIV&amp;VAR:QUERY=RkZfRElWX1lMRChBTk4sNS8wNy8wOCw1LzA3LzA4KQ==&amp;WINDOW=FIRST_POPUP&amp;HEIGHT=450&amp;WIDTH=450&amp;","START_MAXIMIZED=FALSE&amp;VAR:CALENDAR=US&amp;VAR:SYMBOL=KO&amp;VAR:INDEX=0"}</definedName>
    <definedName name="_1727__FDSAUDITLINK__" localSheetId="0"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7__FDSAUDITLINK__" hidden="1">{"fdsup://directions/FAT Viewer?action=UPDATE&amp;creator=factset&amp;DYN_ARGS=TRUE&amp;DOC_NAME=FAT:FQL_AUDITING_CLIENT_TEMPLATE.FAT&amp;display_string=Audit&amp;VAR:KEY=YVKFAVCNED&amp;VAR:QUERY=RkZfRElWX1lMRChBTk4sNC8zMC8wOCw0LzMwLzA4KQ==&amp;WINDOW=FIRST_POPUP&amp;HEIGHT=450&amp;WIDTH=450&amp;","START_MAXIMIZED=FALSE&amp;VAR:CALENDAR=US&amp;VAR:SYMBOL=KO&amp;VAR:INDEX=0"}</definedName>
    <definedName name="_1728__FDSAUDITLINK__" localSheetId="0"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8__FDSAUDITLINK__" hidden="1">{"fdsup://directions/FAT Viewer?action=UPDATE&amp;creator=factset&amp;DYN_ARGS=TRUE&amp;DOC_NAME=FAT:FQL_AUDITING_CLIENT_TEMPLATE.FAT&amp;display_string=Audit&amp;VAR:KEY=KBETMDMZKX&amp;VAR:QUERY=RkZfRElWX1lMRChBTk4sNC8yMy8wOCw0LzIzLzA4KQ==&amp;WINDOW=FIRST_POPUP&amp;HEIGHT=450&amp;WIDTH=450&amp;","START_MAXIMIZED=FALSE&amp;VAR:CALENDAR=US&amp;VAR:SYMBOL=KO&amp;VAR:INDEX=0"}</definedName>
    <definedName name="_1729">#REF!</definedName>
    <definedName name="_1729__FDSAUDITLINK__" localSheetId="0"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29__FDSAUDITLINK__" hidden="1">{"fdsup://directions/FAT Viewer?action=UPDATE&amp;creator=factset&amp;DYN_ARGS=TRUE&amp;DOC_NAME=FAT:FQL_AUDITING_CLIENT_TEMPLATE.FAT&amp;display_string=Audit&amp;VAR:KEY=AHSPGNUVIH&amp;VAR:QUERY=RkZfRElWX1lMRChBTk4sNC8xNi8wOCw0LzE2LzA4KQ==&amp;WINDOW=FIRST_POPUP&amp;HEIGHT=450&amp;WIDTH=450&amp;","START_MAXIMIZED=FALSE&amp;VAR:CALENDAR=US&amp;VAR:SYMBOL=KO&amp;VAR:INDEX=0"}</definedName>
    <definedName name="_173">#REF!</definedName>
    <definedName name="_173__FDSAUDITLINK__" localSheetId="0"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__FDSAUDITLINK__" hidden="1">{"fdsup://directions/FAT Viewer?action=UPDATE&amp;creator=factset&amp;DYN_ARGS=TRUE&amp;DOC_NAME=FAT:FQL_AUDITING_CLIENT_TEMPLATE.FAT&amp;display_string=Audit&amp;VAR:KEY=DGLAXGJIRC&amp;VAR:QUERY=RkZfRElWX1lMRChBTk4sMTIvMTMvMDcsMTIvMTMvMDcp&amp;WINDOW=FIRST_POPUP&amp;HEIGHT=450&amp;WIDTH=450&amp;","START_MAXIMIZED=FALSE&amp;VAR:CALENDAR=US&amp;VAR:SYMBOL=RAI&amp;VAR:INDEX=0"}</definedName>
    <definedName name="_1730__FDSAUDITLINK__" localSheetId="0"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0__FDSAUDITLINK__" hidden="1">{"fdsup://directions/FAT Viewer?action=UPDATE&amp;creator=factset&amp;DYN_ARGS=TRUE&amp;DOC_NAME=FAT:FQL_AUDITING_CLIENT_TEMPLATE.FAT&amp;display_string=Audit&amp;VAR:KEY=OFAZAVAVKL&amp;VAR:QUERY=RkZfRElWX1lMRChBTk4sNC8wOS8wOCw0LzA5LzA4KQ==&amp;WINDOW=FIRST_POPUP&amp;HEIGHT=450&amp;WIDTH=450&amp;","START_MAXIMIZED=FALSE&amp;VAR:CALENDAR=US&amp;VAR:SYMBOL=KO&amp;VAR:INDEX=0"}</definedName>
    <definedName name="_1731__FDSAUDITLINK__" localSheetId="0"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1__FDSAUDITLINK__" hidden="1">{"fdsup://directions/FAT Viewer?action=UPDATE&amp;creator=factset&amp;DYN_ARGS=TRUE&amp;DOC_NAME=FAT:FQL_AUDITING_CLIENT_TEMPLATE.FAT&amp;display_string=Audit&amp;VAR:KEY=UNGPSZCVUB&amp;VAR:QUERY=RkZfRElWX1lMRChBTk4sNC8wMi8wOCw0LzAyLzA4KQ==&amp;WINDOW=FIRST_POPUP&amp;HEIGHT=450&amp;WIDTH=450&amp;","START_MAXIMIZED=FALSE&amp;VAR:CALENDAR=US&amp;VAR:SYMBOL=KO&amp;VAR:INDEX=0"}</definedName>
    <definedName name="_1732__FDSAUDITLINK__" localSheetId="0"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2__FDSAUDITLINK__" hidden="1">{"fdsup://directions/FAT Viewer?action=UPDATE&amp;creator=factset&amp;DYN_ARGS=TRUE&amp;DOC_NAME=FAT:FQL_AUDITING_CLIENT_TEMPLATE.FAT&amp;display_string=Audit&amp;VAR:KEY=OTUNGZIZYL&amp;VAR:QUERY=RkZfRElWX1lMRChBTk4sMy8yNi8wOCwzLzI2LzA4KQ==&amp;WINDOW=FIRST_POPUP&amp;HEIGHT=450&amp;WIDTH=450&amp;","START_MAXIMIZED=FALSE&amp;VAR:CALENDAR=US&amp;VAR:SYMBOL=KO&amp;VAR:INDEX=0"}</definedName>
    <definedName name="_1733__FDSAUDITLINK__" localSheetId="0"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3__FDSAUDITLINK__" hidden="1">{"fdsup://directions/FAT Viewer?action=UPDATE&amp;creator=factset&amp;DYN_ARGS=TRUE&amp;DOC_NAME=FAT:FQL_AUDITING_CLIENT_TEMPLATE.FAT&amp;display_string=Audit&amp;VAR:KEY=OVSFABQJIZ&amp;VAR:QUERY=RkZfRElWX1lMRChBTk4sMy8xOS8wOCwzLzE5LzA4KQ==&amp;WINDOW=FIRST_POPUP&amp;HEIGHT=450&amp;WIDTH=450&amp;","START_MAXIMIZED=FALSE&amp;VAR:CALENDAR=US&amp;VAR:SYMBOL=KO&amp;VAR:INDEX=0"}</definedName>
    <definedName name="_1734">#REF!</definedName>
    <definedName name="_1734__FDSAUDITLINK__" localSheetId="0"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4__FDSAUDITLINK__" hidden="1">{"fdsup://directions/FAT Viewer?action=UPDATE&amp;creator=factset&amp;DYN_ARGS=TRUE&amp;DOC_NAME=FAT:FQL_AUDITING_CLIENT_TEMPLATE.FAT&amp;display_string=Audit&amp;VAR:KEY=GDOXAVWZEV&amp;VAR:QUERY=RkZfRElWX1lMRChBTk4sMy8xMi8wOCwzLzEyLzA4KQ==&amp;WINDOW=FIRST_POPUP&amp;HEIGHT=450&amp;WIDTH=450&amp;","START_MAXIMIZED=FALSE&amp;VAR:CALENDAR=US&amp;VAR:SYMBOL=KO&amp;VAR:INDEX=0"}</definedName>
    <definedName name="_1735__FDSAUDITLINK__" localSheetId="0"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5__FDSAUDITLINK__" hidden="1">{"fdsup://directions/FAT Viewer?action=UPDATE&amp;creator=factset&amp;DYN_ARGS=TRUE&amp;DOC_NAME=FAT:FQL_AUDITING_CLIENT_TEMPLATE.FAT&amp;display_string=Audit&amp;VAR:KEY=CDCLOJEPSV&amp;VAR:QUERY=RkZfRElWX1lMRChBTk4sMy8wNS8wOCwzLzA1LzA4KQ==&amp;WINDOW=FIRST_POPUP&amp;HEIGHT=450&amp;WIDTH=450&amp;","START_MAXIMIZED=FALSE&amp;VAR:CALENDAR=US&amp;VAR:SYMBOL=KO&amp;VAR:INDEX=0"}</definedName>
    <definedName name="_1736__FDSAUDITLINK__" localSheetId="0"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6__FDSAUDITLINK__" hidden="1">{"fdsup://directions/FAT Viewer?action=UPDATE&amp;creator=factset&amp;DYN_ARGS=TRUE&amp;DOC_NAME=FAT:FQL_AUDITING_CLIENT_TEMPLATE.FAT&amp;display_string=Audit&amp;VAR:KEY=EXYDMNADMD&amp;VAR:QUERY=RkZfRElWX1lMRChBTk4sMi8yNy8wOCwyLzI3LzA4KQ==&amp;WINDOW=FIRST_POPUP&amp;HEIGHT=450&amp;WIDTH=450&amp;","START_MAXIMIZED=FALSE&amp;VAR:CALENDAR=US&amp;VAR:SYMBOL=KO&amp;VAR:INDEX=0"}</definedName>
    <definedName name="_1737__FDSAUDITLINK__" localSheetId="0"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7__FDSAUDITLINK__" hidden="1">{"fdsup://directions/FAT Viewer?action=UPDATE&amp;creator=factset&amp;DYN_ARGS=TRUE&amp;DOC_NAME=FAT:FQL_AUDITING_CLIENT_TEMPLATE.FAT&amp;display_string=Audit&amp;VAR:KEY=OPCJIXYNYJ&amp;VAR:QUERY=RkZfRElWX1lMRChBTk4sMi8yMC8wOCwyLzIwLzA4KQ==&amp;WINDOW=FIRST_POPUP&amp;HEIGHT=450&amp;WIDTH=450&amp;","START_MAXIMIZED=FALSE&amp;VAR:CALENDAR=US&amp;VAR:SYMBOL=KO&amp;VAR:INDEX=0"}</definedName>
    <definedName name="_1738__FDSAUDITLINK__" localSheetId="0"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8__FDSAUDITLINK__" hidden="1">{"fdsup://directions/FAT Viewer?action=UPDATE&amp;creator=factset&amp;DYN_ARGS=TRUE&amp;DOC_NAME=FAT:FQL_AUDITING_CLIENT_TEMPLATE.FAT&amp;display_string=Audit&amp;VAR:KEY=YTSPYPWJCD&amp;VAR:QUERY=RkZfRElWX1lMRChBTk4sMi8xMy8wOCwyLzEzLzA4KQ==&amp;WINDOW=FIRST_POPUP&amp;HEIGHT=450&amp;WIDTH=450&amp;","START_MAXIMIZED=FALSE&amp;VAR:CALENDAR=US&amp;VAR:SYMBOL=KO&amp;VAR:INDEX=0"}</definedName>
    <definedName name="_1739__FDSAUDITLINK__" localSheetId="0"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39__FDSAUDITLINK__" hidden="1">{"fdsup://directions/FAT Viewer?action=UPDATE&amp;creator=factset&amp;DYN_ARGS=TRUE&amp;DOC_NAME=FAT:FQL_AUDITING_CLIENT_TEMPLATE.FAT&amp;display_string=Audit&amp;VAR:KEY=QPQLOTWNYH&amp;VAR:QUERY=RkZfRElWX1lMRChBTk4sMi8wNi8wOCwyLzA2LzA4KQ==&amp;WINDOW=FIRST_POPUP&amp;HEIGHT=450&amp;WIDTH=450&amp;","START_MAXIMIZED=FALSE&amp;VAR:CALENDAR=US&amp;VAR:SYMBOL=KO&amp;VAR:INDEX=0"}</definedName>
    <definedName name="_174">#REF!</definedName>
    <definedName name="_174__123Graph_FWAGES_BY_B_U">#REF!</definedName>
    <definedName name="_174__FDSAUDITLINK__" localSheetId="0"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__FDSAUDITLINK__" hidden="1">{"fdsup://directions/FAT Viewer?action=UPDATE&amp;creator=factset&amp;DYN_ARGS=TRUE&amp;DOC_NAME=FAT:FQL_AUDITING_CLIENT_TEMPLATE.FAT&amp;display_string=Audit&amp;VAR:KEY=RQZANIRIXW&amp;VAR:QUERY=RkZfRElWX1lMRChBTk4sMTIvMDYvMDcsMTIvMDYvMDcp&amp;WINDOW=FIRST_POPUP&amp;HEIGHT=450&amp;WIDTH=450&amp;","START_MAXIMIZED=FALSE&amp;VAR:CALENDAR=US&amp;VAR:SYMBOL=RAI&amp;VAR:INDEX=0"}</definedName>
    <definedName name="_1740__FDSAUDITLINK__" localSheetId="0"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0__FDSAUDITLINK__" hidden="1">{"fdsup://directions/FAT Viewer?action=UPDATE&amp;creator=factset&amp;DYN_ARGS=TRUE&amp;DOC_NAME=FAT:FQL_AUDITING_CLIENT_TEMPLATE.FAT&amp;display_string=Audit&amp;VAR:KEY=IZCRCBCXKP&amp;VAR:QUERY=RkZfRElWX1lMRChBTk4sMS8zMC8wOCwxLzMwLzA4KQ==&amp;WINDOW=FIRST_POPUP&amp;HEIGHT=450&amp;WIDTH=450&amp;","START_MAXIMIZED=FALSE&amp;VAR:CALENDAR=US&amp;VAR:SYMBOL=KO&amp;VAR:INDEX=0"}</definedName>
    <definedName name="_1741__FDSAUDITLINK__" localSheetId="0"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1__FDSAUDITLINK__" hidden="1">{"fdsup://directions/FAT Viewer?action=UPDATE&amp;creator=factset&amp;DYN_ARGS=TRUE&amp;DOC_NAME=FAT:FQL_AUDITING_CLIENT_TEMPLATE.FAT&amp;display_string=Audit&amp;VAR:KEY=MBAPOBGLIV&amp;VAR:QUERY=RkZfRElWX1lMRChBTk4sMS8yMy8wOCwxLzIzLzA4KQ==&amp;WINDOW=FIRST_POPUP&amp;HEIGHT=450&amp;WIDTH=450&amp;","START_MAXIMIZED=FALSE&amp;VAR:CALENDAR=US&amp;VAR:SYMBOL=KO&amp;VAR:INDEX=0"}</definedName>
    <definedName name="_1742">#REF!</definedName>
    <definedName name="_1742__FDSAUDITLINK__" localSheetId="0"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2__FDSAUDITLINK__" hidden="1">{"fdsup://directions/FAT Viewer?action=UPDATE&amp;creator=factset&amp;DYN_ARGS=TRUE&amp;DOC_NAME=FAT:FQL_AUDITING_CLIENT_TEMPLATE.FAT&amp;display_string=Audit&amp;VAR:KEY=ULYFCJGLGT&amp;VAR:QUERY=RkZfRElWX1lMRChBTk4sMS8xNi8wOCwxLzE2LzA4KQ==&amp;WINDOW=FIRST_POPUP&amp;HEIGHT=450&amp;WIDTH=450&amp;","START_MAXIMIZED=FALSE&amp;VAR:CALENDAR=US&amp;VAR:SYMBOL=KO&amp;VAR:INDEX=0"}</definedName>
    <definedName name="_1743">#REF!</definedName>
    <definedName name="_1743__FDSAUDITLINK__" localSheetId="0"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3__FDSAUDITLINK__" hidden="1">{"fdsup://directions/FAT Viewer?action=UPDATE&amp;creator=factset&amp;DYN_ARGS=TRUE&amp;DOC_NAME=FAT:FQL_AUDITING_CLIENT_TEMPLATE.FAT&amp;display_string=Audit&amp;VAR:KEY=MTQZODAROJ&amp;VAR:QUERY=RkZfRElWX1lMRChBTk4sMS8wOS8wOCwxLzA5LzA4KQ==&amp;WINDOW=FIRST_POPUP&amp;HEIGHT=450&amp;WIDTH=450&amp;","START_MAXIMIZED=FALSE&amp;VAR:CALENDAR=US&amp;VAR:SYMBOL=KO&amp;VAR:INDEX=0"}</definedName>
    <definedName name="_1744">#REF!</definedName>
    <definedName name="_1744__FDSAUDITLINK__" localSheetId="0"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4__FDSAUDITLINK__" hidden="1">{"fdsup://directions/FAT Viewer?action=UPDATE&amp;creator=factset&amp;DYN_ARGS=TRUE&amp;DOC_NAME=FAT:FQL_AUDITING_CLIENT_TEMPLATE.FAT&amp;display_string=Audit&amp;VAR:KEY=QRCTIPQZWP&amp;VAR:QUERY=RkZfRElWX1lMRChBTk4sMS8wMi8wOCwxLzAyLzA4KQ==&amp;WINDOW=FIRST_POPUP&amp;HEIGHT=450&amp;WIDTH=450&amp;","START_MAXIMIZED=FALSE&amp;VAR:CALENDAR=US&amp;VAR:SYMBOL=KO&amp;VAR:INDEX=0"}</definedName>
    <definedName name="_1745__FDSAUDITLINK__" localSheetId="0"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5__FDSAUDITLINK__" hidden="1">{"fdsup://directions/FAT Viewer?action=UPDATE&amp;creator=factset&amp;DYN_ARGS=TRUE&amp;DOC_NAME=FAT:FQL_AUDITING_CLIENT_TEMPLATE.FAT&amp;display_string=Audit&amp;VAR:KEY=QPAPIRUBCX&amp;VAR:QUERY=RkZfRElWX1lMRChBTk4sMTIvMjYvMDcsMTIvMjYvMDcp&amp;WINDOW=FIRST_POPUP&amp;HEIGHT=450&amp;WIDTH=450&amp;","START_MAXIMIZED=FALSE&amp;VAR:CALENDAR=US&amp;VAR:SYMBOL=KO&amp;VAR:INDEX=0"}</definedName>
    <definedName name="_1746">#REF!</definedName>
    <definedName name="_1746__FDSAUDITLINK__" localSheetId="0"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6__FDSAUDITLINK__" hidden="1">{"fdsup://directions/FAT Viewer?action=UPDATE&amp;creator=factset&amp;DYN_ARGS=TRUE&amp;DOC_NAME=FAT:FQL_AUDITING_CLIENT_TEMPLATE.FAT&amp;display_string=Audit&amp;VAR:KEY=SDCBCDAZWX&amp;VAR:QUERY=RkZfRElWX1lMRChBTk4sMTIvMTkvMDcsMTIvMTkvMDcp&amp;WINDOW=FIRST_POPUP&amp;HEIGHT=450&amp;WIDTH=450&amp;","START_MAXIMIZED=FALSE&amp;VAR:CALENDAR=US&amp;VAR:SYMBOL=KO&amp;VAR:INDEX=0"}</definedName>
    <definedName name="_1747">#REF!</definedName>
    <definedName name="_1747__FDSAUDITLINK__" localSheetId="0"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7__FDSAUDITLINK__" hidden="1">{"fdsup://directions/FAT Viewer?action=UPDATE&amp;creator=factset&amp;DYN_ARGS=TRUE&amp;DOC_NAME=FAT:FQL_AUDITING_CLIENT_TEMPLATE.FAT&amp;display_string=Audit&amp;VAR:KEY=CRCHKHEZQR&amp;VAR:QUERY=RkZfRElWX1lMRChBTk4sMTIvMTIvMDcsMTIvMTIvMDcp&amp;WINDOW=FIRST_POPUP&amp;HEIGHT=450&amp;WIDTH=450&amp;","START_MAXIMIZED=FALSE&amp;VAR:CALENDAR=US&amp;VAR:SYMBOL=KO&amp;VAR:INDEX=0"}</definedName>
    <definedName name="_1748__FDSAUDITLINK__" localSheetId="0"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8__FDSAUDITLINK__" hidden="1">{"fdsup://directions/FAT Viewer?action=UPDATE&amp;creator=factset&amp;DYN_ARGS=TRUE&amp;DOC_NAME=FAT:FQL_AUDITING_CLIENT_TEMPLATE.FAT&amp;display_string=Audit&amp;VAR:KEY=IRCLADKLMP&amp;VAR:QUERY=RkZfRElWX1lMRChBTk4sMTIvMDUvMDcsMTIvMDUvMDcp&amp;WINDOW=FIRST_POPUP&amp;HEIGHT=450&amp;WIDTH=450&amp;","START_MAXIMIZED=FALSE&amp;VAR:CALENDAR=US&amp;VAR:SYMBOL=KO&amp;VAR:INDEX=0"}</definedName>
    <definedName name="_1749">#REF!</definedName>
    <definedName name="_1749__FDSAUDITLINK__" localSheetId="0"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49__FDSAUDITLINK__" hidden="1">{"fdsup://directions/FAT Viewer?action=UPDATE&amp;creator=factset&amp;DYN_ARGS=TRUE&amp;DOC_NAME=FAT:FQL_AUDITING_CLIENT_TEMPLATE.FAT&amp;display_string=Audit&amp;VAR:KEY=WVEVMVSJAF&amp;VAR:QUERY=RkZfRElWX1lMRChBTk4sMTEvMjgvMDcsMTEvMjgvMDcp&amp;WINDOW=FIRST_POPUP&amp;HEIGHT=450&amp;WIDTH=450&amp;","START_MAXIMIZED=FALSE&amp;VAR:CALENDAR=US&amp;VAR:SYMBOL=KO&amp;VAR:INDEX=0"}</definedName>
    <definedName name="_175">#REF!</definedName>
    <definedName name="_175__123Graph_FWAGES_BY_B_U">#REF!</definedName>
    <definedName name="_175__FDSAUDITLINK__" localSheetId="0"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__FDSAUDITLINK__" hidden="1">{"fdsup://directions/FAT Viewer?action=UPDATE&amp;creator=factset&amp;DYN_ARGS=TRUE&amp;DOC_NAME=FAT:FQL_AUDITING_CLIENT_TEMPLATE.FAT&amp;display_string=Audit&amp;VAR:KEY=BKFWVEFWVS&amp;VAR:QUERY=RkZfRElWX1lMRChBTk4sMTEvMjkvMDcsMTEvMjkvMDcp&amp;WINDOW=FIRST_POPUP&amp;HEIGHT=450&amp;WIDTH=450&amp;","START_MAXIMIZED=FALSE&amp;VAR:CALENDAR=US&amp;VAR:SYMBOL=RAI&amp;VAR:INDEX=0"}</definedName>
    <definedName name="_1750">#REF!</definedName>
    <definedName name="_1750__FDSAUDITLINK__" localSheetId="0"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0__FDSAUDITLINK__" hidden="1">{"fdsup://directions/FAT Viewer?action=UPDATE&amp;creator=factset&amp;DYN_ARGS=TRUE&amp;DOC_NAME=FAT:FQL_AUDITING_CLIENT_TEMPLATE.FAT&amp;display_string=Audit&amp;VAR:KEY=CXMVMTYPGH&amp;VAR:QUERY=RkZfRElWX1lMRChBTk4sMTEvMjEvMDcsMTEvMjEvMDcp&amp;WINDOW=FIRST_POPUP&amp;HEIGHT=450&amp;WIDTH=450&amp;","START_MAXIMIZED=FALSE&amp;VAR:CALENDAR=US&amp;VAR:SYMBOL=KO&amp;VAR:INDEX=0"}</definedName>
    <definedName name="_1751">#REF!</definedName>
    <definedName name="_1751__FDSAUDITLINK__" localSheetId="0"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1__FDSAUDITLINK__" hidden="1">{"fdsup://directions/FAT Viewer?action=UPDATE&amp;creator=factset&amp;DYN_ARGS=TRUE&amp;DOC_NAME=FAT:FQL_AUDITING_CLIENT_TEMPLATE.FAT&amp;display_string=Audit&amp;VAR:KEY=QRWHGPELQP&amp;VAR:QUERY=RkZfRElWX1lMRChBTk4sMTEvMTQvMDcsMTEvMTQvMDcp&amp;WINDOW=FIRST_POPUP&amp;HEIGHT=450&amp;WIDTH=450&amp;","START_MAXIMIZED=FALSE&amp;VAR:CALENDAR=US&amp;VAR:SYMBOL=KO&amp;VAR:INDEX=0"}</definedName>
    <definedName name="_1752__FDSAUDITLINK__" localSheetId="0"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2__FDSAUDITLINK__" hidden="1">{"fdsup://directions/FAT Viewer?action=UPDATE&amp;creator=factset&amp;DYN_ARGS=TRUE&amp;DOC_NAME=FAT:FQL_AUDITING_CLIENT_TEMPLATE.FAT&amp;display_string=Audit&amp;VAR:KEY=KBAXQVIBQZ&amp;VAR:QUERY=RkZfRElWX1lMRChBTk4sMTEvMDcvMDcsMTEvMDcvMDcp&amp;WINDOW=FIRST_POPUP&amp;HEIGHT=450&amp;WIDTH=450&amp;","START_MAXIMIZED=FALSE&amp;VAR:CALENDAR=US&amp;VAR:SYMBOL=KO&amp;VAR:INDEX=0"}</definedName>
    <definedName name="_1753__FDSAUDITLINK__" localSheetId="0"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3__FDSAUDITLINK__" hidden="1">{"fdsup://directions/FAT Viewer?action=UPDATE&amp;creator=factset&amp;DYN_ARGS=TRUE&amp;DOC_NAME=FAT:FQL_AUDITING_CLIENT_TEMPLATE.FAT&amp;display_string=Audit&amp;VAR:KEY=IZMRWLMRAL&amp;VAR:QUERY=RkZfRElWX1lMRChBTk4sMTAvMzEvMDcsMTAvMzEvMDcp&amp;WINDOW=FIRST_POPUP&amp;HEIGHT=450&amp;WIDTH=450&amp;","START_MAXIMIZED=FALSE&amp;VAR:CALENDAR=US&amp;VAR:SYMBOL=KO&amp;VAR:INDEX=0"}</definedName>
    <definedName name="_1754__FDSAUDITLINK__" localSheetId="0"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4__FDSAUDITLINK__" hidden="1">{"fdsup://directions/FAT Viewer?action=UPDATE&amp;creator=factset&amp;DYN_ARGS=TRUE&amp;DOC_NAME=FAT:FQL_AUDITING_CLIENT_TEMPLATE.FAT&amp;display_string=Audit&amp;VAR:KEY=EPGNIPANSP&amp;VAR:QUERY=RkZfRElWX1lMRChBTk4sMTAvMjQvMDcsMTAvMjQvMDcp&amp;WINDOW=FIRST_POPUP&amp;HEIGHT=450&amp;WIDTH=450&amp;","START_MAXIMIZED=FALSE&amp;VAR:CALENDAR=US&amp;VAR:SYMBOL=KO&amp;VAR:INDEX=0"}</definedName>
    <definedName name="_1755__FDSAUDITLINK__" localSheetId="0"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5__FDSAUDITLINK__" hidden="1">{"fdsup://directions/FAT Viewer?action=UPDATE&amp;creator=factset&amp;DYN_ARGS=TRUE&amp;DOC_NAME=FAT:FQL_AUDITING_CLIENT_TEMPLATE.FAT&amp;display_string=Audit&amp;VAR:KEY=CDUNSLUVMZ&amp;VAR:QUERY=RkZfRElWX1lMRChBTk4sMTAvMTcvMDcsMTAvMTcvMDcp&amp;WINDOW=FIRST_POPUP&amp;HEIGHT=450&amp;WIDTH=450&amp;","START_MAXIMIZED=FALSE&amp;VAR:CALENDAR=US&amp;VAR:SYMBOL=KO&amp;VAR:INDEX=0"}</definedName>
    <definedName name="_1756">#REF!</definedName>
    <definedName name="_1756__FDSAUDITLINK__" localSheetId="0"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6__FDSAUDITLINK__" hidden="1">{"fdsup://directions/FAT Viewer?action=UPDATE&amp;creator=factset&amp;DYN_ARGS=TRUE&amp;DOC_NAME=FAT:FQL_AUDITING_CLIENT_TEMPLATE.FAT&amp;display_string=Audit&amp;VAR:KEY=MZOFEDGTMF&amp;VAR:QUERY=RkZfRElWX1lMRChBTk4sMTAvMTAvMDcsMTAvMTAvMDcp&amp;WINDOW=FIRST_POPUP&amp;HEIGHT=450&amp;WIDTH=450&amp;","START_MAXIMIZED=FALSE&amp;VAR:CALENDAR=US&amp;VAR:SYMBOL=KO&amp;VAR:INDEX=0"}</definedName>
    <definedName name="_1757__FDSAUDITLINK__" localSheetId="0"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7__FDSAUDITLINK__" hidden="1">{"fdsup://directions/FAT Viewer?action=UPDATE&amp;creator=factset&amp;DYN_ARGS=TRUE&amp;DOC_NAME=FAT:FQL_AUDITING_CLIENT_TEMPLATE.FAT&amp;display_string=Audit&amp;VAR:KEY=GPANQDWZAN&amp;VAR:QUERY=RkZfRElWX1lMRChBTk4sMTAvMDMvMDcsMTAvMDMvMDcp&amp;WINDOW=FIRST_POPUP&amp;HEIGHT=450&amp;WIDTH=450&amp;","START_MAXIMIZED=FALSE&amp;VAR:CALENDAR=US&amp;VAR:SYMBOL=KO&amp;VAR:INDEX=0"}</definedName>
    <definedName name="_1758__FDSAUDITLINK__" localSheetId="0"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8__FDSAUDITLINK__" hidden="1">{"fdsup://directions/FAT Viewer?action=UPDATE&amp;creator=factset&amp;DYN_ARGS=TRUE&amp;DOC_NAME=FAT:FQL_AUDITING_CLIENT_TEMPLATE.FAT&amp;display_string=Audit&amp;VAR:KEY=GLIZOLAXKD&amp;VAR:QUERY=RkZfRElWX1lMRChBTk4sOS8yNi8wNyw5LzI2LzA3KQ==&amp;WINDOW=FIRST_POPUP&amp;HEIGHT=450&amp;WIDTH=450&amp;","START_MAXIMIZED=FALSE&amp;VAR:CALENDAR=US&amp;VAR:SYMBOL=KO&amp;VAR:INDEX=0"}</definedName>
    <definedName name="_1759__FDSAUDITLINK__" localSheetId="0"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59__FDSAUDITLINK__" hidden="1">{"fdsup://directions/FAT Viewer?action=UPDATE&amp;creator=factset&amp;DYN_ARGS=TRUE&amp;DOC_NAME=FAT:FQL_AUDITING_CLIENT_TEMPLATE.FAT&amp;display_string=Audit&amp;VAR:KEY=OBOVOVQZCV&amp;VAR:QUERY=RkZfRElWX1lMRChBTk4sOS8xOS8wNyw5LzE5LzA3KQ==&amp;WINDOW=FIRST_POPUP&amp;HEIGHT=450&amp;WIDTH=450&amp;","START_MAXIMIZED=FALSE&amp;VAR:CALENDAR=US&amp;VAR:SYMBOL=KO&amp;VAR:INDEX=0"}</definedName>
    <definedName name="_176">#REF!</definedName>
    <definedName name="_176__FDSAUDITLINK__" localSheetId="0"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__FDSAUDITLINK__" hidden="1">{"fdsup://directions/FAT Viewer?action=UPDATE&amp;creator=factset&amp;DYN_ARGS=TRUE&amp;DOC_NAME=FAT:FQL_AUDITING_CLIENT_TEMPLATE.FAT&amp;display_string=Audit&amp;VAR:KEY=LOTQFWJYZE&amp;VAR:QUERY=RkZfRElWX1lMRChBTk4sMTEvMjEvMDcsMTEvMjEvMDcp&amp;WINDOW=FIRST_POPUP&amp;HEIGHT=450&amp;WIDTH=450&amp;","START_MAXIMIZED=FALSE&amp;VAR:CALENDAR=US&amp;VAR:SYMBOL=RAI&amp;VAR:INDEX=0"}</definedName>
    <definedName name="_1760__FDSAUDITLINK__" localSheetId="0"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0__FDSAUDITLINK__" hidden="1">{"fdsup://directions/FAT Viewer?action=UPDATE&amp;creator=factset&amp;DYN_ARGS=TRUE&amp;DOC_NAME=FAT:FQL_AUDITING_CLIENT_TEMPLATE.FAT&amp;display_string=Audit&amp;VAR:KEY=WHEZUFUNCF&amp;VAR:QUERY=RkZfRElWX1lMRChBTk4sOS8xMi8wNyw5LzEyLzA3KQ==&amp;WINDOW=FIRST_POPUP&amp;HEIGHT=450&amp;WIDTH=450&amp;","START_MAXIMIZED=FALSE&amp;VAR:CALENDAR=US&amp;VAR:SYMBOL=KO&amp;VAR:INDEX=0"}</definedName>
    <definedName name="_1761__FDSAUDITLINK__" localSheetId="0"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1__FDSAUDITLINK__" hidden="1">{"fdsup://directions/FAT Viewer?action=UPDATE&amp;creator=factset&amp;DYN_ARGS=TRUE&amp;DOC_NAME=FAT:FQL_AUDITING_CLIENT_TEMPLATE.FAT&amp;display_string=Audit&amp;VAR:KEY=ARSDQVQBUD&amp;VAR:QUERY=RkZfRElWX1lMRChBTk4sOS8wNS8wNyw5LzA1LzA3KQ==&amp;WINDOW=FIRST_POPUP&amp;HEIGHT=450&amp;WIDTH=450&amp;","START_MAXIMIZED=FALSE&amp;VAR:CALENDAR=US&amp;VAR:SYMBOL=KO&amp;VAR:INDEX=0"}</definedName>
    <definedName name="_1762__FDSAUDITLINK__" localSheetId="0"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2__FDSAUDITLINK__" hidden="1">{"fdsup://directions/FAT Viewer?action=UPDATE&amp;creator=factset&amp;DYN_ARGS=TRUE&amp;DOC_NAME=FAT:FQL_AUDITING_CLIENT_TEMPLATE.FAT&amp;display_string=Audit&amp;VAR:KEY=SJGRGXOBAN&amp;VAR:QUERY=RkZfRElWX1lMRChBTk4sOC8yOS8wNyw4LzI5LzA3KQ==&amp;WINDOW=FIRST_POPUP&amp;HEIGHT=450&amp;WIDTH=450&amp;","START_MAXIMIZED=FALSE&amp;VAR:CALENDAR=US&amp;VAR:SYMBOL=KO&amp;VAR:INDEX=0"}</definedName>
    <definedName name="_1763__FDSAUDITLINK__" localSheetId="0"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3__FDSAUDITLINK__" hidden="1">{"fdsup://directions/FAT Viewer?action=UPDATE&amp;creator=factset&amp;DYN_ARGS=TRUE&amp;DOC_NAME=FAT:FQL_AUDITING_CLIENT_TEMPLATE.FAT&amp;display_string=Audit&amp;VAR:KEY=SBOZALUFSL&amp;VAR:QUERY=RkZfRElWX1lMRChBTk4sOC8yMi8wNyw4LzIyLzA3KQ==&amp;WINDOW=FIRST_POPUP&amp;HEIGHT=450&amp;WIDTH=450&amp;","START_MAXIMIZED=FALSE&amp;VAR:CALENDAR=US&amp;VAR:SYMBOL=KO&amp;VAR:INDEX=0"}</definedName>
    <definedName name="_1764">#REF!</definedName>
    <definedName name="_1764__FDSAUDITLINK__" localSheetId="0"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4__FDSAUDITLINK__" hidden="1">{"fdsup://directions/FAT Viewer?action=UPDATE&amp;creator=factset&amp;DYN_ARGS=TRUE&amp;DOC_NAME=FAT:FQL_AUDITING_CLIENT_TEMPLATE.FAT&amp;display_string=Audit&amp;VAR:KEY=KZSVAPKNUX&amp;VAR:QUERY=RkZfRElWX1lMRChBTk4sOC8xNS8wNyw4LzE1LzA3KQ==&amp;WINDOW=FIRST_POPUP&amp;HEIGHT=450&amp;WIDTH=450&amp;","START_MAXIMIZED=FALSE&amp;VAR:CALENDAR=US&amp;VAR:SYMBOL=KO&amp;VAR:INDEX=0"}</definedName>
    <definedName name="_1765__FDSAUDITLINK__" localSheetId="0"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5__FDSAUDITLINK__" hidden="1">{"fdsup://directions/FAT Viewer?action=UPDATE&amp;creator=factset&amp;DYN_ARGS=TRUE&amp;DOC_NAME=FAT:FQL_AUDITING_CLIENT_TEMPLATE.FAT&amp;display_string=Audit&amp;VAR:KEY=WJCJAXKDYN&amp;VAR:QUERY=RkZfRElWX1lMRChBTk4sOC8wOC8wNyw4LzA4LzA3KQ==&amp;WINDOW=FIRST_POPUP&amp;HEIGHT=450&amp;WIDTH=450&amp;","START_MAXIMIZED=FALSE&amp;VAR:CALENDAR=US&amp;VAR:SYMBOL=KO&amp;VAR:INDEX=0"}</definedName>
    <definedName name="_1766__FDSAUDITLINK__" localSheetId="0"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6__FDSAUDITLINK__" hidden="1">{"fdsup://directions/FAT Viewer?action=UPDATE&amp;creator=factset&amp;DYN_ARGS=TRUE&amp;DOC_NAME=FAT:FQL_AUDITING_CLIENT_TEMPLATE.FAT&amp;display_string=Audit&amp;VAR:KEY=IJEZKBSPCN&amp;VAR:QUERY=RkZfRElWX1lMRChBTk4sOC8wMS8wNyw4LzAxLzA3KQ==&amp;WINDOW=FIRST_POPUP&amp;HEIGHT=450&amp;WIDTH=450&amp;","START_MAXIMIZED=FALSE&amp;VAR:CALENDAR=US&amp;VAR:SYMBOL=KO&amp;VAR:INDEX=0"}</definedName>
    <definedName name="_1767__FDSAUDITLINK__" localSheetId="0"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7__FDSAUDITLINK__" hidden="1">{"fdsup://directions/FAT Viewer?action=UPDATE&amp;creator=factset&amp;DYN_ARGS=TRUE&amp;DOC_NAME=FAT:FQL_AUDITING_CLIENT_TEMPLATE.FAT&amp;display_string=Audit&amp;VAR:KEY=CHETCXSFYH&amp;VAR:QUERY=RkZfRElWX1lMRChBTk4sNy8yNS8wNyw3LzI1LzA3KQ==&amp;WINDOW=FIRST_POPUP&amp;HEIGHT=450&amp;WIDTH=450&amp;","START_MAXIMIZED=FALSE&amp;VAR:CALENDAR=US&amp;VAR:SYMBOL=KO&amp;VAR:INDEX=0"}</definedName>
    <definedName name="_1768">#REF!</definedName>
    <definedName name="_1768__FDSAUDITLINK__" localSheetId="0"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8__FDSAUDITLINK__" hidden="1">{"fdsup://directions/FAT Viewer?action=UPDATE&amp;creator=factset&amp;DYN_ARGS=TRUE&amp;DOC_NAME=FAT:FQL_AUDITING_CLIENT_TEMPLATE.FAT&amp;display_string=Audit&amp;VAR:KEY=QBSHSVWZCH&amp;VAR:QUERY=RkZfRElWX1lMRChBTk4sNy8xOC8wNyw3LzE4LzA3KQ==&amp;WINDOW=FIRST_POPUP&amp;HEIGHT=450&amp;WIDTH=450&amp;","START_MAXIMIZED=FALSE&amp;VAR:CALENDAR=US&amp;VAR:SYMBOL=KO&amp;VAR:INDEX=0"}</definedName>
    <definedName name="_1769__FDSAUDITLINK__" localSheetId="0"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69__FDSAUDITLINK__" hidden="1">{"fdsup://directions/FAT Viewer?action=UPDATE&amp;creator=factset&amp;DYN_ARGS=TRUE&amp;DOC_NAME=FAT:FQL_AUDITING_CLIENT_TEMPLATE.FAT&amp;display_string=Audit&amp;VAR:KEY=CVSRWBWBAD&amp;VAR:QUERY=RkZfRElWX1lMRChBTk4sNy8xMS8wNyw3LzExLzA3KQ==&amp;WINDOW=FIRST_POPUP&amp;HEIGHT=450&amp;WIDTH=450&amp;","START_MAXIMIZED=FALSE&amp;VAR:CALENDAR=US&amp;VAR:SYMBOL=KO&amp;VAR:INDEX=0"}</definedName>
    <definedName name="_177">#REF!</definedName>
    <definedName name="_177__FDSAUDITLINK__" localSheetId="0"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__FDSAUDITLINK__" hidden="1">{"fdsup://directions/FAT Viewer?action=UPDATE&amp;creator=factset&amp;DYN_ARGS=TRUE&amp;DOC_NAME=FAT:FQL_AUDITING_CLIENT_TEMPLATE.FAT&amp;display_string=Audit&amp;VAR:KEY=DKVIRERCZE&amp;VAR:QUERY=RkZfRElWX1lMRChBTk4sMTEvMTUvMDcsMTEvMTUvMDcp&amp;WINDOW=FIRST_POPUP&amp;HEIGHT=450&amp;WIDTH=450&amp;","START_MAXIMIZED=FALSE&amp;VAR:CALENDAR=US&amp;VAR:SYMBOL=RAI&amp;VAR:INDEX=0"}</definedName>
    <definedName name="_1770__FDSAUDITLINK__" localSheetId="0"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0__FDSAUDITLINK__" hidden="1">{"fdsup://directions/FAT Viewer?action=UPDATE&amp;creator=factset&amp;DYN_ARGS=TRUE&amp;DOC_NAME=FAT:FQL_AUDITING_CLIENT_TEMPLATE.FAT&amp;display_string=Audit&amp;VAR:KEY=CJCVOLWRYL&amp;VAR:QUERY=RkZfRElWX1lMRChBTk4sNy8wMy8wNyw3LzAzLzA3KQ==&amp;WINDOW=FIRST_POPUP&amp;HEIGHT=450&amp;WIDTH=450&amp;","START_MAXIMIZED=FALSE&amp;VAR:CALENDAR=US&amp;VAR:SYMBOL=KO&amp;VAR:INDEX=0"}</definedName>
    <definedName name="_1771__FDSAUDITLINK__" localSheetId="0"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1__FDSAUDITLINK__" hidden="1">{"fdsup://directions/FAT Viewer?action=UPDATE&amp;creator=factset&amp;DYN_ARGS=TRUE&amp;DOC_NAME=FAT:FQL_AUDITING_CLIENT_TEMPLATE.FAT&amp;display_string=Audit&amp;VAR:KEY=CLWVEXYJAV&amp;VAR:QUERY=RkZfRElWX1lMRChBTk4sNi8yNy8wNyw2LzI3LzA3KQ==&amp;WINDOW=FIRST_POPUP&amp;HEIGHT=450&amp;WIDTH=450&amp;","START_MAXIMIZED=FALSE&amp;VAR:CALENDAR=US&amp;VAR:SYMBOL=KO&amp;VAR:INDEX=0"}</definedName>
    <definedName name="_1772__FDSAUDITLINK__" localSheetId="0"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2__FDSAUDITLINK__" hidden="1">{"fdsup://directions/FAT Viewer?action=UPDATE&amp;creator=factset&amp;DYN_ARGS=TRUE&amp;DOC_NAME=FAT:FQL_AUDITING_CLIENT_TEMPLATE.FAT&amp;display_string=Audit&amp;VAR:KEY=WLCZYRQNOD&amp;VAR:QUERY=RkZfRElWX1lMRChBTk4sNi8yMC8wNyw2LzIwLzA3KQ==&amp;WINDOW=FIRST_POPUP&amp;HEIGHT=450&amp;WIDTH=450&amp;","START_MAXIMIZED=FALSE&amp;VAR:CALENDAR=US&amp;VAR:SYMBOL=KO&amp;VAR:INDEX=0"}</definedName>
    <definedName name="_1773">#REF!</definedName>
    <definedName name="_1773__FDSAUDITLINK__" localSheetId="0"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3__FDSAUDITLINK__" hidden="1">{"fdsup://directions/FAT Viewer?action=UPDATE&amp;creator=factset&amp;DYN_ARGS=TRUE&amp;DOC_NAME=FAT:FQL_AUDITING_CLIENT_TEMPLATE.FAT&amp;display_string=Audit&amp;VAR:KEY=SLYPQBKXKX&amp;VAR:QUERY=RkZfRElWX1lMRChBTk4sNi8xMy8wNyw2LzEzLzA3KQ==&amp;WINDOW=FIRST_POPUP&amp;HEIGHT=450&amp;WIDTH=450&amp;","START_MAXIMIZED=FALSE&amp;VAR:CALENDAR=US&amp;VAR:SYMBOL=KO&amp;VAR:INDEX=0"}</definedName>
    <definedName name="_1774__FDSAUDITLINK__" localSheetId="0"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4__FDSAUDITLINK__" hidden="1">{"fdsup://directions/FAT Viewer?action=UPDATE&amp;creator=factset&amp;DYN_ARGS=TRUE&amp;DOC_NAME=FAT:FQL_AUDITING_CLIENT_TEMPLATE.FAT&amp;display_string=Audit&amp;VAR:KEY=ORWPCTSTOP&amp;VAR:QUERY=RkZfRElWX1lMRChBTk4sNi8wNi8wNyw2LzA2LzA3KQ==&amp;WINDOW=FIRST_POPUP&amp;HEIGHT=450&amp;WIDTH=450&amp;","START_MAXIMIZED=FALSE&amp;VAR:CALENDAR=US&amp;VAR:SYMBOL=KO&amp;VAR:INDEX=0"}</definedName>
    <definedName name="_1775__FDSAUDITLINK__" localSheetId="0"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5__FDSAUDITLINK__" hidden="1">{"fdsup://directions/FAT Viewer?action=UPDATE&amp;creator=factset&amp;DYN_ARGS=TRUE&amp;DOC_NAME=FAT:FQL_AUDITING_CLIENT_TEMPLATE.FAT&amp;display_string=Audit&amp;VAR:KEY=KLUPWDEFKV&amp;VAR:QUERY=RkZfRElWX1lMRChBTk4sNS8zMC8wNyw1LzMwLzA3KQ==&amp;WINDOW=FIRST_POPUP&amp;HEIGHT=450&amp;WIDTH=450&amp;","START_MAXIMIZED=FALSE&amp;VAR:CALENDAR=US&amp;VAR:SYMBOL=KO&amp;VAR:INDEX=0"}</definedName>
    <definedName name="_1776__FDSAUDITLINK__" localSheetId="0"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6__FDSAUDITLINK__" hidden="1">{"fdsup://directions/FAT Viewer?action=UPDATE&amp;creator=factset&amp;DYN_ARGS=TRUE&amp;DOC_NAME=FAT:FQL_AUDITING_CLIENT_TEMPLATE.FAT&amp;display_string=Audit&amp;VAR:KEY=YHQRABQNOL&amp;VAR:QUERY=RkZfRElWX1lMRChBTk4sNS8yMy8wNyw1LzIzLzA3KQ==&amp;WINDOW=FIRST_POPUP&amp;HEIGHT=450&amp;WIDTH=450&amp;","START_MAXIMIZED=FALSE&amp;VAR:CALENDAR=US&amp;VAR:SYMBOL=KO&amp;VAR:INDEX=0"}</definedName>
    <definedName name="_1777__FDSAUDITLINK__" localSheetId="0"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7__FDSAUDITLINK__" hidden="1">{"fdsup://directions/FAT Viewer?action=UPDATE&amp;creator=factset&amp;DYN_ARGS=TRUE&amp;DOC_NAME=FAT:FQL_AUDITING_CLIENT_TEMPLATE.FAT&amp;display_string=Audit&amp;VAR:KEY=ANONAHYFQJ&amp;VAR:QUERY=RkZfRElWX1lMRChBTk4sNS8xNi8wNyw1LzE2LzA3KQ==&amp;WINDOW=FIRST_POPUP&amp;HEIGHT=450&amp;WIDTH=450&amp;","START_MAXIMIZED=FALSE&amp;VAR:CALENDAR=US&amp;VAR:SYMBOL=KO&amp;VAR:INDEX=0"}</definedName>
    <definedName name="_1778">#REF!</definedName>
    <definedName name="_1778__FDSAUDITLINK__" localSheetId="0"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8__FDSAUDITLINK__" hidden="1">{"fdsup://directions/FAT Viewer?action=UPDATE&amp;creator=factset&amp;DYN_ARGS=TRUE&amp;DOC_NAME=FAT:FQL_AUDITING_CLIENT_TEMPLATE.FAT&amp;display_string=Audit&amp;VAR:KEY=CHGNKHCJYL&amp;VAR:QUERY=RkZfRElWX1lMRChBTk4sNS8wOS8wNyw1LzA5LzA3KQ==&amp;WINDOW=FIRST_POPUP&amp;HEIGHT=450&amp;WIDTH=450&amp;","START_MAXIMIZED=FALSE&amp;VAR:CALENDAR=US&amp;VAR:SYMBOL=KO&amp;VAR:INDEX=0"}</definedName>
    <definedName name="_1779__FDSAUDITLINK__" localSheetId="0"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79__FDSAUDITLINK__" hidden="1">{"fdsup://directions/FAT Viewer?action=UPDATE&amp;creator=factset&amp;DYN_ARGS=TRUE&amp;DOC_NAME=FAT:FQL_AUDITING_CLIENT_TEMPLATE.FAT&amp;display_string=Audit&amp;VAR:KEY=KVULURWVUF&amp;VAR:QUERY=RkZfRElWX1lMRChBTk4sNS8wMi8wNyw1LzAyLzA3KQ==&amp;WINDOW=FIRST_POPUP&amp;HEIGHT=450&amp;WIDTH=450&amp;","START_MAXIMIZED=FALSE&amp;VAR:CALENDAR=US&amp;VAR:SYMBOL=KO&amp;VAR:INDEX=0"}</definedName>
    <definedName name="_178__FDSAUDITLINK__" localSheetId="0"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__FDSAUDITLINK__" hidden="1">{"fdsup://directions/FAT Viewer?action=UPDATE&amp;creator=factset&amp;DYN_ARGS=TRUE&amp;DOC_NAME=FAT:FQL_AUDITING_CLIENT_TEMPLATE.FAT&amp;display_string=Audit&amp;VAR:KEY=ZUJCLUBKVU&amp;VAR:QUERY=RkZfRElWX1lMRChBTk4sMTEvMDgvMDcsMTEvMDgvMDcp&amp;WINDOW=FIRST_POPUP&amp;HEIGHT=450&amp;WIDTH=450&amp;","START_MAXIMIZED=FALSE&amp;VAR:CALENDAR=US&amp;VAR:SYMBOL=RAI&amp;VAR:INDEX=0"}</definedName>
    <definedName name="_1780__FDSAUDITLINK__" localSheetId="0"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0__FDSAUDITLINK__" hidden="1">{"fdsup://directions/FAT Viewer?action=UPDATE&amp;creator=factset&amp;DYN_ARGS=TRUE&amp;DOC_NAME=FAT:FQL_AUDITING_CLIENT_TEMPLATE.FAT&amp;display_string=Audit&amp;VAR:KEY=EHKRUVERSX&amp;VAR:QUERY=RkZfRElWX1lMRChBTk4sNC8yNS8wNyw0LzI1LzA3KQ==&amp;WINDOW=FIRST_POPUP&amp;HEIGHT=450&amp;WIDTH=450&amp;","START_MAXIMIZED=FALSE&amp;VAR:CALENDAR=US&amp;VAR:SYMBOL=KO&amp;VAR:INDEX=0"}</definedName>
    <definedName name="_1781__FDSAUDITLINK__" localSheetId="0"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1__FDSAUDITLINK__" hidden="1">{"fdsup://directions/FAT Viewer?action=UPDATE&amp;creator=factset&amp;DYN_ARGS=TRUE&amp;DOC_NAME=FAT:FQL_AUDITING_CLIENT_TEMPLATE.FAT&amp;display_string=Audit&amp;VAR:KEY=YNWHOFSZCF&amp;VAR:QUERY=RkZfRElWX1lMRChBTk4sNC8xOC8wNyw0LzE4LzA3KQ==&amp;WINDOW=FIRST_POPUP&amp;HEIGHT=450&amp;WIDTH=450&amp;","START_MAXIMIZED=FALSE&amp;VAR:CALENDAR=US&amp;VAR:SYMBOL=KO&amp;VAR:INDEX=0"}</definedName>
    <definedName name="_1782__FDSAUDITLINK__" localSheetId="0"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2__FDSAUDITLINK__" hidden="1">{"fdsup://directions/FAT Viewer?action=UPDATE&amp;creator=factset&amp;DYN_ARGS=TRUE&amp;DOC_NAME=FAT:FQL_AUDITING_CLIENT_TEMPLATE.FAT&amp;display_string=Audit&amp;VAR:KEY=GJMNEPUZEV&amp;VAR:QUERY=RkZfRElWX1lMRChBTk4sNC8xMS8wNyw0LzExLzA3KQ==&amp;WINDOW=FIRST_POPUP&amp;HEIGHT=450&amp;WIDTH=450&amp;","START_MAXIMIZED=FALSE&amp;VAR:CALENDAR=US&amp;VAR:SYMBOL=KO&amp;VAR:INDEX=0"}</definedName>
    <definedName name="_1783__FDSAUDITLINK__" localSheetId="0"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3__FDSAUDITLINK__" hidden="1">{"fdsup://directions/FAT Viewer?action=UPDATE&amp;creator=factset&amp;DYN_ARGS=TRUE&amp;DOC_NAME=FAT:FQL_AUDITING_CLIENT_TEMPLATE.FAT&amp;display_string=Audit&amp;VAR:KEY=IPWNGLWPMX&amp;VAR:QUERY=RkZfRElWX1lMRChBTk4sNC8wNC8wNyw0LzA0LzA3KQ==&amp;WINDOW=FIRST_POPUP&amp;HEIGHT=450&amp;WIDTH=450&amp;","START_MAXIMIZED=FALSE&amp;VAR:CALENDAR=US&amp;VAR:SYMBOL=KO&amp;VAR:INDEX=0"}</definedName>
    <definedName name="_1784__FDSAUDITLINK__" localSheetId="0"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4__FDSAUDITLINK__" hidden="1">{"fdsup://directions/FAT Viewer?action=UPDATE&amp;creator=factset&amp;DYN_ARGS=TRUE&amp;DOC_NAME=FAT:FQL_AUDITING_CLIENT_TEMPLATE.FAT&amp;display_string=Audit&amp;VAR:KEY=WFQZQDKHUL&amp;VAR:QUERY=RkZfRElWX1lMRChBTk4sMy8yOC8wNywzLzI4LzA3KQ==&amp;WINDOW=FIRST_POPUP&amp;HEIGHT=450&amp;WIDTH=450&amp;","START_MAXIMIZED=FALSE&amp;VAR:CALENDAR=US&amp;VAR:SYMBOL=KO&amp;VAR:INDEX=0"}</definedName>
    <definedName name="_1785__FDSAUDITLINK__" localSheetId="0"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5__FDSAUDITLINK__" hidden="1">{"fdsup://directions/FAT Viewer?action=UPDATE&amp;creator=factset&amp;DYN_ARGS=TRUE&amp;DOC_NAME=FAT:FQL_AUDITING_CLIENT_TEMPLATE.FAT&amp;display_string=Audit&amp;VAR:KEY=CZUBGTMRYF&amp;VAR:QUERY=RkZfRElWX1lMRChBTk4sMy8yMS8wNywzLzIxLzA3KQ==&amp;WINDOW=FIRST_POPUP&amp;HEIGHT=450&amp;WIDTH=450&amp;","START_MAXIMIZED=FALSE&amp;VAR:CALENDAR=US&amp;VAR:SYMBOL=KO&amp;VAR:INDEX=0"}</definedName>
    <definedName name="_1786">#REF!</definedName>
    <definedName name="_1786__FDSAUDITLINK__" localSheetId="0"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6__FDSAUDITLINK__" hidden="1">{"fdsup://directions/FAT Viewer?action=UPDATE&amp;creator=factset&amp;DYN_ARGS=TRUE&amp;DOC_NAME=FAT:FQL_AUDITING_CLIENT_TEMPLATE.FAT&amp;display_string=Audit&amp;VAR:KEY=KDEVCRYHGZ&amp;VAR:QUERY=RkZfRElWX1lMRChBTk4sMy8xNC8wNywzLzE0LzA3KQ==&amp;WINDOW=FIRST_POPUP&amp;HEIGHT=450&amp;WIDTH=450&amp;","START_MAXIMIZED=FALSE&amp;VAR:CALENDAR=US&amp;VAR:SYMBOL=KO&amp;VAR:INDEX=0"}</definedName>
    <definedName name="_1787__FDSAUDITLINK__" localSheetId="0"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7__FDSAUDITLINK__" hidden="1">{"fdsup://directions/FAT Viewer?action=UPDATE&amp;creator=factset&amp;DYN_ARGS=TRUE&amp;DOC_NAME=FAT:FQL_AUDITING_CLIENT_TEMPLATE.FAT&amp;display_string=Audit&amp;VAR:KEY=QHSNETQRIV&amp;VAR:QUERY=RkZfRElWX1lMRChBTk4sMy8wNy8wNywzLzA3LzA3KQ==&amp;WINDOW=FIRST_POPUP&amp;HEIGHT=450&amp;WIDTH=450&amp;","START_MAXIMIZED=FALSE&amp;VAR:CALENDAR=US&amp;VAR:SYMBOL=KO&amp;VAR:INDEX=0"}</definedName>
    <definedName name="_1788__FDSAUDITLINK__" localSheetId="0"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8__FDSAUDITLINK__" hidden="1">{"fdsup://directions/FAT Viewer?action=UPDATE&amp;creator=factset&amp;DYN_ARGS=TRUE&amp;DOC_NAME=FAT:FQL_AUDITING_CLIENT_TEMPLATE.FAT&amp;display_string=Audit&amp;VAR:KEY=ODKLOLATQZ&amp;VAR:QUERY=RkZfRElWX1lMRChBTk4sMi8yOC8wNywyLzI4LzA3KQ==&amp;WINDOW=FIRST_POPUP&amp;HEIGHT=450&amp;WIDTH=450&amp;","START_MAXIMIZED=FALSE&amp;VAR:CALENDAR=US&amp;VAR:SYMBOL=KO&amp;VAR:INDEX=0"}</definedName>
    <definedName name="_1789__FDSAUDITLINK__" localSheetId="0"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89__FDSAUDITLINK__" hidden="1">{"fdsup://directions/FAT Viewer?action=UPDATE&amp;creator=factset&amp;DYN_ARGS=TRUE&amp;DOC_NAME=FAT:FQL_AUDITING_CLIENT_TEMPLATE.FAT&amp;display_string=Audit&amp;VAR:KEY=CZQRKTCJGX&amp;VAR:QUERY=RkZfRElWX1lMRChBTk4sMi8yMS8wNywyLzIxLzA3KQ==&amp;WINDOW=FIRST_POPUP&amp;HEIGHT=450&amp;WIDTH=450&amp;","START_MAXIMIZED=FALSE&amp;VAR:CALENDAR=US&amp;VAR:SYMBOL=KO&amp;VAR:INDEX=0"}</definedName>
    <definedName name="_179">#REF!</definedName>
    <definedName name="_179__FDSAUDITLINK__" localSheetId="0"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__FDSAUDITLINK__" hidden="1">{"fdsup://directions/FAT Viewer?action=UPDATE&amp;creator=factset&amp;DYN_ARGS=TRUE&amp;DOC_NAME=FAT:FQL_AUDITING_CLIENT_TEMPLATE.FAT&amp;display_string=Audit&amp;VAR:KEY=GLAPYXIBYR&amp;VAR:QUERY=QVZHKEZGX0RJVl9ZTEQoQU5OLDQxMDEyLC0zQVkpKQ==&amp;WINDOW=FIRST_POPUP&amp;HEIGHT=450&amp;WIDTH=450&amp;","START_MAXIMIZED=FALSE&amp;VAR:CALENDAR=US&amp;VAR:SYMBOL=SP50"}</definedName>
    <definedName name="_1790">#REF!</definedName>
    <definedName name="_1790__FDSAUDITLINK__" localSheetId="0"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0__FDSAUDITLINK__" hidden="1">{"fdsup://directions/FAT Viewer?action=UPDATE&amp;creator=factset&amp;DYN_ARGS=TRUE&amp;DOC_NAME=FAT:FQL_AUDITING_CLIENT_TEMPLATE.FAT&amp;display_string=Audit&amp;VAR:KEY=IZGJCBSTYH&amp;VAR:QUERY=RkZfRElWX1lMRChBTk4sMi8xNC8wNywyLzE0LzA3KQ==&amp;WINDOW=FIRST_POPUP&amp;HEIGHT=450&amp;WIDTH=450&amp;","START_MAXIMIZED=FALSE&amp;VAR:CALENDAR=US&amp;VAR:SYMBOL=KO&amp;VAR:INDEX=0"}</definedName>
    <definedName name="_1791__FDSAUDITLINK__" localSheetId="0"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1__FDSAUDITLINK__" hidden="1">{"fdsup://directions/FAT Viewer?action=UPDATE&amp;creator=factset&amp;DYN_ARGS=TRUE&amp;DOC_NAME=FAT:FQL_AUDITING_CLIENT_TEMPLATE.FAT&amp;display_string=Audit&amp;VAR:KEY=UJCVATURSF&amp;VAR:QUERY=RkZfRElWX1lMRChBTk4sMi8wNy8wNywyLzA3LzA3KQ==&amp;WINDOW=FIRST_POPUP&amp;HEIGHT=450&amp;WIDTH=450&amp;","START_MAXIMIZED=FALSE&amp;VAR:CALENDAR=US&amp;VAR:SYMBOL=KO&amp;VAR:INDEX=0"}</definedName>
    <definedName name="_1792__FDSAUDITLINK__" localSheetId="0"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2__FDSAUDITLINK__" hidden="1">{"fdsup://directions/FAT Viewer?action=UPDATE&amp;creator=factset&amp;DYN_ARGS=TRUE&amp;DOC_NAME=FAT:FQL_AUDITING_CLIENT_TEMPLATE.FAT&amp;display_string=Audit&amp;VAR:KEY=YXWLWLIZUB&amp;VAR:QUERY=RkZfRElWX1lMRChBTk4sMS8zMS8wNywxLzMxLzA3KQ==&amp;WINDOW=FIRST_POPUP&amp;HEIGHT=450&amp;WIDTH=450&amp;","START_MAXIMIZED=FALSE&amp;VAR:CALENDAR=US&amp;VAR:SYMBOL=KO&amp;VAR:INDEX=0"}</definedName>
    <definedName name="_1793__FDSAUDITLINK__" localSheetId="0"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3__FDSAUDITLINK__" hidden="1">{"fdsup://directions/FAT Viewer?action=UPDATE&amp;creator=factset&amp;DYN_ARGS=TRUE&amp;DOC_NAME=FAT:FQL_AUDITING_CLIENT_TEMPLATE.FAT&amp;display_string=Audit&amp;VAR:KEY=KVKBQNSXMP&amp;VAR:QUERY=RkZfRElWX1lMRChBTk4sMS8yNC8wNywxLzI0LzA3KQ==&amp;WINDOW=FIRST_POPUP&amp;HEIGHT=450&amp;WIDTH=450&amp;","START_MAXIMIZED=FALSE&amp;VAR:CALENDAR=US&amp;VAR:SYMBOL=KO&amp;VAR:INDEX=0"}</definedName>
    <definedName name="_1794__FDSAUDITLINK__" localSheetId="0"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4__FDSAUDITLINK__" hidden="1">{"fdsup://directions/FAT Viewer?action=UPDATE&amp;creator=factset&amp;DYN_ARGS=TRUE&amp;DOC_NAME=FAT:FQL_AUDITING_CLIENT_TEMPLATE.FAT&amp;display_string=Audit&amp;VAR:KEY=KNIPUHKXQF&amp;VAR:QUERY=RkZfRElWX1lMRChBTk4sMS8xNy8wNywxLzE3LzA3KQ==&amp;WINDOW=FIRST_POPUP&amp;HEIGHT=450&amp;WIDTH=450&amp;","START_MAXIMIZED=FALSE&amp;VAR:CALENDAR=US&amp;VAR:SYMBOL=KO&amp;VAR:INDEX=0"}</definedName>
    <definedName name="_1795">#REF!</definedName>
    <definedName name="_1795__FDSAUDITLINK__" localSheetId="0"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5__FDSAUDITLINK__" hidden="1">{"fdsup://directions/FAT Viewer?action=UPDATE&amp;creator=factset&amp;DYN_ARGS=TRUE&amp;DOC_NAME=FAT:FQL_AUDITING_CLIENT_TEMPLATE.FAT&amp;display_string=Audit&amp;VAR:KEY=MFGLQVCJGB&amp;VAR:QUERY=RkZfRElWX1lMRChBTk4sMS8xMC8wNywxLzEwLzA3KQ==&amp;WINDOW=FIRST_POPUP&amp;HEIGHT=450&amp;WIDTH=450&amp;","START_MAXIMIZED=FALSE&amp;VAR:CALENDAR=US&amp;VAR:SYMBOL=KO&amp;VAR:INDEX=0"}</definedName>
    <definedName name="_1796__FDSAUDITLINK__" localSheetId="0"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6__FDSAUDITLINK__" hidden="1">{"fdsup://directions/FAT Viewer?action=UPDATE&amp;creator=factset&amp;DYN_ARGS=TRUE&amp;DOC_NAME=FAT:FQL_AUDITING_CLIENT_TEMPLATE.FAT&amp;display_string=Audit&amp;VAR:KEY=MTUVSNGJIH&amp;VAR:QUERY=RkZfRElWX1lMRChBTk4sMS8wMy8wNywxLzAzLzA3KQ==&amp;WINDOW=FIRST_POPUP&amp;HEIGHT=450&amp;WIDTH=450&amp;","START_MAXIMIZED=FALSE&amp;VAR:CALENDAR=US&amp;VAR:SYMBOL=KO&amp;VAR:INDEX=0"}</definedName>
    <definedName name="_1797__FDSAUDITLINK__" localSheetId="0"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7__FDSAUDITLINK__" hidden="1">{"fdsup://directions/FAT Viewer?action=UPDATE&amp;creator=factset&amp;DYN_ARGS=TRUE&amp;DOC_NAME=FAT:FQL_AUDITING_CLIENT_TEMPLATE.FAT&amp;display_string=Audit&amp;VAR:KEY=CTQPOLYDWB&amp;VAR:QUERY=RkZfRElWX1lMRChBTk4sMTIvMjcvMDYsMTIvMjcvMDYp&amp;WINDOW=FIRST_POPUP&amp;HEIGHT=450&amp;WIDTH=450&amp;","START_MAXIMIZED=FALSE&amp;VAR:CALENDAR=US&amp;VAR:SYMBOL=KO&amp;VAR:INDEX=0"}</definedName>
    <definedName name="_1798__FDSAUDITLINK__" localSheetId="0"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8__FDSAUDITLINK__" hidden="1">{"fdsup://directions/FAT Viewer?action=UPDATE&amp;creator=factset&amp;DYN_ARGS=TRUE&amp;DOC_NAME=FAT:FQL_AUDITING_CLIENT_TEMPLATE.FAT&amp;display_string=Audit&amp;VAR:KEY=SXCPIFYNQZ&amp;VAR:QUERY=RkZfRElWX1lMRChBTk4sMTIvMjAvMDYsMTIvMjAvMDYp&amp;WINDOW=FIRST_POPUP&amp;HEIGHT=450&amp;WIDTH=450&amp;","START_MAXIMIZED=FALSE&amp;VAR:CALENDAR=US&amp;VAR:SYMBOL=KO&amp;VAR:INDEX=0"}</definedName>
    <definedName name="_1799__FDSAUDITLINK__" localSheetId="0"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99__FDSAUDITLINK__" hidden="1">{"fdsup://directions/FAT Viewer?action=UPDATE&amp;creator=factset&amp;DYN_ARGS=TRUE&amp;DOC_NAME=FAT:FQL_AUDITING_CLIENT_TEMPLATE.FAT&amp;display_string=Audit&amp;VAR:KEY=ADQZAPSJOT&amp;VAR:QUERY=RkZfRElWX1lMRChBTk4sMTIvMTMvMDYsMTIvMTMvMDYp&amp;WINDOW=FIRST_POPUP&amp;HEIGHT=450&amp;WIDTH=450&amp;","START_MAXIMIZED=FALSE&amp;VAR:CALENDAR=US&amp;VAR:SYMBOL=KO&amp;VAR:INDEX=0"}</definedName>
    <definedName name="_17s12_" hidden="1">{#N/A,#N/A,FALSE,"UNIT";#N/A,#N/A,FALSE,"UNIT";#N/A,#N/A,FALSE,"계정"}</definedName>
    <definedName name="_17s4_" hidden="1">{#N/A,#N/A,FALSE,"UNIT";#N/A,#N/A,FALSE,"UNIT";#N/A,#N/A,FALSE,"계정"}</definedName>
    <definedName name="_17s6_" hidden="1">{#N/A,#N/A,FALSE,"UNIT";#N/A,#N/A,FALSE,"UNIT";#N/A,#N/A,FALSE,"계정"}</definedName>
    <definedName name="_17s9_" hidden="1">{#N/A,#N/A,FALSE,"UNIT";#N/A,#N/A,FALSE,"UNIT";#N/A,#N/A,FALSE,"계정"}</definedName>
    <definedName name="_18">#REF!</definedName>
    <definedName name="_18_????1_3">#REF!</definedName>
    <definedName name="_18__________P_L">#REF!</definedName>
    <definedName name="_18__123Graph_ACHART_30" hidden="1">#REF!</definedName>
    <definedName name="_18__123Graph_AGROWTH_REVS_A" hidden="1">#REF!</definedName>
    <definedName name="_18__123Graph_ASENS_COMPARISON">#REF!</definedName>
    <definedName name="_18__123Graph_AWAGES_BY_B_U">#REF!</definedName>
    <definedName name="_18__123Graph_BChart_19K">#REF!</definedName>
    <definedName name="_18__123Graph_BQRE_S_BY_CO.">#REF!</definedName>
    <definedName name="_18__123Graph_BQRE_S_BY_TYPE">#REF!</definedName>
    <definedName name="_18__123Graph_BSENS_COMPARISON">#REF!</definedName>
    <definedName name="_18__123Graph_BWAGES_BY_B_U">#REF!</definedName>
    <definedName name="_18__123Graph_CCONTRACT_BY_B_U">#REF!</definedName>
    <definedName name="_18__123Graph_CSENS_COMPARISON" hidden="1">#REF!</definedName>
    <definedName name="_18__123Graph_CSUPPLIES_BY_B_U">#REF!</definedName>
    <definedName name="_18__123Graph_CWAGES_BY_B_U">#REF!</definedName>
    <definedName name="_18__123Graph_DCONTRACT_BY_B_U">#REF!</definedName>
    <definedName name="_18__FDSAUDITLINK__" localSheetId="0"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_FDSAUDITLINK__" hidden="1">{"fdsup://directions/FAT Viewer?action=UPDATE&amp;creator=factset&amp;DYN_ARGS=TRUE&amp;DOC_NAME=FAT:FQL_AUDITING_CLIENT_TEMPLATE.FAT&amp;display_string=Audit&amp;VAR:KEY=QNIPWZAVCJ&amp;VAR:QUERY=Q1NGX0RJVl9ZTEQoUVRSX1IsOS8yOS8yMDA2KQ==&amp;WINDOW=FIRST_POPUP&amp;HEIGHT=450&amp;WIDTH=450&amp;STAR","T_MAXIMIZED=FALSE&amp;VAR:CALENDAR=US&amp;VAR:SYMBOL=MO&amp;VAR:INDEX=0"}</definedName>
    <definedName name="_18_0_S" hidden="1">#REF!</definedName>
    <definedName name="_18_5__1_CRADDIN_DataGrid">#REF!</definedName>
    <definedName name="_180">#REF!</definedName>
    <definedName name="_180__123Graph_XCONTRACT_BY_B_U">#REF!</definedName>
    <definedName name="_180__FDSAUDITLINK__" localSheetId="0"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__FDSAUDITLINK__" hidden="1">{"fdsup://directions/FAT Viewer?action=UPDATE&amp;creator=factset&amp;DYN_ARGS=TRUE&amp;DOC_NAME=FAT:FQL_AUDITING_CLIENT_TEMPLATE.FAT&amp;display_string=Audit&amp;VAR:KEY=QZAZKJILQL&amp;VAR:QUERY=QVZHKEZGX0RJVl9ZTEQoQU5OLDQxMDEyLC0yQVkpKQ==&amp;WINDOW=FIRST_POPUP&amp;HEIGHT=450&amp;WIDTH=450&amp;","START_MAXIMIZED=FALSE&amp;VAR:CALENDAR=US&amp;VAR:SYMBOL=SP50"}</definedName>
    <definedName name="_1800">#REF!</definedName>
    <definedName name="_1800__FDSAUDITLINK__" localSheetId="0"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0__FDSAUDITLINK__" hidden="1">{"fdsup://directions/FAT Viewer?action=UPDATE&amp;creator=factset&amp;DYN_ARGS=TRUE&amp;DOC_NAME=FAT:FQL_AUDITING_CLIENT_TEMPLATE.FAT&amp;display_string=Audit&amp;VAR:KEY=ERSRCVMTYL&amp;VAR:QUERY=RkZfRElWX1lMRChBTk4sMTIvMDYvMDYsMTIvMDYvMDYp&amp;WINDOW=FIRST_POPUP&amp;HEIGHT=450&amp;WIDTH=450&amp;","START_MAXIMIZED=FALSE&amp;VAR:CALENDAR=US&amp;VAR:SYMBOL=KO&amp;VAR:INDEX=0"}</definedName>
    <definedName name="_1801__FDSAUDITLINK__" localSheetId="0"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1__FDSAUDITLINK__" hidden="1">{"fdsup://directions/FAT Viewer?action=UPDATE&amp;creator=factset&amp;DYN_ARGS=TRUE&amp;DOC_NAME=FAT:FQL_AUDITING_CLIENT_TEMPLATE.FAT&amp;display_string=Audit&amp;VAR:KEY=QVABOLSDWX&amp;VAR:QUERY=RkZfRElWX1lMRChBTk4sMTEvMjkvMDYsMTEvMjkvMDYp&amp;WINDOW=FIRST_POPUP&amp;HEIGHT=450&amp;WIDTH=450&amp;","START_MAXIMIZED=FALSE&amp;VAR:CALENDAR=US&amp;VAR:SYMBOL=KO&amp;VAR:INDEX=0"}</definedName>
    <definedName name="_1802__FDSAUDITLINK__" localSheetId="0"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2__FDSAUDITLINK__" hidden="1">{"fdsup://directions/FAT Viewer?action=UPDATE&amp;creator=factset&amp;DYN_ARGS=TRUE&amp;DOC_NAME=FAT:FQL_AUDITING_CLIENT_TEMPLATE.FAT&amp;display_string=Audit&amp;VAR:KEY=IDYZSRWPST&amp;VAR:QUERY=RkZfRElWX1lMRChBTk4sMTEvMjIvMDYsMTEvMjIvMDYp&amp;WINDOW=FIRST_POPUP&amp;HEIGHT=450&amp;WIDTH=450&amp;","START_MAXIMIZED=FALSE&amp;VAR:CALENDAR=US&amp;VAR:SYMBOL=KO&amp;VAR:INDEX=0"}</definedName>
    <definedName name="_1803__FDSAUDITLINK__" localSheetId="0"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3__FDSAUDITLINK__" hidden="1">{"fdsup://directions/FAT Viewer?action=UPDATE&amp;creator=factset&amp;DYN_ARGS=TRUE&amp;DOC_NAME=FAT:FQL_AUDITING_CLIENT_TEMPLATE.FAT&amp;display_string=Audit&amp;VAR:KEY=GJITUXYPKD&amp;VAR:QUERY=RkZfRElWX1lMRChBTk4sMTEvMTUvMDYsMTEvMTUvMDYp&amp;WINDOW=FIRST_POPUP&amp;HEIGHT=450&amp;WIDTH=450&amp;","START_MAXIMIZED=FALSE&amp;VAR:CALENDAR=US&amp;VAR:SYMBOL=KO&amp;VAR:INDEX=0"}</definedName>
    <definedName name="_1804__FDSAUDITLINK__" localSheetId="0"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4__FDSAUDITLINK__" hidden="1">{"fdsup://directions/FAT Viewer?action=UPDATE&amp;creator=factset&amp;DYN_ARGS=TRUE&amp;DOC_NAME=FAT:FQL_AUDITING_CLIENT_TEMPLATE.FAT&amp;display_string=Audit&amp;VAR:KEY=YXAPSLMTWF&amp;VAR:QUERY=RkZfRElWX1lMRChBTk4sMTEvMDgvMDYsMTEvMDgvMDYp&amp;WINDOW=FIRST_POPUP&amp;HEIGHT=450&amp;WIDTH=450&amp;","START_MAXIMIZED=FALSE&amp;VAR:CALENDAR=US&amp;VAR:SYMBOL=KO&amp;VAR:INDEX=0"}</definedName>
    <definedName name="_1805__FDSAUDITLINK__" localSheetId="0"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5__FDSAUDITLINK__" hidden="1">{"fdsup://directions/FAT Viewer?action=UPDATE&amp;creator=factset&amp;DYN_ARGS=TRUE&amp;DOC_NAME=FAT:FQL_AUDITING_CLIENT_TEMPLATE.FAT&amp;display_string=Audit&amp;VAR:KEY=QDQXAXILED&amp;VAR:QUERY=RkZfRElWX1lMRChBTk4sMTEvMDEvMDYsMTEvMDEvMDYp&amp;WINDOW=FIRST_POPUP&amp;HEIGHT=450&amp;WIDTH=450&amp;","START_MAXIMIZED=FALSE&amp;VAR:CALENDAR=US&amp;VAR:SYMBOL=KO&amp;VAR:INDEX=0"}</definedName>
    <definedName name="_1806__FDSAUDITLINK__" localSheetId="0"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6__FDSAUDITLINK__" hidden="1">{"fdsup://directions/FAT Viewer?action=UPDATE&amp;creator=factset&amp;DYN_ARGS=TRUE&amp;DOC_NAME=FAT:FQL_AUDITING_CLIENT_TEMPLATE.FAT&amp;display_string=Audit&amp;VAR:KEY=WTUNGFALON&amp;VAR:QUERY=RkZfRElWX1lMRChBTk4sMTAvMjUvMDYsMTAvMjUvMDYp&amp;WINDOW=FIRST_POPUP&amp;HEIGHT=450&amp;WIDTH=450&amp;","START_MAXIMIZED=FALSE&amp;VAR:CALENDAR=US&amp;VAR:SYMBOL=KO&amp;VAR:INDEX=0"}</definedName>
    <definedName name="_1807__FDSAUDITLINK__" localSheetId="0"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7__FDSAUDITLINK__" hidden="1">{"fdsup://directions/FAT Viewer?action=UPDATE&amp;creator=factset&amp;DYN_ARGS=TRUE&amp;DOC_NAME=FAT:FQL_AUDITING_CLIENT_TEMPLATE.FAT&amp;display_string=Audit&amp;VAR:KEY=APMVYBGXQP&amp;VAR:QUERY=RkZfRElWX1lMRChBTk4sMTAvMTgvMDYsMTAvMTgvMDYp&amp;WINDOW=FIRST_POPUP&amp;HEIGHT=450&amp;WIDTH=450&amp;","START_MAXIMIZED=FALSE&amp;VAR:CALENDAR=US&amp;VAR:SYMBOL=KO&amp;VAR:INDEX=0"}</definedName>
    <definedName name="_1808">#REF!</definedName>
    <definedName name="_1808__FDSAUDITLINK__" localSheetId="0"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8__FDSAUDITLINK__" hidden="1">{"fdsup://directions/FAT Viewer?action=UPDATE&amp;creator=factset&amp;DYN_ARGS=TRUE&amp;DOC_NAME=FAT:FQL_AUDITING_CLIENT_TEMPLATE.FAT&amp;display_string=Audit&amp;VAR:KEY=AFYNWBOBSN&amp;VAR:QUERY=RkZfRElWX1lMRChBTk4sMTAvMTEvMDYsMTAvMTEvMDYp&amp;WINDOW=FIRST_POPUP&amp;HEIGHT=450&amp;WIDTH=450&amp;","START_MAXIMIZED=FALSE&amp;VAR:CALENDAR=US&amp;VAR:SYMBOL=KO&amp;VAR:INDEX=0"}</definedName>
    <definedName name="_1809__FDSAUDITLINK__" localSheetId="0"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09__FDSAUDITLINK__" hidden="1">{"fdsup://directions/FAT Viewer?action=UPDATE&amp;creator=factset&amp;DYN_ARGS=TRUE&amp;DOC_NAME=FAT:FQL_AUDITING_CLIENT_TEMPLATE.FAT&amp;display_string=Audit&amp;VAR:KEY=ATKTEBYJOL&amp;VAR:QUERY=RkZfRElWX1lMRChBTk4sMTAvMDQvMDYsMTAvMDQvMDYp&amp;WINDOW=FIRST_POPUP&amp;HEIGHT=450&amp;WIDTH=450&amp;","START_MAXIMIZED=FALSE&amp;VAR:CALENDAR=US&amp;VAR:SYMBOL=KO&amp;VAR:INDEX=0"}</definedName>
    <definedName name="_181">#REF!</definedName>
    <definedName name="_181__123Graph_XCONTRACT_BY_B_U">#REF!</definedName>
    <definedName name="_181__FDSAUDITLINK__" localSheetId="0"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__FDSAUDITLINK__" hidden="1">{"fdsup://directions/FAT Viewer?action=UPDATE&amp;creator=factset&amp;DYN_ARGS=TRUE&amp;DOC_NAME=FAT:FQL_AUDITING_CLIENT_TEMPLATE.FAT&amp;display_string=Audit&amp;VAR:KEY=VIXYTILSVG&amp;VAR:QUERY=RkZfRElWX1lMRChBTk4sMTAvMTgvMDcsMTAvMTgvMDcp&amp;WINDOW=FIRST_POPUP&amp;HEIGHT=450&amp;WIDTH=450&amp;","START_MAXIMIZED=FALSE&amp;VAR:CALENDAR=US&amp;VAR:SYMBOL=RAI&amp;VAR:INDEX=0"}</definedName>
    <definedName name="_1810__FDSAUDITLINK__" localSheetId="0"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0__FDSAUDITLINK__" hidden="1">{"fdsup://directions/FAT Viewer?action=UPDATE&amp;creator=factset&amp;DYN_ARGS=TRUE&amp;DOC_NAME=FAT:FQL_AUDITING_CLIENT_TEMPLATE.FAT&amp;display_string=Audit&amp;VAR:KEY=SBEVURWBOR&amp;VAR:QUERY=RkZfRElWX1lMRChBTk4sOS8yNy8wNiw5LzI3LzA2KQ==&amp;WINDOW=FIRST_POPUP&amp;HEIGHT=450&amp;WIDTH=450&amp;","START_MAXIMIZED=FALSE&amp;VAR:CALENDAR=US&amp;VAR:SYMBOL=KO&amp;VAR:INDEX=0"}</definedName>
    <definedName name="_1811__FDSAUDITLINK__" localSheetId="0"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1__FDSAUDITLINK__" hidden="1">{"fdsup://directions/FAT Viewer?action=UPDATE&amp;creator=factset&amp;DYN_ARGS=TRUE&amp;DOC_NAME=FAT:FQL_AUDITING_CLIENT_TEMPLATE.FAT&amp;display_string=Audit&amp;VAR:KEY=QNQLUJSZCB&amp;VAR:QUERY=RkZfRElWX1lMRChBTk4sOS8yMC8wNiw5LzIwLzA2KQ==&amp;WINDOW=FIRST_POPUP&amp;HEIGHT=450&amp;WIDTH=450&amp;","START_MAXIMIZED=FALSE&amp;VAR:CALENDAR=US&amp;VAR:SYMBOL=KO&amp;VAR:INDEX=0"}</definedName>
    <definedName name="_1812">#REF!</definedName>
    <definedName name="_1812__FDSAUDITLINK__" localSheetId="0"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2__FDSAUDITLINK__" hidden="1">{"fdsup://directions/FAT Viewer?action=UPDATE&amp;creator=factset&amp;DYN_ARGS=TRUE&amp;DOC_NAME=FAT:FQL_AUDITING_CLIENT_TEMPLATE.FAT&amp;display_string=Audit&amp;VAR:KEY=ENKNAXKBUF&amp;VAR:QUERY=RkZfRElWX1lMRChBTk4sOS8xMy8wNiw5LzEzLzA2KQ==&amp;WINDOW=FIRST_POPUP&amp;HEIGHT=450&amp;WIDTH=450&amp;","START_MAXIMIZED=FALSE&amp;VAR:CALENDAR=US&amp;VAR:SYMBOL=KO&amp;VAR:INDEX=0"}</definedName>
    <definedName name="_1813__FDSAUDITLINK__" localSheetId="0"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3__FDSAUDITLINK__" hidden="1">{"fdsup://directions/FAT Viewer?action=UPDATE&amp;creator=factset&amp;DYN_ARGS=TRUE&amp;DOC_NAME=FAT:FQL_AUDITING_CLIENT_TEMPLATE.FAT&amp;display_string=Audit&amp;VAR:KEY=MLMPYRQNEH&amp;VAR:QUERY=RkZfRElWX1lMRChBTk4sOS8wNi8wNiw5LzA2LzA2KQ==&amp;WINDOW=FIRST_POPUP&amp;HEIGHT=450&amp;WIDTH=450&amp;","START_MAXIMIZED=FALSE&amp;VAR:CALENDAR=US&amp;VAR:SYMBOL=KO&amp;VAR:INDEX=0"}</definedName>
    <definedName name="_1814__FDSAUDITLINK__" localSheetId="0"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4__FDSAUDITLINK__" hidden="1">{"fdsup://directions/FAT Viewer?action=UPDATE&amp;creator=factset&amp;DYN_ARGS=TRUE&amp;DOC_NAME=FAT:FQL_AUDITING_CLIENT_TEMPLATE.FAT&amp;display_string=Audit&amp;VAR:KEY=OPURWRULIZ&amp;VAR:QUERY=RkZfRElWX1lMRChBTk4sOC8zMC8wNiw4LzMwLzA2KQ==&amp;WINDOW=FIRST_POPUP&amp;HEIGHT=450&amp;WIDTH=450&amp;","START_MAXIMIZED=FALSE&amp;VAR:CALENDAR=US&amp;VAR:SYMBOL=KO&amp;VAR:INDEX=0"}</definedName>
    <definedName name="_1815__FDSAUDITLINK__" localSheetId="0"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5__FDSAUDITLINK__" hidden="1">{"fdsup://directions/FAT Viewer?action=UPDATE&amp;creator=factset&amp;DYN_ARGS=TRUE&amp;DOC_NAME=FAT:FQL_AUDITING_CLIENT_TEMPLATE.FAT&amp;display_string=Audit&amp;VAR:KEY=YVSPOPSTCZ&amp;VAR:QUERY=RkZfRElWX1lMRChBTk4sOC8yMy8wNiw4LzIzLzA2KQ==&amp;WINDOW=FIRST_POPUP&amp;HEIGHT=450&amp;WIDTH=450&amp;","START_MAXIMIZED=FALSE&amp;VAR:CALENDAR=US&amp;VAR:SYMBOL=KO&amp;VAR:INDEX=0"}</definedName>
    <definedName name="_1816__FDSAUDITLINK__" localSheetId="0"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6__FDSAUDITLINK__" hidden="1">{"fdsup://directions/FAT Viewer?action=UPDATE&amp;creator=factset&amp;DYN_ARGS=TRUE&amp;DOC_NAME=FAT:FQL_AUDITING_CLIENT_TEMPLATE.FAT&amp;display_string=Audit&amp;VAR:KEY=YJOFOFYXYH&amp;VAR:QUERY=RkZfRElWX1lMRChBTk4sOC8xNi8wNiw4LzE2LzA2KQ==&amp;WINDOW=FIRST_POPUP&amp;HEIGHT=450&amp;WIDTH=450&amp;","START_MAXIMIZED=FALSE&amp;VAR:CALENDAR=US&amp;VAR:SYMBOL=KO&amp;VAR:INDEX=0"}</definedName>
    <definedName name="_1817">#REF!</definedName>
    <definedName name="_1817__FDSAUDITLINK__" localSheetId="0"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7__FDSAUDITLINK__" hidden="1">{"fdsup://directions/FAT Viewer?action=UPDATE&amp;creator=factset&amp;DYN_ARGS=TRUE&amp;DOC_NAME=FAT:FQL_AUDITING_CLIENT_TEMPLATE.FAT&amp;display_string=Audit&amp;VAR:KEY=AHQHQJKDUB&amp;VAR:QUERY=RkZfRElWX1lMRChBTk4sOC8wOS8wNiw4LzA5LzA2KQ==&amp;WINDOW=FIRST_POPUP&amp;HEIGHT=450&amp;WIDTH=450&amp;","START_MAXIMIZED=FALSE&amp;VAR:CALENDAR=US&amp;VAR:SYMBOL=KO&amp;VAR:INDEX=0"}</definedName>
    <definedName name="_1818__FDSAUDITLINK__" localSheetId="0"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8__FDSAUDITLINK__" hidden="1">{"fdsup://directions/FAT Viewer?action=UPDATE&amp;creator=factset&amp;DYN_ARGS=TRUE&amp;DOC_NAME=FAT:FQL_AUDITING_CLIENT_TEMPLATE.FAT&amp;display_string=Audit&amp;VAR:KEY=UBKTORCLMZ&amp;VAR:QUERY=RkZfRElWX1lMRChBTk4sOC8wMi8wNiw4LzAyLzA2KQ==&amp;WINDOW=FIRST_POPUP&amp;HEIGHT=450&amp;WIDTH=450&amp;","START_MAXIMIZED=FALSE&amp;VAR:CALENDAR=US&amp;VAR:SYMBOL=KO&amp;VAR:INDEX=0"}</definedName>
    <definedName name="_1819__FDSAUDITLINK__" localSheetId="0"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19__FDSAUDITLINK__" hidden="1">{"fdsup://directions/FAT Viewer?action=UPDATE&amp;creator=factset&amp;DYN_ARGS=TRUE&amp;DOC_NAME=FAT:FQL_AUDITING_CLIENT_TEMPLATE.FAT&amp;display_string=Audit&amp;VAR:KEY=WRAJCFMHWV&amp;VAR:QUERY=RkZfRElWX1lMRChBTk4sNy8yNi8wNiw3LzI2LzA2KQ==&amp;WINDOW=FIRST_POPUP&amp;HEIGHT=450&amp;WIDTH=450&amp;","START_MAXIMIZED=FALSE&amp;VAR:CALENDAR=US&amp;VAR:SYMBOL=KO&amp;VAR:INDEX=0"}</definedName>
    <definedName name="_182">#REF!</definedName>
    <definedName name="_182__FDSAUDITLINK__" localSheetId="0"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__FDSAUDITLINK__" hidden="1">{"fdsup://directions/FAT Viewer?action=UPDATE&amp;creator=factset&amp;DYN_ARGS=TRUE&amp;DOC_NAME=FAT:FQL_AUDITING_CLIENT_TEMPLATE.FAT&amp;display_string=Audit&amp;VAR:KEY=ONWNEVEBIH&amp;VAR:QUERY=QVZHKEZGX0RJVl9ZTEQoQU5OLDQxMDEyLC0xMEFZKSk=&amp;WINDOW=FIRST_POPUP&amp;HEIGHT=450&amp;WIDTH=450&amp;","START_MAXIMIZED=FALSE&amp;VAR:CALENDAR=US&amp;VAR:SYMBOL=PM"}</definedName>
    <definedName name="_1820__FDSAUDITLINK__" localSheetId="0"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0__FDSAUDITLINK__" hidden="1">{"fdsup://directions/FAT Viewer?action=UPDATE&amp;creator=factset&amp;DYN_ARGS=TRUE&amp;DOC_NAME=FAT:FQL_AUDITING_CLIENT_TEMPLATE.FAT&amp;display_string=Audit&amp;VAR:KEY=OHQDYXSHOB&amp;VAR:QUERY=RkZfRElWX1lMRChBTk4sNy8xOS8wNiw3LzE5LzA2KQ==&amp;WINDOW=FIRST_POPUP&amp;HEIGHT=450&amp;WIDTH=450&amp;","START_MAXIMIZED=FALSE&amp;VAR:CALENDAR=US&amp;VAR:SYMBOL=KO&amp;VAR:INDEX=0"}</definedName>
    <definedName name="_1821__FDSAUDITLINK__" localSheetId="0"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1__FDSAUDITLINK__" hidden="1">{"fdsup://directions/FAT Viewer?action=UPDATE&amp;creator=factset&amp;DYN_ARGS=TRUE&amp;DOC_NAME=FAT:FQL_AUDITING_CLIENT_TEMPLATE.FAT&amp;display_string=Audit&amp;VAR:KEY=IJERCTSDUT&amp;VAR:QUERY=RkZfRElWX1lMRChBTk4sNy8xMi8wNiw3LzEyLzA2KQ==&amp;WINDOW=FIRST_POPUP&amp;HEIGHT=450&amp;WIDTH=450&amp;","START_MAXIMIZED=FALSE&amp;VAR:CALENDAR=US&amp;VAR:SYMBOL=KO&amp;VAR:INDEX=0"}</definedName>
    <definedName name="_1822">#REF!</definedName>
    <definedName name="_1822__FDSAUDITLINK__" localSheetId="0"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2__FDSAUDITLINK__" hidden="1">{"fdsup://directions/FAT Viewer?action=UPDATE&amp;creator=factset&amp;DYN_ARGS=TRUE&amp;DOC_NAME=FAT:FQL_AUDITING_CLIENT_TEMPLATE.FAT&amp;display_string=Audit&amp;VAR:KEY=EPALOVWVCZ&amp;VAR:QUERY=RkZfRElWX1lMRChBTk4sNy8wNS8wNiw3LzA1LzA2KQ==&amp;WINDOW=FIRST_POPUP&amp;HEIGHT=450&amp;WIDTH=450&amp;","START_MAXIMIZED=FALSE&amp;VAR:CALENDAR=US&amp;VAR:SYMBOL=KO&amp;VAR:INDEX=0"}</definedName>
    <definedName name="_1823__FDSAUDITLINK__" localSheetId="0"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3__FDSAUDITLINK__" hidden="1">{"fdsup://directions/FAT Viewer?action=UPDATE&amp;creator=factset&amp;DYN_ARGS=TRUE&amp;DOC_NAME=FAT:FQL_AUDITING_CLIENT_TEMPLATE.FAT&amp;display_string=Audit&amp;VAR:KEY=SXEVGBARGV&amp;VAR:QUERY=RkZfRElWX1lMRChBTk4sNi8yOC8wNiw2LzI4LzA2KQ==&amp;WINDOW=FIRST_POPUP&amp;HEIGHT=450&amp;WIDTH=450&amp;","START_MAXIMIZED=FALSE&amp;VAR:CALENDAR=US&amp;VAR:SYMBOL=KO&amp;VAR:INDEX=0"}</definedName>
    <definedName name="_1824__FDSAUDITLINK__" localSheetId="0"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4__FDSAUDITLINK__" hidden="1">{"fdsup://directions/FAT Viewer?action=UPDATE&amp;creator=factset&amp;DYN_ARGS=TRUE&amp;DOC_NAME=FAT:FQL_AUDITING_CLIENT_TEMPLATE.FAT&amp;display_string=Audit&amp;VAR:KEY=SBGVIZKZIH&amp;VAR:QUERY=RkZfRElWX1lMRChBTk4sNi8yMS8wNiw2LzIxLzA2KQ==&amp;WINDOW=FIRST_POPUP&amp;HEIGHT=450&amp;WIDTH=450&amp;","START_MAXIMIZED=FALSE&amp;VAR:CALENDAR=US&amp;VAR:SYMBOL=KO&amp;VAR:INDEX=0"}</definedName>
    <definedName name="_1825__FDSAUDITLINK__" localSheetId="0"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5__FDSAUDITLINK__" hidden="1">{"fdsup://directions/FAT Viewer?action=UPDATE&amp;creator=factset&amp;DYN_ARGS=TRUE&amp;DOC_NAME=FAT:FQL_AUDITING_CLIENT_TEMPLATE.FAT&amp;display_string=Audit&amp;VAR:KEY=MBUTSPANSB&amp;VAR:QUERY=RkZfRElWX1lMRChBTk4sNi8xNC8wNiw2LzE0LzA2KQ==&amp;WINDOW=FIRST_POPUP&amp;HEIGHT=450&amp;WIDTH=450&amp;","START_MAXIMIZED=FALSE&amp;VAR:CALENDAR=US&amp;VAR:SYMBOL=KO&amp;VAR:INDEX=0"}</definedName>
    <definedName name="_1826__FDSAUDITLINK__" localSheetId="0"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6__FDSAUDITLINK__" hidden="1">{"fdsup://directions/FAT Viewer?action=UPDATE&amp;creator=factset&amp;DYN_ARGS=TRUE&amp;DOC_NAME=FAT:FQL_AUDITING_CLIENT_TEMPLATE.FAT&amp;display_string=Audit&amp;VAR:KEY=YFWDADAZAZ&amp;VAR:QUERY=RkZfRElWX1lMRChBTk4sNi8wNy8wNiw2LzA3LzA2KQ==&amp;WINDOW=FIRST_POPUP&amp;HEIGHT=450&amp;WIDTH=450&amp;","START_MAXIMIZED=FALSE&amp;VAR:CALENDAR=US&amp;VAR:SYMBOL=KO&amp;VAR:INDEX=0"}</definedName>
    <definedName name="_1827__FDSAUDITLINK__" localSheetId="0"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7__FDSAUDITLINK__" hidden="1">{"fdsup://directions/FAT Viewer?action=UPDATE&amp;creator=factset&amp;DYN_ARGS=TRUE&amp;DOC_NAME=FAT:FQL_AUDITING_CLIENT_TEMPLATE.FAT&amp;display_string=Audit&amp;VAR:KEY=CJUPGDUXQN&amp;VAR:QUERY=RkZfRElWX1lMRChBTk4sNS8zMS8wNiw1LzMxLzA2KQ==&amp;WINDOW=FIRST_POPUP&amp;HEIGHT=450&amp;WIDTH=450&amp;","START_MAXIMIZED=FALSE&amp;VAR:CALENDAR=US&amp;VAR:SYMBOL=KO&amp;VAR:INDEX=0"}</definedName>
    <definedName name="_1828">#REF!</definedName>
    <definedName name="_1828__FDSAUDITLINK__" localSheetId="0"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8__FDSAUDITLINK__" hidden="1">{"fdsup://directions/FAT Viewer?action=UPDATE&amp;creator=factset&amp;DYN_ARGS=TRUE&amp;DOC_NAME=FAT:FQL_AUDITING_CLIENT_TEMPLATE.FAT&amp;display_string=Audit&amp;VAR:KEY=MPWROLAJQZ&amp;VAR:QUERY=RkZfRElWX1lMRChBTk4sNS8yNC8wNiw1LzI0LzA2KQ==&amp;WINDOW=FIRST_POPUP&amp;HEIGHT=450&amp;WIDTH=450&amp;","START_MAXIMIZED=FALSE&amp;VAR:CALENDAR=US&amp;VAR:SYMBOL=KO&amp;VAR:INDEX=0"}</definedName>
    <definedName name="_1829">#REF!</definedName>
    <definedName name="_1829__FDSAUDITLINK__" localSheetId="0"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29__FDSAUDITLINK__" hidden="1">{"fdsup://directions/FAT Viewer?action=UPDATE&amp;creator=factset&amp;DYN_ARGS=TRUE&amp;DOC_NAME=FAT:FQL_AUDITING_CLIENT_TEMPLATE.FAT&amp;display_string=Audit&amp;VAR:KEY=IJWZEXOBGZ&amp;VAR:QUERY=RkZfRElWX1lMRChBTk4sNS8xNy8wNiw1LzE3LzA2KQ==&amp;WINDOW=FIRST_POPUP&amp;HEIGHT=450&amp;WIDTH=450&amp;","START_MAXIMIZED=FALSE&amp;VAR:CALENDAR=US&amp;VAR:SYMBOL=KO&amp;VAR:INDEX=0"}</definedName>
    <definedName name="_183">#REF!</definedName>
    <definedName name="_183__FDSAUDITLINK__" localSheetId="0"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__FDSAUDITLINK__" hidden="1">{"fdsup://directions/FAT Viewer?action=UPDATE&amp;creator=factset&amp;DYN_ARGS=TRUE&amp;DOC_NAME=FAT:FQL_AUDITING_CLIENT_TEMPLATE.FAT&amp;display_string=Audit&amp;VAR:KEY=CJUNOHYNIH&amp;VAR:QUERY=QVZHKEZGX0RJVl9ZTEQoQU5OLDQxMDEyLC01QVkpKQ==&amp;WINDOW=FIRST_POPUP&amp;HEIGHT=450&amp;WIDTH=450&amp;","START_MAXIMIZED=FALSE&amp;VAR:CALENDAR=US&amp;VAR:SYMBOL=PM"}</definedName>
    <definedName name="_1830">#REF!</definedName>
    <definedName name="_1830__FDSAUDITLINK__" localSheetId="0"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0__FDSAUDITLINK__" hidden="1">{"fdsup://directions/FAT Viewer?action=UPDATE&amp;creator=factset&amp;DYN_ARGS=TRUE&amp;DOC_NAME=FAT:FQL_AUDITING_CLIENT_TEMPLATE.FAT&amp;display_string=Audit&amp;VAR:KEY=CDADOHAPYH&amp;VAR:QUERY=RkZfRElWX1lMRChBTk4sNS8xMC8wNiw1LzEwLzA2KQ==&amp;WINDOW=FIRST_POPUP&amp;HEIGHT=450&amp;WIDTH=450&amp;","START_MAXIMIZED=FALSE&amp;VAR:CALENDAR=US&amp;VAR:SYMBOL=KO&amp;VAR:INDEX=0"}</definedName>
    <definedName name="_1831">#REF!</definedName>
    <definedName name="_1831__FDSAUDITLINK__" localSheetId="0"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1__FDSAUDITLINK__" hidden="1">{"fdsup://directions/FAT Viewer?action=UPDATE&amp;creator=factset&amp;DYN_ARGS=TRUE&amp;DOC_NAME=FAT:FQL_AUDITING_CLIENT_TEMPLATE.FAT&amp;display_string=Audit&amp;VAR:KEY=UJKLAHKFKB&amp;VAR:QUERY=RkZfRElWX1lMRChBTk4sNS8wMy8wNiw1LzAzLzA2KQ==&amp;WINDOW=FIRST_POPUP&amp;HEIGHT=450&amp;WIDTH=450&amp;","START_MAXIMIZED=FALSE&amp;VAR:CALENDAR=US&amp;VAR:SYMBOL=KO&amp;VAR:INDEX=0"}</definedName>
    <definedName name="_1832">#REF!</definedName>
    <definedName name="_1832__FDSAUDITLINK__" localSheetId="0"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2__FDSAUDITLINK__" hidden="1">{"fdsup://directions/FAT Viewer?action=UPDATE&amp;creator=factset&amp;DYN_ARGS=TRUE&amp;DOC_NAME=FAT:FQL_AUDITING_CLIENT_TEMPLATE.FAT&amp;display_string=Audit&amp;VAR:KEY=UBWNCZCNMT&amp;VAR:QUERY=RkZfRElWX1lMRChBTk4sNC8yNi8wNiw0LzI2LzA2KQ==&amp;WINDOW=FIRST_POPUP&amp;HEIGHT=450&amp;WIDTH=450&amp;","START_MAXIMIZED=FALSE&amp;VAR:CALENDAR=US&amp;VAR:SYMBOL=KO&amp;VAR:INDEX=0"}</definedName>
    <definedName name="_1833__FDSAUDITLINK__" localSheetId="0"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3__FDSAUDITLINK__" hidden="1">{"fdsup://directions/FAT Viewer?action=UPDATE&amp;creator=factset&amp;DYN_ARGS=TRUE&amp;DOC_NAME=FAT:FQL_AUDITING_CLIENT_TEMPLATE.FAT&amp;display_string=Audit&amp;VAR:KEY=KBSLWNIZSD&amp;VAR:QUERY=RkZfRElWX1lMRChBTk4sNC8xOS8wNiw0LzE5LzA2KQ==&amp;WINDOW=FIRST_POPUP&amp;HEIGHT=450&amp;WIDTH=450&amp;","START_MAXIMIZED=FALSE&amp;VAR:CALENDAR=US&amp;VAR:SYMBOL=KO&amp;VAR:INDEX=0"}</definedName>
    <definedName name="_1834">#REF!</definedName>
    <definedName name="_1834__FDSAUDITLINK__" localSheetId="0"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4__FDSAUDITLINK__" hidden="1">{"fdsup://directions/FAT Viewer?action=UPDATE&amp;creator=factset&amp;DYN_ARGS=TRUE&amp;DOC_NAME=FAT:FQL_AUDITING_CLIENT_TEMPLATE.FAT&amp;display_string=Audit&amp;VAR:KEY=QXWTQTEFYT&amp;VAR:QUERY=RkZfRElWX1lMRChBTk4sNC8xMi8wNiw0LzEyLzA2KQ==&amp;WINDOW=FIRST_POPUP&amp;HEIGHT=450&amp;WIDTH=450&amp;","START_MAXIMIZED=FALSE&amp;VAR:CALENDAR=US&amp;VAR:SYMBOL=KO&amp;VAR:INDEX=0"}</definedName>
    <definedName name="_1835">#REF!</definedName>
    <definedName name="_1835__FDSAUDITLINK__" localSheetId="0"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5__FDSAUDITLINK__" hidden="1">{"fdsup://directions/FAT Viewer?action=UPDATE&amp;creator=factset&amp;DYN_ARGS=TRUE&amp;DOC_NAME=FAT:FQL_AUDITING_CLIENT_TEMPLATE.FAT&amp;display_string=Audit&amp;VAR:KEY=WFGBCZSDWF&amp;VAR:QUERY=RkZfRElWX1lMRChBTk4sNC8wNS8wNiw0LzA1LzA2KQ==&amp;WINDOW=FIRST_POPUP&amp;HEIGHT=450&amp;WIDTH=450&amp;","START_MAXIMIZED=FALSE&amp;VAR:CALENDAR=US&amp;VAR:SYMBOL=KO&amp;VAR:INDEX=0"}</definedName>
    <definedName name="_1836__FDSAUDITLINK__" localSheetId="0"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6__FDSAUDITLINK__" hidden="1">{"fdsup://directions/FAT Viewer?action=UPDATE&amp;creator=factset&amp;DYN_ARGS=TRUE&amp;DOC_NAME=FAT:FQL_AUDITING_CLIENT_TEMPLATE.FAT&amp;display_string=Audit&amp;VAR:KEY=ERSBMPSZIP&amp;VAR:QUERY=RkZfRElWX1lMRChBTk4sMy8yOS8wNiwzLzI5LzA2KQ==&amp;WINDOW=FIRST_POPUP&amp;HEIGHT=450&amp;WIDTH=450&amp;","START_MAXIMIZED=FALSE&amp;VAR:CALENDAR=US&amp;VAR:SYMBOL=KO&amp;VAR:INDEX=0"}</definedName>
    <definedName name="_1837">#REF!</definedName>
    <definedName name="_1837__FDSAUDITLINK__" localSheetId="0"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7__FDSAUDITLINK__" hidden="1">{"fdsup://directions/FAT Viewer?action=UPDATE&amp;creator=factset&amp;DYN_ARGS=TRUE&amp;DOC_NAME=FAT:FQL_AUDITING_CLIENT_TEMPLATE.FAT&amp;display_string=Audit&amp;VAR:KEY=IVIZWFEFQN&amp;VAR:QUERY=RkZfRElWX1lMRChBTk4sMy8yMi8wNiwzLzIyLzA2KQ==&amp;WINDOW=FIRST_POPUP&amp;HEIGHT=450&amp;WIDTH=450&amp;","START_MAXIMIZED=FALSE&amp;VAR:CALENDAR=US&amp;VAR:SYMBOL=KO&amp;VAR:INDEX=0"}</definedName>
    <definedName name="_1838">#REF!</definedName>
    <definedName name="_1838__FDSAUDITLINK__" localSheetId="0"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8__FDSAUDITLINK__" hidden="1">{"fdsup://directions/FAT Viewer?action=UPDATE&amp;creator=factset&amp;DYN_ARGS=TRUE&amp;DOC_NAME=FAT:FQL_AUDITING_CLIENT_TEMPLATE.FAT&amp;display_string=Audit&amp;VAR:KEY=ALGREFKRCT&amp;VAR:QUERY=RkZfRElWX1lMRChBTk4sMy8xNS8wNiwzLzE1LzA2KQ==&amp;WINDOW=FIRST_POPUP&amp;HEIGHT=450&amp;WIDTH=450&amp;","START_MAXIMIZED=FALSE&amp;VAR:CALENDAR=US&amp;VAR:SYMBOL=KO&amp;VAR:INDEX=0"}</definedName>
    <definedName name="_1839">#REF!</definedName>
    <definedName name="_1839__FDSAUDITLINK__" localSheetId="0"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39__FDSAUDITLINK__" hidden="1">{"fdsup://directions/FAT Viewer?action=UPDATE&amp;creator=factset&amp;DYN_ARGS=TRUE&amp;DOC_NAME=FAT:FQL_AUDITING_CLIENT_TEMPLATE.FAT&amp;display_string=Audit&amp;VAR:KEY=EFMBMJMFAV&amp;VAR:QUERY=RkZfRElWX1lMRChBTk4sMy8wOC8wNiwzLzA4LzA2KQ==&amp;WINDOW=FIRST_POPUP&amp;HEIGHT=450&amp;WIDTH=450&amp;","START_MAXIMIZED=FALSE&amp;VAR:CALENDAR=US&amp;VAR:SYMBOL=KO&amp;VAR:INDEX=0"}</definedName>
    <definedName name="_184">#REF!</definedName>
    <definedName name="_184__FDSAUDITLINK__" localSheetId="0"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__FDSAUDITLINK__" hidden="1">{"fdsup://directions/FAT Viewer?action=UPDATE&amp;creator=factset&amp;DYN_ARGS=TRUE&amp;DOC_NAME=FAT:FQL_AUDITING_CLIENT_TEMPLATE.FAT&amp;display_string=Audit&amp;VAR:KEY=QVUBQJANAR&amp;VAR:QUERY=QVZHKEZGX0RJVl9ZTEQoQU5OLDQxMDEyLC0zQVkpKQ==&amp;WINDOW=FIRST_POPUP&amp;HEIGHT=450&amp;WIDTH=450&amp;","START_MAXIMIZED=FALSE&amp;VAR:CALENDAR=US&amp;VAR:SYMBOL=PM"}</definedName>
    <definedName name="_1840__FDSAUDITLINK__" localSheetId="0"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0__FDSAUDITLINK__" hidden="1">{"fdsup://directions/FAT Viewer?action=UPDATE&amp;creator=factset&amp;DYN_ARGS=TRUE&amp;DOC_NAME=FAT:FQL_AUDITING_CLIENT_TEMPLATE.FAT&amp;display_string=Audit&amp;VAR:KEY=SFWXILKDUJ&amp;VAR:QUERY=RkZfRElWX1lMRChBTk4sMy8wMS8wNiwzLzAxLzA2KQ==&amp;WINDOW=FIRST_POPUP&amp;HEIGHT=450&amp;WIDTH=450&amp;","START_MAXIMIZED=FALSE&amp;VAR:CALENDAR=US&amp;VAR:SYMBOL=KO&amp;VAR:INDEX=0"}</definedName>
    <definedName name="_1841__FDSAUDITLINK__" localSheetId="0"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1__FDSAUDITLINK__" hidden="1">{"fdsup://directions/FAT Viewer?action=UPDATE&amp;creator=factset&amp;DYN_ARGS=TRUE&amp;DOC_NAME=FAT:FQL_AUDITING_CLIENT_TEMPLATE.FAT&amp;display_string=Audit&amp;VAR:KEY=QBGNYTMHWH&amp;VAR:QUERY=RkZfRElWX1lMRChBTk4sMi8yMi8wNiwyLzIyLzA2KQ==&amp;WINDOW=FIRST_POPUP&amp;HEIGHT=450&amp;WIDTH=450&amp;","START_MAXIMIZED=FALSE&amp;VAR:CALENDAR=US&amp;VAR:SYMBOL=KO&amp;VAR:INDEX=0"}</definedName>
    <definedName name="_1842__FDSAUDITLINK__" localSheetId="0"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2__FDSAUDITLINK__" hidden="1">{"fdsup://directions/FAT Viewer?action=UPDATE&amp;creator=factset&amp;DYN_ARGS=TRUE&amp;DOC_NAME=FAT:FQL_AUDITING_CLIENT_TEMPLATE.FAT&amp;display_string=Audit&amp;VAR:KEY=ORGTEDMJAP&amp;VAR:QUERY=RkZfRElWX1lMRChBTk4sMi8xNS8wNiwyLzE1LzA2KQ==&amp;WINDOW=FIRST_POPUP&amp;HEIGHT=450&amp;WIDTH=450&amp;","START_MAXIMIZED=FALSE&amp;VAR:CALENDAR=US&amp;VAR:SYMBOL=KO&amp;VAR:INDEX=0"}</definedName>
    <definedName name="_1843__FDSAUDITLINK__" localSheetId="0"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3__FDSAUDITLINK__" hidden="1">{"fdsup://directions/FAT Viewer?action=UPDATE&amp;creator=factset&amp;DYN_ARGS=TRUE&amp;DOC_NAME=FAT:FQL_AUDITING_CLIENT_TEMPLATE.FAT&amp;display_string=Audit&amp;VAR:KEY=OFWHCVGVMT&amp;VAR:QUERY=RkZfRElWX1lMRChBTk4sMi8wOC8wNiwyLzA4LzA2KQ==&amp;WINDOW=FIRST_POPUP&amp;HEIGHT=450&amp;WIDTH=450&amp;","START_MAXIMIZED=FALSE&amp;VAR:CALENDAR=US&amp;VAR:SYMBOL=KO&amp;VAR:INDEX=0"}</definedName>
    <definedName name="_1844">#REF!</definedName>
    <definedName name="_1844__FDSAUDITLINK__" localSheetId="0"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4__FDSAUDITLINK__" hidden="1">{"fdsup://directions/FAT Viewer?action=UPDATE&amp;creator=factset&amp;DYN_ARGS=TRUE&amp;DOC_NAME=FAT:FQL_AUDITING_CLIENT_TEMPLATE.FAT&amp;display_string=Audit&amp;VAR:KEY=SVUTUBWBOR&amp;VAR:QUERY=RkZfRElWX1lMRChBTk4sMi8wMS8wNiwyLzAxLzA2KQ==&amp;WINDOW=FIRST_POPUP&amp;HEIGHT=450&amp;WIDTH=450&amp;","START_MAXIMIZED=FALSE&amp;VAR:CALENDAR=US&amp;VAR:SYMBOL=KO&amp;VAR:INDEX=0"}</definedName>
    <definedName name="_1845__FDSAUDITLINK__" localSheetId="0"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5__FDSAUDITLINK__" hidden="1">{"fdsup://directions/FAT Viewer?action=UPDATE&amp;creator=factset&amp;DYN_ARGS=TRUE&amp;DOC_NAME=FAT:FQL_AUDITING_CLIENT_TEMPLATE.FAT&amp;display_string=Audit&amp;VAR:KEY=QVETAFQJCR&amp;VAR:QUERY=RkZfRElWX1lMRChBTk4sMS8yNS8wNiwxLzI1LzA2KQ==&amp;WINDOW=FIRST_POPUP&amp;HEIGHT=450&amp;WIDTH=450&amp;","START_MAXIMIZED=FALSE&amp;VAR:CALENDAR=US&amp;VAR:SYMBOL=KO&amp;VAR:INDEX=0"}</definedName>
    <definedName name="_1846__FDSAUDITLINK__" localSheetId="0"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6__FDSAUDITLINK__" hidden="1">{"fdsup://directions/FAT Viewer?action=UPDATE&amp;creator=factset&amp;DYN_ARGS=TRUE&amp;DOC_NAME=FAT:FQL_AUDITING_CLIENT_TEMPLATE.FAT&amp;display_string=Audit&amp;VAR:KEY=MTQPWNELQN&amp;VAR:QUERY=RkZfRElWX1lMRChBTk4sMS8xOC8wNiwxLzE4LzA2KQ==&amp;WINDOW=FIRST_POPUP&amp;HEIGHT=450&amp;WIDTH=450&amp;","START_MAXIMIZED=FALSE&amp;VAR:CALENDAR=US&amp;VAR:SYMBOL=KO&amp;VAR:INDEX=0"}</definedName>
    <definedName name="_1847__FDSAUDITLINK__" localSheetId="0"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7__FDSAUDITLINK__" hidden="1">{"fdsup://directions/FAT Viewer?action=UPDATE&amp;creator=factset&amp;DYN_ARGS=TRUE&amp;DOC_NAME=FAT:FQL_AUDITING_CLIENT_TEMPLATE.FAT&amp;display_string=Audit&amp;VAR:KEY=GTCNOZWVGJ&amp;VAR:QUERY=RkZfRElWX1lMRChBTk4sMS8xMS8wNiwxLzExLzA2KQ==&amp;WINDOW=FIRST_POPUP&amp;HEIGHT=450&amp;WIDTH=450&amp;","START_MAXIMIZED=FALSE&amp;VAR:CALENDAR=US&amp;VAR:SYMBOL=KO&amp;VAR:INDEX=0"}</definedName>
    <definedName name="_1848__FDSAUDITLINK__" localSheetId="0"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8__FDSAUDITLINK__" hidden="1">{"fdsup://directions/FAT Viewer?action=UPDATE&amp;creator=factset&amp;DYN_ARGS=TRUE&amp;DOC_NAME=FAT:FQL_AUDITING_CLIENT_TEMPLATE.FAT&amp;display_string=Audit&amp;VAR:KEY=ONKRSHUPIJ&amp;VAR:QUERY=RkZfRElWX1lMRChBTk4sMS8wNC8wNiwxLzA0LzA2KQ==&amp;WINDOW=FIRST_POPUP&amp;HEIGHT=450&amp;WIDTH=450&amp;","START_MAXIMIZED=FALSE&amp;VAR:CALENDAR=US&amp;VAR:SYMBOL=KO&amp;VAR:INDEX=0"}</definedName>
    <definedName name="_1849__FDSAUDITLINK__" localSheetId="0"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49__FDSAUDITLINK__" hidden="1">{"fdsup://directions/FAT Viewer?action=UPDATE&amp;creator=factset&amp;DYN_ARGS=TRUE&amp;DOC_NAME=FAT:FQL_AUDITING_CLIENT_TEMPLATE.FAT&amp;display_string=Audit&amp;VAR:KEY=AFUXCHUBMJ&amp;VAR:QUERY=RkZfRElWX1lMRChBTk4sMTIvMjgvMDUsMTIvMjgvMDUp&amp;WINDOW=FIRST_POPUP&amp;HEIGHT=450&amp;WIDTH=450&amp;","START_MAXIMIZED=FALSE&amp;VAR:CALENDAR=US&amp;VAR:SYMBOL=KO&amp;VAR:INDEX=0"}</definedName>
    <definedName name="_185">#REF!</definedName>
    <definedName name="_185__FDSAUDITLINK__" localSheetId="0"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__FDSAUDITLINK__" hidden="1">{"fdsup://directions/FAT Viewer?action=UPDATE&amp;creator=factset&amp;DYN_ARGS=TRUE&amp;DOC_NAME=FAT:FQL_AUDITING_CLIENT_TEMPLATE.FAT&amp;display_string=Audit&amp;VAR:KEY=RWHSVELSRG&amp;VAR:QUERY=RkZfRElWX1lMRChBTk4sOS8yMC8wNyw5LzIwLzA3KQ==&amp;WINDOW=FIRST_POPUP&amp;HEIGHT=450&amp;WIDTH=450&amp;","START_MAXIMIZED=FALSE&amp;VAR:CALENDAR=US&amp;VAR:SYMBOL=RAI&amp;VAR:INDEX=0"}</definedName>
    <definedName name="_1850__FDSAUDITLINK__" localSheetId="0"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0__FDSAUDITLINK__" hidden="1">{"fdsup://directions/FAT Viewer?action=UPDATE&amp;creator=factset&amp;DYN_ARGS=TRUE&amp;DOC_NAME=FAT:FQL_AUDITING_CLIENT_TEMPLATE.FAT&amp;display_string=Audit&amp;VAR:KEY=EDKRMXOVSZ&amp;VAR:QUERY=RkZfRElWX1lMRChBTk4sMTIvMjEvMDUsMTIvMjEvMDUp&amp;WINDOW=FIRST_POPUP&amp;HEIGHT=450&amp;WIDTH=450&amp;","START_MAXIMIZED=FALSE&amp;VAR:CALENDAR=US&amp;VAR:SYMBOL=KO&amp;VAR:INDEX=0"}</definedName>
    <definedName name="_1851__FDSAUDITLINK__" localSheetId="0"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1__FDSAUDITLINK__" hidden="1">{"fdsup://directions/FAT Viewer?action=UPDATE&amp;creator=factset&amp;DYN_ARGS=TRUE&amp;DOC_NAME=FAT:FQL_AUDITING_CLIENT_TEMPLATE.FAT&amp;display_string=Audit&amp;VAR:KEY=IBSLSZSFUP&amp;VAR:QUERY=RkZfRElWX1lMRChBTk4sMTIvMTQvMDUsMTIvMTQvMDUp&amp;WINDOW=FIRST_POPUP&amp;HEIGHT=450&amp;WIDTH=450&amp;","START_MAXIMIZED=FALSE&amp;VAR:CALENDAR=US&amp;VAR:SYMBOL=KO&amp;VAR:INDEX=0"}</definedName>
    <definedName name="_1852">#REF!</definedName>
    <definedName name="_1852__FDSAUDITLINK__" localSheetId="0"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2__FDSAUDITLINK__" hidden="1">{"fdsup://directions/FAT Viewer?action=UPDATE&amp;creator=factset&amp;DYN_ARGS=TRUE&amp;DOC_NAME=FAT:FQL_AUDITING_CLIENT_TEMPLATE.FAT&amp;display_string=Audit&amp;VAR:KEY=UHWJCLCNYV&amp;VAR:QUERY=RkZfRElWX1lMRChBTk4sMTIvMDcvMDUsMTIvMDcvMDUp&amp;WINDOW=FIRST_POPUP&amp;HEIGHT=450&amp;WIDTH=450&amp;","START_MAXIMIZED=FALSE&amp;VAR:CALENDAR=US&amp;VAR:SYMBOL=KO&amp;VAR:INDEX=0"}</definedName>
    <definedName name="_1853__FDSAUDITLINK__" localSheetId="0"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3__FDSAUDITLINK__" hidden="1">{"fdsup://directions/FAT Viewer?action=UPDATE&amp;creator=factset&amp;DYN_ARGS=TRUE&amp;DOC_NAME=FAT:FQL_AUDITING_CLIENT_TEMPLATE.FAT&amp;display_string=Audit&amp;VAR:KEY=SDSVYLUFIR&amp;VAR:QUERY=RkZfRElWX1lMRChBTk4sMTEvMzAvMDUsMTEvMzAvMDUp&amp;WINDOW=FIRST_POPUP&amp;HEIGHT=450&amp;WIDTH=450&amp;","START_MAXIMIZED=FALSE&amp;VAR:CALENDAR=US&amp;VAR:SYMBOL=KO&amp;VAR:INDEX=0"}</definedName>
    <definedName name="_1854__FDSAUDITLINK__" localSheetId="0"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4__FDSAUDITLINK__" hidden="1">{"fdsup://directions/FAT Viewer?action=UPDATE&amp;creator=factset&amp;DYN_ARGS=TRUE&amp;DOC_NAME=FAT:FQL_AUDITING_CLIENT_TEMPLATE.FAT&amp;display_string=Audit&amp;VAR:KEY=YRATIRQBQF&amp;VAR:QUERY=RkZfRElWX1lMRChBTk4sMTEvMjMvMDUsMTEvMjMvMDUp&amp;WINDOW=FIRST_POPUP&amp;HEIGHT=450&amp;WIDTH=450&amp;","START_MAXIMIZED=FALSE&amp;VAR:CALENDAR=US&amp;VAR:SYMBOL=KO&amp;VAR:INDEX=0"}</definedName>
    <definedName name="_1855__FDSAUDITLINK__" localSheetId="0"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5__FDSAUDITLINK__" hidden="1">{"fdsup://directions/FAT Viewer?action=UPDATE&amp;creator=factset&amp;DYN_ARGS=TRUE&amp;DOC_NAME=FAT:FQL_AUDITING_CLIENT_TEMPLATE.FAT&amp;display_string=Audit&amp;VAR:KEY=WPEHKBKFAR&amp;VAR:QUERY=RkZfRElWX1lMRChBTk4sMTEvMTYvMDUsMTEvMTYvMDUp&amp;WINDOW=FIRST_POPUP&amp;HEIGHT=450&amp;WIDTH=450&amp;","START_MAXIMIZED=FALSE&amp;VAR:CALENDAR=US&amp;VAR:SYMBOL=KO&amp;VAR:INDEX=0"}</definedName>
    <definedName name="_1856">#REF!</definedName>
    <definedName name="_1856__FDSAUDITLINK__" localSheetId="0"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6__FDSAUDITLINK__" hidden="1">{"fdsup://directions/FAT Viewer?action=UPDATE&amp;creator=factset&amp;DYN_ARGS=TRUE&amp;DOC_NAME=FAT:FQL_AUDITING_CLIENT_TEMPLATE.FAT&amp;display_string=Audit&amp;VAR:KEY=ADATMJSXSZ&amp;VAR:QUERY=RkZfRElWX1lMRChBTk4sMTEvMDkvMDUsMTEvMDkvMDUp&amp;WINDOW=FIRST_POPUP&amp;HEIGHT=450&amp;WIDTH=450&amp;","START_MAXIMIZED=FALSE&amp;VAR:CALENDAR=US&amp;VAR:SYMBOL=KO&amp;VAR:INDEX=0"}</definedName>
    <definedName name="_1857__FDSAUDITLINK__" localSheetId="0"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7__FDSAUDITLINK__" hidden="1">{"fdsup://directions/FAT Viewer?action=UPDATE&amp;creator=factset&amp;DYN_ARGS=TRUE&amp;DOC_NAME=FAT:FQL_AUDITING_CLIENT_TEMPLATE.FAT&amp;display_string=Audit&amp;VAR:KEY=AVGZWNAJCL&amp;VAR:QUERY=RkZfRElWX1lMRChBTk4sMTEvMDIvMDUsMTEvMDIvMDUp&amp;WINDOW=FIRST_POPUP&amp;HEIGHT=450&amp;WIDTH=450&amp;","START_MAXIMIZED=FALSE&amp;VAR:CALENDAR=US&amp;VAR:SYMBOL=KO&amp;VAR:INDEX=0"}</definedName>
    <definedName name="_1858__FDSAUDITLINK__" localSheetId="0"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8__FDSAUDITLINK__" hidden="1">{"fdsup://directions/FAT Viewer?action=UPDATE&amp;creator=factset&amp;DYN_ARGS=TRUE&amp;DOC_NAME=FAT:FQL_AUDITING_CLIENT_TEMPLATE.FAT&amp;display_string=Audit&amp;VAR:KEY=WNGXKDMLGL&amp;VAR:QUERY=RkZfRElWX1lMRChBTk4sMTAvMjYvMDUsMTAvMjYvMDUp&amp;WINDOW=FIRST_POPUP&amp;HEIGHT=450&amp;WIDTH=450&amp;","START_MAXIMIZED=FALSE&amp;VAR:CALENDAR=US&amp;VAR:SYMBOL=KO&amp;VAR:INDEX=0"}</definedName>
    <definedName name="_1859__FDSAUDITLINK__" localSheetId="0"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59__FDSAUDITLINK__" hidden="1">{"fdsup://directions/FAT Viewer?action=UPDATE&amp;creator=factset&amp;DYN_ARGS=TRUE&amp;DOC_NAME=FAT:FQL_AUDITING_CLIENT_TEMPLATE.FAT&amp;display_string=Audit&amp;VAR:KEY=CPCJENMTCD&amp;VAR:QUERY=RkZfRElWX1lMRChBTk4sMTAvMTkvMDUsMTAvMTkvMDUp&amp;WINDOW=FIRST_POPUP&amp;HEIGHT=450&amp;WIDTH=450&amp;","START_MAXIMIZED=FALSE&amp;VAR:CALENDAR=US&amp;VAR:SYMBOL=KO&amp;VAR:INDEX=0"}</definedName>
    <definedName name="_186">#REF!</definedName>
    <definedName name="_186__123Graph_XQRE_S_BY_CO.">#REF!</definedName>
    <definedName name="_186__FDSAUDITLINK__" localSheetId="0"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__FDSAUDITLINK__" hidden="1">{"fdsup://directions/FAT Viewer?action=UPDATE&amp;creator=factset&amp;DYN_ARGS=TRUE&amp;DOC_NAME=FAT:FQL_AUDITING_CLIENT_TEMPLATE.FAT&amp;display_string=Audit&amp;VAR:KEY=FWVQLYBWTQ&amp;VAR:QUERY=RkZfRElWX1lMRChBTk4sOS8xMy8wNyw5LzEzLzA3KQ==&amp;WINDOW=FIRST_POPUP&amp;HEIGHT=450&amp;WIDTH=450&amp;","START_MAXIMIZED=FALSE&amp;VAR:CALENDAR=US&amp;VAR:SYMBOL=RAI&amp;VAR:INDEX=0"}</definedName>
    <definedName name="_1860__FDSAUDITLINK__" localSheetId="0"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0__FDSAUDITLINK__" hidden="1">{"fdsup://directions/FAT Viewer?action=UPDATE&amp;creator=factset&amp;DYN_ARGS=TRUE&amp;DOC_NAME=FAT:FQL_AUDITING_CLIENT_TEMPLATE.FAT&amp;display_string=Audit&amp;VAR:KEY=OXQVCVKZKZ&amp;VAR:QUERY=RkZfRElWX1lMRChBTk4sMTAvMTIvMDUsMTAvMTIvMDUp&amp;WINDOW=FIRST_POPUP&amp;HEIGHT=450&amp;WIDTH=450&amp;","START_MAXIMIZED=FALSE&amp;VAR:CALENDAR=US&amp;VAR:SYMBOL=KO&amp;VAR:INDEX=0"}</definedName>
    <definedName name="_1861">#REF!</definedName>
    <definedName name="_1861__FDSAUDITLINK__" localSheetId="0"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1__FDSAUDITLINK__" hidden="1">{"fdsup://directions/FAT Viewer?action=UPDATE&amp;creator=factset&amp;DYN_ARGS=TRUE&amp;DOC_NAME=FAT:FQL_AUDITING_CLIENT_TEMPLATE.FAT&amp;display_string=Audit&amp;VAR:KEY=KXODUVEZSN&amp;VAR:QUERY=RkZfRElWX1lMRChBTk4sMTAvMDUvMDUsMTAvMDUvMDUp&amp;WINDOW=FIRST_POPUP&amp;HEIGHT=450&amp;WIDTH=450&amp;","START_MAXIMIZED=FALSE&amp;VAR:CALENDAR=US&amp;VAR:SYMBOL=KO&amp;VAR:INDEX=0"}</definedName>
    <definedName name="_1862__FDSAUDITLINK__" localSheetId="0"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2__FDSAUDITLINK__" hidden="1">{"fdsup://directions/FAT Viewer?action=UPDATE&amp;creator=factset&amp;DYN_ARGS=TRUE&amp;DOC_NAME=FAT:FQL_AUDITING_CLIENT_TEMPLATE.FAT&amp;display_string=Audit&amp;VAR:KEY=QVCNEPWZOT&amp;VAR:QUERY=RkZfRElWX1lMRChBTk4sOS8yOC8wNSw5LzI4LzA1KQ==&amp;WINDOW=FIRST_POPUP&amp;HEIGHT=450&amp;WIDTH=450&amp;","START_MAXIMIZED=FALSE&amp;VAR:CALENDAR=US&amp;VAR:SYMBOL=KO&amp;VAR:INDEX=0"}</definedName>
    <definedName name="_1863__FDSAUDITLINK__" localSheetId="0"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3__FDSAUDITLINK__" hidden="1">{"fdsup://directions/FAT Viewer?action=UPDATE&amp;creator=factset&amp;DYN_ARGS=TRUE&amp;DOC_NAME=FAT:FQL_AUDITING_CLIENT_TEMPLATE.FAT&amp;display_string=Audit&amp;VAR:KEY=WBSRGRURWN&amp;VAR:QUERY=RkZfRElWX1lMRChBTk4sOS8yMS8wNSw5LzIxLzA1KQ==&amp;WINDOW=FIRST_POPUP&amp;HEIGHT=450&amp;WIDTH=450&amp;","START_MAXIMIZED=FALSE&amp;VAR:CALENDAR=US&amp;VAR:SYMBOL=KO&amp;VAR:INDEX=0"}</definedName>
    <definedName name="_1864__FDSAUDITLINK__" localSheetId="0"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4__FDSAUDITLINK__" hidden="1">{"fdsup://directions/FAT Viewer?action=UPDATE&amp;creator=factset&amp;DYN_ARGS=TRUE&amp;DOC_NAME=FAT:FQL_AUDITING_CLIENT_TEMPLATE.FAT&amp;display_string=Audit&amp;VAR:KEY=GFSPYJIZSR&amp;VAR:QUERY=RkZfRElWX1lMRChBTk4sOS8xNC8wNSw5LzE0LzA1KQ==&amp;WINDOW=FIRST_POPUP&amp;HEIGHT=450&amp;WIDTH=450&amp;","START_MAXIMIZED=FALSE&amp;VAR:CALENDAR=US&amp;VAR:SYMBOL=KO&amp;VAR:INDEX=0"}</definedName>
    <definedName name="_1865__FDSAUDITLINK__" localSheetId="0"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5__FDSAUDITLINK__" hidden="1">{"fdsup://directions/FAT Viewer?action=UPDATE&amp;creator=factset&amp;DYN_ARGS=TRUE&amp;DOC_NAME=FAT:FQL_AUDITING_CLIENT_TEMPLATE.FAT&amp;display_string=Audit&amp;VAR:KEY=ANEBSBANCF&amp;VAR:QUERY=RkZfRElWX1lMRChBTk4sOS8wNy8wNSw5LzA3LzA1KQ==&amp;WINDOW=FIRST_POPUP&amp;HEIGHT=450&amp;WIDTH=450&amp;","START_MAXIMIZED=FALSE&amp;VAR:CALENDAR=US&amp;VAR:SYMBOL=KO&amp;VAR:INDEX=0"}</definedName>
    <definedName name="_1866">#REF!</definedName>
    <definedName name="_1866__FDSAUDITLINK__" localSheetId="0"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6__FDSAUDITLINK__" hidden="1">{"fdsup://directions/FAT Viewer?action=UPDATE&amp;creator=factset&amp;DYN_ARGS=TRUE&amp;DOC_NAME=FAT:FQL_AUDITING_CLIENT_TEMPLATE.FAT&amp;display_string=Audit&amp;VAR:KEY=QHCFUVSVQP&amp;VAR:QUERY=RkZfRElWX1lMRChBTk4sOC8zMS8wNSw4LzMxLzA1KQ==&amp;WINDOW=FIRST_POPUP&amp;HEIGHT=450&amp;WIDTH=450&amp;","START_MAXIMIZED=FALSE&amp;VAR:CALENDAR=US&amp;VAR:SYMBOL=KO&amp;VAR:INDEX=0"}</definedName>
    <definedName name="_1867__FDSAUDITLINK__" localSheetId="0"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7__FDSAUDITLINK__" hidden="1">{"fdsup://directions/FAT Viewer?action=UPDATE&amp;creator=factset&amp;DYN_ARGS=TRUE&amp;DOC_NAME=FAT:FQL_AUDITING_CLIENT_TEMPLATE.FAT&amp;display_string=Audit&amp;VAR:KEY=KHKBATMNSP&amp;VAR:QUERY=RkZfRElWX1lMRChBTk4sOC8yNC8wNSw4LzI0LzA1KQ==&amp;WINDOW=FIRST_POPUP&amp;HEIGHT=450&amp;WIDTH=450&amp;","START_MAXIMIZED=FALSE&amp;VAR:CALENDAR=US&amp;VAR:SYMBOL=KO&amp;VAR:INDEX=0"}</definedName>
    <definedName name="_1868__FDSAUDITLINK__" localSheetId="0"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8__FDSAUDITLINK__" hidden="1">{"fdsup://directions/FAT Viewer?action=UPDATE&amp;creator=factset&amp;DYN_ARGS=TRUE&amp;DOC_NAME=FAT:FQL_AUDITING_CLIENT_TEMPLATE.FAT&amp;display_string=Audit&amp;VAR:KEY=QFOJQVYVKP&amp;VAR:QUERY=RkZfRElWX1lMRChBTk4sOC8xNy8wNSw4LzE3LzA1KQ==&amp;WINDOW=FIRST_POPUP&amp;HEIGHT=450&amp;WIDTH=450&amp;","START_MAXIMIZED=FALSE&amp;VAR:CALENDAR=US&amp;VAR:SYMBOL=KO&amp;VAR:INDEX=0"}</definedName>
    <definedName name="_1869__FDSAUDITLINK__" localSheetId="0"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69__FDSAUDITLINK__" hidden="1">{"fdsup://directions/FAT Viewer?action=UPDATE&amp;creator=factset&amp;DYN_ARGS=TRUE&amp;DOC_NAME=FAT:FQL_AUDITING_CLIENT_TEMPLATE.FAT&amp;display_string=Audit&amp;VAR:KEY=MRUTEXURIH&amp;VAR:QUERY=RkZfRElWX1lMRChBTk4sOC8xMC8wNSw4LzEwLzA1KQ==&amp;WINDOW=FIRST_POPUP&amp;HEIGHT=450&amp;WIDTH=450&amp;","START_MAXIMIZED=FALSE&amp;VAR:CALENDAR=US&amp;VAR:SYMBOL=KO&amp;VAR:INDEX=0"}</definedName>
    <definedName name="_187">#REF!</definedName>
    <definedName name="_187__123Graph_XQRE_S_BY_CO.">#REF!</definedName>
    <definedName name="_187__FDSAUDITLINK__" localSheetId="0"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__FDSAUDITLINK__" hidden="1">{"fdsup://directions/FAT Viewer?action=UPDATE&amp;creator=factset&amp;DYN_ARGS=TRUE&amp;DOC_NAME=FAT:FQL_AUDITING_CLIENT_TEMPLATE.FAT&amp;display_string=Audit&amp;VAR:KEY=ZMFCFWNQJE&amp;VAR:QUERY=RkZfRElWX1lMRChBTk4sOS8wNi8wNyw5LzA2LzA3KQ==&amp;WINDOW=FIRST_POPUP&amp;HEIGHT=450&amp;WIDTH=450&amp;","START_MAXIMIZED=FALSE&amp;VAR:CALENDAR=US&amp;VAR:SYMBOL=RAI&amp;VAR:INDEX=0"}</definedName>
    <definedName name="_1870__FDSAUDITLINK__" localSheetId="0"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0__FDSAUDITLINK__" hidden="1">{"fdsup://directions/FAT Viewer?action=UPDATE&amp;creator=factset&amp;DYN_ARGS=TRUE&amp;DOC_NAME=FAT:FQL_AUDITING_CLIENT_TEMPLATE.FAT&amp;display_string=Audit&amp;VAR:KEY=EXMJSHSBQF&amp;VAR:QUERY=RkZfRElWX1lMRChBTk4sOC8wMy8wNSw4LzAzLzA1KQ==&amp;WINDOW=FIRST_POPUP&amp;HEIGHT=450&amp;WIDTH=450&amp;","START_MAXIMIZED=FALSE&amp;VAR:CALENDAR=US&amp;VAR:SYMBOL=KO&amp;VAR:INDEX=0"}</definedName>
    <definedName name="_1871__FDSAUDITLINK__" localSheetId="0"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1__FDSAUDITLINK__" hidden="1">{"fdsup://directions/FAT Viewer?action=UPDATE&amp;creator=factset&amp;DYN_ARGS=TRUE&amp;DOC_NAME=FAT:FQL_AUDITING_CLIENT_TEMPLATE.FAT&amp;display_string=Audit&amp;VAR:KEY=CZYJMXOLSL&amp;VAR:QUERY=RkZfRElWX1lMRChBTk4sNy8yNy8wNSw3LzI3LzA1KQ==&amp;WINDOW=FIRST_POPUP&amp;HEIGHT=450&amp;WIDTH=450&amp;","START_MAXIMIZED=FALSE&amp;VAR:CALENDAR=US&amp;VAR:SYMBOL=KO&amp;VAR:INDEX=0"}</definedName>
    <definedName name="_1872__FDSAUDITLINK__" localSheetId="0"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2__FDSAUDITLINK__" hidden="1">{"fdsup://directions/FAT Viewer?action=UPDATE&amp;creator=factset&amp;DYN_ARGS=TRUE&amp;DOC_NAME=FAT:FQL_AUDITING_CLIENT_TEMPLATE.FAT&amp;display_string=Audit&amp;VAR:KEY=SLSZIRUVSX&amp;VAR:QUERY=RkZfRElWX1lMRChBTk4sNy8yMC8wNSw3LzIwLzA1KQ==&amp;WINDOW=FIRST_POPUP&amp;HEIGHT=450&amp;WIDTH=450&amp;","START_MAXIMIZED=FALSE&amp;VAR:CALENDAR=US&amp;VAR:SYMBOL=KO&amp;VAR:INDEX=0"}</definedName>
    <definedName name="_1873__FDSAUDITLINK__" localSheetId="0"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3__FDSAUDITLINK__" hidden="1">{"fdsup://directions/FAT Viewer?action=UPDATE&amp;creator=factset&amp;DYN_ARGS=TRUE&amp;DOC_NAME=FAT:FQL_AUDITING_CLIENT_TEMPLATE.FAT&amp;display_string=Audit&amp;VAR:KEY=MXEJCTSFCL&amp;VAR:QUERY=RkZfRElWX1lMRChBTk4sNy8xMy8wNSw3LzEzLzA1KQ==&amp;WINDOW=FIRST_POPUP&amp;HEIGHT=450&amp;WIDTH=450&amp;","START_MAXIMIZED=FALSE&amp;VAR:CALENDAR=US&amp;VAR:SYMBOL=KO&amp;VAR:INDEX=0"}</definedName>
    <definedName name="_1874">#REF!</definedName>
    <definedName name="_1874__FDSAUDITLINK__" localSheetId="0"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4__FDSAUDITLINK__" hidden="1">{"fdsup://directions/FAT Viewer?action=UPDATE&amp;creator=factset&amp;DYN_ARGS=TRUE&amp;DOC_NAME=FAT:FQL_AUDITING_CLIENT_TEMPLATE.FAT&amp;display_string=Audit&amp;VAR:KEY=ADOXAHQBGT&amp;VAR:QUERY=RkZfRElWX1lMRChBTk4sNy8wNi8wNSw3LzA2LzA1KQ==&amp;WINDOW=FIRST_POPUP&amp;HEIGHT=450&amp;WIDTH=450&amp;","START_MAXIMIZED=FALSE&amp;VAR:CALENDAR=US&amp;VAR:SYMBOL=KO&amp;VAR:INDEX=0"}</definedName>
    <definedName name="_1875__FDSAUDITLINK__" localSheetId="0"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5__FDSAUDITLINK__" hidden="1">{"fdsup://directions/FAT Viewer?action=UPDATE&amp;creator=factset&amp;DYN_ARGS=TRUE&amp;DOC_NAME=FAT:FQL_AUDITING_CLIENT_TEMPLATE.FAT&amp;display_string=Audit&amp;VAR:KEY=ILCVMDSDCD&amp;VAR:QUERY=RkZfRElWX1lMRChBTk4sNi8yOS8wNSw2LzI5LzA1KQ==&amp;WINDOW=FIRST_POPUP&amp;HEIGHT=450&amp;WIDTH=450&amp;","START_MAXIMIZED=FALSE&amp;VAR:CALENDAR=US&amp;VAR:SYMBOL=KO&amp;VAR:INDEX=0"}</definedName>
    <definedName name="_1876__FDSAUDITLINK__" localSheetId="0"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6__FDSAUDITLINK__" hidden="1">{"fdsup://directions/FAT Viewer?action=UPDATE&amp;creator=factset&amp;DYN_ARGS=TRUE&amp;DOC_NAME=FAT:FQL_AUDITING_CLIENT_TEMPLATE.FAT&amp;display_string=Audit&amp;VAR:KEY=UHWRMHEBKV&amp;VAR:QUERY=RkZfRElWX1lMRChBTk4sNi8yMi8wNSw2LzIyLzA1KQ==&amp;WINDOW=FIRST_POPUP&amp;HEIGHT=450&amp;WIDTH=450&amp;","START_MAXIMIZED=FALSE&amp;VAR:CALENDAR=US&amp;VAR:SYMBOL=KO&amp;VAR:INDEX=0"}</definedName>
    <definedName name="_1877__FDSAUDITLINK__" localSheetId="0"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7__FDSAUDITLINK__" hidden="1">{"fdsup://directions/FAT Viewer?action=UPDATE&amp;creator=factset&amp;DYN_ARGS=TRUE&amp;DOC_NAME=FAT:FQL_AUDITING_CLIENT_TEMPLATE.FAT&amp;display_string=Audit&amp;VAR:KEY=SDSZGDKJGD&amp;VAR:QUERY=RkZfRElWX1lMRChBTk4sNi8xNS8wNSw2LzE1LzA1KQ==&amp;WINDOW=FIRST_POPUP&amp;HEIGHT=450&amp;WIDTH=450&amp;","START_MAXIMIZED=FALSE&amp;VAR:CALENDAR=US&amp;VAR:SYMBOL=KO&amp;VAR:INDEX=0"}</definedName>
    <definedName name="_1878">#REF!</definedName>
    <definedName name="_1878__FDSAUDITLINK__" localSheetId="0"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8__FDSAUDITLINK__" hidden="1">{"fdsup://directions/FAT Viewer?action=UPDATE&amp;creator=factset&amp;DYN_ARGS=TRUE&amp;DOC_NAME=FAT:FQL_AUDITING_CLIENT_TEMPLATE.FAT&amp;display_string=Audit&amp;VAR:KEY=YHEVCLQZKP&amp;VAR:QUERY=RkZfRElWX1lMRChBTk4sNi8wOC8wNSw2LzA4LzA1KQ==&amp;WINDOW=FIRST_POPUP&amp;HEIGHT=450&amp;WIDTH=450&amp;","START_MAXIMIZED=FALSE&amp;VAR:CALENDAR=US&amp;VAR:SYMBOL=KO&amp;VAR:INDEX=0"}</definedName>
    <definedName name="_1879__FDSAUDITLINK__" localSheetId="0"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79__FDSAUDITLINK__" hidden="1">{"fdsup://directions/FAT Viewer?action=UPDATE&amp;creator=factset&amp;DYN_ARGS=TRUE&amp;DOC_NAME=FAT:FQL_AUDITING_CLIENT_TEMPLATE.FAT&amp;display_string=Audit&amp;VAR:KEY=KLCPGVULYF&amp;VAR:QUERY=RkZfRElWX1lMRChBTk4sNi8wMS8wNSw2LzAxLzA1KQ==&amp;WINDOW=FIRST_POPUP&amp;HEIGHT=450&amp;WIDTH=450&amp;","START_MAXIMIZED=FALSE&amp;VAR:CALENDAR=US&amp;VAR:SYMBOL=KO&amp;VAR:INDEX=0"}</definedName>
    <definedName name="_188">#REF!</definedName>
    <definedName name="_188__FDSAUDITLINK__" localSheetId="0"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__FDSAUDITLINK__" hidden="1">{"fdsup://directions/FAT Viewer?action=UPDATE&amp;creator=factset&amp;DYN_ARGS=TRUE&amp;DOC_NAME=FAT:FQL_AUDITING_CLIENT_TEMPLATE.FAT&amp;display_string=Audit&amp;VAR:KEY=PIDYTMZABG&amp;VAR:QUERY=RkZfRElWX1lMRChBTk4sOC8zMC8wNyw4LzMwLzA3KQ==&amp;WINDOW=FIRST_POPUP&amp;HEIGHT=450&amp;WIDTH=450&amp;","START_MAXIMIZED=FALSE&amp;VAR:CALENDAR=US&amp;VAR:SYMBOL=RAI&amp;VAR:INDEX=0"}</definedName>
    <definedName name="_1880__FDSAUDITLINK__" localSheetId="0"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0__FDSAUDITLINK__" hidden="1">{"fdsup://directions/FAT Viewer?action=UPDATE&amp;creator=factset&amp;DYN_ARGS=TRUE&amp;DOC_NAME=FAT:FQL_AUDITING_CLIENT_TEMPLATE.FAT&amp;display_string=Audit&amp;VAR:KEY=ANKVABMVWZ&amp;VAR:QUERY=RkZfRElWX1lMRChBTk4sNS8yNS8wNSw1LzI1LzA1KQ==&amp;WINDOW=FIRST_POPUP&amp;HEIGHT=450&amp;WIDTH=450&amp;","START_MAXIMIZED=FALSE&amp;VAR:CALENDAR=US&amp;VAR:SYMBOL=KO&amp;VAR:INDEX=0"}</definedName>
    <definedName name="_1881__FDSAUDITLINK__" localSheetId="0"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1__FDSAUDITLINK__" hidden="1">{"fdsup://directions/FAT Viewer?action=UPDATE&amp;creator=factset&amp;DYN_ARGS=TRUE&amp;DOC_NAME=FAT:FQL_AUDITING_CLIENT_TEMPLATE.FAT&amp;display_string=Audit&amp;VAR:KEY=MJEVKFQFKD&amp;VAR:QUERY=RkZfRElWX1lMRChBTk4sNS8xOC8wNSw1LzE4LzA1KQ==&amp;WINDOW=FIRST_POPUP&amp;HEIGHT=450&amp;WIDTH=450&amp;","START_MAXIMIZED=FALSE&amp;VAR:CALENDAR=US&amp;VAR:SYMBOL=KO&amp;VAR:INDEX=0"}</definedName>
    <definedName name="_1882__FDSAUDITLINK__" localSheetId="0"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2__FDSAUDITLINK__" hidden="1">{"fdsup://directions/FAT Viewer?action=UPDATE&amp;creator=factset&amp;DYN_ARGS=TRUE&amp;DOC_NAME=FAT:FQL_AUDITING_CLIENT_TEMPLATE.FAT&amp;display_string=Audit&amp;VAR:KEY=WPAJGHYNSB&amp;VAR:QUERY=RkZfRElWX1lMRChBTk4sNS8xMS8wNSw1LzExLzA1KQ==&amp;WINDOW=FIRST_POPUP&amp;HEIGHT=450&amp;WIDTH=450&amp;","START_MAXIMIZED=FALSE&amp;VAR:CALENDAR=US&amp;VAR:SYMBOL=KO&amp;VAR:INDEX=0"}</definedName>
    <definedName name="_1883">#REF!</definedName>
    <definedName name="_1883__FDSAUDITLINK__" localSheetId="0"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3__FDSAUDITLINK__" hidden="1">{"fdsup://directions/FAT Viewer?action=UPDATE&amp;creator=factset&amp;DYN_ARGS=TRUE&amp;DOC_NAME=FAT:FQL_AUDITING_CLIENT_TEMPLATE.FAT&amp;display_string=Audit&amp;VAR:KEY=EJMBYJMRCR&amp;VAR:QUERY=RkZfRElWX1lMRChBTk4sNS8wNC8wNSw1LzA0LzA1KQ==&amp;WINDOW=FIRST_POPUP&amp;HEIGHT=450&amp;WIDTH=450&amp;","START_MAXIMIZED=FALSE&amp;VAR:CALENDAR=US&amp;VAR:SYMBOL=KO&amp;VAR:INDEX=0"}</definedName>
    <definedName name="_1884__FDSAUDITLINK__" localSheetId="0"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4__FDSAUDITLINK__" hidden="1">{"fdsup://directions/FAT Viewer?action=UPDATE&amp;creator=factset&amp;DYN_ARGS=TRUE&amp;DOC_NAME=FAT:FQL_AUDITING_CLIENT_TEMPLATE.FAT&amp;display_string=Audit&amp;VAR:KEY=CJGZILQXAL&amp;VAR:QUERY=RkZfRElWX1lMRChBTk4sNC8yNy8wNSw0LzI3LzA1KQ==&amp;WINDOW=FIRST_POPUP&amp;HEIGHT=450&amp;WIDTH=450&amp;","START_MAXIMIZED=FALSE&amp;VAR:CALENDAR=US&amp;VAR:SYMBOL=KO&amp;VAR:INDEX=0"}</definedName>
    <definedName name="_1885__FDSAUDITLINK__" localSheetId="0"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5__FDSAUDITLINK__" hidden="1">{"fdsup://directions/FAT Viewer?action=UPDATE&amp;creator=factset&amp;DYN_ARGS=TRUE&amp;DOC_NAME=FAT:FQL_AUDITING_CLIENT_TEMPLATE.FAT&amp;display_string=Audit&amp;VAR:KEY=QHSRITUVCX&amp;VAR:QUERY=RkZfRElWX1lMRChBTk4sNC8yMC8wNSw0LzIwLzA1KQ==&amp;WINDOW=FIRST_POPUP&amp;HEIGHT=450&amp;WIDTH=450&amp;","START_MAXIMIZED=FALSE&amp;VAR:CALENDAR=US&amp;VAR:SYMBOL=KO&amp;VAR:INDEX=0"}</definedName>
    <definedName name="_1886__FDSAUDITLINK__" localSheetId="0"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6__FDSAUDITLINK__" hidden="1">{"fdsup://directions/FAT Viewer?action=UPDATE&amp;creator=factset&amp;DYN_ARGS=TRUE&amp;DOC_NAME=FAT:FQL_AUDITING_CLIENT_TEMPLATE.FAT&amp;display_string=Audit&amp;VAR:KEY=OFCHCDOXSV&amp;VAR:QUERY=RkZfRElWX1lMRChBTk4sNC8xMy8wNSw0LzEzLzA1KQ==&amp;WINDOW=FIRST_POPUP&amp;HEIGHT=450&amp;WIDTH=450&amp;","START_MAXIMIZED=FALSE&amp;VAR:CALENDAR=US&amp;VAR:SYMBOL=KO&amp;VAR:INDEX=0"}</definedName>
    <definedName name="_1887__FDSAUDITLINK__" localSheetId="0"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7__FDSAUDITLINK__" hidden="1">{"fdsup://directions/FAT Viewer?action=UPDATE&amp;creator=factset&amp;DYN_ARGS=TRUE&amp;DOC_NAME=FAT:FQL_AUDITING_CLIENT_TEMPLATE.FAT&amp;display_string=Audit&amp;VAR:KEY=KPCXIHIFCH&amp;VAR:QUERY=RkZfRElWX1lMRChBTk4sNC8wNi8wNSw0LzA2LzA1KQ==&amp;WINDOW=FIRST_POPUP&amp;HEIGHT=450&amp;WIDTH=450&amp;","START_MAXIMIZED=FALSE&amp;VAR:CALENDAR=US&amp;VAR:SYMBOL=KO&amp;VAR:INDEX=0"}</definedName>
    <definedName name="_1888">#REF!</definedName>
    <definedName name="_1888__FDSAUDITLINK__" localSheetId="0"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8__FDSAUDITLINK__" hidden="1">{"fdsup://directions/FAT Viewer?action=UPDATE&amp;creator=factset&amp;DYN_ARGS=TRUE&amp;DOC_NAME=FAT:FQL_AUDITING_CLIENT_TEMPLATE.FAT&amp;display_string=Audit&amp;VAR:KEY=CJCXAVOLSX&amp;VAR:QUERY=RkZfRElWX1lMRChBTk4sMy8zMC8wNSwzLzMwLzA1KQ==&amp;WINDOW=FIRST_POPUP&amp;HEIGHT=450&amp;WIDTH=450&amp;","START_MAXIMIZED=FALSE&amp;VAR:CALENDAR=US&amp;VAR:SYMBOL=KO&amp;VAR:INDEX=0"}</definedName>
    <definedName name="_1889__FDSAUDITLINK__" localSheetId="0"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89__FDSAUDITLINK__" hidden="1">{"fdsup://directions/FAT Viewer?action=UPDATE&amp;creator=factset&amp;DYN_ARGS=TRUE&amp;DOC_NAME=FAT:FQL_AUDITING_CLIENT_TEMPLATE.FAT&amp;display_string=Audit&amp;VAR:KEY=KLYFQJQHWZ&amp;VAR:QUERY=RkZfRElWX1lMRChBTk4sMy8yMy8wNSwzLzIzLzA1KQ==&amp;WINDOW=FIRST_POPUP&amp;HEIGHT=450&amp;WIDTH=450&amp;","START_MAXIMIZED=FALSE&amp;VAR:CALENDAR=US&amp;VAR:SYMBOL=KO&amp;VAR:INDEX=0"}</definedName>
    <definedName name="_189">#REF!</definedName>
    <definedName name="_189__FDSAUDITLINK__" localSheetId="0"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__FDSAUDITLINK__" hidden="1">{"fdsup://directions/FAT Viewer?action=UPDATE&amp;creator=factset&amp;DYN_ARGS=TRUE&amp;DOC_NAME=FAT:FQL_AUDITING_CLIENT_TEMPLATE.FAT&amp;display_string=Audit&amp;VAR:KEY=FKZUXSPQLC&amp;VAR:QUERY=RkZfRElWX1lMRChBTk4sOC8yMy8wNyw4LzIzLzA3KQ==&amp;WINDOW=FIRST_POPUP&amp;HEIGHT=450&amp;WIDTH=450&amp;","START_MAXIMIZED=FALSE&amp;VAR:CALENDAR=US&amp;VAR:SYMBOL=RAI&amp;VAR:INDEX=0"}</definedName>
    <definedName name="_1890__FDSAUDITLINK__" localSheetId="0"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0__FDSAUDITLINK__" hidden="1">{"fdsup://directions/FAT Viewer?action=UPDATE&amp;creator=factset&amp;DYN_ARGS=TRUE&amp;DOC_NAME=FAT:FQL_AUDITING_CLIENT_TEMPLATE.FAT&amp;display_string=Audit&amp;VAR:KEY=OFCFIPGTCB&amp;VAR:QUERY=RkZfRElWX1lMRChBTk4sMy8xNi8wNSwzLzE2LzA1KQ==&amp;WINDOW=FIRST_POPUP&amp;HEIGHT=450&amp;WIDTH=450&amp;","START_MAXIMIZED=FALSE&amp;VAR:CALENDAR=US&amp;VAR:SYMBOL=KO&amp;VAR:INDEX=0"}</definedName>
    <definedName name="_1891__FDSAUDITLINK__" localSheetId="0"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1__FDSAUDITLINK__" hidden="1">{"fdsup://directions/FAT Viewer?action=UPDATE&amp;creator=factset&amp;DYN_ARGS=TRUE&amp;DOC_NAME=FAT:FQL_AUDITING_CLIENT_TEMPLATE.FAT&amp;display_string=Audit&amp;VAR:KEY=KJOHAZWPQL&amp;VAR:QUERY=RkZfRElWX1lMRChBTk4sMy8wOS8wNSwzLzA5LzA1KQ==&amp;WINDOW=FIRST_POPUP&amp;HEIGHT=450&amp;WIDTH=450&amp;","START_MAXIMIZED=FALSE&amp;VAR:CALENDAR=US&amp;VAR:SYMBOL=KO&amp;VAR:INDEX=0"}</definedName>
    <definedName name="_1892__FDSAUDITLINK__" localSheetId="0"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2__FDSAUDITLINK__" hidden="1">{"fdsup://directions/FAT Viewer?action=UPDATE&amp;creator=factset&amp;DYN_ARGS=TRUE&amp;DOC_NAME=FAT:FQL_AUDITING_CLIENT_TEMPLATE.FAT&amp;display_string=Audit&amp;VAR:KEY=MHYNQJQFUR&amp;VAR:QUERY=RkZfRElWX1lMRChBTk4sMy8wMi8wNSwzLzAyLzA1KQ==&amp;WINDOW=FIRST_POPUP&amp;HEIGHT=450&amp;WIDTH=450&amp;","START_MAXIMIZED=FALSE&amp;VAR:CALENDAR=US&amp;VAR:SYMBOL=KO&amp;VAR:INDEX=0"}</definedName>
    <definedName name="_1893__FDSAUDITLINK__" localSheetId="0"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3__FDSAUDITLINK__" hidden="1">{"fdsup://directions/FAT Viewer?action=UPDATE&amp;creator=factset&amp;DYN_ARGS=TRUE&amp;DOC_NAME=FAT:FQL_AUDITING_CLIENT_TEMPLATE.FAT&amp;display_string=Audit&amp;VAR:KEY=MTCDUNATOZ&amp;VAR:QUERY=RkZfRElWX1lMRChBTk4sMi8yMy8wNSwyLzIzLzA1KQ==&amp;WINDOW=FIRST_POPUP&amp;HEIGHT=450&amp;WIDTH=450&amp;","START_MAXIMIZED=FALSE&amp;VAR:CALENDAR=US&amp;VAR:SYMBOL=KO&amp;VAR:INDEX=0"}</definedName>
    <definedName name="_1894__FDSAUDITLINK__" localSheetId="0"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4__FDSAUDITLINK__" hidden="1">{"fdsup://directions/FAT Viewer?action=UPDATE&amp;creator=factset&amp;DYN_ARGS=TRUE&amp;DOC_NAME=FAT:FQL_AUDITING_CLIENT_TEMPLATE.FAT&amp;display_string=Audit&amp;VAR:KEY=WHEFSZWPOP&amp;VAR:QUERY=RkZfRElWX1lMRChBTk4sMi8xNi8wNSwyLzE2LzA1KQ==&amp;WINDOW=FIRST_POPUP&amp;HEIGHT=450&amp;WIDTH=450&amp;","START_MAXIMIZED=FALSE&amp;VAR:CALENDAR=US&amp;VAR:SYMBOL=KO&amp;VAR:INDEX=0"}</definedName>
    <definedName name="_1895__FDSAUDITLINK__" localSheetId="0"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5__FDSAUDITLINK__" hidden="1">{"fdsup://directions/FAT Viewer?action=UPDATE&amp;creator=factset&amp;DYN_ARGS=TRUE&amp;DOC_NAME=FAT:FQL_AUDITING_CLIENT_TEMPLATE.FAT&amp;display_string=Audit&amp;VAR:KEY=GBMXKRCZUB&amp;VAR:QUERY=RkZfRElWX1lMRChBTk4sMi8wOS8wNSwyLzA5LzA1KQ==&amp;WINDOW=FIRST_POPUP&amp;HEIGHT=450&amp;WIDTH=450&amp;","START_MAXIMIZED=FALSE&amp;VAR:CALENDAR=US&amp;VAR:SYMBOL=KO&amp;VAR:INDEX=0"}</definedName>
    <definedName name="_1896">#REF!</definedName>
    <definedName name="_1896__FDSAUDITLINK__" localSheetId="0"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6__FDSAUDITLINK__" hidden="1">{"fdsup://directions/FAT Viewer?action=UPDATE&amp;creator=factset&amp;DYN_ARGS=TRUE&amp;DOC_NAME=FAT:FQL_AUDITING_CLIENT_TEMPLATE.FAT&amp;display_string=Audit&amp;VAR:KEY=MPCHCLKHIL&amp;VAR:QUERY=RkZfRElWX1lMRChBTk4sMi8wMi8wNSwyLzAyLzA1KQ==&amp;WINDOW=FIRST_POPUP&amp;HEIGHT=450&amp;WIDTH=450&amp;","START_MAXIMIZED=FALSE&amp;VAR:CALENDAR=US&amp;VAR:SYMBOL=KO&amp;VAR:INDEX=0"}</definedName>
    <definedName name="_1897__FDSAUDITLINK__" localSheetId="0"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7__FDSAUDITLINK__" hidden="1">{"fdsup://directions/FAT Viewer?action=UPDATE&amp;creator=factset&amp;DYN_ARGS=TRUE&amp;DOC_NAME=FAT:FQL_AUDITING_CLIENT_TEMPLATE.FAT&amp;display_string=Audit&amp;VAR:KEY=QTINKLOBEV&amp;VAR:QUERY=RkZfRElWX1lMRChBTk4sMS8yNi8wNSwxLzI2LzA1KQ==&amp;WINDOW=FIRST_POPUP&amp;HEIGHT=450&amp;WIDTH=450&amp;","START_MAXIMIZED=FALSE&amp;VAR:CALENDAR=US&amp;VAR:SYMBOL=KO&amp;VAR:INDEX=0"}</definedName>
    <definedName name="_1898__FDSAUDITLINK__" localSheetId="0"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8__FDSAUDITLINK__" hidden="1">{"fdsup://directions/FAT Viewer?action=UPDATE&amp;creator=factset&amp;DYN_ARGS=TRUE&amp;DOC_NAME=FAT:FQL_AUDITING_CLIENT_TEMPLATE.FAT&amp;display_string=Audit&amp;VAR:KEY=MHGBEPUNIZ&amp;VAR:QUERY=RkZfRElWX1lMRChBTk4sMS8xOS8wNSwxLzE5LzA1KQ==&amp;WINDOW=FIRST_POPUP&amp;HEIGHT=450&amp;WIDTH=450&amp;","START_MAXIMIZED=FALSE&amp;VAR:CALENDAR=US&amp;VAR:SYMBOL=KO&amp;VAR:INDEX=0"}</definedName>
    <definedName name="_1899__FDSAUDITLINK__" localSheetId="0"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99__FDSAUDITLINK__" hidden="1">{"fdsup://directions/FAT Viewer?action=UPDATE&amp;creator=factset&amp;DYN_ARGS=TRUE&amp;DOC_NAME=FAT:FQL_AUDITING_CLIENT_TEMPLATE.FAT&amp;display_string=Audit&amp;VAR:KEY=UPEPKLCNWL&amp;VAR:QUERY=RkZfRElWX1lMRChBTk4sMS8xMi8wNSwxLzEyLzA1KQ==&amp;WINDOW=FIRST_POPUP&amp;HEIGHT=450&amp;WIDTH=450&amp;","START_MAXIMIZED=FALSE&amp;VAR:CALENDAR=US&amp;VAR:SYMBOL=KO&amp;VAR:INDEX=0"}</definedName>
    <definedName name="_18main_form_account_grants_list_16_j_id1022">#REF!</definedName>
    <definedName name="_18s13_" hidden="1">{#N/A,#N/A,FALSE,"UNIT";#N/A,#N/A,FALSE,"UNIT";#N/A,#N/A,FALSE,"계정"}</definedName>
    <definedName name="_18s5_" hidden="1">{#N/A,#N/A,FALSE,"UNIT";#N/A,#N/A,FALSE,"UNIT";#N/A,#N/A,FALSE,"계정"}</definedName>
    <definedName name="_18s9_" hidden="1">{#N/A,#N/A,FALSE,"UNIT";#N/A,#N/A,FALSE,"UNIT";#N/A,#N/A,FALSE,"계정"}</definedName>
    <definedName name="_19_________B_S">#REF!</definedName>
    <definedName name="_19__123Graph_AGROWTH_REVS_B" hidden="1">#REF!</definedName>
    <definedName name="_19__123Graph_ASENS_COMPARISON">#REF!</definedName>
    <definedName name="_19__123Graph_BChart_2I">#REF!</definedName>
    <definedName name="_19__123Graph_BSENS_COMPARISON">#REF!</definedName>
    <definedName name="_19__123Graph_CCONTRACT_BY_B_U">#REF!</definedName>
    <definedName name="_19__123Graph_CQRE_S_BY_CO.">#REF!</definedName>
    <definedName name="_19__123Graph_CSUPPLIES_BY_B_U" hidden="1">#REF!</definedName>
    <definedName name="_19__123Graph_CWAGES_BY_B_U">#REF!</definedName>
    <definedName name="_19__123Graph_DCONTRACT_BY_B_U">#REF!</definedName>
    <definedName name="_19__123Graph_DQRE_S_BY_CO.">#REF!</definedName>
    <definedName name="_19__FDSAUDITLINK__" localSheetId="0"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_FDSAUDITLINK__" hidden="1">{"fdsup://directions/FAT Viewer?action=UPDATE&amp;creator=factset&amp;DYN_ARGS=TRUE&amp;DOC_NAME=FAT:FQL_AUDITING_CLIENT_TEMPLATE.FAT&amp;display_string=Audit&amp;VAR:KEY=SVKTWDUVYT&amp;VAR:QUERY=Q1NGX0RJVl9ZTEQoUVRSX1IsNi8zMC8yMDA2KQ==&amp;WINDOW=FIRST_POPUP&amp;HEIGHT=450&amp;WIDTH=450&amp;STAR","T_MAXIMIZED=FALSE&amp;VAR:CALENDAR=US&amp;VAR:SYMBOL=MO&amp;VAR:INDEX=0"}</definedName>
    <definedName name="_19_0_Table2_">#REF!</definedName>
    <definedName name="_19_09_1999">#REF!</definedName>
    <definedName name="_19_10_1998">#REF!</definedName>
    <definedName name="_19_11_1997">#REF!</definedName>
    <definedName name="_19_5__1_CRADDIN_Headings">#REF!</definedName>
    <definedName name="_190">#REF!</definedName>
    <definedName name="_190__FDSAUDITLINK__" localSheetId="0"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__FDSAUDITLINK__" hidden="1">{"fdsup://directions/FAT Viewer?action=UPDATE&amp;creator=factset&amp;DYN_ARGS=TRUE&amp;DOC_NAME=FAT:FQL_AUDITING_CLIENT_TEMPLATE.FAT&amp;display_string=Audit&amp;VAR:KEY=VIZSZOBIXO&amp;VAR:QUERY=RkZfRElWX1lMRChBTk4sOC8xNi8wNyw4LzE2LzA3KQ==&amp;WINDOW=FIRST_POPUP&amp;HEIGHT=450&amp;WIDTH=450&amp;","START_MAXIMIZED=FALSE&amp;VAR:CALENDAR=US&amp;VAR:SYMBOL=RAI&amp;VAR:INDEX=0"}</definedName>
    <definedName name="_1900">#REF!</definedName>
    <definedName name="_1900__FDSAUDITLINK__" localSheetId="0"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0__FDSAUDITLINK__" hidden="1">{"fdsup://directions/FAT Viewer?action=UPDATE&amp;creator=factset&amp;DYN_ARGS=TRUE&amp;DOC_NAME=FAT:FQL_AUDITING_CLIENT_TEMPLATE.FAT&amp;display_string=Audit&amp;VAR:KEY=WRKVIHGTEX&amp;VAR:QUERY=RkZfRElWX1lMRChBTk4sMS8wNS8wNSwxLzA1LzA1KQ==&amp;WINDOW=FIRST_POPUP&amp;HEIGHT=450&amp;WIDTH=450&amp;","START_MAXIMIZED=FALSE&amp;VAR:CALENDAR=US&amp;VAR:SYMBOL=KO&amp;VAR:INDEX=0"}</definedName>
    <definedName name="_1901__FDSAUDITLINK__" localSheetId="0"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1__FDSAUDITLINK__" hidden="1">{"fdsup://directions/FAT Viewer?action=UPDATE&amp;creator=factset&amp;DYN_ARGS=TRUE&amp;DOC_NAME=FAT:FQL_AUDITING_CLIENT_TEMPLATE.FAT&amp;display_string=Audit&amp;VAR:KEY=CLITGPKXGN&amp;VAR:QUERY=RkZfRElWX1lMRChBTk4sMTIvMjkvMDQsMTIvMjkvMDQp&amp;WINDOW=FIRST_POPUP&amp;HEIGHT=450&amp;WIDTH=450&amp;","START_MAXIMIZED=FALSE&amp;VAR:CALENDAR=US&amp;VAR:SYMBOL=KO&amp;VAR:INDEX=0"}</definedName>
    <definedName name="_1902__FDSAUDITLINK__" localSheetId="0"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2__FDSAUDITLINK__" hidden="1">{"fdsup://directions/FAT Viewer?action=UPDATE&amp;creator=factset&amp;DYN_ARGS=TRUE&amp;DOC_NAME=FAT:FQL_AUDITING_CLIENT_TEMPLATE.FAT&amp;display_string=Audit&amp;VAR:KEY=WVYLMZGTEJ&amp;VAR:QUERY=RkZfRElWX1lMRChBTk4sMTIvMjIvMDQsMTIvMjIvMDQp&amp;WINDOW=FIRST_POPUP&amp;HEIGHT=450&amp;WIDTH=450&amp;","START_MAXIMIZED=FALSE&amp;VAR:CALENDAR=US&amp;VAR:SYMBOL=KO&amp;VAR:INDEX=0"}</definedName>
    <definedName name="_1903__FDSAUDITLINK__" localSheetId="0"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3__FDSAUDITLINK__" hidden="1">{"fdsup://directions/FAT Viewer?action=UPDATE&amp;creator=factset&amp;DYN_ARGS=TRUE&amp;DOC_NAME=FAT:FQL_AUDITING_CLIENT_TEMPLATE.FAT&amp;display_string=Audit&amp;VAR:KEY=UVSHMBSBON&amp;VAR:QUERY=RkZfRElWX1lMRChBTk4sMTIvMTUvMDQsMTIvMTUvMDQp&amp;WINDOW=FIRST_POPUP&amp;HEIGHT=450&amp;WIDTH=450&amp;","START_MAXIMIZED=FALSE&amp;VAR:CALENDAR=US&amp;VAR:SYMBOL=KO&amp;VAR:INDEX=0"}</definedName>
    <definedName name="_1904__FDSAUDITLINK__" localSheetId="0"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4__FDSAUDITLINK__" hidden="1">{"fdsup://directions/FAT Viewer?action=UPDATE&amp;creator=factset&amp;DYN_ARGS=TRUE&amp;DOC_NAME=FAT:FQL_AUDITING_CLIENT_TEMPLATE.FAT&amp;display_string=Audit&amp;VAR:KEY=WXGJMPONWP&amp;VAR:QUERY=RkZfRElWX1lMRChBTk4sMTIvMDgvMDQsMTIvMDgvMDQp&amp;WINDOW=FIRST_POPUP&amp;HEIGHT=450&amp;WIDTH=450&amp;","START_MAXIMIZED=FALSE&amp;VAR:CALENDAR=US&amp;VAR:SYMBOL=KO&amp;VAR:INDEX=0"}</definedName>
    <definedName name="_1905">#REF!</definedName>
    <definedName name="_1905__FDSAUDITLINK__" localSheetId="0"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5__FDSAUDITLINK__" hidden="1">{"fdsup://directions/FAT Viewer?action=UPDATE&amp;creator=factset&amp;DYN_ARGS=TRUE&amp;DOC_NAME=FAT:FQL_AUDITING_CLIENT_TEMPLATE.FAT&amp;display_string=Audit&amp;VAR:KEY=MDCLYPIVEB&amp;VAR:QUERY=RkZfRElWX1lMRChBTk4sMTIvMDEvMDQsMTIvMDEvMDQp&amp;WINDOW=FIRST_POPUP&amp;HEIGHT=450&amp;WIDTH=450&amp;","START_MAXIMIZED=FALSE&amp;VAR:CALENDAR=US&amp;VAR:SYMBOL=KO&amp;VAR:INDEX=0"}</definedName>
    <definedName name="_1906__FDSAUDITLINK__" localSheetId="0"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6__FDSAUDITLINK__" hidden="1">{"fdsup://directions/FAT Viewer?action=UPDATE&amp;creator=factset&amp;DYN_ARGS=TRUE&amp;DOC_NAME=FAT:FQL_AUDITING_CLIENT_TEMPLATE.FAT&amp;display_string=Audit&amp;VAR:KEY=CVOJEBQNQH&amp;VAR:QUERY=RkZfRElWX1lMRChBTk4sMTEvMjQvMDQsMTEvMjQvMDQp&amp;WINDOW=FIRST_POPUP&amp;HEIGHT=450&amp;WIDTH=450&amp;","START_MAXIMIZED=FALSE&amp;VAR:CALENDAR=US&amp;VAR:SYMBOL=KO&amp;VAR:INDEX=0"}</definedName>
    <definedName name="_1907__FDSAUDITLINK__" localSheetId="0"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7__FDSAUDITLINK__" hidden="1">{"fdsup://directions/FAT Viewer?action=UPDATE&amp;creator=factset&amp;DYN_ARGS=TRUE&amp;DOC_NAME=FAT:FQL_AUDITING_CLIENT_TEMPLATE.FAT&amp;display_string=Audit&amp;VAR:KEY=UNOFQBSHMR&amp;VAR:QUERY=RkZfRElWX1lMRChBTk4sMTEvMTcvMDQsMTEvMTcvMDQp&amp;WINDOW=FIRST_POPUP&amp;HEIGHT=450&amp;WIDTH=450&amp;","START_MAXIMIZED=FALSE&amp;VAR:CALENDAR=US&amp;VAR:SYMBOL=KO&amp;VAR:INDEX=0"}</definedName>
    <definedName name="_1908__FDSAUDITLINK__" localSheetId="0"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8__FDSAUDITLINK__" hidden="1">{"fdsup://directions/FAT Viewer?action=UPDATE&amp;creator=factset&amp;DYN_ARGS=TRUE&amp;DOC_NAME=FAT:FQL_AUDITING_CLIENT_TEMPLATE.FAT&amp;display_string=Audit&amp;VAR:KEY=WFGHYFGPEZ&amp;VAR:QUERY=RkZfRElWX1lMRChBTk4sMTEvMTAvMDQsMTEvMTAvMDQp&amp;WINDOW=FIRST_POPUP&amp;HEIGHT=450&amp;WIDTH=450&amp;","START_MAXIMIZED=FALSE&amp;VAR:CALENDAR=US&amp;VAR:SYMBOL=KO&amp;VAR:INDEX=0"}</definedName>
    <definedName name="_1909__FDSAUDITLINK__" localSheetId="0"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09__FDSAUDITLINK__" hidden="1">{"fdsup://directions/FAT Viewer?action=UPDATE&amp;creator=factset&amp;DYN_ARGS=TRUE&amp;DOC_NAME=FAT:FQL_AUDITING_CLIENT_TEMPLATE.FAT&amp;display_string=Audit&amp;VAR:KEY=SNCBANYBQX&amp;VAR:QUERY=RkZfRElWX1lMRChBTk4sMTEvMDMvMDQsMTEvMDMvMDQp&amp;WINDOW=FIRST_POPUP&amp;HEIGHT=450&amp;WIDTH=450&amp;","START_MAXIMIZED=FALSE&amp;VAR:CALENDAR=US&amp;VAR:SYMBOL=KO&amp;VAR:INDEX=0"}</definedName>
    <definedName name="_191">#REF!</definedName>
    <definedName name="_191__FDSAUDITLINK__" localSheetId="0"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__FDSAUDITLINK__" hidden="1">{"fdsup://directions/FAT Viewer?action=UPDATE&amp;creator=factset&amp;DYN_ARGS=TRUE&amp;DOC_NAME=FAT:FQL_AUDITING_CLIENT_TEMPLATE.FAT&amp;display_string=Audit&amp;VAR:KEY=FSLSROBIBK&amp;VAR:QUERY=RkZfRElWX1lMRChBTk4sOC8wOS8wNyw4LzA5LzA3KQ==&amp;WINDOW=FIRST_POPUP&amp;HEIGHT=450&amp;WIDTH=450&amp;","START_MAXIMIZED=FALSE&amp;VAR:CALENDAR=US&amp;VAR:SYMBOL=RAI&amp;VAR:INDEX=0"}</definedName>
    <definedName name="_1910">#REF!</definedName>
    <definedName name="_1910__FDSAUDITLINK__" localSheetId="0"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0__FDSAUDITLINK__" hidden="1">{"fdsup://directions/FAT Viewer?action=UPDATE&amp;creator=factset&amp;DYN_ARGS=TRUE&amp;DOC_NAME=FAT:FQL_AUDITING_CLIENT_TEMPLATE.FAT&amp;display_string=Audit&amp;VAR:KEY=KJWRAZGPKZ&amp;VAR:QUERY=RkZfRElWX1lMRChBTk4sMTAvMjcvMDQsMTAvMjcvMDQp&amp;WINDOW=FIRST_POPUP&amp;HEIGHT=450&amp;WIDTH=450&amp;","START_MAXIMIZED=FALSE&amp;VAR:CALENDAR=US&amp;VAR:SYMBOL=KO&amp;VAR:INDEX=0"}</definedName>
    <definedName name="_1911__FDSAUDITLINK__" localSheetId="0"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1__FDSAUDITLINK__" hidden="1">{"fdsup://directions/FAT Viewer?action=UPDATE&amp;creator=factset&amp;DYN_ARGS=TRUE&amp;DOC_NAME=FAT:FQL_AUDITING_CLIENT_TEMPLATE.FAT&amp;display_string=Audit&amp;VAR:KEY=CFIVYXSNYB&amp;VAR:QUERY=RkZfRElWX1lMRChBTk4sMTAvMjAvMDQsMTAvMjAvMDQp&amp;WINDOW=FIRST_POPUP&amp;HEIGHT=450&amp;WIDTH=450&amp;","START_MAXIMIZED=FALSE&amp;VAR:CALENDAR=US&amp;VAR:SYMBOL=KO&amp;VAR:INDEX=0"}</definedName>
    <definedName name="_1912__FDSAUDITLINK__" localSheetId="0"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2__FDSAUDITLINK__" hidden="1">{"fdsup://directions/FAT Viewer?action=UPDATE&amp;creator=factset&amp;DYN_ARGS=TRUE&amp;DOC_NAME=FAT:FQL_AUDITING_CLIENT_TEMPLATE.FAT&amp;display_string=Audit&amp;VAR:KEY=ILGRWVUNWB&amp;VAR:QUERY=RkZfRElWX1lMRChBTk4sMTAvMTMvMDQsMTAvMTMvMDQp&amp;WINDOW=FIRST_POPUP&amp;HEIGHT=450&amp;WIDTH=450&amp;","START_MAXIMIZED=FALSE&amp;VAR:CALENDAR=US&amp;VAR:SYMBOL=KO&amp;VAR:INDEX=0"}</definedName>
    <definedName name="_1913__FDSAUDITLINK__" localSheetId="0"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3__FDSAUDITLINK__" hidden="1">{"fdsup://directions/FAT Viewer?action=UPDATE&amp;creator=factset&amp;DYN_ARGS=TRUE&amp;DOC_NAME=FAT:FQL_AUDITING_CLIENT_TEMPLATE.FAT&amp;display_string=Audit&amp;VAR:KEY=KFKTOHSRGV&amp;VAR:QUERY=RkZfRElWX1lMRChBTk4sMTAvMDYvMDQsMTAvMDYvMDQp&amp;WINDOW=FIRST_POPUP&amp;HEIGHT=450&amp;WIDTH=450&amp;","START_MAXIMIZED=FALSE&amp;VAR:CALENDAR=US&amp;VAR:SYMBOL=KO&amp;VAR:INDEX=0"}</definedName>
    <definedName name="_1914__FDSAUDITLINK__" localSheetId="0"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4__FDSAUDITLINK__" hidden="1">{"fdsup://directions/FAT Viewer?action=UPDATE&amp;creator=factset&amp;DYN_ARGS=TRUE&amp;DOC_NAME=FAT:FQL_AUDITING_CLIENT_TEMPLATE.FAT&amp;display_string=Audit&amp;VAR:KEY=UFSHSBKHUP&amp;VAR:QUERY=RkZfRElWX1lMRChBTk4sOS8yOS8wNCw5LzI5LzA0KQ==&amp;WINDOW=FIRST_POPUP&amp;HEIGHT=450&amp;WIDTH=450&amp;","START_MAXIMIZED=FALSE&amp;VAR:CALENDAR=US&amp;VAR:SYMBOL=KO&amp;VAR:INDEX=0"}</definedName>
    <definedName name="_1915__FDSAUDITLINK__" localSheetId="0"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5__FDSAUDITLINK__" hidden="1">{"fdsup://directions/FAT Viewer?action=UPDATE&amp;creator=factset&amp;DYN_ARGS=TRUE&amp;DOC_NAME=FAT:FQL_AUDITING_CLIENT_TEMPLATE.FAT&amp;display_string=Audit&amp;VAR:KEY=AJGREJGJMR&amp;VAR:QUERY=RkZfRElWX1lMRChBTk4sOS8yMi8wNCw5LzIyLzA0KQ==&amp;WINDOW=FIRST_POPUP&amp;HEIGHT=450&amp;WIDTH=450&amp;","START_MAXIMIZED=FALSE&amp;VAR:CALENDAR=US&amp;VAR:SYMBOL=KO&amp;VAR:INDEX=0"}</definedName>
    <definedName name="_1916__FDSAUDITLINK__" localSheetId="0"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6__FDSAUDITLINK__" hidden="1">{"fdsup://directions/FAT Viewer?action=UPDATE&amp;creator=factset&amp;DYN_ARGS=TRUE&amp;DOC_NAME=FAT:FQL_AUDITING_CLIENT_TEMPLATE.FAT&amp;display_string=Audit&amp;VAR:KEY=UNIBKVCNOJ&amp;VAR:QUERY=RkZfRElWX1lMRChBTk4sOS8xNS8wNCw5LzE1LzA0KQ==&amp;WINDOW=FIRST_POPUP&amp;HEIGHT=450&amp;WIDTH=450&amp;","START_MAXIMIZED=FALSE&amp;VAR:CALENDAR=US&amp;VAR:SYMBOL=KO&amp;VAR:INDEX=0"}</definedName>
    <definedName name="_1917__FDSAUDITLINK__" localSheetId="0"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7__FDSAUDITLINK__" hidden="1">{"fdsup://directions/FAT Viewer?action=UPDATE&amp;creator=factset&amp;DYN_ARGS=TRUE&amp;DOC_NAME=FAT:FQL_AUDITING_CLIENT_TEMPLATE.FAT&amp;display_string=Audit&amp;VAR:KEY=WFEPKXQVAZ&amp;VAR:QUERY=RkZfRElWX1lMRChBTk4sOS8wOC8wNCw5LzA4LzA0KQ==&amp;WINDOW=FIRST_POPUP&amp;HEIGHT=450&amp;WIDTH=450&amp;","START_MAXIMIZED=FALSE&amp;VAR:CALENDAR=US&amp;VAR:SYMBOL=KO&amp;VAR:INDEX=0"}</definedName>
    <definedName name="_1918">#REF!</definedName>
    <definedName name="_1918__FDSAUDITLINK__" localSheetId="0"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8__FDSAUDITLINK__" hidden="1">{"fdsup://directions/FAT Viewer?action=UPDATE&amp;creator=factset&amp;DYN_ARGS=TRUE&amp;DOC_NAME=FAT:FQL_AUDITING_CLIENT_TEMPLATE.FAT&amp;display_string=Audit&amp;VAR:KEY=IPMTAJQFCT&amp;VAR:QUERY=RkZfRElWX1lMRChBTk4sOS8wMS8wNCw5LzAxLzA0KQ==&amp;WINDOW=FIRST_POPUP&amp;HEIGHT=450&amp;WIDTH=450&amp;","START_MAXIMIZED=FALSE&amp;VAR:CALENDAR=US&amp;VAR:SYMBOL=KO&amp;VAR:INDEX=0"}</definedName>
    <definedName name="_1919__FDSAUDITLINK__" localSheetId="0"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19__FDSAUDITLINK__" hidden="1">{"fdsup://directions/FAT Viewer?action=UPDATE&amp;creator=factset&amp;DYN_ARGS=TRUE&amp;DOC_NAME=FAT:FQL_AUDITING_CLIENT_TEMPLATE.FAT&amp;display_string=Audit&amp;VAR:KEY=UXKXKXSBCN&amp;VAR:QUERY=RkZfRElWX1lMRChBTk4sOC8yNS8wNCw4LzI1LzA0KQ==&amp;WINDOW=FIRST_POPUP&amp;HEIGHT=450&amp;WIDTH=450&amp;","START_MAXIMIZED=FALSE&amp;VAR:CALENDAR=US&amp;VAR:SYMBOL=KO&amp;VAR:INDEX=0"}</definedName>
    <definedName name="_192">#REF!</definedName>
    <definedName name="_192__123Graph_XQRE_S_BY_TYPE">#REF!</definedName>
    <definedName name="_192__FDSAUDITLINK__" localSheetId="0"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__FDSAUDITLINK__" hidden="1">{"fdsup://directions/FAT Viewer?action=UPDATE&amp;creator=factset&amp;DYN_ARGS=TRUE&amp;DOC_NAME=FAT:FQL_AUDITING_CLIENT_TEMPLATE.FAT&amp;display_string=Audit&amp;VAR:KEY=XMVSXWJSNO&amp;VAR:QUERY=RkZfRElWX1lMRChBTk4sOC8wMi8wNyw4LzAyLzA3KQ==&amp;WINDOW=FIRST_POPUP&amp;HEIGHT=450&amp;WIDTH=450&amp;","START_MAXIMIZED=FALSE&amp;VAR:CALENDAR=US&amp;VAR:SYMBOL=RAI&amp;VAR:INDEX=0"}</definedName>
    <definedName name="_1920__FDSAUDITLINK__" localSheetId="0"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0__FDSAUDITLINK__" hidden="1">{"fdsup://directions/FAT Viewer?action=UPDATE&amp;creator=factset&amp;DYN_ARGS=TRUE&amp;DOC_NAME=FAT:FQL_AUDITING_CLIENT_TEMPLATE.FAT&amp;display_string=Audit&amp;VAR:KEY=SBCVEZSVMJ&amp;VAR:QUERY=RkZfRElWX1lMRChBTk4sOC8xOC8wNCw4LzE4LzA0KQ==&amp;WINDOW=FIRST_POPUP&amp;HEIGHT=450&amp;WIDTH=450&amp;","START_MAXIMIZED=FALSE&amp;VAR:CALENDAR=US&amp;VAR:SYMBOL=KO&amp;VAR:INDEX=0"}</definedName>
    <definedName name="_1921__FDSAUDITLINK__" localSheetId="0"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1__FDSAUDITLINK__" hidden="1">{"fdsup://directions/FAT Viewer?action=UPDATE&amp;creator=factset&amp;DYN_ARGS=TRUE&amp;DOC_NAME=FAT:FQL_AUDITING_CLIENT_TEMPLATE.FAT&amp;display_string=Audit&amp;VAR:KEY=IJCJYPGXWN&amp;VAR:QUERY=RkZfRElWX1lMRChBTk4sOC8xMS8wNCw4LzExLzA0KQ==&amp;WINDOW=FIRST_POPUP&amp;HEIGHT=450&amp;WIDTH=450&amp;","START_MAXIMIZED=FALSE&amp;VAR:CALENDAR=US&amp;VAR:SYMBOL=KO&amp;VAR:INDEX=0"}</definedName>
    <definedName name="_1922">#REF!</definedName>
    <definedName name="_1922__FDSAUDITLINK__" localSheetId="0"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2__FDSAUDITLINK__" hidden="1">{"fdsup://directions/FAT Viewer?action=UPDATE&amp;creator=factset&amp;DYN_ARGS=TRUE&amp;DOC_NAME=FAT:FQL_AUDITING_CLIENT_TEMPLATE.FAT&amp;display_string=Audit&amp;VAR:KEY=SJUVKHEBOP&amp;VAR:QUERY=RkZfRElWX1lMRChBTk4sOC8wNC8wNCw4LzA0LzA0KQ==&amp;WINDOW=FIRST_POPUP&amp;HEIGHT=450&amp;WIDTH=450&amp;","START_MAXIMIZED=FALSE&amp;VAR:CALENDAR=US&amp;VAR:SYMBOL=KO&amp;VAR:INDEX=0"}</definedName>
    <definedName name="_1923__FDSAUDITLINK__" localSheetId="0"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3__FDSAUDITLINK__" hidden="1">{"fdsup://directions/FAT Viewer?action=UPDATE&amp;creator=factset&amp;DYN_ARGS=TRUE&amp;DOC_NAME=FAT:FQL_AUDITING_CLIENT_TEMPLATE.FAT&amp;display_string=Audit&amp;VAR:KEY=QREFCTMNUR&amp;VAR:QUERY=RkZfRElWX1lMRChBTk4sNy8yOC8wNCw3LzI4LzA0KQ==&amp;WINDOW=FIRST_POPUP&amp;HEIGHT=450&amp;WIDTH=450&amp;","START_MAXIMIZED=FALSE&amp;VAR:CALENDAR=US&amp;VAR:SYMBOL=KO&amp;VAR:INDEX=0"}</definedName>
    <definedName name="_1924__FDSAUDITLINK__" localSheetId="0"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4__FDSAUDITLINK__" hidden="1">{"fdsup://directions/FAT Viewer?action=UPDATE&amp;creator=factset&amp;DYN_ARGS=TRUE&amp;DOC_NAME=FAT:FQL_AUDITING_CLIENT_TEMPLATE.FAT&amp;display_string=Audit&amp;VAR:KEY=KBGHSJIJIZ&amp;VAR:QUERY=RkZfRElWX1lMRChBTk4sNy8yMS8wNCw3LzIxLzA0KQ==&amp;WINDOW=FIRST_POPUP&amp;HEIGHT=450&amp;WIDTH=450&amp;","START_MAXIMIZED=FALSE&amp;VAR:CALENDAR=US&amp;VAR:SYMBOL=KO&amp;VAR:INDEX=0"}</definedName>
    <definedName name="_1925__FDSAUDITLINK__" localSheetId="0"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5__FDSAUDITLINK__" hidden="1">{"fdsup://directions/FAT Viewer?action=UPDATE&amp;creator=factset&amp;DYN_ARGS=TRUE&amp;DOC_NAME=FAT:FQL_AUDITING_CLIENT_TEMPLATE.FAT&amp;display_string=Audit&amp;VAR:KEY=IVOLEREHIL&amp;VAR:QUERY=RkZfRElWX1lMRChBTk4sNy8xNC8wNCw3LzE0LzA0KQ==&amp;WINDOW=FIRST_POPUP&amp;HEIGHT=450&amp;WIDTH=450&amp;","START_MAXIMIZED=FALSE&amp;VAR:CALENDAR=US&amp;VAR:SYMBOL=KO&amp;VAR:INDEX=0"}</definedName>
    <definedName name="_1926__FDSAUDITLINK__" localSheetId="0"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6__FDSAUDITLINK__" hidden="1">{"fdsup://directions/FAT Viewer?action=UPDATE&amp;creator=factset&amp;DYN_ARGS=TRUE&amp;DOC_NAME=FAT:FQL_AUDITING_CLIENT_TEMPLATE.FAT&amp;display_string=Audit&amp;VAR:KEY=CHIDIBANQF&amp;VAR:QUERY=RkZfRElWX1lMRChBTk4sNy8wNy8wNCw3LzA3LzA0KQ==&amp;WINDOW=FIRST_POPUP&amp;HEIGHT=450&amp;WIDTH=450&amp;","START_MAXIMIZED=FALSE&amp;VAR:CALENDAR=US&amp;VAR:SYMBOL=KO&amp;VAR:INDEX=0"}</definedName>
    <definedName name="_1927">#REF!</definedName>
    <definedName name="_1927__FDSAUDITLINK__" localSheetId="0"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7__FDSAUDITLINK__" hidden="1">{"fdsup://directions/FAT Viewer?action=UPDATE&amp;creator=factset&amp;DYN_ARGS=TRUE&amp;DOC_NAME=FAT:FQL_AUDITING_CLIENT_TEMPLATE.FAT&amp;display_string=Audit&amp;VAR:KEY=IJETSXGTQB&amp;VAR:QUERY=RkZfRElWX1lMRChBTk4sNi8zMC8wNCw2LzMwLzA0KQ==&amp;WINDOW=FIRST_POPUP&amp;HEIGHT=450&amp;WIDTH=450&amp;","START_MAXIMIZED=FALSE&amp;VAR:CALENDAR=US&amp;VAR:SYMBOL=KO&amp;VAR:INDEX=0"}</definedName>
    <definedName name="_1928__FDSAUDITLINK__" localSheetId="0"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8__FDSAUDITLINK__" hidden="1">{"fdsup://directions/FAT Viewer?action=UPDATE&amp;creator=factset&amp;DYN_ARGS=TRUE&amp;DOC_NAME=FAT:FQL_AUDITING_CLIENT_TEMPLATE.FAT&amp;display_string=Audit&amp;VAR:KEY=IZKFSDUXIP&amp;VAR:QUERY=RkZfRElWX1lMRChBTk4sNi8yMy8wNCw2LzIzLzA0KQ==&amp;WINDOW=FIRST_POPUP&amp;HEIGHT=450&amp;WIDTH=450&amp;","START_MAXIMIZED=FALSE&amp;VAR:CALENDAR=US&amp;VAR:SYMBOL=KO&amp;VAR:INDEX=0"}</definedName>
    <definedName name="_1929__FDSAUDITLINK__" localSheetId="0"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29__FDSAUDITLINK__" hidden="1">{"fdsup://directions/FAT Viewer?action=UPDATE&amp;creator=factset&amp;DYN_ARGS=TRUE&amp;DOC_NAME=FAT:FQL_AUDITING_CLIENT_TEMPLATE.FAT&amp;display_string=Audit&amp;VAR:KEY=YVMHYNILMD&amp;VAR:QUERY=RkZfRElWX1lMRChBTk4sNi8xNi8wNCw2LzE2LzA0KQ==&amp;WINDOW=FIRST_POPUP&amp;HEIGHT=450&amp;WIDTH=450&amp;","START_MAXIMIZED=FALSE&amp;VAR:CALENDAR=US&amp;VAR:SYMBOL=KO&amp;VAR:INDEX=0"}</definedName>
    <definedName name="_193">#REF!</definedName>
    <definedName name="_193__123Graph_XQRE_S_BY_TYPE">#REF!</definedName>
    <definedName name="_193__FDSAUDITLINK__" localSheetId="0"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__FDSAUDITLINK__" hidden="1">{"fdsup://directions/FAT Viewer?action=UPDATE&amp;creator=factset&amp;DYN_ARGS=TRUE&amp;DOC_NAME=FAT:FQL_AUDITING_CLIENT_TEMPLATE.FAT&amp;display_string=Audit&amp;VAR:KEY=XWJELOBCZS&amp;VAR:QUERY=RkZfREVCVChBTk4sMCwsLCxVU0Qp&amp;WINDOW=FIRST_POPUP&amp;HEIGHT=450&amp;WIDTH=450&amp;START_MAXIMIZED=","FALSE&amp;VAR:CALENDAR=US&amp;VAR:SYMBOL=028758&amp;VAR:INDEX=0"}</definedName>
    <definedName name="_1930__FDSAUDITLINK__" localSheetId="0"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0__FDSAUDITLINK__" hidden="1">{"fdsup://directions/FAT Viewer?action=UPDATE&amp;creator=factset&amp;DYN_ARGS=TRUE&amp;DOC_NAME=FAT:FQL_AUDITING_CLIENT_TEMPLATE.FAT&amp;display_string=Audit&amp;VAR:KEY=SJMFMZGTCD&amp;VAR:QUERY=RkZfRElWX1lMRChBTk4sNi8wOS8wNCw2LzA5LzA0KQ==&amp;WINDOW=FIRST_POPUP&amp;HEIGHT=450&amp;WIDTH=450&amp;","START_MAXIMIZED=FALSE&amp;VAR:CALENDAR=US&amp;VAR:SYMBOL=KO&amp;VAR:INDEX=0"}</definedName>
    <definedName name="_1931__FDSAUDITLINK__" localSheetId="0"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1__FDSAUDITLINK__" hidden="1">{"fdsup://directions/FAT Viewer?action=UPDATE&amp;creator=factset&amp;DYN_ARGS=TRUE&amp;DOC_NAME=FAT:FQL_AUDITING_CLIENT_TEMPLATE.FAT&amp;display_string=Audit&amp;VAR:KEY=GJKDEVUTQF&amp;VAR:QUERY=RkZfRElWX1lMRChBTk4sNi8wMi8wNCw2LzAyLzA0KQ==&amp;WINDOW=FIRST_POPUP&amp;HEIGHT=450&amp;WIDTH=450&amp;","START_MAXIMIZED=FALSE&amp;VAR:CALENDAR=US&amp;VAR:SYMBOL=KO&amp;VAR:INDEX=0"}</definedName>
    <definedName name="_1932">#REF!</definedName>
    <definedName name="_1932__FDSAUDITLINK__" localSheetId="0"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2__FDSAUDITLINK__" hidden="1">{"fdsup://directions/FAT Viewer?action=UPDATE&amp;creator=factset&amp;DYN_ARGS=TRUE&amp;DOC_NAME=FAT:FQL_AUDITING_CLIENT_TEMPLATE.FAT&amp;display_string=Audit&amp;VAR:KEY=YPOLATCLAZ&amp;VAR:QUERY=RkZfRElWX1lMRChBTk4sNS8yNi8wNCw1LzI2LzA0KQ==&amp;WINDOW=FIRST_POPUP&amp;HEIGHT=450&amp;WIDTH=450&amp;","START_MAXIMIZED=FALSE&amp;VAR:CALENDAR=US&amp;VAR:SYMBOL=KO&amp;VAR:INDEX=0"}</definedName>
    <definedName name="_1933__FDSAUDITLINK__" localSheetId="0"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3__FDSAUDITLINK__" hidden="1">{"fdsup://directions/FAT Viewer?action=UPDATE&amp;creator=factset&amp;DYN_ARGS=TRUE&amp;DOC_NAME=FAT:FQL_AUDITING_CLIENT_TEMPLATE.FAT&amp;display_string=Audit&amp;VAR:KEY=WHQXUJSLYN&amp;VAR:QUERY=RkZfRElWX1lMRChBTk4sNS8xOS8wNCw1LzE5LzA0KQ==&amp;WINDOW=FIRST_POPUP&amp;HEIGHT=450&amp;WIDTH=450&amp;","START_MAXIMIZED=FALSE&amp;VAR:CALENDAR=US&amp;VAR:SYMBOL=KO&amp;VAR:INDEX=0"}</definedName>
    <definedName name="_1934__FDSAUDITLINK__" localSheetId="0"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4__FDSAUDITLINK__" hidden="1">{"fdsup://directions/FAT Viewer?action=UPDATE&amp;creator=factset&amp;DYN_ARGS=TRUE&amp;DOC_NAME=FAT:FQL_AUDITING_CLIENT_TEMPLATE.FAT&amp;display_string=Audit&amp;VAR:KEY=ALSFIXSLEB&amp;VAR:QUERY=RkZfRElWX1lMRChBTk4sNS8xMi8wNCw1LzEyLzA0KQ==&amp;WINDOW=FIRST_POPUP&amp;HEIGHT=450&amp;WIDTH=450&amp;","START_MAXIMIZED=FALSE&amp;VAR:CALENDAR=US&amp;VAR:SYMBOL=KO&amp;VAR:INDEX=0"}</definedName>
    <definedName name="_1935__FDSAUDITLINK__" localSheetId="0"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5__FDSAUDITLINK__" hidden="1">{"fdsup://directions/FAT Viewer?action=UPDATE&amp;creator=factset&amp;DYN_ARGS=TRUE&amp;DOC_NAME=FAT:FQL_AUDITING_CLIENT_TEMPLATE.FAT&amp;display_string=Audit&amp;VAR:KEY=KHYXOTSJWV&amp;VAR:QUERY=RkZfRElWX1lMRChBTk4sNS8wNS8wNCw1LzA1LzA0KQ==&amp;WINDOW=FIRST_POPUP&amp;HEIGHT=450&amp;WIDTH=450&amp;","START_MAXIMIZED=FALSE&amp;VAR:CALENDAR=US&amp;VAR:SYMBOL=KO&amp;VAR:INDEX=0"}</definedName>
    <definedName name="_1936__FDSAUDITLINK__" localSheetId="0"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6__FDSAUDITLINK__" hidden="1">{"fdsup://directions/FAT Viewer?action=UPDATE&amp;creator=factset&amp;DYN_ARGS=TRUE&amp;DOC_NAME=FAT:FQL_AUDITING_CLIENT_TEMPLATE.FAT&amp;display_string=Audit&amp;VAR:KEY=SRSHQNIFGN&amp;VAR:QUERY=RkZfRElWX1lMRChBTk4sNC8yOC8wNCw0LzI4LzA0KQ==&amp;WINDOW=FIRST_POPUP&amp;HEIGHT=450&amp;WIDTH=450&amp;","START_MAXIMIZED=FALSE&amp;VAR:CALENDAR=US&amp;VAR:SYMBOL=KO&amp;VAR:INDEX=0"}</definedName>
    <definedName name="_1937__FDSAUDITLINK__" localSheetId="0"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7__FDSAUDITLINK__" hidden="1">{"fdsup://directions/FAT Viewer?action=UPDATE&amp;creator=factset&amp;DYN_ARGS=TRUE&amp;DOC_NAME=FAT:FQL_AUDITING_CLIENT_TEMPLATE.FAT&amp;display_string=Audit&amp;VAR:KEY=KDCLEPMJQR&amp;VAR:QUERY=RkZfRElWX1lMRChBTk4sNC8yMS8wNCw0LzIxLzA0KQ==&amp;WINDOW=FIRST_POPUP&amp;HEIGHT=450&amp;WIDTH=450&amp;","START_MAXIMIZED=FALSE&amp;VAR:CALENDAR=US&amp;VAR:SYMBOL=KO&amp;VAR:INDEX=0"}</definedName>
    <definedName name="_1938__FDSAUDITLINK__" localSheetId="0"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8__FDSAUDITLINK__" hidden="1">{"fdsup://directions/FAT Viewer?action=UPDATE&amp;creator=factset&amp;DYN_ARGS=TRUE&amp;DOC_NAME=FAT:FQL_AUDITING_CLIENT_TEMPLATE.FAT&amp;display_string=Audit&amp;VAR:KEY=GPILCXGPCR&amp;VAR:QUERY=RkZfRElWX1lMRChBTk4sNC8xNC8wNCw0LzE0LzA0KQ==&amp;WINDOW=FIRST_POPUP&amp;HEIGHT=450&amp;WIDTH=450&amp;","START_MAXIMIZED=FALSE&amp;VAR:CALENDAR=US&amp;VAR:SYMBOL=KO&amp;VAR:INDEX=0"}</definedName>
    <definedName name="_1939__FDSAUDITLINK__" localSheetId="0"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39__FDSAUDITLINK__" hidden="1">{"fdsup://directions/FAT Viewer?action=UPDATE&amp;creator=factset&amp;DYN_ARGS=TRUE&amp;DOC_NAME=FAT:FQL_AUDITING_CLIENT_TEMPLATE.FAT&amp;display_string=Audit&amp;VAR:KEY=GDYHKLKBCJ&amp;VAR:QUERY=RkZfRElWX1lMRChBTk4sNC8wNy8wNCw0LzA3LzA0KQ==&amp;WINDOW=FIRST_POPUP&amp;HEIGHT=450&amp;WIDTH=450&amp;","START_MAXIMIZED=FALSE&amp;VAR:CALENDAR=US&amp;VAR:SYMBOL=KO&amp;VAR:INDEX=0"}</definedName>
    <definedName name="_194">#REF!</definedName>
    <definedName name="_194__FDSAUDITLINK__" localSheetId="0" hidden="1">{"fdsup://Directions/FactSet Auditing Viewer?action=AUDIT_VALUE&amp;DB=129&amp;ID1=69840W10&amp;VALUEID=P05202&amp;SDATE=2011&amp;PERIODTYPE=ANN_STD&amp;SCFT=3&amp;window=popup_no_bar&amp;width=385&amp;height=120&amp;START_MAXIMIZED=FALSE&amp;creator=factset&amp;display_string=Audit"}</definedName>
    <definedName name="_194__FDSAUDITLINK__" hidden="1">{"fdsup://Directions/FactSet Auditing Viewer?action=AUDIT_VALUE&amp;DB=129&amp;ID1=69840W10&amp;VALUEID=P05202&amp;SDATE=2011&amp;PERIODTYPE=ANN_STD&amp;SCFT=3&amp;window=popup_no_bar&amp;width=385&amp;height=120&amp;START_MAXIMIZED=FALSE&amp;creator=factset&amp;display_string=Audit"}</definedName>
    <definedName name="_1940__FDSAUDITLINK__" localSheetId="0"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0__FDSAUDITLINK__" hidden="1">{"fdsup://directions/FAT Viewer?action=UPDATE&amp;creator=factset&amp;DYN_ARGS=TRUE&amp;DOC_NAME=FAT:FQL_AUDITING_CLIENT_TEMPLATE.FAT&amp;display_string=Audit&amp;VAR:KEY=URITQVOVGR&amp;VAR:QUERY=RkZfRElWX1lMRChBTk4sMy8zMS8wNCwzLzMxLzA0KQ==&amp;WINDOW=FIRST_POPUP&amp;HEIGHT=450&amp;WIDTH=450&amp;","START_MAXIMIZED=FALSE&amp;VAR:CALENDAR=US&amp;VAR:SYMBOL=KO&amp;VAR:INDEX=0"}</definedName>
    <definedName name="_1941__FDSAUDITLINK__" localSheetId="0"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1__FDSAUDITLINK__" hidden="1">{"fdsup://directions/FAT Viewer?action=UPDATE&amp;creator=factset&amp;DYN_ARGS=TRUE&amp;DOC_NAME=FAT:FQL_AUDITING_CLIENT_TEMPLATE.FAT&amp;display_string=Audit&amp;VAR:KEY=GPCJYRYFQV&amp;VAR:QUERY=RkZfRElWX1lMRChBTk4sMy8yNC8wNCwzLzI0LzA0KQ==&amp;WINDOW=FIRST_POPUP&amp;HEIGHT=450&amp;WIDTH=450&amp;","START_MAXIMIZED=FALSE&amp;VAR:CALENDAR=US&amp;VAR:SYMBOL=KO&amp;VAR:INDEX=0"}</definedName>
    <definedName name="_1942__FDSAUDITLINK__" localSheetId="0"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2__FDSAUDITLINK__" hidden="1">{"fdsup://directions/FAT Viewer?action=UPDATE&amp;creator=factset&amp;DYN_ARGS=TRUE&amp;DOC_NAME=FAT:FQL_AUDITING_CLIENT_TEMPLATE.FAT&amp;display_string=Audit&amp;VAR:KEY=QLMTILSJAZ&amp;VAR:QUERY=RkZfRElWX1lMRChBTk4sMy8xNy8wNCwzLzE3LzA0KQ==&amp;WINDOW=FIRST_POPUP&amp;HEIGHT=450&amp;WIDTH=450&amp;","START_MAXIMIZED=FALSE&amp;VAR:CALENDAR=US&amp;VAR:SYMBOL=KO&amp;VAR:INDEX=0"}</definedName>
    <definedName name="_1943__FDSAUDITLINK__" localSheetId="0"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3__FDSAUDITLINK__" hidden="1">{"fdsup://directions/FAT Viewer?action=UPDATE&amp;creator=factset&amp;DYN_ARGS=TRUE&amp;DOC_NAME=FAT:FQL_AUDITING_CLIENT_TEMPLATE.FAT&amp;display_string=Audit&amp;VAR:KEY=OZYPQNEPKD&amp;VAR:QUERY=RkZfRElWX1lMRChBTk4sMy8xMC8wNCwzLzEwLzA0KQ==&amp;WINDOW=FIRST_POPUP&amp;HEIGHT=450&amp;WIDTH=450&amp;","START_MAXIMIZED=FALSE&amp;VAR:CALENDAR=US&amp;VAR:SYMBOL=KO&amp;VAR:INDEX=0"}</definedName>
    <definedName name="_1944__FDSAUDITLINK__" localSheetId="0"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4__FDSAUDITLINK__" hidden="1">{"fdsup://directions/FAT Viewer?action=UPDATE&amp;creator=factset&amp;DYN_ARGS=TRUE&amp;DOC_NAME=FAT:FQL_AUDITING_CLIENT_TEMPLATE.FAT&amp;display_string=Audit&amp;VAR:KEY=SXATYLCXAV&amp;VAR:QUERY=RkZfRElWX1lMRChBTk4sMy8wMy8wNCwzLzAzLzA0KQ==&amp;WINDOW=FIRST_POPUP&amp;HEIGHT=450&amp;WIDTH=450&amp;","START_MAXIMIZED=FALSE&amp;VAR:CALENDAR=US&amp;VAR:SYMBOL=KO&amp;VAR:INDEX=0"}</definedName>
    <definedName name="_1945__FDSAUDITLINK__" localSheetId="0"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5__FDSAUDITLINK__" hidden="1">{"fdsup://directions/FAT Viewer?action=UPDATE&amp;creator=factset&amp;DYN_ARGS=TRUE&amp;DOC_NAME=FAT:FQL_AUDITING_CLIENT_TEMPLATE.FAT&amp;display_string=Audit&amp;VAR:KEY=ELQLGBWXOJ&amp;VAR:QUERY=RkZfRElWX1lMRChBTk4sMi8yNS8wNCwyLzI1LzA0KQ==&amp;WINDOW=FIRST_POPUP&amp;HEIGHT=450&amp;WIDTH=450&amp;","START_MAXIMIZED=FALSE&amp;VAR:CALENDAR=US&amp;VAR:SYMBOL=KO&amp;VAR:INDEX=0"}</definedName>
    <definedName name="_1946__FDSAUDITLINK__" localSheetId="0"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6__FDSAUDITLINK__" hidden="1">{"fdsup://directions/FAT Viewer?action=UPDATE&amp;creator=factset&amp;DYN_ARGS=TRUE&amp;DOC_NAME=FAT:FQL_AUDITING_CLIENT_TEMPLATE.FAT&amp;display_string=Audit&amp;VAR:KEY=CFIFCFOJUN&amp;VAR:QUERY=RkZfRElWX1lMRChBTk4sMi8xOC8wNCwyLzE4LzA0KQ==&amp;WINDOW=FIRST_POPUP&amp;HEIGHT=450&amp;WIDTH=450&amp;","START_MAXIMIZED=FALSE&amp;VAR:CALENDAR=US&amp;VAR:SYMBOL=KO&amp;VAR:INDEX=0"}</definedName>
    <definedName name="_1947">#REF!</definedName>
    <definedName name="_1947__FDSAUDITLINK__" localSheetId="0"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7__FDSAUDITLINK__" hidden="1">{"fdsup://directions/FAT Viewer?action=UPDATE&amp;creator=factset&amp;DYN_ARGS=TRUE&amp;DOC_NAME=FAT:FQL_AUDITING_CLIENT_TEMPLATE.FAT&amp;display_string=Audit&amp;VAR:KEY=CDSNEJCNWZ&amp;VAR:QUERY=RkZfRElWX1lMRChBTk4sMi8xMS8wNCwyLzExLzA0KQ==&amp;WINDOW=FIRST_POPUP&amp;HEIGHT=450&amp;WIDTH=450&amp;","START_MAXIMIZED=FALSE&amp;VAR:CALENDAR=US&amp;VAR:SYMBOL=KO&amp;VAR:INDEX=0"}</definedName>
    <definedName name="_1948">#REF!</definedName>
    <definedName name="_1948__FDSAUDITLINK__" localSheetId="0"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8__FDSAUDITLINK__" hidden="1">{"fdsup://directions/FAT Viewer?action=UPDATE&amp;creator=factset&amp;DYN_ARGS=TRUE&amp;DOC_NAME=FAT:FQL_AUDITING_CLIENT_TEMPLATE.FAT&amp;display_string=Audit&amp;VAR:KEY=QBIJOBSXUR&amp;VAR:QUERY=RkZfRElWX1lMRChBTk4sMi8wNC8wNCwyLzA0LzA0KQ==&amp;WINDOW=FIRST_POPUP&amp;HEIGHT=450&amp;WIDTH=450&amp;","START_MAXIMIZED=FALSE&amp;VAR:CALENDAR=US&amp;VAR:SYMBOL=KO&amp;VAR:INDEX=0"}</definedName>
    <definedName name="_1949__FDSAUDITLINK__" localSheetId="0"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49__FDSAUDITLINK__" hidden="1">{"fdsup://directions/FAT Viewer?action=UPDATE&amp;creator=factset&amp;DYN_ARGS=TRUE&amp;DOC_NAME=FAT:FQL_AUDITING_CLIENT_TEMPLATE.FAT&amp;display_string=Audit&amp;VAR:KEY=YXSBURYLKB&amp;VAR:QUERY=RkZfRElWX1lMRChBTk4sMS8yOC8wNCwxLzI4LzA0KQ==&amp;WINDOW=FIRST_POPUP&amp;HEIGHT=450&amp;WIDTH=450&amp;","START_MAXIMIZED=FALSE&amp;VAR:CALENDAR=US&amp;VAR:SYMBOL=KO&amp;VAR:INDEX=0"}</definedName>
    <definedName name="_195">#REF!</definedName>
    <definedName name="_195__FDSAUDITLINK__" localSheetId="0" hidden="1">{"fdsup://Directions/FactSet Auditing Viewer?action=AUDIT_VALUE&amp;DB=129&amp;ID1=93114210&amp;VALUEID=P05202&amp;SDATE=2011&amp;PERIODTYPE=ANN_STD&amp;SCFT=3&amp;window=popup_no_bar&amp;width=385&amp;height=120&amp;START_MAXIMIZED=FALSE&amp;creator=factset&amp;display_string=Audit"}</definedName>
    <definedName name="_195__FDSAUDITLINK__" hidden="1">{"fdsup://Directions/FactSet Auditing Viewer?action=AUDIT_VALUE&amp;DB=129&amp;ID1=93114210&amp;VALUEID=P05202&amp;SDATE=2011&amp;PERIODTYPE=ANN_STD&amp;SCFT=3&amp;window=popup_no_bar&amp;width=385&amp;height=120&amp;START_MAXIMIZED=FALSE&amp;creator=factset&amp;display_string=Audit"}</definedName>
    <definedName name="_1950">#REF!</definedName>
    <definedName name="_1950__FDSAUDITLINK__" localSheetId="0"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0__FDSAUDITLINK__" hidden="1">{"fdsup://directions/FAT Viewer?action=UPDATE&amp;creator=factset&amp;DYN_ARGS=TRUE&amp;DOC_NAME=FAT:FQL_AUDITING_CLIENT_TEMPLATE.FAT&amp;display_string=Audit&amp;VAR:KEY=WVCBAVKHYT&amp;VAR:QUERY=RkZfRElWX1lMRChBTk4sMS8yMS8wNCwxLzIxLzA0KQ==&amp;WINDOW=FIRST_POPUP&amp;HEIGHT=450&amp;WIDTH=450&amp;","START_MAXIMIZED=FALSE&amp;VAR:CALENDAR=US&amp;VAR:SYMBOL=KO&amp;VAR:INDEX=0"}</definedName>
    <definedName name="_1951">#REF!</definedName>
    <definedName name="_1951__FDSAUDITLINK__" localSheetId="0"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1__FDSAUDITLINK__" hidden="1">{"fdsup://directions/FAT Viewer?action=UPDATE&amp;creator=factset&amp;DYN_ARGS=TRUE&amp;DOC_NAME=FAT:FQL_AUDITING_CLIENT_TEMPLATE.FAT&amp;display_string=Audit&amp;VAR:KEY=ERGFINCPWZ&amp;VAR:QUERY=RkZfRElWX1lMRChBTk4sMS8xNC8wNCwxLzE0LzA0KQ==&amp;WINDOW=FIRST_POPUP&amp;HEIGHT=450&amp;WIDTH=450&amp;","START_MAXIMIZED=FALSE&amp;VAR:CALENDAR=US&amp;VAR:SYMBOL=KO&amp;VAR:INDEX=0"}</definedName>
    <definedName name="_1952__FDSAUDITLINK__" localSheetId="0"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2__FDSAUDITLINK__" hidden="1">{"fdsup://directions/FAT Viewer?action=UPDATE&amp;creator=factset&amp;DYN_ARGS=TRUE&amp;DOC_NAME=FAT:FQL_AUDITING_CLIENT_TEMPLATE.FAT&amp;display_string=Audit&amp;VAR:KEY=CLAJSXITUB&amp;VAR:QUERY=RkZfRElWX1lMRChBTk4sMS8wNy8wNCwxLzA3LzA0KQ==&amp;WINDOW=FIRST_POPUP&amp;HEIGHT=450&amp;WIDTH=450&amp;","START_MAXIMIZED=FALSE&amp;VAR:CALENDAR=US&amp;VAR:SYMBOL=KO&amp;VAR:INDEX=0"}</definedName>
    <definedName name="_1953">#REF!</definedName>
    <definedName name="_1953__FDSAUDITLINK__" localSheetId="0"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3__FDSAUDITLINK__" hidden="1">{"fdsup://directions/FAT Viewer?action=UPDATE&amp;creator=factset&amp;DYN_ARGS=TRUE&amp;DOC_NAME=FAT:FQL_AUDITING_CLIENT_TEMPLATE.FAT&amp;display_string=Audit&amp;VAR:KEY=CXWTMDWBGJ&amp;VAR:QUERY=RkZfRElWX1lMRChBTk4sMTIvMzEvMDMsMTIvMzEvMDMp&amp;WINDOW=FIRST_POPUP&amp;HEIGHT=450&amp;WIDTH=450&amp;","START_MAXIMIZED=FALSE&amp;VAR:CALENDAR=US&amp;VAR:SYMBOL=KO&amp;VAR:INDEX=0"}</definedName>
    <definedName name="_1954">#REF!</definedName>
    <definedName name="_1954__FDSAUDITLINK__" localSheetId="0"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4__FDSAUDITLINK__" hidden="1">{"fdsup://directions/FAT Viewer?action=UPDATE&amp;creator=factset&amp;DYN_ARGS=TRUE&amp;DOC_NAME=FAT:FQL_AUDITING_CLIENT_TEMPLATE.FAT&amp;display_string=Audit&amp;VAR:KEY=KPCXSHYZKJ&amp;VAR:QUERY=RkZfRElWX1lMRChBTk4sMTIvMjQvMDMsMTIvMjQvMDMp&amp;WINDOW=FIRST_POPUP&amp;HEIGHT=450&amp;WIDTH=450&amp;","START_MAXIMIZED=FALSE&amp;VAR:CALENDAR=US&amp;VAR:SYMBOL=KO&amp;VAR:INDEX=0"}</definedName>
    <definedName name="_1955__FDSAUDITLINK__" localSheetId="0"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5__FDSAUDITLINK__" hidden="1">{"fdsup://directions/FAT Viewer?action=UPDATE&amp;creator=factset&amp;DYN_ARGS=TRUE&amp;DOC_NAME=FAT:FQL_AUDITING_CLIENT_TEMPLATE.FAT&amp;display_string=Audit&amp;VAR:KEY=SBKRETEZKP&amp;VAR:QUERY=RkZfRElWX1lMRChBTk4sMTIvMTcvMDMsMTIvMTcvMDMp&amp;WINDOW=FIRST_POPUP&amp;HEIGHT=450&amp;WIDTH=450&amp;","START_MAXIMIZED=FALSE&amp;VAR:CALENDAR=US&amp;VAR:SYMBOL=KO&amp;VAR:INDEX=0"}</definedName>
    <definedName name="_1956__FDSAUDITLINK__" localSheetId="0"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6__FDSAUDITLINK__" hidden="1">{"fdsup://directions/FAT Viewer?action=UPDATE&amp;creator=factset&amp;DYN_ARGS=TRUE&amp;DOC_NAME=FAT:FQL_AUDITING_CLIENT_TEMPLATE.FAT&amp;display_string=Audit&amp;VAR:KEY=YXSFMTWLEF&amp;VAR:QUERY=RkZfRElWX1lMRChBTk4sMTIvMTAvMDMsMTIvMTAvMDMp&amp;WINDOW=FIRST_POPUP&amp;HEIGHT=450&amp;WIDTH=450&amp;","START_MAXIMIZED=FALSE&amp;VAR:CALENDAR=US&amp;VAR:SYMBOL=KO&amp;VAR:INDEX=0"}</definedName>
    <definedName name="_1957__FDSAUDITLINK__" localSheetId="0"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7__FDSAUDITLINK__" hidden="1">{"fdsup://directions/FAT Viewer?action=UPDATE&amp;creator=factset&amp;DYN_ARGS=TRUE&amp;DOC_NAME=FAT:FQL_AUDITING_CLIENT_TEMPLATE.FAT&amp;display_string=Audit&amp;VAR:KEY=GJEFMJWLIN&amp;VAR:QUERY=RkZfRElWX1lMRChBTk4sMTIvMDMvMDMsMTIvMDMvMDMp&amp;WINDOW=FIRST_POPUP&amp;HEIGHT=450&amp;WIDTH=450&amp;","START_MAXIMIZED=FALSE&amp;VAR:CALENDAR=US&amp;VAR:SYMBOL=KO&amp;VAR:INDEX=0"}</definedName>
    <definedName name="_1958">#REF!</definedName>
    <definedName name="_1958__FDSAUDITLINK__" localSheetId="0"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8__FDSAUDITLINK__" hidden="1">{"fdsup://directions/FAT Viewer?action=UPDATE&amp;creator=factset&amp;DYN_ARGS=TRUE&amp;DOC_NAME=FAT:FQL_AUDITING_CLIENT_TEMPLATE.FAT&amp;display_string=Audit&amp;VAR:KEY=YHIRSNQTUP&amp;VAR:QUERY=RkZfRElWX1lMRChBTk4sMTEvMjYvMDMsMTEvMjYvMDMp&amp;WINDOW=FIRST_POPUP&amp;HEIGHT=450&amp;WIDTH=450&amp;","START_MAXIMIZED=FALSE&amp;VAR:CALENDAR=US&amp;VAR:SYMBOL=KO&amp;VAR:INDEX=0"}</definedName>
    <definedName name="_1959">#REF!</definedName>
    <definedName name="_1959__FDSAUDITLINK__" localSheetId="0"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59__FDSAUDITLINK__" hidden="1">{"fdsup://directions/FAT Viewer?action=UPDATE&amp;creator=factset&amp;DYN_ARGS=TRUE&amp;DOC_NAME=FAT:FQL_AUDITING_CLIENT_TEMPLATE.FAT&amp;display_string=Audit&amp;VAR:KEY=CTQJSHOJGJ&amp;VAR:QUERY=RkZfRElWX1lMRChBTk4sMTEvMTkvMDMsMTEvMTkvMDMp&amp;WINDOW=FIRST_POPUP&amp;HEIGHT=450&amp;WIDTH=450&amp;","START_MAXIMIZED=FALSE&amp;VAR:CALENDAR=US&amp;VAR:SYMBOL=KO&amp;VAR:INDEX=0"}</definedName>
    <definedName name="_196">#REF!</definedName>
    <definedName name="_196__FDSAUDITLINK__" localSheetId="0" hidden="1">{"fdsup://Directions/FactSet Auditing Viewer?action=AUDIT_VALUE&amp;DB=129&amp;ID1=74271810&amp;VALUEID=P05202&amp;SDATE=2011&amp;PERIODTYPE=ANN_STD&amp;SCFT=3&amp;window=popup_no_bar&amp;width=385&amp;height=120&amp;START_MAXIMIZED=FALSE&amp;creator=factset&amp;display_string=Audit"}</definedName>
    <definedName name="_196__FDSAUDITLINK__" hidden="1">{"fdsup://Directions/FactSet Auditing Viewer?action=AUDIT_VALUE&amp;DB=129&amp;ID1=74271810&amp;VALUEID=P05202&amp;SDATE=2011&amp;PERIODTYPE=ANN_STD&amp;SCFT=3&amp;window=popup_no_bar&amp;width=385&amp;height=120&amp;START_MAXIMIZED=FALSE&amp;creator=factset&amp;display_string=Audit"}</definedName>
    <definedName name="_1960">#REF!</definedName>
    <definedName name="_1960__FDSAUDITLINK__" localSheetId="0"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0__FDSAUDITLINK__" hidden="1">{"fdsup://directions/FAT Viewer?action=UPDATE&amp;creator=factset&amp;DYN_ARGS=TRUE&amp;DOC_NAME=FAT:FQL_AUDITING_CLIENT_TEMPLATE.FAT&amp;display_string=Audit&amp;VAR:KEY=UVOTKBUBIH&amp;VAR:QUERY=RkZfRElWX1lMRChBTk4sMTEvMTIvMDMsMTEvMTIvMDMp&amp;WINDOW=FIRST_POPUP&amp;HEIGHT=450&amp;WIDTH=450&amp;","START_MAXIMIZED=FALSE&amp;VAR:CALENDAR=US&amp;VAR:SYMBOL=KO&amp;VAR:INDEX=0"}</definedName>
    <definedName name="_1961">#REF!</definedName>
    <definedName name="_1961__FDSAUDITLINK__" localSheetId="0"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1__FDSAUDITLINK__" hidden="1">{"fdsup://directions/FAT Viewer?action=UPDATE&amp;creator=factset&amp;DYN_ARGS=TRUE&amp;DOC_NAME=FAT:FQL_AUDITING_CLIENT_TEMPLATE.FAT&amp;display_string=Audit&amp;VAR:KEY=CHMZQTABEV&amp;VAR:QUERY=RkZfRElWX1lMRChBTk4sMTEvMDUvMDMsMTEvMDUvMDMp&amp;WINDOW=FIRST_POPUP&amp;HEIGHT=450&amp;WIDTH=450&amp;","START_MAXIMIZED=FALSE&amp;VAR:CALENDAR=US&amp;VAR:SYMBOL=KO&amp;VAR:INDEX=0"}</definedName>
    <definedName name="_1962">#REF!</definedName>
    <definedName name="_1962__FDSAUDITLINK__" localSheetId="0"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2__FDSAUDITLINK__" hidden="1">{"fdsup://directions/FAT Viewer?action=UPDATE&amp;creator=factset&amp;DYN_ARGS=TRUE&amp;DOC_NAME=FAT:FQL_AUDITING_CLIENT_TEMPLATE.FAT&amp;display_string=Audit&amp;VAR:KEY=MNINQROJIT&amp;VAR:QUERY=RkZfRElWX1lMRChBTk4sMTAvMjkvMDMsMTAvMjkvMDMp&amp;WINDOW=FIRST_POPUP&amp;HEIGHT=450&amp;WIDTH=450&amp;","START_MAXIMIZED=FALSE&amp;VAR:CALENDAR=US&amp;VAR:SYMBOL=KO&amp;VAR:INDEX=0"}</definedName>
    <definedName name="_1963">#REF!</definedName>
    <definedName name="_1963__FDSAUDITLINK__" localSheetId="0"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3__FDSAUDITLINK__" hidden="1">{"fdsup://directions/FAT Viewer?action=UPDATE&amp;creator=factset&amp;DYN_ARGS=TRUE&amp;DOC_NAME=FAT:FQL_AUDITING_CLIENT_TEMPLATE.FAT&amp;display_string=Audit&amp;VAR:KEY=WNIJABIBWB&amp;VAR:QUERY=RkZfRElWX1lMRChBTk4sMTAvMjIvMDMsMTAvMjIvMDMp&amp;WINDOW=FIRST_POPUP&amp;HEIGHT=450&amp;WIDTH=450&amp;","START_MAXIMIZED=FALSE&amp;VAR:CALENDAR=US&amp;VAR:SYMBOL=KO&amp;VAR:INDEX=0"}</definedName>
    <definedName name="_1964">#REF!</definedName>
    <definedName name="_1964__FDSAUDITLINK__" localSheetId="0"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4__FDSAUDITLINK__" hidden="1">{"fdsup://directions/FAT Viewer?action=UPDATE&amp;creator=factset&amp;DYN_ARGS=TRUE&amp;DOC_NAME=FAT:FQL_AUDITING_CLIENT_TEMPLATE.FAT&amp;display_string=Audit&amp;VAR:KEY=IDYTWHSHCL&amp;VAR:QUERY=RkZfRElWX1lMRChBTk4sMTAvMTUvMDMsMTAvMTUvMDMp&amp;WINDOW=FIRST_POPUP&amp;HEIGHT=450&amp;WIDTH=450&amp;","START_MAXIMIZED=FALSE&amp;VAR:CALENDAR=US&amp;VAR:SYMBOL=KO&amp;VAR:INDEX=0"}</definedName>
    <definedName name="_1965">#REF!</definedName>
    <definedName name="_1965__FDSAUDITLINK__" localSheetId="0"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5__FDSAUDITLINK__" hidden="1">{"fdsup://directions/FAT Viewer?action=UPDATE&amp;creator=factset&amp;DYN_ARGS=TRUE&amp;DOC_NAME=FAT:FQL_AUDITING_CLIENT_TEMPLATE.FAT&amp;display_string=Audit&amp;VAR:KEY=WZEPGTAHOF&amp;VAR:QUERY=RkZfRElWX1lMRChBTk4sMTAvMDgvMDMsMTAvMDgvMDMp&amp;WINDOW=FIRST_POPUP&amp;HEIGHT=450&amp;WIDTH=450&amp;","START_MAXIMIZED=FALSE&amp;VAR:CALENDAR=US&amp;VAR:SYMBOL=KO&amp;VAR:INDEX=0"}</definedName>
    <definedName name="_1966__FDSAUDITLINK__" localSheetId="0"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6__FDSAUDITLINK__" hidden="1">{"fdsup://directions/FAT Viewer?action=UPDATE&amp;creator=factset&amp;DYN_ARGS=TRUE&amp;DOC_NAME=FAT:FQL_AUDITING_CLIENT_TEMPLATE.FAT&amp;display_string=Audit&amp;VAR:KEY=GLKLYLMFQR&amp;VAR:QUERY=RkZfRElWX1lMRChBTk4sMTAvMDEvMDMsMTAvMDEvMDMp&amp;WINDOW=FIRST_POPUP&amp;HEIGHT=450&amp;WIDTH=450&amp;","START_MAXIMIZED=FALSE&amp;VAR:CALENDAR=US&amp;VAR:SYMBOL=KO&amp;VAR:INDEX=0"}</definedName>
    <definedName name="_1967__FDSAUDITLINK__" localSheetId="0"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7__FDSAUDITLINK__" hidden="1">{"fdsup://directions/FAT Viewer?action=UPDATE&amp;creator=factset&amp;DYN_ARGS=TRUE&amp;DOC_NAME=FAT:FQL_AUDITING_CLIENT_TEMPLATE.FAT&amp;display_string=Audit&amp;VAR:KEY=WNMRGLSVIR&amp;VAR:QUERY=RkZfRElWX1lMRChBTk4sOS8yNC8wMyw5LzI0LzAzKQ==&amp;WINDOW=FIRST_POPUP&amp;HEIGHT=450&amp;WIDTH=450&amp;","START_MAXIMIZED=FALSE&amp;VAR:CALENDAR=US&amp;VAR:SYMBOL=KO&amp;VAR:INDEX=0"}</definedName>
    <definedName name="_1968__FDSAUDITLINK__" localSheetId="0"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8__FDSAUDITLINK__" hidden="1">{"fdsup://directions/FAT Viewer?action=UPDATE&amp;creator=factset&amp;DYN_ARGS=TRUE&amp;DOC_NAME=FAT:FQL_AUDITING_CLIENT_TEMPLATE.FAT&amp;display_string=Audit&amp;VAR:KEY=ITAHGJCNGZ&amp;VAR:QUERY=RkZfRElWX1lMRChBTk4sOS8xNy8wMyw5LzE3LzAzKQ==&amp;WINDOW=FIRST_POPUP&amp;HEIGHT=450&amp;WIDTH=450&amp;","START_MAXIMIZED=FALSE&amp;VAR:CALENDAR=US&amp;VAR:SYMBOL=KO&amp;VAR:INDEX=0"}</definedName>
    <definedName name="_1969__FDSAUDITLINK__" localSheetId="0"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69__FDSAUDITLINK__" hidden="1">{"fdsup://directions/FAT Viewer?action=UPDATE&amp;creator=factset&amp;DYN_ARGS=TRUE&amp;DOC_NAME=FAT:FQL_AUDITING_CLIENT_TEMPLATE.FAT&amp;display_string=Audit&amp;VAR:KEY=CVYLCPWPKH&amp;VAR:QUERY=RkZfRElWX1lMRChBTk4sOS8xMC8wMyw5LzEwLzAzKQ==&amp;WINDOW=FIRST_POPUP&amp;HEIGHT=450&amp;WIDTH=450&amp;","START_MAXIMIZED=FALSE&amp;VAR:CALENDAR=US&amp;VAR:SYMBOL=KO&amp;VAR:INDEX=0"}</definedName>
    <definedName name="_197">#REF!</definedName>
    <definedName name="_197__FDSAUDITLINK__" localSheetId="0" hidden="1">{"fdsup://Directions/FactSet Auditing Viewer?action=AUDIT_VALUE&amp;DB=129&amp;ID1=19416210&amp;VALUEID=P05202&amp;SDATE=2011&amp;PERIODTYPE=ANN_STD&amp;SCFT=3&amp;window=popup_no_bar&amp;width=385&amp;height=120&amp;START_MAXIMIZED=FALSE&amp;creator=factset&amp;display_string=Audit"}</definedName>
    <definedName name="_197__FDSAUDITLINK__" hidden="1">{"fdsup://Directions/FactSet Auditing Viewer?action=AUDIT_VALUE&amp;DB=129&amp;ID1=19416210&amp;VALUEID=P05202&amp;SDATE=2011&amp;PERIODTYPE=ANN_STD&amp;SCFT=3&amp;window=popup_no_bar&amp;width=385&amp;height=120&amp;START_MAXIMIZED=FALSE&amp;creator=factset&amp;display_string=Audit"}</definedName>
    <definedName name="_1970">#REF!</definedName>
    <definedName name="_1970__FDSAUDITLINK__" localSheetId="0"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0__FDSAUDITLINK__" hidden="1">{"fdsup://directions/FAT Viewer?action=UPDATE&amp;creator=factset&amp;DYN_ARGS=TRUE&amp;DOC_NAME=FAT:FQL_AUDITING_CLIENT_TEMPLATE.FAT&amp;display_string=Audit&amp;VAR:KEY=MTKFUTOPCB&amp;VAR:QUERY=RkZfRElWX1lMRChBTk4sOS8wMy8wMyw5LzAzLzAzKQ==&amp;WINDOW=FIRST_POPUP&amp;HEIGHT=450&amp;WIDTH=450&amp;","START_MAXIMIZED=FALSE&amp;VAR:CALENDAR=US&amp;VAR:SYMBOL=KO&amp;VAR:INDEX=0"}</definedName>
    <definedName name="_1971__FDSAUDITLINK__" localSheetId="0"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1__FDSAUDITLINK__" hidden="1">{"fdsup://directions/FAT Viewer?action=UPDATE&amp;creator=factset&amp;DYN_ARGS=TRUE&amp;DOC_NAME=FAT:FQL_AUDITING_CLIENT_TEMPLATE.FAT&amp;display_string=Audit&amp;VAR:KEY=KRKFGZKTKL&amp;VAR:QUERY=RkZfRElWX1lMRChBTk4sOC8yNy8wMyw4LzI3LzAzKQ==&amp;WINDOW=FIRST_POPUP&amp;HEIGHT=450&amp;WIDTH=450&amp;","START_MAXIMIZED=FALSE&amp;VAR:CALENDAR=US&amp;VAR:SYMBOL=KO&amp;VAR:INDEX=0"}</definedName>
    <definedName name="_1972__FDSAUDITLINK__" localSheetId="0"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2__FDSAUDITLINK__" hidden="1">{"fdsup://directions/FAT Viewer?action=UPDATE&amp;creator=factset&amp;DYN_ARGS=TRUE&amp;DOC_NAME=FAT:FQL_AUDITING_CLIENT_TEMPLATE.FAT&amp;display_string=Audit&amp;VAR:KEY=ADSZMTYPOF&amp;VAR:QUERY=RkZfRElWX1lMRChBTk4sOC8yMC8wMyw4LzIwLzAzKQ==&amp;WINDOW=FIRST_POPUP&amp;HEIGHT=450&amp;WIDTH=450&amp;","START_MAXIMIZED=FALSE&amp;VAR:CALENDAR=US&amp;VAR:SYMBOL=KO&amp;VAR:INDEX=0"}</definedName>
    <definedName name="_1973__FDSAUDITLINK__" localSheetId="0"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3__FDSAUDITLINK__" hidden="1">{"fdsup://directions/FAT Viewer?action=UPDATE&amp;creator=factset&amp;DYN_ARGS=TRUE&amp;DOC_NAME=FAT:FQL_AUDITING_CLIENT_TEMPLATE.FAT&amp;display_string=Audit&amp;VAR:KEY=EJWTGPOJEB&amp;VAR:QUERY=RkZfRElWX1lMRChBTk4sOC8xMy8wMyw4LzEzLzAzKQ==&amp;WINDOW=FIRST_POPUP&amp;HEIGHT=450&amp;WIDTH=450&amp;","START_MAXIMIZED=FALSE&amp;VAR:CALENDAR=US&amp;VAR:SYMBOL=KO&amp;VAR:INDEX=0"}</definedName>
    <definedName name="_1974__FDSAUDITLINK__" localSheetId="0"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4__FDSAUDITLINK__" hidden="1">{"fdsup://directions/FAT Viewer?action=UPDATE&amp;creator=factset&amp;DYN_ARGS=TRUE&amp;DOC_NAME=FAT:FQL_AUDITING_CLIENT_TEMPLATE.FAT&amp;display_string=Audit&amp;VAR:KEY=CTQFMJETCL&amp;VAR:QUERY=RkZfRElWX1lMRChBTk4sOC8wNi8wMyw4LzA2LzAzKQ==&amp;WINDOW=FIRST_POPUP&amp;HEIGHT=450&amp;WIDTH=450&amp;","START_MAXIMIZED=FALSE&amp;VAR:CALENDAR=US&amp;VAR:SYMBOL=KO&amp;VAR:INDEX=0"}</definedName>
    <definedName name="_1975">#REF!</definedName>
    <definedName name="_1975__FDSAUDITLINK__" localSheetId="0"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5__FDSAUDITLINK__" hidden="1">{"fdsup://directions/FAT Viewer?action=UPDATE&amp;creator=factset&amp;DYN_ARGS=TRUE&amp;DOC_NAME=FAT:FQL_AUDITING_CLIENT_TEMPLATE.FAT&amp;display_string=Audit&amp;VAR:KEY=MHOVUJERUZ&amp;VAR:QUERY=RkZfRElWX1lMRChBTk4sNy8zMC8wMyw3LzMwLzAzKQ==&amp;WINDOW=FIRST_POPUP&amp;HEIGHT=450&amp;WIDTH=450&amp;","START_MAXIMIZED=FALSE&amp;VAR:CALENDAR=US&amp;VAR:SYMBOL=KO&amp;VAR:INDEX=0"}</definedName>
    <definedName name="_1976__FDSAUDITLINK__" localSheetId="0"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6__FDSAUDITLINK__" hidden="1">{"fdsup://directions/FAT Viewer?action=UPDATE&amp;creator=factset&amp;DYN_ARGS=TRUE&amp;DOC_NAME=FAT:FQL_AUDITING_CLIENT_TEMPLATE.FAT&amp;display_string=Audit&amp;VAR:KEY=CDKDSZIXUF&amp;VAR:QUERY=RkZfRElWX1lMRChBTk4sNy8yMy8wMyw3LzIzLzAzKQ==&amp;WINDOW=FIRST_POPUP&amp;HEIGHT=450&amp;WIDTH=450&amp;","START_MAXIMIZED=FALSE&amp;VAR:CALENDAR=US&amp;VAR:SYMBOL=KO&amp;VAR:INDEX=0"}</definedName>
    <definedName name="_1977__FDSAUDITLINK__" localSheetId="0"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7__FDSAUDITLINK__" hidden="1">{"fdsup://directions/FAT Viewer?action=UPDATE&amp;creator=factset&amp;DYN_ARGS=TRUE&amp;DOC_NAME=FAT:FQL_AUDITING_CLIENT_TEMPLATE.FAT&amp;display_string=Audit&amp;VAR:KEY=SHMRQRSBCH&amp;VAR:QUERY=RkZfRElWX1lMRChBTk4sNy8xNi8wMyw3LzE2LzAzKQ==&amp;WINDOW=FIRST_POPUP&amp;HEIGHT=450&amp;WIDTH=450&amp;","START_MAXIMIZED=FALSE&amp;VAR:CALENDAR=US&amp;VAR:SYMBOL=KO&amp;VAR:INDEX=0"}</definedName>
    <definedName name="_1978__FDSAUDITLINK__" localSheetId="0"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8__FDSAUDITLINK__" hidden="1">{"fdsup://directions/FAT Viewer?action=UPDATE&amp;creator=factset&amp;DYN_ARGS=TRUE&amp;DOC_NAME=FAT:FQL_AUDITING_CLIENT_TEMPLATE.FAT&amp;display_string=Audit&amp;VAR:KEY=WJEPGBMLWH&amp;VAR:QUERY=RkZfRElWX1lMRChBTk4sNy8wOS8wMyw3LzA5LzAzKQ==&amp;WINDOW=FIRST_POPUP&amp;HEIGHT=450&amp;WIDTH=450&amp;","START_MAXIMIZED=FALSE&amp;VAR:CALENDAR=US&amp;VAR:SYMBOL=KO&amp;VAR:INDEX=0"}</definedName>
    <definedName name="_1979__FDSAUDITLINK__" localSheetId="0"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79__FDSAUDITLINK__" hidden="1">{"fdsup://directions/FAT Viewer?action=UPDATE&amp;creator=factset&amp;DYN_ARGS=TRUE&amp;DOC_NAME=FAT:FQL_AUDITING_CLIENT_TEMPLATE.FAT&amp;display_string=Audit&amp;VAR:KEY=AHUBINMVWL&amp;VAR:QUERY=RkZfRElWX1lMRChBTk4sNy8wMi8wMyw3LzAyLzAzKQ==&amp;WINDOW=FIRST_POPUP&amp;HEIGHT=450&amp;WIDTH=450&amp;","START_MAXIMIZED=FALSE&amp;VAR:CALENDAR=US&amp;VAR:SYMBOL=KO&amp;VAR:INDEX=0"}</definedName>
    <definedName name="_198">#REF!</definedName>
    <definedName name="_198__123Graph_XSUPPLIES_BY_B_U">#REF!</definedName>
    <definedName name="_198__FDSAUDITLINK__" localSheetId="0" hidden="1">{"fdsup://Directions/FactSet Auditing Viewer?action=AUDIT_VALUE&amp;DB=129&amp;ID1=98849810&amp;VALUEID=P05202&amp;SDATE=2011&amp;PERIODTYPE=ANN_STD&amp;SCFT=3&amp;window=popup_no_bar&amp;width=385&amp;height=120&amp;START_MAXIMIZED=FALSE&amp;creator=factset&amp;display_string=Audit"}</definedName>
    <definedName name="_198__FDSAUDITLINK__" hidden="1">{"fdsup://Directions/FactSet Auditing Viewer?action=AUDIT_VALUE&amp;DB=129&amp;ID1=98849810&amp;VALUEID=P05202&amp;SDATE=2011&amp;PERIODTYPE=ANN_STD&amp;SCFT=3&amp;window=popup_no_bar&amp;width=385&amp;height=120&amp;START_MAXIMIZED=FALSE&amp;creator=factset&amp;display_string=Audit"}</definedName>
    <definedName name="_1980">#REF!</definedName>
    <definedName name="_1980__FDSAUDITLINK__" localSheetId="0"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0__FDSAUDITLINK__" hidden="1">{"fdsup://directions/FAT Viewer?action=UPDATE&amp;creator=factset&amp;DYN_ARGS=TRUE&amp;DOC_NAME=FAT:FQL_AUDITING_CLIENT_TEMPLATE.FAT&amp;display_string=Audit&amp;VAR:KEY=YVSDODMDMX&amp;VAR:QUERY=RkZfRElWX1lMRChBTk4sNi8yNS8wMyw2LzI1LzAzKQ==&amp;WINDOW=FIRST_POPUP&amp;HEIGHT=450&amp;WIDTH=450&amp;","START_MAXIMIZED=FALSE&amp;VAR:CALENDAR=US&amp;VAR:SYMBOL=KO&amp;VAR:INDEX=0"}</definedName>
    <definedName name="_1981">#REF!</definedName>
    <definedName name="_1981__FDSAUDITLINK__" localSheetId="0"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1__FDSAUDITLINK__" hidden="1">{"fdsup://directions/FAT Viewer?action=UPDATE&amp;creator=factset&amp;DYN_ARGS=TRUE&amp;DOC_NAME=FAT:FQL_AUDITING_CLIENT_TEMPLATE.FAT&amp;display_string=Audit&amp;VAR:KEY=OVILMLQJWX&amp;VAR:QUERY=RkZfRElWX1lMRChBTk4sNi8xOC8wMyw2LzE4LzAzKQ==&amp;WINDOW=FIRST_POPUP&amp;HEIGHT=450&amp;WIDTH=450&amp;","START_MAXIMIZED=FALSE&amp;VAR:CALENDAR=US&amp;VAR:SYMBOL=KO&amp;VAR:INDEX=0"}</definedName>
    <definedName name="_1982__FDSAUDITLINK__" localSheetId="0"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2__FDSAUDITLINK__" hidden="1">{"fdsup://directions/FAT Viewer?action=UPDATE&amp;creator=factset&amp;DYN_ARGS=TRUE&amp;DOC_NAME=FAT:FQL_AUDITING_CLIENT_TEMPLATE.FAT&amp;display_string=Audit&amp;VAR:KEY=OHEVGPWFAX&amp;VAR:QUERY=RkZfRElWX1lMRChBTk4sNi8xMS8wMyw2LzExLzAzKQ==&amp;WINDOW=FIRST_POPUP&amp;HEIGHT=450&amp;WIDTH=450&amp;","START_MAXIMIZED=FALSE&amp;VAR:CALENDAR=US&amp;VAR:SYMBOL=KO&amp;VAR:INDEX=0"}</definedName>
    <definedName name="_1983">#REF!</definedName>
    <definedName name="_1983__FDSAUDITLINK__" localSheetId="0"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3__FDSAUDITLINK__" hidden="1">{"fdsup://directions/FAT Viewer?action=UPDATE&amp;creator=factset&amp;DYN_ARGS=TRUE&amp;DOC_NAME=FAT:FQL_AUDITING_CLIENT_TEMPLATE.FAT&amp;display_string=Audit&amp;VAR:KEY=CRABMJKJAP&amp;VAR:QUERY=RkZfRElWX1lMRChBTk4sNi8wNC8wMyw2LzA0LzAzKQ==&amp;WINDOW=FIRST_POPUP&amp;HEIGHT=450&amp;WIDTH=450&amp;","START_MAXIMIZED=FALSE&amp;VAR:CALENDAR=US&amp;VAR:SYMBOL=KO&amp;VAR:INDEX=0"}</definedName>
    <definedName name="_1984">#REF!</definedName>
    <definedName name="_1984__FDSAUDITLINK__" localSheetId="0"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4__FDSAUDITLINK__" hidden="1">{"fdsup://directions/FAT Viewer?action=UPDATE&amp;creator=factset&amp;DYN_ARGS=TRUE&amp;DOC_NAME=FAT:FQL_AUDITING_CLIENT_TEMPLATE.FAT&amp;display_string=Audit&amp;VAR:KEY=AXMXSHINSD&amp;VAR:QUERY=RkZfRElWX1lMRChBTk4sNS8yOC8wMyw1LzI4LzAzKQ==&amp;WINDOW=FIRST_POPUP&amp;HEIGHT=450&amp;WIDTH=450&amp;","START_MAXIMIZED=FALSE&amp;VAR:CALENDAR=US&amp;VAR:SYMBOL=KO&amp;VAR:INDEX=0"}</definedName>
    <definedName name="_1985__FDSAUDITLINK__" localSheetId="0"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5__FDSAUDITLINK__" hidden="1">{"fdsup://directions/FAT Viewer?action=UPDATE&amp;creator=factset&amp;DYN_ARGS=TRUE&amp;DOC_NAME=FAT:FQL_AUDITING_CLIENT_TEMPLATE.FAT&amp;display_string=Audit&amp;VAR:KEY=ORQHANWJUL&amp;VAR:QUERY=RkZfRElWX1lMRChBTk4sNS8yMS8wMyw1LzIxLzAzKQ==&amp;WINDOW=FIRST_POPUP&amp;HEIGHT=450&amp;WIDTH=450&amp;","START_MAXIMIZED=FALSE&amp;VAR:CALENDAR=US&amp;VAR:SYMBOL=KO&amp;VAR:INDEX=0"}</definedName>
    <definedName name="_1986">#REF!</definedName>
    <definedName name="_1986__FDSAUDITLINK__" localSheetId="0"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6__FDSAUDITLINK__" hidden="1">{"fdsup://directions/FAT Viewer?action=UPDATE&amp;creator=factset&amp;DYN_ARGS=TRUE&amp;DOC_NAME=FAT:FQL_AUDITING_CLIENT_TEMPLATE.FAT&amp;display_string=Audit&amp;VAR:KEY=OZEFCLKNSF&amp;VAR:QUERY=RkZfRElWX1lMRChBTk4sNS8xNC8wMyw1LzE0LzAzKQ==&amp;WINDOW=FIRST_POPUP&amp;HEIGHT=450&amp;WIDTH=450&amp;","START_MAXIMIZED=FALSE&amp;VAR:CALENDAR=US&amp;VAR:SYMBOL=KO&amp;VAR:INDEX=0"}</definedName>
    <definedName name="_1987">#REF!</definedName>
    <definedName name="_1987__FDSAUDITLINK__" localSheetId="0"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7__FDSAUDITLINK__" hidden="1">{"fdsup://directions/FAT Viewer?action=UPDATE&amp;creator=factset&amp;DYN_ARGS=TRUE&amp;DOC_NAME=FAT:FQL_AUDITING_CLIENT_TEMPLATE.FAT&amp;display_string=Audit&amp;VAR:KEY=EJAPKFKDAF&amp;VAR:QUERY=RkZfRElWX1lMRChBTk4sNS8wNy8wMyw1LzA3LzAzKQ==&amp;WINDOW=FIRST_POPUP&amp;HEIGHT=450&amp;WIDTH=450&amp;","START_MAXIMIZED=FALSE&amp;VAR:CALENDAR=US&amp;VAR:SYMBOL=KO&amp;VAR:INDEX=0"}</definedName>
    <definedName name="_1988__FDSAUDITLINK__" localSheetId="0"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8__FDSAUDITLINK__" hidden="1">{"fdsup://directions/FAT Viewer?action=UPDATE&amp;creator=factset&amp;DYN_ARGS=TRUE&amp;DOC_NAME=FAT:FQL_AUDITING_CLIENT_TEMPLATE.FAT&amp;display_string=Audit&amp;VAR:KEY=KZQVQTUVAJ&amp;VAR:QUERY=RkZfRElWX1lMRChBTk4sNC8zMC8wMyw0LzMwLzAzKQ==&amp;WINDOW=FIRST_POPUP&amp;HEIGHT=450&amp;WIDTH=450&amp;","START_MAXIMIZED=FALSE&amp;VAR:CALENDAR=US&amp;VAR:SYMBOL=KO&amp;VAR:INDEX=0"}</definedName>
    <definedName name="_1989">#REF!</definedName>
    <definedName name="_1989__FDSAUDITLINK__" localSheetId="0"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89__FDSAUDITLINK__" hidden="1">{"fdsup://directions/FAT Viewer?action=UPDATE&amp;creator=factset&amp;DYN_ARGS=TRUE&amp;DOC_NAME=FAT:FQL_AUDITING_CLIENT_TEMPLATE.FAT&amp;display_string=Audit&amp;VAR:KEY=UFYZMHAJCF&amp;VAR:QUERY=RkZfRElWX1lMRChBTk4sNC8yMy8wMyw0LzIzLzAzKQ==&amp;WINDOW=FIRST_POPUP&amp;HEIGHT=450&amp;WIDTH=450&amp;","START_MAXIMIZED=FALSE&amp;VAR:CALENDAR=US&amp;VAR:SYMBOL=KO&amp;VAR:INDEX=0"}</definedName>
    <definedName name="_199">#REF!</definedName>
    <definedName name="_199__123Graph_XSUPPLIES_BY_B_U">#REF!</definedName>
    <definedName name="_199__FDSAUDITLINK__" localSheetId="0"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__FDSAUDITLINK__" hidden="1">{"fdsup://directions/FAT Viewer?action=UPDATE&amp;creator=factset&amp;DYN_ARGS=TRUE&amp;DOC_NAME=FAT:FQL_AUDITING_CLIENT_TEMPLATE.FAT&amp;display_string=Audit&amp;VAR:KEY=HKRAXERSBC&amp;VAR:QUERY=RkZfRElWX1lMRChBTk4sNi8xNC8wNyw2LzE0LzA3KQ==&amp;WINDOW=FIRST_POPUP&amp;HEIGHT=450&amp;WIDTH=450&amp;","START_MAXIMIZED=FALSE&amp;VAR:CALENDAR=US&amp;VAR:SYMBOL=RAI&amp;VAR:INDEX=0"}</definedName>
    <definedName name="_1990">#REF!</definedName>
    <definedName name="_1990__FDSAUDITLINK__" localSheetId="0"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0__FDSAUDITLINK__" hidden="1">{"fdsup://directions/FAT Viewer?action=UPDATE&amp;creator=factset&amp;DYN_ARGS=TRUE&amp;DOC_NAME=FAT:FQL_AUDITING_CLIENT_TEMPLATE.FAT&amp;display_string=Audit&amp;VAR:KEY=OBITYZSJSH&amp;VAR:QUERY=RkZfRElWX1lMRChBTk4sNC8xNi8wMyw0LzE2LzAzKQ==&amp;WINDOW=FIRST_POPUP&amp;HEIGHT=450&amp;WIDTH=450&amp;","START_MAXIMIZED=FALSE&amp;VAR:CALENDAR=US&amp;VAR:SYMBOL=KO&amp;VAR:INDEX=0"}</definedName>
    <definedName name="_1991__FDSAUDITLINK__" localSheetId="0"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1__FDSAUDITLINK__" hidden="1">{"fdsup://directions/FAT Viewer?action=UPDATE&amp;creator=factset&amp;DYN_ARGS=TRUE&amp;DOC_NAME=FAT:FQL_AUDITING_CLIENT_TEMPLATE.FAT&amp;display_string=Audit&amp;VAR:KEY=YJENQJUNAH&amp;VAR:QUERY=RkZfRElWX1lMRChBTk4sNC8wOS8wMyw0LzA5LzAzKQ==&amp;WINDOW=FIRST_POPUP&amp;HEIGHT=450&amp;WIDTH=450&amp;","START_MAXIMIZED=FALSE&amp;VAR:CALENDAR=US&amp;VAR:SYMBOL=KO&amp;VAR:INDEX=0"}</definedName>
    <definedName name="_1992">#REF!</definedName>
    <definedName name="_1992__FDSAUDITLINK__" localSheetId="0"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2__FDSAUDITLINK__" hidden="1">{"fdsup://directions/FAT Viewer?action=UPDATE&amp;creator=factset&amp;DYN_ARGS=TRUE&amp;DOC_NAME=FAT:FQL_AUDITING_CLIENT_TEMPLATE.FAT&amp;display_string=Audit&amp;VAR:KEY=MDAPGFWHGZ&amp;VAR:QUERY=RkZfRElWX1lMRChBTk4sNC8wMi8wMyw0LzAyLzAzKQ==&amp;WINDOW=FIRST_POPUP&amp;HEIGHT=450&amp;WIDTH=450&amp;","START_MAXIMIZED=FALSE&amp;VAR:CALENDAR=US&amp;VAR:SYMBOL=KO&amp;VAR:INDEX=0"}</definedName>
    <definedName name="_1993__FDSAUDITLINK__" localSheetId="0"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3__FDSAUDITLINK__" hidden="1">{"fdsup://directions/FAT Viewer?action=UPDATE&amp;creator=factset&amp;DYN_ARGS=TRUE&amp;DOC_NAME=FAT:FQL_AUDITING_CLIENT_TEMPLATE.FAT&amp;display_string=Audit&amp;VAR:KEY=WZQVKXCTWD&amp;VAR:QUERY=RkZfRElWX1lMRChBTk4sMy8yNi8wMywzLzI2LzAzKQ==&amp;WINDOW=FIRST_POPUP&amp;HEIGHT=450&amp;WIDTH=450&amp;","START_MAXIMIZED=FALSE&amp;VAR:CALENDAR=US&amp;VAR:SYMBOL=KO&amp;VAR:INDEX=0"}</definedName>
    <definedName name="_1994__FDSAUDITLINK__" localSheetId="0"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4__FDSAUDITLINK__" hidden="1">{"fdsup://directions/FAT Viewer?action=UPDATE&amp;creator=factset&amp;DYN_ARGS=TRUE&amp;DOC_NAME=FAT:FQL_AUDITING_CLIENT_TEMPLATE.FAT&amp;display_string=Audit&amp;VAR:KEY=GHAXIVOZEX&amp;VAR:QUERY=RkZfRElWX1lMRChBTk4sMy8xOS8wMywzLzE5LzAzKQ==&amp;WINDOW=FIRST_POPUP&amp;HEIGHT=450&amp;WIDTH=450&amp;","START_MAXIMIZED=FALSE&amp;VAR:CALENDAR=US&amp;VAR:SYMBOL=KO&amp;VAR:INDEX=0"}</definedName>
    <definedName name="_1995__FDSAUDITLINK__" localSheetId="0"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5__FDSAUDITLINK__" hidden="1">{"fdsup://directions/FAT Viewer?action=UPDATE&amp;creator=factset&amp;DYN_ARGS=TRUE&amp;DOC_NAME=FAT:FQL_AUDITING_CLIENT_TEMPLATE.FAT&amp;display_string=Audit&amp;VAR:KEY=WLUTAXAXSJ&amp;VAR:QUERY=RkZfRElWX1lMRChBTk4sMy8xMi8wMywzLzEyLzAzKQ==&amp;WINDOW=FIRST_POPUP&amp;HEIGHT=450&amp;WIDTH=450&amp;","START_MAXIMIZED=FALSE&amp;VAR:CALENDAR=US&amp;VAR:SYMBOL=KO&amp;VAR:INDEX=0"}</definedName>
    <definedName name="_1996__FDSAUDITLINK__" localSheetId="0"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6__FDSAUDITLINK__" hidden="1">{"fdsup://directions/FAT Viewer?action=UPDATE&amp;creator=factset&amp;DYN_ARGS=TRUE&amp;DOC_NAME=FAT:FQL_AUDITING_CLIENT_TEMPLATE.FAT&amp;display_string=Audit&amp;VAR:KEY=GXWRETQBSR&amp;VAR:QUERY=RkZfRElWX1lMRChBTk4sMy8wNS8wMywzLzA1LzAzKQ==&amp;WINDOW=FIRST_POPUP&amp;HEIGHT=450&amp;WIDTH=450&amp;","START_MAXIMIZED=FALSE&amp;VAR:CALENDAR=US&amp;VAR:SYMBOL=KO&amp;VAR:INDEX=0"}</definedName>
    <definedName name="_1997">#REF!</definedName>
    <definedName name="_1997__FDSAUDITLINK__" localSheetId="0"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7__FDSAUDITLINK__" hidden="1">{"fdsup://directions/FAT Viewer?action=UPDATE&amp;creator=factset&amp;DYN_ARGS=TRUE&amp;DOC_NAME=FAT:FQL_AUDITING_CLIENT_TEMPLATE.FAT&amp;display_string=Audit&amp;VAR:KEY=SROVKVAZOX&amp;VAR:QUERY=RkZfRElWX1lMRChBTk4sMi8yNi8wMywyLzI2LzAzKQ==&amp;WINDOW=FIRST_POPUP&amp;HEIGHT=450&amp;WIDTH=450&amp;","START_MAXIMIZED=FALSE&amp;VAR:CALENDAR=US&amp;VAR:SYMBOL=KO&amp;VAR:INDEX=0"}</definedName>
    <definedName name="_1998__FDSAUDITLINK__" localSheetId="0"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8__FDSAUDITLINK__" hidden="1">{"fdsup://directions/FAT Viewer?action=UPDATE&amp;creator=factset&amp;DYN_ARGS=TRUE&amp;DOC_NAME=FAT:FQL_AUDITING_CLIENT_TEMPLATE.FAT&amp;display_string=Audit&amp;VAR:KEY=QZCNEHKTYB&amp;VAR:QUERY=RkZfRElWX1lMRChBTk4sMi8xOS8wMywyLzE5LzAzKQ==&amp;WINDOW=FIRST_POPUP&amp;HEIGHT=450&amp;WIDTH=450&amp;","START_MAXIMIZED=FALSE&amp;VAR:CALENDAR=US&amp;VAR:SYMBOL=KO&amp;VAR:INDEX=0"}</definedName>
    <definedName name="_1999__FDSAUDITLINK__" localSheetId="0"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_FDSAUDITLINK__" hidden="1">{"fdsup://directions/FAT Viewer?action=UPDATE&amp;creator=factset&amp;DYN_ARGS=TRUE&amp;DOC_NAME=FAT:FQL_AUDITING_CLIENT_TEMPLATE.FAT&amp;display_string=Audit&amp;VAR:KEY=OBMTMXMTGT&amp;VAR:QUERY=RkZfRElWX1lMRChBTk4sMi8xMi8wMywyLzEyLzAzKQ==&amp;WINDOW=FIRST_POPUP&amp;HEIGHT=450&amp;WIDTH=450&amp;","START_MAXIMIZED=FALSE&amp;VAR:CALENDAR=US&amp;VAR:SYMBOL=KO&amp;VAR:INDEX=0"}</definedName>
    <definedName name="_1999_01_29">#REF!</definedName>
    <definedName name="_19s14_" hidden="1">{#N/A,#N/A,FALSE,"UNIT";#N/A,#N/A,FALSE,"UNIT";#N/A,#N/A,FALSE,"계정"}</definedName>
    <definedName name="_19s6_" hidden="1">{#N/A,#N/A,FALSE,"UNIT";#N/A,#N/A,FALSE,"UNIT";#N/A,#N/A,FALSE,"계정"}</definedName>
    <definedName name="_1B">#NAME?</definedName>
    <definedName name="_1BORDER">#REF!</definedName>
    <definedName name="_1Bp2_" hidden="1">{#N/A,#N/A,FALSE,"BS";#N/A,#N/A,FALSE,"PL";#N/A,#N/A,FALSE,"처분";#N/A,#N/A,FALSE,"현금";#N/A,#N/A,FALSE,"매출";#N/A,#N/A,FALSE,"원가";#N/A,#N/A,FALSE,"경영"}</definedName>
    <definedName name="_1DD2_">#REF!</definedName>
    <definedName name="_1Excel_BuiltIn_Print_Titles_1_1_1">#REF!,#REF!</definedName>
    <definedName name="_1IQ_SALE_¤¤__CF_FIN">"c1140"</definedName>
    <definedName name="_1IQ_STOCK____ED_COMP">"c3512"</definedName>
    <definedName name="_1item">#REF!</definedName>
    <definedName name="_1M">#REF!</definedName>
    <definedName name="_1Table2_">#REF!</definedName>
    <definedName name="_2">#REF!</definedName>
    <definedName name="_2._COMPLETE_THE_ATTACHED_ANALYSIS_OF_CHANGES_IN_ALL_STOCKHOLDERS__EQUITY_ACCOUNTS___SALES">#REF!</definedName>
    <definedName name="_2_??_3">#REF!</definedName>
    <definedName name="_2_?__C">#REF!</definedName>
    <definedName name="_2____________NOTE10_12">#REF!</definedName>
    <definedName name="_2___123Graph_BCHART_3" hidden="1">#REF!</definedName>
    <definedName name="_2__123Graph_AChart_1" hidden="1">#REF!</definedName>
    <definedName name="_2__123Graph_AChart_18K">#REF!</definedName>
    <definedName name="_2__123Graph_ACHART_3" hidden="1">#REF!</definedName>
    <definedName name="_2__123Graph_ACONTRACT_BY_B_U">#REF!</definedName>
    <definedName name="_2__123Graph_AQRE_S_BY_CO.">#REF!</definedName>
    <definedName name="_2__123Graph_AQRE_S_BY_TYPE" hidden="1">#REF!</definedName>
    <definedName name="_2__123Graph_ASALES_PERIOD" hidden="1">#REF!</definedName>
    <definedName name="_2__123Graph_BCHART_3">#REF!</definedName>
    <definedName name="_2__123Graph_LBL_ACHART_3" hidden="1">#REF!</definedName>
    <definedName name="_2__123Graph_XCHART_3">#REF!</definedName>
    <definedName name="_2__FDSAUDITLINK__" localSheetId="0"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_FDSAUDITLINK__" hidden="1">{"fdsup://directions/FAT Viewer?action=UPDATE&amp;creator=factset&amp;DYN_ARGS=TRUE&amp;DOC_NAME=FAT:FQL_AUDITING_CLIENT_TEMPLATE.FAT&amp;display_string=Audit&amp;VAR:KEY=EDYTSDUFQV&amp;VAR:QUERY=Q1NGX0RJVl9ZTEQoUVRSX1IsOS8zMC8yMDEwKQ==&amp;WINDOW=FIRST_POPUP&amp;HEIGHT=450&amp;WIDTH=450&amp;STAR","T_MAXIMIZED=FALSE&amp;VAR:CALENDAR=US&amp;VAR:SYMBOL=MO&amp;VAR:INDEX=0"}</definedName>
    <definedName name="_2_0__123Grap" hidden="1">#REF!</definedName>
    <definedName name="_2_0_0BENEFIT">#REF!</definedName>
    <definedName name="_2_0_S">#REF!</definedName>
    <definedName name="_2_0_Table2_">#REF!</definedName>
    <definedName name="_2_0REPLA">#REF!</definedName>
    <definedName name="_2_100000">#NAME?</definedName>
    <definedName name="_2_123Graph_CEX">#REF!</definedName>
    <definedName name="_2_B1">#N/A</definedName>
    <definedName name="_20_??_3">#REF!</definedName>
    <definedName name="_20_??1???_3">#REF!</definedName>
    <definedName name="_20_________NOTE10_12">#REF!</definedName>
    <definedName name="_20__123Graph_ACHART_1">#REF!</definedName>
    <definedName name="_20__123Graph_ATAX_CREDIT">#REF!</definedName>
    <definedName name="_20__123Graph_BCHART_1">#REF!</definedName>
    <definedName name="_20__123Graph_BCHART_111" hidden="1">#REF!</definedName>
    <definedName name="_20__123Graph_BChart_30L">#REF!</definedName>
    <definedName name="_20__123Graph_BSENS_COMPARISON">#REF!</definedName>
    <definedName name="_20__123Graph_BSUPPLIES_BY_B_U">#REF!</definedName>
    <definedName name="_20__123Graph_CQRE_S_BY_CO.">#REF!</definedName>
    <definedName name="_20__123Graph_CSENS_COMPARISON">#REF!</definedName>
    <definedName name="_20__123Graph_CWAGES_BY_B_U" hidden="1">#REF!</definedName>
    <definedName name="_20__123Graph_DCONTRACT_BY_B_U">#REF!</definedName>
    <definedName name="_20__123Graph_DQRE_S_BY_CO.">#REF!</definedName>
    <definedName name="_20__123Graph_DSUPPLIES_BY_B_U">#REF!</definedName>
    <definedName name="_20__FDSAUDITLINK__" localSheetId="0"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_FDSAUDITLINK__" hidden="1">{"fdsup://directions/FAT Viewer?action=UPDATE&amp;creator=factset&amp;DYN_ARGS=TRUE&amp;DOC_NAME=FAT:FQL_AUDITING_CLIENT_TEMPLATE.FAT&amp;display_string=Audit&amp;VAR:KEY=KXIBOFSDIZ&amp;VAR:QUERY=Q1NGX0RJVl9ZTEQoUVRSX1IsMy8zMS8yMDA2KQ==&amp;WINDOW=FIRST_POPUP&amp;HEIGHT=450&amp;WIDTH=450&amp;STAR","T_MAXIMIZED=FALSE&amp;VAR:CALENDAR=US&amp;VAR:SYMBOL=MO&amp;VAR:INDEX=0"}</definedName>
    <definedName name="_20_0_Table2_" hidden="1">#REF!</definedName>
    <definedName name="_20_04_2000">#REF!</definedName>
    <definedName name="_20_5__1_CRADDIN_Table">#REF!</definedName>
    <definedName name="_200">#REF!</definedName>
    <definedName name="_200__FDSAUDITLINK__" localSheetId="0"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__FDSAUDITLINK__" hidden="1">{"fdsup://directions/FAT Viewer?action=UPDATE&amp;creator=factset&amp;DYN_ARGS=TRUE&amp;DOC_NAME=FAT:FQL_AUDITING_CLIENT_TEMPLATE.FAT&amp;display_string=Audit&amp;VAR:KEY=TUZYFCHGFM&amp;VAR:QUERY=RkZfRElWX1lMRChBTk4sNi8wNy8wNyw2LzA3LzA3KQ==&amp;WINDOW=FIRST_POPUP&amp;HEIGHT=450&amp;WIDTH=450&amp;","START_MAXIMIZED=FALSE&amp;VAR:CALENDAR=US&amp;VAR:SYMBOL=RAI&amp;VAR:INDEX=0"}</definedName>
    <definedName name="_2000__FDSAUDITLINK__" localSheetId="0"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0__FDSAUDITLINK__" hidden="1">{"fdsup://directions/FAT Viewer?action=UPDATE&amp;creator=factset&amp;DYN_ARGS=TRUE&amp;DOC_NAME=FAT:FQL_AUDITING_CLIENT_TEMPLATE.FAT&amp;display_string=Audit&amp;VAR:KEY=CFIPINKFUB&amp;VAR:QUERY=RkZfRElWX1lMRChBTk4sMi8wNS8wMywyLzA1LzAzKQ==&amp;WINDOW=FIRST_POPUP&amp;HEIGHT=450&amp;WIDTH=450&amp;","START_MAXIMIZED=FALSE&amp;VAR:CALENDAR=US&amp;VAR:SYMBOL=KO&amp;VAR:INDEX=0"}</definedName>
    <definedName name="_2001__FDSAUDITLINK__" localSheetId="0"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1__FDSAUDITLINK__" hidden="1">{"fdsup://directions/FAT Viewer?action=UPDATE&amp;creator=factset&amp;DYN_ARGS=TRUE&amp;DOC_NAME=FAT:FQL_AUDITING_CLIENT_TEMPLATE.FAT&amp;display_string=Audit&amp;VAR:KEY=CRWBORQRYP&amp;VAR:QUERY=RkZfRElWX1lMRChBTk4sMS8yOS8wMywxLzI5LzAzKQ==&amp;WINDOW=FIRST_POPUP&amp;HEIGHT=450&amp;WIDTH=450&amp;","START_MAXIMIZED=FALSE&amp;VAR:CALENDAR=US&amp;VAR:SYMBOL=KO&amp;VAR:INDEX=0"}</definedName>
    <definedName name="_2002__FDSAUDITLINK__" localSheetId="0"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2__FDSAUDITLINK__" hidden="1">{"fdsup://directions/FAT Viewer?action=UPDATE&amp;creator=factset&amp;DYN_ARGS=TRUE&amp;DOC_NAME=FAT:FQL_AUDITING_CLIENT_TEMPLATE.FAT&amp;display_string=Audit&amp;VAR:KEY=GHSDSFMJKX&amp;VAR:QUERY=RkZfRElWX1lMRChBTk4sMS8yMi8wMywxLzIyLzAzKQ==&amp;WINDOW=FIRST_POPUP&amp;HEIGHT=450&amp;WIDTH=450&amp;","START_MAXIMIZED=FALSE&amp;VAR:CALENDAR=US&amp;VAR:SYMBOL=KO&amp;VAR:INDEX=0"}</definedName>
    <definedName name="_2003__FDSAUDITLINK__" localSheetId="0"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3__FDSAUDITLINK__" hidden="1">{"fdsup://directions/FAT Viewer?action=UPDATE&amp;creator=factset&amp;DYN_ARGS=TRUE&amp;DOC_NAME=FAT:FQL_AUDITING_CLIENT_TEMPLATE.FAT&amp;display_string=Audit&amp;VAR:KEY=MTQPGVAFUB&amp;VAR:QUERY=RkZfRElWX1lMRChBTk4sMS8xNS8wMywxLzE1LzAzKQ==&amp;WINDOW=FIRST_POPUP&amp;HEIGHT=450&amp;WIDTH=450&amp;","START_MAXIMIZED=FALSE&amp;VAR:CALENDAR=US&amp;VAR:SYMBOL=KO&amp;VAR:INDEX=0"}</definedName>
    <definedName name="_2004__FDSAUDITLINK__" localSheetId="0"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4__FDSAUDITLINK__" hidden="1">{"fdsup://directions/FAT Viewer?action=UPDATE&amp;creator=factset&amp;DYN_ARGS=TRUE&amp;DOC_NAME=FAT:FQL_AUDITING_CLIENT_TEMPLATE.FAT&amp;display_string=Audit&amp;VAR:KEY=OPQHUBYXKD&amp;VAR:QUERY=RkZfRElWX1lMRChBTk4sMS8wOC8wMywxLzA4LzAzKQ==&amp;WINDOW=FIRST_POPUP&amp;HEIGHT=450&amp;WIDTH=450&amp;","START_MAXIMIZED=FALSE&amp;VAR:CALENDAR=US&amp;VAR:SYMBOL=KO&amp;VAR:INDEX=0"}</definedName>
    <definedName name="_2005">#REF!</definedName>
    <definedName name="_2005__FDSAUDITLINK__" localSheetId="0"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5__FDSAUDITLINK__" hidden="1">{"fdsup://directions/FAT Viewer?action=UPDATE&amp;creator=factset&amp;DYN_ARGS=TRUE&amp;DOC_NAME=FAT:FQL_AUDITING_CLIENT_TEMPLATE.FAT&amp;display_string=Audit&amp;VAR:KEY=YJALSRKJSN&amp;VAR:QUERY=RkZfRElWX1lMRChBTk4sMTIvMzEvMDIsMTIvMzEvMDIp&amp;WINDOW=FIRST_POPUP&amp;HEIGHT=450&amp;WIDTH=450&amp;","START_MAXIMIZED=FALSE&amp;VAR:CALENDAR=US&amp;VAR:SYMBOL=KO&amp;VAR:INDEX=0"}</definedName>
    <definedName name="_2006__FDSAUDITLINK__" localSheetId="0"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6__FDSAUDITLINK__" hidden="1">{"fdsup://directions/FAT Viewer?action=UPDATE&amp;creator=factset&amp;DYN_ARGS=TRUE&amp;DOC_NAME=FAT:FQL_AUDITING_CLIENT_TEMPLATE.FAT&amp;display_string=Audit&amp;VAR:KEY=STETKZKVAL&amp;VAR:QUERY=RkZfRElWX1lMRChBTk4sMTIvMjQvMDIsMTIvMjQvMDIp&amp;WINDOW=FIRST_POPUP&amp;HEIGHT=450&amp;WIDTH=450&amp;","START_MAXIMIZED=FALSE&amp;VAR:CALENDAR=US&amp;VAR:SYMBOL=KO&amp;VAR:INDEX=0"}</definedName>
    <definedName name="_2007__FDSAUDITLINK__" localSheetId="0"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7__FDSAUDITLINK__" hidden="1">{"fdsup://directions/FAT Viewer?action=UPDATE&amp;creator=factset&amp;DYN_ARGS=TRUE&amp;DOC_NAME=FAT:FQL_AUDITING_CLIENT_TEMPLATE.FAT&amp;display_string=Audit&amp;VAR:KEY=CZGXERMHKT&amp;VAR:QUERY=RkZfRElWX1lMRChBTk4sMTIvMTgvMDIsMTIvMTgvMDIp&amp;WINDOW=FIRST_POPUP&amp;HEIGHT=450&amp;WIDTH=450&amp;","START_MAXIMIZED=FALSE&amp;VAR:CALENDAR=US&amp;VAR:SYMBOL=KO&amp;VAR:INDEX=0"}</definedName>
    <definedName name="_2008__FDSAUDITLINK__" localSheetId="0"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8__FDSAUDITLINK__" hidden="1">{"fdsup://directions/FAT Viewer?action=UPDATE&amp;creator=factset&amp;DYN_ARGS=TRUE&amp;DOC_NAME=FAT:FQL_AUDITING_CLIENT_TEMPLATE.FAT&amp;display_string=Audit&amp;VAR:KEY=WVSJAHWZWP&amp;VAR:QUERY=RkZfRElWX1lMRChBTk4sMTIvMTEvMDIsMTIvMTEvMDIp&amp;WINDOW=FIRST_POPUP&amp;HEIGHT=450&amp;WIDTH=450&amp;","START_MAXIMIZED=FALSE&amp;VAR:CALENDAR=US&amp;VAR:SYMBOL=KO&amp;VAR:INDEX=0"}</definedName>
    <definedName name="_2009">#REF!</definedName>
    <definedName name="_2009__FDSAUDITLINK__" localSheetId="0"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09__FDSAUDITLINK__" hidden="1">{"fdsup://directions/FAT Viewer?action=UPDATE&amp;creator=factset&amp;DYN_ARGS=TRUE&amp;DOC_NAME=FAT:FQL_AUDITING_CLIENT_TEMPLATE.FAT&amp;display_string=Audit&amp;VAR:KEY=KPYFIRKVGL&amp;VAR:QUERY=RkZfRElWX1lMRChBTk4sMTIvMDQvMDIsMTIvMDQvMDIp&amp;WINDOW=FIRST_POPUP&amp;HEIGHT=450&amp;WIDTH=450&amp;","START_MAXIMIZED=FALSE&amp;VAR:CALENDAR=US&amp;VAR:SYMBOL=KO&amp;VAR:INDEX=0"}</definedName>
    <definedName name="_201">#REF!</definedName>
    <definedName name="_201__FDSAUDITLINK__" localSheetId="0"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__FDSAUDITLINK__" hidden="1">{"fdsup://directions/FAT Viewer?action=UPDATE&amp;creator=factset&amp;DYN_ARGS=TRUE&amp;DOC_NAME=FAT:FQL_AUDITING_CLIENT_TEMPLATE.FAT&amp;display_string=Audit&amp;VAR:KEY=RWHSZMZCFA&amp;VAR:QUERY=RkZfRElWX1lMRChBTk4sNS8zMS8wNyw1LzMxLzA3KQ==&amp;WINDOW=FIRST_POPUP&amp;HEIGHT=450&amp;WIDTH=450&amp;","START_MAXIMIZED=FALSE&amp;VAR:CALENDAR=US&amp;VAR:SYMBOL=RAI&amp;VAR:INDEX=0"}</definedName>
    <definedName name="_2010">#REF!</definedName>
    <definedName name="_2010__FDSAUDITLINK__" localSheetId="0"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0__FDSAUDITLINK__" hidden="1">{"fdsup://directions/FAT Viewer?action=UPDATE&amp;creator=factset&amp;DYN_ARGS=TRUE&amp;DOC_NAME=FAT:FQL_AUDITING_CLIENT_TEMPLATE.FAT&amp;display_string=Audit&amp;VAR:KEY=GZIFMJUTWV&amp;VAR:QUERY=RkZfRElWX1lMRChBTk4sMTEvMjcvMDIsMTEvMjcvMDIp&amp;WINDOW=FIRST_POPUP&amp;HEIGHT=450&amp;WIDTH=450&amp;","START_MAXIMIZED=FALSE&amp;VAR:CALENDAR=US&amp;VAR:SYMBOL=KO&amp;VAR:INDEX=0"}</definedName>
    <definedName name="_2011__FDSAUDITLINK__" localSheetId="0"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1__FDSAUDITLINK__" hidden="1">{"fdsup://directions/FAT Viewer?action=UPDATE&amp;creator=factset&amp;DYN_ARGS=TRUE&amp;DOC_NAME=FAT:FQL_AUDITING_CLIENT_TEMPLATE.FAT&amp;display_string=Audit&amp;VAR:KEY=YXELOBKNQF&amp;VAR:QUERY=RkZfRElWX1lMRChBTk4sMTEvMjAvMDIsMTEvMjAvMDIp&amp;WINDOW=FIRST_POPUP&amp;HEIGHT=450&amp;WIDTH=450&amp;","START_MAXIMIZED=FALSE&amp;VAR:CALENDAR=US&amp;VAR:SYMBOL=KO&amp;VAR:INDEX=0"}</definedName>
    <definedName name="_2012">#REF!</definedName>
    <definedName name="_2012__FDSAUDITLINK__" localSheetId="0"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2__FDSAUDITLINK__" hidden="1">{"fdsup://directions/FAT Viewer?action=UPDATE&amp;creator=factset&amp;DYN_ARGS=TRUE&amp;DOC_NAME=FAT:FQL_AUDITING_CLIENT_TEMPLATE.FAT&amp;display_string=Audit&amp;VAR:KEY=ODQBULOTWD&amp;VAR:QUERY=RkZfRElWX1lMRChBTk4sMTEvMTMvMDIsMTEvMTMvMDIp&amp;WINDOW=FIRST_POPUP&amp;HEIGHT=450&amp;WIDTH=450&amp;","START_MAXIMIZED=FALSE&amp;VAR:CALENDAR=US&amp;VAR:SYMBOL=KO&amp;VAR:INDEX=0"}</definedName>
    <definedName name="_2013__FDSAUDITLINK__" localSheetId="0"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3__FDSAUDITLINK__" hidden="1">{"fdsup://directions/FAT Viewer?action=UPDATE&amp;creator=factset&amp;DYN_ARGS=TRUE&amp;DOC_NAME=FAT:FQL_AUDITING_CLIENT_TEMPLATE.FAT&amp;display_string=Audit&amp;VAR:KEY=CZOJEZGDWN&amp;VAR:QUERY=RkZfRElWX1lMRChBTk4sMTEvMDYvMDIsMTEvMDYvMDIp&amp;WINDOW=FIRST_POPUP&amp;HEIGHT=450&amp;WIDTH=450&amp;","START_MAXIMIZED=FALSE&amp;VAR:CALENDAR=US&amp;VAR:SYMBOL=KO&amp;VAR:INDEX=0"}</definedName>
    <definedName name="_2014">#REF!</definedName>
    <definedName name="_2014__FDSAUDITLINK__" localSheetId="0"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4__FDSAUDITLINK__" hidden="1">{"fdsup://directions/FAT Viewer?action=UPDATE&amp;creator=factset&amp;DYN_ARGS=TRUE&amp;DOC_NAME=FAT:FQL_AUDITING_CLIENT_TEMPLATE.FAT&amp;display_string=Audit&amp;VAR:KEY=EBQBKFSFQX&amp;VAR:QUERY=RkZfRElWX1lMRChBTk4sMTAvMzAvMDIsMTAvMzAvMDIp&amp;WINDOW=FIRST_POPUP&amp;HEIGHT=450&amp;WIDTH=450&amp;","START_MAXIMIZED=FALSE&amp;VAR:CALENDAR=US&amp;VAR:SYMBOL=KO&amp;VAR:INDEX=0"}</definedName>
    <definedName name="_2015__FDSAUDITLINK__" localSheetId="0"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5__FDSAUDITLINK__" hidden="1">{"fdsup://directions/FAT Viewer?action=UPDATE&amp;creator=factset&amp;DYN_ARGS=TRUE&amp;DOC_NAME=FAT:FQL_AUDITING_CLIENT_TEMPLATE.FAT&amp;display_string=Audit&amp;VAR:KEY=QJSDQBEBQX&amp;VAR:QUERY=RkZfRElWX1lMRChBTk4sMTAvMjMvMDIsMTAvMjMvMDIp&amp;WINDOW=FIRST_POPUP&amp;HEIGHT=450&amp;WIDTH=450&amp;","START_MAXIMIZED=FALSE&amp;VAR:CALENDAR=US&amp;VAR:SYMBOL=KO&amp;VAR:INDEX=0"}</definedName>
    <definedName name="_2016__FDSAUDITLINK__" localSheetId="0"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6__FDSAUDITLINK__" hidden="1">{"fdsup://directions/FAT Viewer?action=UPDATE&amp;creator=factset&amp;DYN_ARGS=TRUE&amp;DOC_NAME=FAT:FQL_AUDITING_CLIENT_TEMPLATE.FAT&amp;display_string=Audit&amp;VAR:KEY=SPKHAFYXAJ&amp;VAR:QUERY=RkZfRElWX1lMRChBTk4sMTAvMTYvMDIsMTAvMTYvMDIp&amp;WINDOW=FIRST_POPUP&amp;HEIGHT=450&amp;WIDTH=450&amp;","START_MAXIMIZED=FALSE&amp;VAR:CALENDAR=US&amp;VAR:SYMBOL=KO&amp;VAR:INDEX=0"}</definedName>
    <definedName name="_2017__FDSAUDITLINK__" localSheetId="0"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7__FDSAUDITLINK__" hidden="1">{"fdsup://directions/FAT Viewer?action=UPDATE&amp;creator=factset&amp;DYN_ARGS=TRUE&amp;DOC_NAME=FAT:FQL_AUDITING_CLIENT_TEMPLATE.FAT&amp;display_string=Audit&amp;VAR:KEY=ATKHITERQB&amp;VAR:QUERY=RkZfRElWX1lMRChBTk4sMTAvMDkvMDIsMTAvMDkvMDIp&amp;WINDOW=FIRST_POPUP&amp;HEIGHT=450&amp;WIDTH=450&amp;","START_MAXIMIZED=FALSE&amp;VAR:CALENDAR=US&amp;VAR:SYMBOL=KO&amp;VAR:INDEX=0"}</definedName>
    <definedName name="_2018__FDSAUDITLINK__" localSheetId="0"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8__FDSAUDITLINK__" hidden="1">{"fdsup://directions/FAT Viewer?action=UPDATE&amp;creator=factset&amp;DYN_ARGS=TRUE&amp;DOC_NAME=FAT:FQL_AUDITING_CLIENT_TEMPLATE.FAT&amp;display_string=Audit&amp;VAR:KEY=EHWBSXAHEL&amp;VAR:QUERY=RkZfRElWX1lMRChBTk4sMTAvMDIvMDIsMTAvMDIvMDIp&amp;WINDOW=FIRST_POPUP&amp;HEIGHT=450&amp;WIDTH=450&amp;","START_MAXIMIZED=FALSE&amp;VAR:CALENDAR=US&amp;VAR:SYMBOL=KO&amp;VAR:INDEX=0"}</definedName>
    <definedName name="_2019">#REF!</definedName>
    <definedName name="_2019__FDSAUDITLINK__" localSheetId="0"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19__FDSAUDITLINK__" hidden="1">{"fdsup://directions/FAT Viewer?action=UPDATE&amp;creator=factset&amp;DYN_ARGS=TRUE&amp;DOC_NAME=FAT:FQL_AUDITING_CLIENT_TEMPLATE.FAT&amp;display_string=Audit&amp;VAR:KEY=CHQPMZANOJ&amp;VAR:QUERY=RkZfRElWX1lMRChBTk4sOS8yNS8wMiw5LzI1LzAyKQ==&amp;WINDOW=FIRST_POPUP&amp;HEIGHT=450&amp;WIDTH=450&amp;","START_MAXIMIZED=FALSE&amp;VAR:CALENDAR=US&amp;VAR:SYMBOL=KO&amp;VAR:INDEX=0"}</definedName>
    <definedName name="_202">#REF!</definedName>
    <definedName name="_202__FDSAUDITLINK__" localSheetId="0"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__FDSAUDITLINK__" hidden="1">{"fdsup://directions/FAT Viewer?action=UPDATE&amp;creator=factset&amp;DYN_ARGS=TRUE&amp;DOC_NAME=FAT:FQL_AUDITING_CLIENT_TEMPLATE.FAT&amp;display_string=Audit&amp;VAR:KEY=JQNQBQXKHI&amp;VAR:QUERY=RkZfRElWX1lMRChBTk4sNS8yNC8wNyw1LzI0LzA3KQ==&amp;WINDOW=FIRST_POPUP&amp;HEIGHT=450&amp;WIDTH=450&amp;","START_MAXIMIZED=FALSE&amp;VAR:CALENDAR=US&amp;VAR:SYMBOL=RAI&amp;VAR:INDEX=0"}</definedName>
    <definedName name="_2020__FDSAUDITLINK__" localSheetId="0"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0__FDSAUDITLINK__" hidden="1">{"fdsup://directions/FAT Viewer?action=UPDATE&amp;creator=factset&amp;DYN_ARGS=TRUE&amp;DOC_NAME=FAT:FQL_AUDITING_CLIENT_TEMPLATE.FAT&amp;display_string=Audit&amp;VAR:KEY=KDAHIHINWV&amp;VAR:QUERY=RkZfRElWX1lMRChBTk4sOS8xOC8wMiw5LzE4LzAyKQ==&amp;WINDOW=FIRST_POPUP&amp;HEIGHT=450&amp;WIDTH=450&amp;","START_MAXIMIZED=FALSE&amp;VAR:CALENDAR=US&amp;VAR:SYMBOL=KO&amp;VAR:INDEX=0"}</definedName>
    <definedName name="_2021__FDSAUDITLINK__" localSheetId="0"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1__FDSAUDITLINK__" hidden="1">{"fdsup://directions/FAT Viewer?action=UPDATE&amp;creator=factset&amp;DYN_ARGS=TRUE&amp;DOC_NAME=FAT:FQL_AUDITING_CLIENT_TEMPLATE.FAT&amp;display_string=Audit&amp;VAR:KEY=ITGXUTAPUZ&amp;VAR:QUERY=RkZfRElWX1lMRChBTk4sOS8xMS8wMiw5LzExLzAyKQ==&amp;WINDOW=FIRST_POPUP&amp;HEIGHT=450&amp;WIDTH=450&amp;","START_MAXIMIZED=FALSE&amp;VAR:CALENDAR=US&amp;VAR:SYMBOL=KO&amp;VAR:INDEX=0"}</definedName>
    <definedName name="_2022__FDSAUDITLINK__" localSheetId="0"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2__FDSAUDITLINK__" hidden="1">{"fdsup://directions/FAT Viewer?action=UPDATE&amp;creator=factset&amp;DYN_ARGS=TRUE&amp;DOC_NAME=FAT:FQL_AUDITING_CLIENT_TEMPLATE.FAT&amp;display_string=Audit&amp;VAR:KEY=OVCVQFQFKH&amp;VAR:QUERY=RkZfRElWX1lMRChBTk4sOS8wNC8wMiw5LzA0LzAyKQ==&amp;WINDOW=FIRST_POPUP&amp;HEIGHT=450&amp;WIDTH=450&amp;","START_MAXIMIZED=FALSE&amp;VAR:CALENDAR=US&amp;VAR:SYMBOL=KO&amp;VAR:INDEX=0"}</definedName>
    <definedName name="_2023__FDSAUDITLINK__" localSheetId="0"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3__FDSAUDITLINK__" hidden="1">{"fdsup://directions/FAT Viewer?action=UPDATE&amp;creator=factset&amp;DYN_ARGS=TRUE&amp;DOC_NAME=FAT:FQL_AUDITING_CLIENT_TEMPLATE.FAT&amp;display_string=Audit&amp;VAR:KEY=WXSFEFINWV&amp;VAR:QUERY=RkZfRElWX1lMRChBTk4sOC8yOC8wMiw4LzI4LzAyKQ==&amp;WINDOW=FIRST_POPUP&amp;HEIGHT=450&amp;WIDTH=450&amp;","START_MAXIMIZED=FALSE&amp;VAR:CALENDAR=US&amp;VAR:SYMBOL=KO&amp;VAR:INDEX=0"}</definedName>
    <definedName name="_2024">#REF!</definedName>
    <definedName name="_2024__FDSAUDITLINK__" localSheetId="0"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4__FDSAUDITLINK__" hidden="1">{"fdsup://directions/FAT Viewer?action=UPDATE&amp;creator=factset&amp;DYN_ARGS=TRUE&amp;DOC_NAME=FAT:FQL_AUDITING_CLIENT_TEMPLATE.FAT&amp;display_string=Audit&amp;VAR:KEY=MFSDUBIVUZ&amp;VAR:QUERY=RkZfRElWX1lMRChBTk4sOC8yMS8wMiw4LzIxLzAyKQ==&amp;WINDOW=FIRST_POPUP&amp;HEIGHT=450&amp;WIDTH=450&amp;","START_MAXIMIZED=FALSE&amp;VAR:CALENDAR=US&amp;VAR:SYMBOL=KO&amp;VAR:INDEX=0"}</definedName>
    <definedName name="_2025__FDSAUDITLINK__" localSheetId="0"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5__FDSAUDITLINK__" hidden="1">{"fdsup://directions/FAT Viewer?action=UPDATE&amp;creator=factset&amp;DYN_ARGS=TRUE&amp;DOC_NAME=FAT:FQL_AUDITING_CLIENT_TEMPLATE.FAT&amp;display_string=Audit&amp;VAR:KEY=IRUTOJGVSV&amp;VAR:QUERY=RkZfRElWX1lMRChBTk4sOC8xNC8wMiw4LzE0LzAyKQ==&amp;WINDOW=FIRST_POPUP&amp;HEIGHT=450&amp;WIDTH=450&amp;","START_MAXIMIZED=FALSE&amp;VAR:CALENDAR=US&amp;VAR:SYMBOL=KO&amp;VAR:INDEX=0"}</definedName>
    <definedName name="_2026__FDSAUDITLINK__" localSheetId="0"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6__FDSAUDITLINK__" hidden="1">{"fdsup://directions/FAT Viewer?action=UPDATE&amp;creator=factset&amp;DYN_ARGS=TRUE&amp;DOC_NAME=FAT:FQL_AUDITING_CLIENT_TEMPLATE.FAT&amp;display_string=Audit&amp;VAR:KEY=GREDOXMJEL&amp;VAR:QUERY=RkZfRElWX1lMRChBTk4sOC8wNy8wMiw4LzA3LzAyKQ==&amp;WINDOW=FIRST_POPUP&amp;HEIGHT=450&amp;WIDTH=450&amp;","START_MAXIMIZED=FALSE&amp;VAR:CALENDAR=US&amp;VAR:SYMBOL=KO&amp;VAR:INDEX=0"}</definedName>
    <definedName name="_2027">#REF!</definedName>
    <definedName name="_2027__FDSAUDITLINK__" localSheetId="0"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7__FDSAUDITLINK__" hidden="1">{"fdsup://directions/FAT Viewer?action=UPDATE&amp;creator=factset&amp;DYN_ARGS=TRUE&amp;DOC_NAME=FAT:FQL_AUDITING_CLIENT_TEMPLATE.FAT&amp;display_string=Audit&amp;VAR:KEY=GXCBSNSFGJ&amp;VAR:QUERY=RkZfRElWX1lMRChBTk4sNy8zMS8wMiw3LzMxLzAyKQ==&amp;WINDOW=FIRST_POPUP&amp;HEIGHT=450&amp;WIDTH=450&amp;","START_MAXIMIZED=FALSE&amp;VAR:CALENDAR=US&amp;VAR:SYMBOL=KO&amp;VAR:INDEX=0"}</definedName>
    <definedName name="_2028__FDSAUDITLINK__" localSheetId="0"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8__FDSAUDITLINK__" hidden="1">{"fdsup://directions/FAT Viewer?action=UPDATE&amp;creator=factset&amp;DYN_ARGS=TRUE&amp;DOC_NAME=FAT:FQL_AUDITING_CLIENT_TEMPLATE.FAT&amp;display_string=Audit&amp;VAR:KEY=EZGREFYBAL&amp;VAR:QUERY=RkZfRElWX1lMRChBTk4sNy8yNC8wMiw3LzI0LzAyKQ==&amp;WINDOW=FIRST_POPUP&amp;HEIGHT=450&amp;WIDTH=450&amp;","START_MAXIMIZED=FALSE&amp;VAR:CALENDAR=US&amp;VAR:SYMBOL=KO&amp;VAR:INDEX=0"}</definedName>
    <definedName name="_2029__FDSAUDITLINK__" localSheetId="0"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29__FDSAUDITLINK__" hidden="1">{"fdsup://directions/FAT Viewer?action=UPDATE&amp;creator=factset&amp;DYN_ARGS=TRUE&amp;DOC_NAME=FAT:FQL_AUDITING_CLIENT_TEMPLATE.FAT&amp;display_string=Audit&amp;VAR:KEY=MBCZODYPAP&amp;VAR:QUERY=RkZfRElWX1lMRChBTk4sNy8xNy8wMiw3LzE3LzAyKQ==&amp;WINDOW=FIRST_POPUP&amp;HEIGHT=450&amp;WIDTH=450&amp;","START_MAXIMIZED=FALSE&amp;VAR:CALENDAR=US&amp;VAR:SYMBOL=KO&amp;VAR:INDEX=0"}</definedName>
    <definedName name="_203">#REF!</definedName>
    <definedName name="_203__FDSAUDITLINK__" localSheetId="0"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__FDSAUDITLINK__" hidden="1">{"fdsup://directions/FAT Viewer?action=UPDATE&amp;creator=factset&amp;DYN_ARGS=TRUE&amp;DOC_NAME=FAT:FQL_AUDITING_CLIENT_TEMPLATE.FAT&amp;display_string=Audit&amp;VAR:KEY=LOPKLGNQZA&amp;VAR:QUERY=RkZfRElWX1lMRChBTk4sNS8xNy8wNyw1LzE3LzA3KQ==&amp;WINDOW=FIRST_POPUP&amp;HEIGHT=450&amp;WIDTH=450&amp;","START_MAXIMIZED=FALSE&amp;VAR:CALENDAR=US&amp;VAR:SYMBOL=RAI&amp;VAR:INDEX=0"}</definedName>
    <definedName name="_2030__FDSAUDITLINK__" localSheetId="0"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0__FDSAUDITLINK__" hidden="1">{"fdsup://directions/FAT Viewer?action=UPDATE&amp;creator=factset&amp;DYN_ARGS=TRUE&amp;DOC_NAME=FAT:FQL_AUDITING_CLIENT_TEMPLATE.FAT&amp;display_string=Audit&amp;VAR:KEY=OTKDQVQHEP&amp;VAR:QUERY=RkZfRElWX1lMRChBTk4sNy8xMC8wMiw3LzEwLzAyKQ==&amp;WINDOW=FIRST_POPUP&amp;HEIGHT=450&amp;WIDTH=450&amp;","START_MAXIMIZED=FALSE&amp;VAR:CALENDAR=US&amp;VAR:SYMBOL=KO&amp;VAR:INDEX=0"}</definedName>
    <definedName name="_2031">#REF!</definedName>
    <definedName name="_2031__FDSAUDITLINK__" localSheetId="0"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1__FDSAUDITLINK__" hidden="1">{"fdsup://directions/FAT Viewer?action=UPDATE&amp;creator=factset&amp;DYN_ARGS=TRUE&amp;DOC_NAME=FAT:FQL_AUDITING_CLIENT_TEMPLATE.FAT&amp;display_string=Audit&amp;VAR:KEY=EVSNAPGPIH&amp;VAR:QUERY=RkZfRElWX1lMRChBTk4sNy8wMy8wMiw3LzAzLzAyKQ==&amp;WINDOW=FIRST_POPUP&amp;HEIGHT=450&amp;WIDTH=450&amp;","START_MAXIMIZED=FALSE&amp;VAR:CALENDAR=US&amp;VAR:SYMBOL=KO&amp;VAR:INDEX=0"}</definedName>
    <definedName name="_2032__FDSAUDITLINK__" localSheetId="0"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2__FDSAUDITLINK__" hidden="1">{"fdsup://directions/FAT Viewer?action=UPDATE&amp;creator=factset&amp;DYN_ARGS=TRUE&amp;DOC_NAME=FAT:FQL_AUDITING_CLIENT_TEMPLATE.FAT&amp;display_string=Audit&amp;VAR:KEY=CZOTIXEZKH&amp;VAR:QUERY=RkZfRElWX1lMRChBTk4sNi8yNi8wMiw2LzI2LzAyKQ==&amp;WINDOW=FIRST_POPUP&amp;HEIGHT=450&amp;WIDTH=450&amp;","START_MAXIMIZED=FALSE&amp;VAR:CALENDAR=US&amp;VAR:SYMBOL=KO&amp;VAR:INDEX=0"}</definedName>
    <definedName name="_2033__FDSAUDITLINK__" localSheetId="0"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3__FDSAUDITLINK__" hidden="1">{"fdsup://directions/FAT Viewer?action=UPDATE&amp;creator=factset&amp;DYN_ARGS=TRUE&amp;DOC_NAME=FAT:FQL_AUDITING_CLIENT_TEMPLATE.FAT&amp;display_string=Audit&amp;VAR:KEY=QLONQRQJIR&amp;VAR:QUERY=RkZfRElWX1lMRChBTk4sNi8xOS8wMiw2LzE5LzAyKQ==&amp;WINDOW=FIRST_POPUP&amp;HEIGHT=450&amp;WIDTH=450&amp;","START_MAXIMIZED=FALSE&amp;VAR:CALENDAR=US&amp;VAR:SYMBOL=KO&amp;VAR:INDEX=0"}</definedName>
    <definedName name="_2034__FDSAUDITLINK__" localSheetId="0"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4__FDSAUDITLINK__" hidden="1">{"fdsup://directions/FAT Viewer?action=UPDATE&amp;creator=factset&amp;DYN_ARGS=TRUE&amp;DOC_NAME=FAT:FQL_AUDITING_CLIENT_TEMPLATE.FAT&amp;display_string=Audit&amp;VAR:KEY=OPWFQDCFOL&amp;VAR:QUERY=RkZfRElWX1lMRChBTk4sNi8xMi8wMiw2LzEyLzAyKQ==&amp;WINDOW=FIRST_POPUP&amp;HEIGHT=450&amp;WIDTH=450&amp;","START_MAXIMIZED=FALSE&amp;VAR:CALENDAR=US&amp;VAR:SYMBOL=KO&amp;VAR:INDEX=0"}</definedName>
    <definedName name="_2035__FDSAUDITLINK__" localSheetId="0"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5__FDSAUDITLINK__" hidden="1">{"fdsup://directions/FAT Viewer?action=UPDATE&amp;creator=factset&amp;DYN_ARGS=TRUE&amp;DOC_NAME=FAT:FQL_AUDITING_CLIENT_TEMPLATE.FAT&amp;display_string=Audit&amp;VAR:KEY=IPWVWLSVUN&amp;VAR:QUERY=RkZfRElWX1lMRChBTk4sNi8wNS8wMiw2LzA1LzAyKQ==&amp;WINDOW=FIRST_POPUP&amp;HEIGHT=450&amp;WIDTH=450&amp;","START_MAXIMIZED=FALSE&amp;VAR:CALENDAR=US&amp;VAR:SYMBOL=KO&amp;VAR:INDEX=0"}</definedName>
    <definedName name="_2036">#REF!</definedName>
    <definedName name="_2036__FDSAUDITLINK__" localSheetId="0"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6__FDSAUDITLINK__" hidden="1">{"fdsup://directions/FAT Viewer?action=UPDATE&amp;creator=factset&amp;DYN_ARGS=TRUE&amp;DOC_NAME=FAT:FQL_AUDITING_CLIENT_TEMPLATE.FAT&amp;display_string=Audit&amp;VAR:KEY=UNWNMJMPSP&amp;VAR:QUERY=RkZfRElWX1lMRChBTk4sNS8yOS8wMiw1LzI5LzAyKQ==&amp;WINDOW=FIRST_POPUP&amp;HEIGHT=450&amp;WIDTH=450&amp;","START_MAXIMIZED=FALSE&amp;VAR:CALENDAR=US&amp;VAR:SYMBOL=KO&amp;VAR:INDEX=0"}</definedName>
    <definedName name="_2037__FDSAUDITLINK__" localSheetId="0"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7__FDSAUDITLINK__" hidden="1">{"fdsup://directions/FAT Viewer?action=UPDATE&amp;creator=factset&amp;DYN_ARGS=TRUE&amp;DOC_NAME=FAT:FQL_AUDITING_CLIENT_TEMPLATE.FAT&amp;display_string=Audit&amp;VAR:KEY=SVSJIVMRCJ&amp;VAR:QUERY=RkZfRElWX1lMRChBTk4sNS8yMi8wMiw1LzIyLzAyKQ==&amp;WINDOW=FIRST_POPUP&amp;HEIGHT=450&amp;WIDTH=450&amp;","START_MAXIMIZED=FALSE&amp;VAR:CALENDAR=US&amp;VAR:SYMBOL=KO&amp;VAR:INDEX=0"}</definedName>
    <definedName name="_2038__FDSAUDITLINK__" localSheetId="0"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8__FDSAUDITLINK__" hidden="1">{"fdsup://directions/FAT Viewer?action=UPDATE&amp;creator=factset&amp;DYN_ARGS=TRUE&amp;DOC_NAME=FAT:FQL_AUDITING_CLIENT_TEMPLATE.FAT&amp;display_string=Audit&amp;VAR:KEY=WNQPKZMBQV&amp;VAR:QUERY=RkZfRElWX1lMRChBTk4sNS8xNS8wMiw1LzE1LzAyKQ==&amp;WINDOW=FIRST_POPUP&amp;HEIGHT=450&amp;WIDTH=450&amp;","START_MAXIMIZED=FALSE&amp;VAR:CALENDAR=US&amp;VAR:SYMBOL=KO&amp;VAR:INDEX=0"}</definedName>
    <definedName name="_2039__FDSAUDITLINK__" localSheetId="0"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39__FDSAUDITLINK__" hidden="1">{"fdsup://directions/FAT Viewer?action=UPDATE&amp;creator=factset&amp;DYN_ARGS=TRUE&amp;DOC_NAME=FAT:FQL_AUDITING_CLIENT_TEMPLATE.FAT&amp;display_string=Audit&amp;VAR:KEY=ALQRKJCJWB&amp;VAR:QUERY=RkZfRElWX1lMRChBTk4sNS8wOC8wMiw1LzA4LzAyKQ==&amp;WINDOW=FIRST_POPUP&amp;HEIGHT=450&amp;WIDTH=450&amp;","START_MAXIMIZED=FALSE&amp;VAR:CALENDAR=US&amp;VAR:SYMBOL=KO&amp;VAR:INDEX=0"}</definedName>
    <definedName name="_204">#REF!</definedName>
    <definedName name="_204__123Graph_XTAX_CREDIT">#REF!</definedName>
    <definedName name="_204__FDSAUDITLINK__" localSheetId="0"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__FDSAUDITLINK__" hidden="1">{"fdsup://directions/FAT Viewer?action=UPDATE&amp;creator=factset&amp;DYN_ARGS=TRUE&amp;DOC_NAME=FAT:FQL_AUDITING_CLIENT_TEMPLATE.FAT&amp;display_string=Audit&amp;VAR:KEY=DMDGHATGTS&amp;VAR:QUERY=RkZfRElWX1lMRChBTk4sNS8xMC8wNyw1LzEwLzA3KQ==&amp;WINDOW=FIRST_POPUP&amp;HEIGHT=450&amp;WIDTH=450&amp;","START_MAXIMIZED=FALSE&amp;VAR:CALENDAR=US&amp;VAR:SYMBOL=RAI&amp;VAR:INDEX=0"}</definedName>
    <definedName name="_2040__FDSAUDITLINK__" localSheetId="0"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0__FDSAUDITLINK__" hidden="1">{"fdsup://directions/FAT Viewer?action=UPDATE&amp;creator=factset&amp;DYN_ARGS=TRUE&amp;DOC_NAME=FAT:FQL_AUDITING_CLIENT_TEMPLATE.FAT&amp;display_string=Audit&amp;VAR:KEY=WBKHCRQVQT&amp;VAR:QUERY=RkZfRElWX1lMRChBTk4sNS8wMS8wMiw1LzAxLzAyKQ==&amp;WINDOW=FIRST_POPUP&amp;HEIGHT=450&amp;WIDTH=450&amp;","START_MAXIMIZED=FALSE&amp;VAR:CALENDAR=US&amp;VAR:SYMBOL=KO&amp;VAR:INDEX=0"}</definedName>
    <definedName name="_2041">#REF!</definedName>
    <definedName name="_2041__FDSAUDITLINK__" localSheetId="0"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1__FDSAUDITLINK__" hidden="1">{"fdsup://directions/FAT Viewer?action=UPDATE&amp;creator=factset&amp;DYN_ARGS=TRUE&amp;DOC_NAME=FAT:FQL_AUDITING_CLIENT_TEMPLATE.FAT&amp;display_string=Audit&amp;VAR:KEY=GNQRMHKFWL&amp;VAR:QUERY=RkZfRElWX1lMRChBTk4sNC8yNC8wMiw0LzI0LzAyKQ==&amp;WINDOW=FIRST_POPUP&amp;HEIGHT=450&amp;WIDTH=450&amp;","START_MAXIMIZED=FALSE&amp;VAR:CALENDAR=US&amp;VAR:SYMBOL=KO&amp;VAR:INDEX=0"}</definedName>
    <definedName name="_2042__FDSAUDITLINK__" localSheetId="0"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2__FDSAUDITLINK__" hidden="1">{"fdsup://directions/FAT Viewer?action=UPDATE&amp;creator=factset&amp;DYN_ARGS=TRUE&amp;DOC_NAME=FAT:FQL_AUDITING_CLIENT_TEMPLATE.FAT&amp;display_string=Audit&amp;VAR:KEY=ETANQNOXCP&amp;VAR:QUERY=RkZfRElWX1lMRChBTk4sNC8xNy8wMiw0LzE3LzAyKQ==&amp;WINDOW=FIRST_POPUP&amp;HEIGHT=450&amp;WIDTH=450&amp;","START_MAXIMIZED=FALSE&amp;VAR:CALENDAR=US&amp;VAR:SYMBOL=KO&amp;VAR:INDEX=0"}</definedName>
    <definedName name="_2043__FDSAUDITLINK__" localSheetId="0"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3__FDSAUDITLINK__" hidden="1">{"fdsup://directions/FAT Viewer?action=UPDATE&amp;creator=factset&amp;DYN_ARGS=TRUE&amp;DOC_NAME=FAT:FQL_AUDITING_CLIENT_TEMPLATE.FAT&amp;display_string=Audit&amp;VAR:KEY=KRWHEDODSH&amp;VAR:QUERY=RkZfRElWX1lMRChBTk4sNC8xMC8wMiw0LzEwLzAyKQ==&amp;WINDOW=FIRST_POPUP&amp;HEIGHT=450&amp;WIDTH=450&amp;","START_MAXIMIZED=FALSE&amp;VAR:CALENDAR=US&amp;VAR:SYMBOL=KO&amp;VAR:INDEX=0"}</definedName>
    <definedName name="_2044__FDSAUDITLINK__" localSheetId="0"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4__FDSAUDITLINK__" hidden="1">{"fdsup://directions/FAT Viewer?action=UPDATE&amp;creator=factset&amp;DYN_ARGS=TRUE&amp;DOC_NAME=FAT:FQL_AUDITING_CLIENT_TEMPLATE.FAT&amp;display_string=Audit&amp;VAR:KEY=UXUJYZWXST&amp;VAR:QUERY=RkZfRElWX1lMRChBTk4sNC8wMy8wMiw0LzAzLzAyKQ==&amp;WINDOW=FIRST_POPUP&amp;HEIGHT=450&amp;WIDTH=450&amp;","START_MAXIMIZED=FALSE&amp;VAR:CALENDAR=US&amp;VAR:SYMBOL=KO&amp;VAR:INDEX=0"}</definedName>
    <definedName name="_2045__FDSAUDITLINK__" localSheetId="0"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5__FDSAUDITLINK__" hidden="1">{"fdsup://directions/FAT Viewer?action=UPDATE&amp;creator=factset&amp;DYN_ARGS=TRUE&amp;DOC_NAME=FAT:FQL_AUDITING_CLIENT_TEMPLATE.FAT&amp;display_string=Audit&amp;VAR:KEY=MTKZUNUHER&amp;VAR:QUERY=RkZfRElWX1lMRChBTk4sMy8yNy8wMiwzLzI3LzAyKQ==&amp;WINDOW=FIRST_POPUP&amp;HEIGHT=450&amp;WIDTH=450&amp;","START_MAXIMIZED=FALSE&amp;VAR:CALENDAR=US&amp;VAR:SYMBOL=KO&amp;VAR:INDEX=0"}</definedName>
    <definedName name="_2046__FDSAUDITLINK__" localSheetId="0"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6__FDSAUDITLINK__" hidden="1">{"fdsup://directions/FAT Viewer?action=UPDATE&amp;creator=factset&amp;DYN_ARGS=TRUE&amp;DOC_NAME=FAT:FQL_AUDITING_CLIENT_TEMPLATE.FAT&amp;display_string=Audit&amp;VAR:KEY=YLSJWPWHIT&amp;VAR:QUERY=RkZfRElWX1lMRChBTk4sMy8yMC8wMiwzLzIwLzAyKQ==&amp;WINDOW=FIRST_POPUP&amp;HEIGHT=450&amp;WIDTH=450&amp;","START_MAXIMIZED=FALSE&amp;VAR:CALENDAR=US&amp;VAR:SYMBOL=KO&amp;VAR:INDEX=0"}</definedName>
    <definedName name="_2047__FDSAUDITLINK__" localSheetId="0"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7__FDSAUDITLINK__" hidden="1">{"fdsup://directions/FAT Viewer?action=UPDATE&amp;creator=factset&amp;DYN_ARGS=TRUE&amp;DOC_NAME=FAT:FQL_AUDITING_CLIENT_TEMPLATE.FAT&amp;display_string=Audit&amp;VAR:KEY=KNUXYTGBCX&amp;VAR:QUERY=RkZfRElWX1lMRChBTk4sMy8xMy8wMiwzLzEzLzAyKQ==&amp;WINDOW=FIRST_POPUP&amp;HEIGHT=450&amp;WIDTH=450&amp;","START_MAXIMIZED=FALSE&amp;VAR:CALENDAR=US&amp;VAR:SYMBOL=KO&amp;VAR:INDEX=0"}</definedName>
    <definedName name="_2048__FDSAUDITLINK__" localSheetId="0"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8__FDSAUDITLINK__" hidden="1">{"fdsup://directions/FAT Viewer?action=UPDATE&amp;creator=factset&amp;DYN_ARGS=TRUE&amp;DOC_NAME=FAT:FQL_AUDITING_CLIENT_TEMPLATE.FAT&amp;display_string=Audit&amp;VAR:KEY=WBMBUJWBWZ&amp;VAR:QUERY=RkZfRElWX1lMRChBTk4sMy8wNi8wMiwzLzA2LzAyKQ==&amp;WINDOW=FIRST_POPUP&amp;HEIGHT=450&amp;WIDTH=450&amp;","START_MAXIMIZED=FALSE&amp;VAR:CALENDAR=US&amp;VAR:SYMBOL=KO&amp;VAR:INDEX=0"}</definedName>
    <definedName name="_2049">#REF!</definedName>
    <definedName name="_2049__FDSAUDITLINK__" localSheetId="0"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49__FDSAUDITLINK__" hidden="1">{"fdsup://directions/FAT Viewer?action=UPDATE&amp;creator=factset&amp;DYN_ARGS=TRUE&amp;DOC_NAME=FAT:FQL_AUDITING_CLIENT_TEMPLATE.FAT&amp;display_string=Audit&amp;VAR:KEY=EVOTGJINQZ&amp;VAR:QUERY=RkZfRElWX1lMRChBTk4sMi8yNy8wMiwyLzI3LzAyKQ==&amp;WINDOW=FIRST_POPUP&amp;HEIGHT=450&amp;WIDTH=450&amp;","START_MAXIMIZED=FALSE&amp;VAR:CALENDAR=US&amp;VAR:SYMBOL=KO&amp;VAR:INDEX=0"}</definedName>
    <definedName name="_205">#REF!</definedName>
    <definedName name="_205__123Graph_XTAX_CREDIT">#REF!</definedName>
    <definedName name="_205__FDSAUDITLINK__" localSheetId="0"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__FDSAUDITLINK__" hidden="1">{"fdsup://directions/FAT Viewer?action=UPDATE&amp;creator=factset&amp;DYN_ARGS=TRUE&amp;DOC_NAME=FAT:FQL_AUDITING_CLIENT_TEMPLATE.FAT&amp;display_string=Audit&amp;VAR:KEY=JQRGLKNOHW&amp;VAR:QUERY=RkZfRElWX1lMRChBTk4sNS8wMy8wNyw1LzAzLzA3KQ==&amp;WINDOW=FIRST_POPUP&amp;HEIGHT=450&amp;WIDTH=450&amp;","START_MAXIMIZED=FALSE&amp;VAR:CALENDAR=US&amp;VAR:SYMBOL=RAI&amp;VAR:INDEX=0"}</definedName>
    <definedName name="_2050__FDSAUDITLINK__" localSheetId="0"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0__FDSAUDITLINK__" hidden="1">{"fdsup://directions/FAT Viewer?action=UPDATE&amp;creator=factset&amp;DYN_ARGS=TRUE&amp;DOC_NAME=FAT:FQL_AUDITING_CLIENT_TEMPLATE.FAT&amp;display_string=Audit&amp;VAR:KEY=ENKBELWJYX&amp;VAR:QUERY=RkZfRElWX1lMRChBTk4sMi8yMC8wMiwyLzIwLzAyKQ==&amp;WINDOW=FIRST_POPUP&amp;HEIGHT=450&amp;WIDTH=450&amp;","START_MAXIMIZED=FALSE&amp;VAR:CALENDAR=US&amp;VAR:SYMBOL=KO&amp;VAR:INDEX=0"}</definedName>
    <definedName name="_2051__FDSAUDITLINK__" localSheetId="0"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1__FDSAUDITLINK__" hidden="1">{"fdsup://directions/FAT Viewer?action=UPDATE&amp;creator=factset&amp;DYN_ARGS=TRUE&amp;DOC_NAME=FAT:FQL_AUDITING_CLIENT_TEMPLATE.FAT&amp;display_string=Audit&amp;VAR:KEY=YPENULKFKD&amp;VAR:QUERY=RkZfRElWX1lMRChBTk4sMi8xMy8wMiwyLzEzLzAyKQ==&amp;WINDOW=FIRST_POPUP&amp;HEIGHT=450&amp;WIDTH=450&amp;","START_MAXIMIZED=FALSE&amp;VAR:CALENDAR=US&amp;VAR:SYMBOL=KO&amp;VAR:INDEX=0"}</definedName>
    <definedName name="_2052__FDSAUDITLINK__" localSheetId="0"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2__FDSAUDITLINK__" hidden="1">{"fdsup://directions/FAT Viewer?action=UPDATE&amp;creator=factset&amp;DYN_ARGS=TRUE&amp;DOC_NAME=FAT:FQL_AUDITING_CLIENT_TEMPLATE.FAT&amp;display_string=Audit&amp;VAR:KEY=CNKDGPGXKN&amp;VAR:QUERY=RkZfRElWX1lMRChBTk4sMi8wNi8wMiwyLzA2LzAyKQ==&amp;WINDOW=FIRST_POPUP&amp;HEIGHT=450&amp;WIDTH=450&amp;","START_MAXIMIZED=FALSE&amp;VAR:CALENDAR=US&amp;VAR:SYMBOL=KO&amp;VAR:INDEX=0"}</definedName>
    <definedName name="_2053">#REF!</definedName>
    <definedName name="_2053__FDSAUDITLINK__" localSheetId="0"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3__FDSAUDITLINK__" hidden="1">{"fdsup://directions/FAT Viewer?action=UPDATE&amp;creator=factset&amp;DYN_ARGS=TRUE&amp;DOC_NAME=FAT:FQL_AUDITING_CLIENT_TEMPLATE.FAT&amp;display_string=Audit&amp;VAR:KEY=QTAJGHSJGV&amp;VAR:QUERY=RkZfRElWX1lMRChBTk4sMS8zMC8wMiwxLzMwLzAyKQ==&amp;WINDOW=FIRST_POPUP&amp;HEIGHT=450&amp;WIDTH=450&amp;","START_MAXIMIZED=FALSE&amp;VAR:CALENDAR=US&amp;VAR:SYMBOL=KO&amp;VAR:INDEX=0"}</definedName>
    <definedName name="_2054__FDSAUDITLINK__" localSheetId="0"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4__FDSAUDITLINK__" hidden="1">{"fdsup://directions/FAT Viewer?action=UPDATE&amp;creator=factset&amp;DYN_ARGS=TRUE&amp;DOC_NAME=FAT:FQL_AUDITING_CLIENT_TEMPLATE.FAT&amp;display_string=Audit&amp;VAR:KEY=CLSVWRGPKD&amp;VAR:QUERY=RkZfRElWX1lMRChBTk4sMS8yMy8wMiwxLzIzLzAyKQ==&amp;WINDOW=FIRST_POPUP&amp;HEIGHT=450&amp;WIDTH=450&amp;","START_MAXIMIZED=FALSE&amp;VAR:CALENDAR=US&amp;VAR:SYMBOL=KO&amp;VAR:INDEX=0"}</definedName>
    <definedName name="_2055__FDSAUDITLINK__" localSheetId="0"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5__FDSAUDITLINK__" hidden="1">{"fdsup://directions/FAT Viewer?action=UPDATE&amp;creator=factset&amp;DYN_ARGS=TRUE&amp;DOC_NAME=FAT:FQL_AUDITING_CLIENT_TEMPLATE.FAT&amp;display_string=Audit&amp;VAR:KEY=KPOHMHCDED&amp;VAR:QUERY=RkZfRElWX1lMRChBTk4sMS8xNi8wMiwxLzE2LzAyKQ==&amp;WINDOW=FIRST_POPUP&amp;HEIGHT=450&amp;WIDTH=450&amp;","START_MAXIMIZED=FALSE&amp;VAR:CALENDAR=US&amp;VAR:SYMBOL=KO&amp;VAR:INDEX=0"}</definedName>
    <definedName name="_2056__FDSAUDITLINK__" localSheetId="0"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6__FDSAUDITLINK__" hidden="1">{"fdsup://directions/FAT Viewer?action=UPDATE&amp;creator=factset&amp;DYN_ARGS=TRUE&amp;DOC_NAME=FAT:FQL_AUDITING_CLIENT_TEMPLATE.FAT&amp;display_string=Audit&amp;VAR:KEY=OZAZEPSDAR&amp;VAR:QUERY=RkZfRElWX1lMRChBTk4sMS8wOS8wMiwxLzA5LzAyKQ==&amp;WINDOW=FIRST_POPUP&amp;HEIGHT=450&amp;WIDTH=450&amp;","START_MAXIMIZED=FALSE&amp;VAR:CALENDAR=US&amp;VAR:SYMBOL=KO&amp;VAR:INDEX=0"}</definedName>
    <definedName name="_2057__FDSAUDITLINK__" localSheetId="0"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7__FDSAUDITLINK__" hidden="1">{"fdsup://directions/FAT Viewer?action=UPDATE&amp;creator=factset&amp;DYN_ARGS=TRUE&amp;DOC_NAME=FAT:FQL_AUDITING_CLIENT_TEMPLATE.FAT&amp;display_string=Audit&amp;VAR:KEY=CDIVCZWFEB&amp;VAR:QUERY=RkZfRElWX1lMRChBTk4sMS8wMi8wMiwxLzAyLzAyKQ==&amp;WINDOW=FIRST_POPUP&amp;HEIGHT=450&amp;WIDTH=450&amp;","START_MAXIMIZED=FALSE&amp;VAR:CALENDAR=US&amp;VAR:SYMBOL=KO&amp;VAR:INDEX=0"}</definedName>
    <definedName name="_2058">#REF!</definedName>
    <definedName name="_2058__FDSAUDITLINK__" localSheetId="0"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8__FDSAUDITLINK__" hidden="1">{"fdsup://directions/FAT Viewer?action=UPDATE&amp;creator=factset&amp;DYN_ARGS=TRUE&amp;DOC_NAME=FAT:FQL_AUDITING_CLIENT_TEMPLATE.FAT&amp;display_string=Audit&amp;VAR:KEY=YDYFWDGDGL&amp;VAR:QUERY=RkZfRElWX1lMRChBTk4sMTIvMjYvMDEsMTIvMjYvMDEp&amp;WINDOW=FIRST_POPUP&amp;HEIGHT=450&amp;WIDTH=450&amp;","START_MAXIMIZED=FALSE&amp;VAR:CALENDAR=US&amp;VAR:SYMBOL=KO&amp;VAR:INDEX=0"}</definedName>
    <definedName name="_2059__FDSAUDITLINK__" localSheetId="0"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59__FDSAUDITLINK__" hidden="1">{"fdsup://directions/FAT Viewer?action=UPDATE&amp;creator=factset&amp;DYN_ARGS=TRUE&amp;DOC_NAME=FAT:FQL_AUDITING_CLIENT_TEMPLATE.FAT&amp;display_string=Audit&amp;VAR:KEY=ILATKPMNQN&amp;VAR:QUERY=RkZfRElWX1lMRChBTk4sMTIvMTkvMDEsMTIvMTkvMDEp&amp;WINDOW=FIRST_POPUP&amp;HEIGHT=450&amp;WIDTH=450&amp;","START_MAXIMIZED=FALSE&amp;VAR:CALENDAR=US&amp;VAR:SYMBOL=KO&amp;VAR:INDEX=0"}</definedName>
    <definedName name="_206__FDSAUDITLINK__" localSheetId="0"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__FDSAUDITLINK__" hidden="1">{"fdsup://directions/FAT Viewer?action=UPDATE&amp;creator=factset&amp;DYN_ARGS=TRUE&amp;DOC_NAME=FAT:FQL_AUDITING_CLIENT_TEMPLATE.FAT&amp;display_string=Audit&amp;VAR:KEY=PKNSLQHABC&amp;VAR:QUERY=RkZfRElWX1lMRChBTk4sNC8yNi8wNyw0LzI2LzA3KQ==&amp;WINDOW=FIRST_POPUP&amp;HEIGHT=450&amp;WIDTH=450&amp;","START_MAXIMIZED=FALSE&amp;VAR:CALENDAR=US&amp;VAR:SYMBOL=RAI&amp;VAR:INDEX=0"}</definedName>
    <definedName name="_2060__FDSAUDITLINK__" localSheetId="0"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0__FDSAUDITLINK__" hidden="1">{"fdsup://directions/FAT Viewer?action=UPDATE&amp;creator=factset&amp;DYN_ARGS=TRUE&amp;DOC_NAME=FAT:FQL_AUDITING_CLIENT_TEMPLATE.FAT&amp;display_string=Audit&amp;VAR:KEY=EZIRIJCDMB&amp;VAR:QUERY=RkZfRElWX1lMRChBTk4sMTIvMTIvMDEsMTIvMTIvMDEp&amp;WINDOW=FIRST_POPUP&amp;HEIGHT=450&amp;WIDTH=450&amp;","START_MAXIMIZED=FALSE&amp;VAR:CALENDAR=US&amp;VAR:SYMBOL=KO&amp;VAR:INDEX=0"}</definedName>
    <definedName name="_2061__FDSAUDITLINK__" localSheetId="0"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1__FDSAUDITLINK__" hidden="1">{"fdsup://directions/FAT Viewer?action=UPDATE&amp;creator=factset&amp;DYN_ARGS=TRUE&amp;DOC_NAME=FAT:FQL_AUDITING_CLIENT_TEMPLATE.FAT&amp;display_string=Audit&amp;VAR:KEY=ULQBORQRMR&amp;VAR:QUERY=RkZfRElWX1lMRChBTk4sMTIvMDUvMDEsMTIvMDUvMDEp&amp;WINDOW=FIRST_POPUP&amp;HEIGHT=450&amp;WIDTH=450&amp;","START_MAXIMIZED=FALSE&amp;VAR:CALENDAR=US&amp;VAR:SYMBOL=KO&amp;VAR:INDEX=0"}</definedName>
    <definedName name="_2062__FDSAUDITLINK__" localSheetId="0"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2__FDSAUDITLINK__" hidden="1">{"fdsup://directions/FAT Viewer?action=UPDATE&amp;creator=factset&amp;DYN_ARGS=TRUE&amp;DOC_NAME=FAT:FQL_AUDITING_CLIENT_TEMPLATE.FAT&amp;display_string=Audit&amp;VAR:KEY=EXIPGVCHQF&amp;VAR:QUERY=RkZfRElWX1lMRChBTk4sMTEvMjgvMDEsMTEvMjgvMDEp&amp;WINDOW=FIRST_POPUP&amp;HEIGHT=450&amp;WIDTH=450&amp;","START_MAXIMIZED=FALSE&amp;VAR:CALENDAR=US&amp;VAR:SYMBOL=KO&amp;VAR:INDEX=0"}</definedName>
    <definedName name="_2063">#REF!</definedName>
    <definedName name="_2063__FDSAUDITLINK__" localSheetId="0"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3__FDSAUDITLINK__" hidden="1">{"fdsup://directions/FAT Viewer?action=UPDATE&amp;creator=factset&amp;DYN_ARGS=TRUE&amp;DOC_NAME=FAT:FQL_AUDITING_CLIENT_TEMPLATE.FAT&amp;display_string=Audit&amp;VAR:KEY=CNMDSLQPYB&amp;VAR:QUERY=RkZfRElWX1lMRChBTk4sMTEvMjEvMDEsMTEvMjEvMDEp&amp;WINDOW=FIRST_POPUP&amp;HEIGHT=450&amp;WIDTH=450&amp;","START_MAXIMIZED=FALSE&amp;VAR:CALENDAR=US&amp;VAR:SYMBOL=KO&amp;VAR:INDEX=0"}</definedName>
    <definedName name="_2064__FDSAUDITLINK__" localSheetId="0"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4__FDSAUDITLINK__" hidden="1">{"fdsup://directions/FAT Viewer?action=UPDATE&amp;creator=factset&amp;DYN_ARGS=TRUE&amp;DOC_NAME=FAT:FQL_AUDITING_CLIENT_TEMPLATE.FAT&amp;display_string=Audit&amp;VAR:KEY=UHYBGVATYN&amp;VAR:QUERY=RkZfRElWX1lMRChBTk4sMTEvMTQvMDEsMTEvMTQvMDEp&amp;WINDOW=FIRST_POPUP&amp;HEIGHT=450&amp;WIDTH=450&amp;","START_MAXIMIZED=FALSE&amp;VAR:CALENDAR=US&amp;VAR:SYMBOL=KO&amp;VAR:INDEX=0"}</definedName>
    <definedName name="_2065__FDSAUDITLINK__" localSheetId="0"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5__FDSAUDITLINK__" hidden="1">{"fdsup://directions/FAT Viewer?action=UPDATE&amp;creator=factset&amp;DYN_ARGS=TRUE&amp;DOC_NAME=FAT:FQL_AUDITING_CLIENT_TEMPLATE.FAT&amp;display_string=Audit&amp;VAR:KEY=CPGHGVWXAD&amp;VAR:QUERY=RkZfRElWX1lMRChBTk4sMTEvMDcvMDEsMTEvMDcvMDEp&amp;WINDOW=FIRST_POPUP&amp;HEIGHT=450&amp;WIDTH=450&amp;","START_MAXIMIZED=FALSE&amp;VAR:CALENDAR=US&amp;VAR:SYMBOL=KO&amp;VAR:INDEX=0"}</definedName>
    <definedName name="_2066__FDSAUDITLINK__" localSheetId="0"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6__FDSAUDITLINK__" hidden="1">{"fdsup://directions/FAT Viewer?action=UPDATE&amp;creator=factset&amp;DYN_ARGS=TRUE&amp;DOC_NAME=FAT:FQL_AUDITING_CLIENT_TEMPLATE.FAT&amp;display_string=Audit&amp;VAR:KEY=SLUZEDGZKD&amp;VAR:QUERY=RkZfRElWX1lMRChBTk4sMTAvMzEvMDEsMTAvMzEvMDEp&amp;WINDOW=FIRST_POPUP&amp;HEIGHT=450&amp;WIDTH=450&amp;","START_MAXIMIZED=FALSE&amp;VAR:CALENDAR=US&amp;VAR:SYMBOL=KO&amp;VAR:INDEX=0"}</definedName>
    <definedName name="_2067__FDSAUDITLINK__" localSheetId="0"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7__FDSAUDITLINK__" hidden="1">{"fdsup://directions/FAT Viewer?action=UPDATE&amp;creator=factset&amp;DYN_ARGS=TRUE&amp;DOC_NAME=FAT:FQL_AUDITING_CLIENT_TEMPLATE.FAT&amp;display_string=Audit&amp;VAR:KEY=EBSPAZUHUT&amp;VAR:QUERY=RkZfRElWX1lMRChBTk4sMTAvMjQvMDEsMTAvMjQvMDEp&amp;WINDOW=FIRST_POPUP&amp;HEIGHT=450&amp;WIDTH=450&amp;","START_MAXIMIZED=FALSE&amp;VAR:CALENDAR=US&amp;VAR:SYMBOL=KO&amp;VAR:INDEX=0"}</definedName>
    <definedName name="_2068__FDSAUDITLINK__" localSheetId="0"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8__FDSAUDITLINK__" hidden="1">{"fdsup://directions/FAT Viewer?action=UPDATE&amp;creator=factset&amp;DYN_ARGS=TRUE&amp;DOC_NAME=FAT:FQL_AUDITING_CLIENT_TEMPLATE.FAT&amp;display_string=Audit&amp;VAR:KEY=QTSZCPCRUJ&amp;VAR:QUERY=RkZfRElWX1lMRChBTk4sMTAvMTcvMDEsMTAvMTcvMDEp&amp;WINDOW=FIRST_POPUP&amp;HEIGHT=450&amp;WIDTH=450&amp;","START_MAXIMIZED=FALSE&amp;VAR:CALENDAR=US&amp;VAR:SYMBOL=KO&amp;VAR:INDEX=0"}</definedName>
    <definedName name="_2069__FDSAUDITLINK__" localSheetId="0"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69__FDSAUDITLINK__" hidden="1">{"fdsup://directions/FAT Viewer?action=UPDATE&amp;creator=factset&amp;DYN_ARGS=TRUE&amp;DOC_NAME=FAT:FQL_AUDITING_CLIENT_TEMPLATE.FAT&amp;display_string=Audit&amp;VAR:KEY=UHOTANODUJ&amp;VAR:QUERY=RkZfRElWX1lMRChBTk4sMTAvMTAvMDEsMTAvMTAvMDEp&amp;WINDOW=FIRST_POPUP&amp;HEIGHT=450&amp;WIDTH=450&amp;","START_MAXIMIZED=FALSE&amp;VAR:CALENDAR=US&amp;VAR:SYMBOL=KO&amp;VAR:INDEX=0"}</definedName>
    <definedName name="_207">#REF!</definedName>
    <definedName name="_207__FDSAUDITLINK__" localSheetId="0"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__FDSAUDITLINK__" hidden="1">{"fdsup://directions/FAT Viewer?action=UPDATE&amp;creator=factset&amp;DYN_ARGS=TRUE&amp;DOC_NAME=FAT:FQL_AUDITING_CLIENT_TEMPLATE.FAT&amp;display_string=Audit&amp;VAR:KEY=NEPIJWTOBE&amp;VAR:QUERY=RkZfRElWX1lMRChBTk4sNC8xOS8wNyw0LzE5LzA3KQ==&amp;WINDOW=FIRST_POPUP&amp;HEIGHT=450&amp;WIDTH=450&amp;","START_MAXIMIZED=FALSE&amp;VAR:CALENDAR=US&amp;VAR:SYMBOL=RAI&amp;VAR:INDEX=0"}</definedName>
    <definedName name="_2070__FDSAUDITLINK__" localSheetId="0"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0__FDSAUDITLINK__" hidden="1">{"fdsup://directions/FAT Viewer?action=UPDATE&amp;creator=factset&amp;DYN_ARGS=TRUE&amp;DOC_NAME=FAT:FQL_AUDITING_CLIENT_TEMPLATE.FAT&amp;display_string=Audit&amp;VAR:KEY=MPWLIJCNEV&amp;VAR:QUERY=RkZfRElWX1lMRChBTk4sMTAvMDMvMDEsMTAvMDMvMDEp&amp;WINDOW=FIRST_POPUP&amp;HEIGHT=450&amp;WIDTH=450&amp;","START_MAXIMIZED=FALSE&amp;VAR:CALENDAR=US&amp;VAR:SYMBOL=KO&amp;VAR:INDEX=0"}</definedName>
    <definedName name="_2071">#REF!</definedName>
    <definedName name="_2071__FDSAUDITLINK__" localSheetId="0"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1__FDSAUDITLINK__" hidden="1">{"fdsup://directions/FAT Viewer?action=UPDATE&amp;creator=factset&amp;DYN_ARGS=TRUE&amp;DOC_NAME=FAT:FQL_AUDITING_CLIENT_TEMPLATE.FAT&amp;display_string=Audit&amp;VAR:KEY=MRYTGRONGZ&amp;VAR:QUERY=RkZfRElWX1lMRChBTk4sOS8yNi8wMSw5LzI2LzAxKQ==&amp;WINDOW=FIRST_POPUP&amp;HEIGHT=450&amp;WIDTH=450&amp;","START_MAXIMIZED=FALSE&amp;VAR:CALENDAR=US&amp;VAR:SYMBOL=KO&amp;VAR:INDEX=0"}</definedName>
    <definedName name="_2072__FDSAUDITLINK__" localSheetId="0"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2__FDSAUDITLINK__" hidden="1">{"fdsup://directions/FAT Viewer?action=UPDATE&amp;creator=factset&amp;DYN_ARGS=TRUE&amp;DOC_NAME=FAT:FQL_AUDITING_CLIENT_TEMPLATE.FAT&amp;display_string=Audit&amp;VAR:KEY=MNWRYVAXWD&amp;VAR:QUERY=RkZfRElWX1lMRChBTk4sOS8xOS8wMSw5LzE5LzAxKQ==&amp;WINDOW=FIRST_POPUP&amp;HEIGHT=450&amp;WIDTH=450&amp;","START_MAXIMIZED=FALSE&amp;VAR:CALENDAR=US&amp;VAR:SYMBOL=KO&amp;VAR:INDEX=0"}</definedName>
    <definedName name="_2073__FDSAUDITLINK__" localSheetId="0"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3__FDSAUDITLINK__" hidden="1">{"fdsup://directions/FAT Viewer?action=UPDATE&amp;creator=factset&amp;DYN_ARGS=TRUE&amp;DOC_NAME=FAT:FQL_AUDITING_CLIENT_TEMPLATE.FAT&amp;display_string=Audit&amp;VAR:KEY=QZQBUBUVGB&amp;VAR:QUERY=RkZfRElWX1lMRChBTk4sOS8xMC8wMSw5LzEwLzAxKQ==&amp;WINDOW=FIRST_POPUP&amp;HEIGHT=450&amp;WIDTH=450&amp;","START_MAXIMIZED=FALSE&amp;VAR:CALENDAR=US&amp;VAR:SYMBOL=KO&amp;VAR:INDEX=0"}</definedName>
    <definedName name="_2074__FDSAUDITLINK__" localSheetId="0"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4__FDSAUDITLINK__" hidden="1">{"fdsup://directions/FAT Viewer?action=UPDATE&amp;creator=factset&amp;DYN_ARGS=TRUE&amp;DOC_NAME=FAT:FQL_AUDITING_CLIENT_TEMPLATE.FAT&amp;display_string=Audit&amp;VAR:KEY=AZGHYLMHGN&amp;VAR:QUERY=RkZfRElWX1lMRChBTk4sOS8wNS8wMSw5LzA1LzAxKQ==&amp;WINDOW=FIRST_POPUP&amp;HEIGHT=450&amp;WIDTH=450&amp;","START_MAXIMIZED=FALSE&amp;VAR:CALENDAR=US&amp;VAR:SYMBOL=KO&amp;VAR:INDEX=0"}</definedName>
    <definedName name="_2075">#REF!</definedName>
    <definedName name="_2075__FDSAUDITLINK__" localSheetId="0"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5__FDSAUDITLINK__" hidden="1">{"fdsup://directions/FAT Viewer?action=UPDATE&amp;creator=factset&amp;DYN_ARGS=TRUE&amp;DOC_NAME=FAT:FQL_AUDITING_CLIENT_TEMPLATE.FAT&amp;display_string=Audit&amp;VAR:KEY=OPKTABUBCV&amp;VAR:QUERY=RkZfRElWX1lMRChBTk4sOC8yOS8wMSw4LzI5LzAxKQ==&amp;WINDOW=FIRST_POPUP&amp;HEIGHT=450&amp;WIDTH=450&amp;","START_MAXIMIZED=FALSE&amp;VAR:CALENDAR=US&amp;VAR:SYMBOL=KO&amp;VAR:INDEX=0"}</definedName>
    <definedName name="_2076__FDSAUDITLINK__" localSheetId="0"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6__FDSAUDITLINK__" hidden="1">{"fdsup://directions/FAT Viewer?action=UPDATE&amp;creator=factset&amp;DYN_ARGS=TRUE&amp;DOC_NAME=FAT:FQL_AUDITING_CLIENT_TEMPLATE.FAT&amp;display_string=Audit&amp;VAR:KEY=KJCTGDUZGZ&amp;VAR:QUERY=RkZfRElWX1lMRChBTk4sOC8yMi8wMSw4LzIyLzAxKQ==&amp;WINDOW=FIRST_POPUP&amp;HEIGHT=450&amp;WIDTH=450&amp;","START_MAXIMIZED=FALSE&amp;VAR:CALENDAR=US&amp;VAR:SYMBOL=KO&amp;VAR:INDEX=0"}</definedName>
    <definedName name="_2077__FDSAUDITLINK__" localSheetId="0"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7__FDSAUDITLINK__" hidden="1">{"fdsup://directions/FAT Viewer?action=UPDATE&amp;creator=factset&amp;DYN_ARGS=TRUE&amp;DOC_NAME=FAT:FQL_AUDITING_CLIENT_TEMPLATE.FAT&amp;display_string=Audit&amp;VAR:KEY=ADKBAZSFCJ&amp;VAR:QUERY=RkZfRElWX1lMRChBTk4sOC8xNS8wMSw4LzE1LzAxKQ==&amp;WINDOW=FIRST_POPUP&amp;HEIGHT=450&amp;WIDTH=450&amp;","START_MAXIMIZED=FALSE&amp;VAR:CALENDAR=US&amp;VAR:SYMBOL=KO&amp;VAR:INDEX=0"}</definedName>
    <definedName name="_2078__FDSAUDITLINK__" localSheetId="0"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8__FDSAUDITLINK__" hidden="1">{"fdsup://directions/FAT Viewer?action=UPDATE&amp;creator=factset&amp;DYN_ARGS=TRUE&amp;DOC_NAME=FAT:FQL_AUDITING_CLIENT_TEMPLATE.FAT&amp;display_string=Audit&amp;VAR:KEY=SJITGLWVKD&amp;VAR:QUERY=RkZfRElWX1lMRChBTk4sOC8wOC8wMSw4LzA4LzAxKQ==&amp;WINDOW=FIRST_POPUP&amp;HEIGHT=450&amp;WIDTH=450&amp;","START_MAXIMIZED=FALSE&amp;VAR:CALENDAR=US&amp;VAR:SYMBOL=KO&amp;VAR:INDEX=0"}</definedName>
    <definedName name="_2079__FDSAUDITLINK__" localSheetId="0"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79__FDSAUDITLINK__" hidden="1">{"fdsup://directions/FAT Viewer?action=UPDATE&amp;creator=factset&amp;DYN_ARGS=TRUE&amp;DOC_NAME=FAT:FQL_AUDITING_CLIENT_TEMPLATE.FAT&amp;display_string=Audit&amp;VAR:KEY=KHKBKBGJKB&amp;VAR:QUERY=RkZfRElWX1lMRChBTk4sOC8wMS8wMSw4LzAxLzAxKQ==&amp;WINDOW=FIRST_POPUP&amp;HEIGHT=450&amp;WIDTH=450&amp;","START_MAXIMIZED=FALSE&amp;VAR:CALENDAR=US&amp;VAR:SYMBOL=KO&amp;VAR:INDEX=0"}</definedName>
    <definedName name="_208">#REF!</definedName>
    <definedName name="_208__FDSAUDITLINK__" localSheetId="0"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__FDSAUDITLINK__" hidden="1">{"fdsup://directions/FAT Viewer?action=UPDATE&amp;creator=factset&amp;DYN_ARGS=TRUE&amp;DOC_NAME=FAT:FQL_AUDITING_CLIENT_TEMPLATE.FAT&amp;display_string=Audit&amp;VAR:KEY=TUHOZUHWLG&amp;VAR:QUERY=RkZfRElWX1lMRChBTk4sNC8xMi8wNyw0LzEyLzA3KQ==&amp;WINDOW=FIRST_POPUP&amp;HEIGHT=450&amp;WIDTH=450&amp;","START_MAXIMIZED=FALSE&amp;VAR:CALENDAR=US&amp;VAR:SYMBOL=RAI&amp;VAR:INDEX=0"}</definedName>
    <definedName name="_2080">#REF!</definedName>
    <definedName name="_2080__FDSAUDITLINK__" localSheetId="0"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0__FDSAUDITLINK__" hidden="1">{"fdsup://directions/FAT Viewer?action=UPDATE&amp;creator=factset&amp;DYN_ARGS=TRUE&amp;DOC_NAME=FAT:FQL_AUDITING_CLIENT_TEMPLATE.FAT&amp;display_string=Audit&amp;VAR:KEY=UFQBSVKTYR&amp;VAR:QUERY=RkZfRElWX1lMRChBTk4sNy8yNS8wMSw3LzI1LzAxKQ==&amp;WINDOW=FIRST_POPUP&amp;HEIGHT=450&amp;WIDTH=450&amp;","START_MAXIMIZED=FALSE&amp;VAR:CALENDAR=US&amp;VAR:SYMBOL=KO&amp;VAR:INDEX=0"}</definedName>
    <definedName name="_2081__FDSAUDITLINK__" localSheetId="0"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1__FDSAUDITLINK__" hidden="1">{"fdsup://directions/FAT Viewer?action=UPDATE&amp;creator=factset&amp;DYN_ARGS=TRUE&amp;DOC_NAME=FAT:FQL_AUDITING_CLIENT_TEMPLATE.FAT&amp;display_string=Audit&amp;VAR:KEY=MBEXIFCXYR&amp;VAR:QUERY=RkZfRElWX1lMRChBTk4sNy8xOC8wMSw3LzE4LzAxKQ==&amp;WINDOW=FIRST_POPUP&amp;HEIGHT=450&amp;WIDTH=450&amp;","START_MAXIMIZED=FALSE&amp;VAR:CALENDAR=US&amp;VAR:SYMBOL=KO&amp;VAR:INDEX=0"}</definedName>
    <definedName name="_2082__FDSAUDITLINK__" localSheetId="0"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2__FDSAUDITLINK__" hidden="1">{"fdsup://directions/FAT Viewer?action=UPDATE&amp;creator=factset&amp;DYN_ARGS=TRUE&amp;DOC_NAME=FAT:FQL_AUDITING_CLIENT_TEMPLATE.FAT&amp;display_string=Audit&amp;VAR:KEY=QJOPSHILSV&amp;VAR:QUERY=RkZfRElWX1lMRChBTk4sNy8xMS8wMSw3LzExLzAxKQ==&amp;WINDOW=FIRST_POPUP&amp;HEIGHT=450&amp;WIDTH=450&amp;","START_MAXIMIZED=FALSE&amp;VAR:CALENDAR=US&amp;VAR:SYMBOL=KO&amp;VAR:INDEX=0"}</definedName>
    <definedName name="_2083__FDSAUDITLINK__" localSheetId="0"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3__FDSAUDITLINK__" hidden="1">{"fdsup://directions/FAT Viewer?action=UPDATE&amp;creator=factset&amp;DYN_ARGS=TRUE&amp;DOC_NAME=FAT:FQL_AUDITING_CLIENT_TEMPLATE.FAT&amp;display_string=Audit&amp;VAR:KEY=SXYXYLOVQF&amp;VAR:QUERY=RkZfRElWX1lMRChBTk4sNy8wMy8wMSw3LzAzLzAxKQ==&amp;WINDOW=FIRST_POPUP&amp;HEIGHT=450&amp;WIDTH=450&amp;","START_MAXIMIZED=FALSE&amp;VAR:CALENDAR=US&amp;VAR:SYMBOL=KO&amp;VAR:INDEX=0"}</definedName>
    <definedName name="_2084__FDSAUDITLINK__" localSheetId="0"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4__FDSAUDITLINK__" hidden="1">{"fdsup://directions/FAT Viewer?action=UPDATE&amp;creator=factset&amp;DYN_ARGS=TRUE&amp;DOC_NAME=FAT:FQL_AUDITING_CLIENT_TEMPLATE.FAT&amp;display_string=Audit&amp;VAR:KEY=GVULKLSXSX&amp;VAR:QUERY=RkZfRElWX1lMRChBTk4sNi8yNy8wMSw2LzI3LzAxKQ==&amp;WINDOW=FIRST_POPUP&amp;HEIGHT=450&amp;WIDTH=450&amp;","START_MAXIMIZED=FALSE&amp;VAR:CALENDAR=US&amp;VAR:SYMBOL=KO&amp;VAR:INDEX=0"}</definedName>
    <definedName name="_2085">#REF!</definedName>
    <definedName name="_2085__FDSAUDITLINK__" localSheetId="0"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5__FDSAUDITLINK__" hidden="1">{"fdsup://directions/FAT Viewer?action=UPDATE&amp;creator=factset&amp;DYN_ARGS=TRUE&amp;DOC_NAME=FAT:FQL_AUDITING_CLIENT_TEMPLATE.FAT&amp;display_string=Audit&amp;VAR:KEY=UPOPKBMJMJ&amp;VAR:QUERY=RkZfRElWX1lMRChBTk4sNi8yMC8wMSw2LzIwLzAxKQ==&amp;WINDOW=FIRST_POPUP&amp;HEIGHT=450&amp;WIDTH=450&amp;","START_MAXIMIZED=FALSE&amp;VAR:CALENDAR=US&amp;VAR:SYMBOL=KO&amp;VAR:INDEX=0"}</definedName>
    <definedName name="_2086__FDSAUDITLINK__" localSheetId="0"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6__FDSAUDITLINK__" hidden="1">{"fdsup://directions/FAT Viewer?action=UPDATE&amp;creator=factset&amp;DYN_ARGS=TRUE&amp;DOC_NAME=FAT:FQL_AUDITING_CLIENT_TEMPLATE.FAT&amp;display_string=Audit&amp;VAR:KEY=WHAFKFEFYV&amp;VAR:QUERY=RkZfRElWX1lMRChBTk4sNi8xMy8wMSw2LzEzLzAxKQ==&amp;WINDOW=FIRST_POPUP&amp;HEIGHT=450&amp;WIDTH=450&amp;","START_MAXIMIZED=FALSE&amp;VAR:CALENDAR=US&amp;VAR:SYMBOL=KO&amp;VAR:INDEX=0"}</definedName>
    <definedName name="_2087__FDSAUDITLINK__" localSheetId="0"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7__FDSAUDITLINK__" hidden="1">{"fdsup://directions/FAT Viewer?action=UPDATE&amp;creator=factset&amp;DYN_ARGS=TRUE&amp;DOC_NAME=FAT:FQL_AUDITING_CLIENT_TEMPLATE.FAT&amp;display_string=Audit&amp;VAR:KEY=IBSTGRINUH&amp;VAR:QUERY=RkZfRElWX1lMRChBTk4sNi8wNi8wMSw2LzA2LzAxKQ==&amp;WINDOW=FIRST_POPUP&amp;HEIGHT=450&amp;WIDTH=450&amp;","START_MAXIMIZED=FALSE&amp;VAR:CALENDAR=US&amp;VAR:SYMBOL=KO&amp;VAR:INDEX=0"}</definedName>
    <definedName name="_2088__FDSAUDITLINK__" localSheetId="0"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8__FDSAUDITLINK__" hidden="1">{"fdsup://directions/FAT Viewer?action=UPDATE&amp;creator=factset&amp;DYN_ARGS=TRUE&amp;DOC_NAME=FAT:FQL_AUDITING_CLIENT_TEMPLATE.FAT&amp;display_string=Audit&amp;VAR:KEY=UXYNYLGLIH&amp;VAR:QUERY=RkZfRElWX1lMRChBTk4sNS8zMC8wMSw1LzMwLzAxKQ==&amp;WINDOW=FIRST_POPUP&amp;HEIGHT=450&amp;WIDTH=450&amp;","START_MAXIMIZED=FALSE&amp;VAR:CALENDAR=US&amp;VAR:SYMBOL=KO&amp;VAR:INDEX=0"}</definedName>
    <definedName name="_2089__FDSAUDITLINK__" localSheetId="0"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89__FDSAUDITLINK__" hidden="1">{"fdsup://directions/FAT Viewer?action=UPDATE&amp;creator=factset&amp;DYN_ARGS=TRUE&amp;DOC_NAME=FAT:FQL_AUDITING_CLIENT_TEMPLATE.FAT&amp;display_string=Audit&amp;VAR:KEY=MDAXIFQDON&amp;VAR:QUERY=RkZfRElWX1lMRChBTk4sNS8yMy8wMSw1LzIzLzAxKQ==&amp;WINDOW=FIRST_POPUP&amp;HEIGHT=450&amp;WIDTH=450&amp;","START_MAXIMIZED=FALSE&amp;VAR:CALENDAR=US&amp;VAR:SYMBOL=KO&amp;VAR:INDEX=0"}</definedName>
    <definedName name="_209">#REF!</definedName>
    <definedName name="_209__FDSAUDITLINK__" localSheetId="0"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__FDSAUDITLINK__" hidden="1">{"fdsup://directions/FAT Viewer?action=UPDATE&amp;creator=factset&amp;DYN_ARGS=TRUE&amp;DOC_NAME=FAT:FQL_AUDITING_CLIENT_TEMPLATE.FAT&amp;display_string=Audit&amp;VAR:KEY=FQPYFETWBO&amp;VAR:QUERY=RkZfRElWX1lMRChBTk4sNC8wNS8wNyw0LzA1LzA3KQ==&amp;WINDOW=FIRST_POPUP&amp;HEIGHT=450&amp;WIDTH=450&amp;","START_MAXIMIZED=FALSE&amp;VAR:CALENDAR=US&amp;VAR:SYMBOL=RAI&amp;VAR:INDEX=0"}</definedName>
    <definedName name="_2090__FDSAUDITLINK__" localSheetId="0"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0__FDSAUDITLINK__" hidden="1">{"fdsup://directions/FAT Viewer?action=UPDATE&amp;creator=factset&amp;DYN_ARGS=TRUE&amp;DOC_NAME=FAT:FQL_AUDITING_CLIENT_TEMPLATE.FAT&amp;display_string=Audit&amp;VAR:KEY=OTWVKBGFCR&amp;VAR:QUERY=RkZfRElWX1lMRChBTk4sNS8xNi8wMSw1LzE2LzAxKQ==&amp;WINDOW=FIRST_POPUP&amp;HEIGHT=450&amp;WIDTH=450&amp;","START_MAXIMIZED=FALSE&amp;VAR:CALENDAR=US&amp;VAR:SYMBOL=KO&amp;VAR:INDEX=0"}</definedName>
    <definedName name="_2091__FDSAUDITLINK__" localSheetId="0"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1__FDSAUDITLINK__" hidden="1">{"fdsup://directions/FAT Viewer?action=UPDATE&amp;creator=factset&amp;DYN_ARGS=TRUE&amp;DOC_NAME=FAT:FQL_AUDITING_CLIENT_TEMPLATE.FAT&amp;display_string=Audit&amp;VAR:KEY=ATYPOJIRSX&amp;VAR:QUERY=RkZfRElWX1lMRChBTk4sNS8wOS8wMSw1LzA5LzAxKQ==&amp;WINDOW=FIRST_POPUP&amp;HEIGHT=450&amp;WIDTH=450&amp;","START_MAXIMIZED=FALSE&amp;VAR:CALENDAR=US&amp;VAR:SYMBOL=KO&amp;VAR:INDEX=0"}</definedName>
    <definedName name="_2092__FDSAUDITLINK__" localSheetId="0"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2__FDSAUDITLINK__" hidden="1">{"fdsup://directions/FAT Viewer?action=UPDATE&amp;creator=factset&amp;DYN_ARGS=TRUE&amp;DOC_NAME=FAT:FQL_AUDITING_CLIENT_TEMPLATE.FAT&amp;display_string=Audit&amp;VAR:KEY=UZCFOLINAF&amp;VAR:QUERY=RkZfRElWX1lMRChBTk4sNS8wMi8wMSw1LzAyLzAxKQ==&amp;WINDOW=FIRST_POPUP&amp;HEIGHT=450&amp;WIDTH=450&amp;","START_MAXIMIZED=FALSE&amp;VAR:CALENDAR=US&amp;VAR:SYMBOL=KO&amp;VAR:INDEX=0"}</definedName>
    <definedName name="_2093">#REF!</definedName>
    <definedName name="_2093__FDSAUDITLINK__" localSheetId="0"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3__FDSAUDITLINK__" hidden="1">{"fdsup://directions/FAT Viewer?action=UPDATE&amp;creator=factset&amp;DYN_ARGS=TRUE&amp;DOC_NAME=FAT:FQL_AUDITING_CLIENT_TEMPLATE.FAT&amp;display_string=Audit&amp;VAR:KEY=ULKLUBIFAZ&amp;VAR:QUERY=RkZfRElWX1lMRChBTk4sNC8yNS8wMSw0LzI1LzAxKQ==&amp;WINDOW=FIRST_POPUP&amp;HEIGHT=450&amp;WIDTH=450&amp;","START_MAXIMIZED=FALSE&amp;VAR:CALENDAR=US&amp;VAR:SYMBOL=KO&amp;VAR:INDEX=0"}</definedName>
    <definedName name="_2094__FDSAUDITLINK__" localSheetId="0"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4__FDSAUDITLINK__" hidden="1">{"fdsup://directions/FAT Viewer?action=UPDATE&amp;creator=factset&amp;DYN_ARGS=TRUE&amp;DOC_NAME=FAT:FQL_AUDITING_CLIENT_TEMPLATE.FAT&amp;display_string=Audit&amp;VAR:KEY=YHMVMNYZMF&amp;VAR:QUERY=RkZfRElWX1lMRChBTk4sNC8xOC8wMSw0LzE4LzAxKQ==&amp;WINDOW=FIRST_POPUP&amp;HEIGHT=450&amp;WIDTH=450&amp;","START_MAXIMIZED=FALSE&amp;VAR:CALENDAR=US&amp;VAR:SYMBOL=KO&amp;VAR:INDEX=0"}</definedName>
    <definedName name="_2095__FDSAUDITLINK__" localSheetId="0"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5__FDSAUDITLINK__" hidden="1">{"fdsup://directions/FAT Viewer?action=UPDATE&amp;creator=factset&amp;DYN_ARGS=TRUE&amp;DOC_NAME=FAT:FQL_AUDITING_CLIENT_TEMPLATE.FAT&amp;display_string=Audit&amp;VAR:KEY=CDMDETWHSH&amp;VAR:QUERY=RkZfRElWX1lMRChBTk4sNC8xMS8wMSw0LzExLzAxKQ==&amp;WINDOW=FIRST_POPUP&amp;HEIGHT=450&amp;WIDTH=450&amp;","START_MAXIMIZED=FALSE&amp;VAR:CALENDAR=US&amp;VAR:SYMBOL=KO&amp;VAR:INDEX=0"}</definedName>
    <definedName name="_2096__FDSAUDITLINK__" localSheetId="0"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6__FDSAUDITLINK__" hidden="1">{"fdsup://directions/FAT Viewer?action=UPDATE&amp;creator=factset&amp;DYN_ARGS=TRUE&amp;DOC_NAME=FAT:FQL_AUDITING_CLIENT_TEMPLATE.FAT&amp;display_string=Audit&amp;VAR:KEY=EZGZOHYZUH&amp;VAR:QUERY=RkZfRElWX1lMRChBTk4sNC8wNC8wMSw0LzA0LzAxKQ==&amp;WINDOW=FIRST_POPUP&amp;HEIGHT=450&amp;WIDTH=450&amp;","START_MAXIMIZED=FALSE&amp;VAR:CALENDAR=US&amp;VAR:SYMBOL=KO&amp;VAR:INDEX=0"}</definedName>
    <definedName name="_2097">#REF!</definedName>
    <definedName name="_2097__FDSAUDITLINK__" localSheetId="0"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7__FDSAUDITLINK__" hidden="1">{"fdsup://directions/FAT Viewer?action=UPDATE&amp;creator=factset&amp;DYN_ARGS=TRUE&amp;DOC_NAME=FAT:FQL_AUDITING_CLIENT_TEMPLATE.FAT&amp;display_string=Audit&amp;VAR:KEY=UPKNWXSTMD&amp;VAR:QUERY=RkZfRElWX1lMRChBTk4sMy8zMC8xMSwzLzMwLzExKQ==&amp;WINDOW=FIRST_POPUP&amp;HEIGHT=450&amp;WIDTH=450&amp;","START_MAXIMIZED=FALSE&amp;VAR:CALENDAR=US&amp;VAR:SYMBOL=RAI&amp;VAR:INDEX=0"}</definedName>
    <definedName name="_2098__FDSAUDITLINK__" localSheetId="0"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8__FDSAUDITLINK__" hidden="1">{"fdsup://directions/FAT Viewer?action=UPDATE&amp;creator=factset&amp;DYN_ARGS=TRUE&amp;DOC_NAME=FAT:FQL_AUDITING_CLIENT_TEMPLATE.FAT&amp;display_string=Audit&amp;VAR:KEY=UBSNIJMTET&amp;VAR:QUERY=RkZfRElWX1lMRChBTk4sMy8yMy8xMSwzLzIzLzExKQ==&amp;WINDOW=FIRST_POPUP&amp;HEIGHT=450&amp;WIDTH=450&amp;","START_MAXIMIZED=FALSE&amp;VAR:CALENDAR=US&amp;VAR:SYMBOL=RAI&amp;VAR:INDEX=0"}</definedName>
    <definedName name="_2099__FDSAUDITLINK__" localSheetId="0"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99__FDSAUDITLINK__" hidden="1">{"fdsup://directions/FAT Viewer?action=UPDATE&amp;creator=factset&amp;DYN_ARGS=TRUE&amp;DOC_NAME=FAT:FQL_AUDITING_CLIENT_TEMPLATE.FAT&amp;display_string=Audit&amp;VAR:KEY=AZIHUNAVSZ&amp;VAR:QUERY=RkZfRElWX1lMRChBTk4sMy8xNi8xMSwzLzE2LzExKQ==&amp;WINDOW=FIRST_POPUP&amp;HEIGHT=450&amp;WIDTH=450&amp;","START_MAXIMIZED=FALSE&amp;VAR:CALENDAR=US&amp;VAR:SYMBOL=RAI&amp;VAR:INDEX=0"}</definedName>
    <definedName name="_20f3_" hidden="1">{"'분양원가'!$B$1:$F$113"}</definedName>
    <definedName name="_20main_form_account_grants_list_17_j_id1022">#REF!</definedName>
    <definedName name="_20MatInverse" hidden="1">#REF!</definedName>
    <definedName name="_20s16_" hidden="1">{#N/A,#N/A,FALSE,"UNIT";#N/A,#N/A,FALSE,"UNIT";#N/A,#N/A,FALSE,"계정"}</definedName>
    <definedName name="_20s9_" hidden="1">{#N/A,#N/A,FALSE,"UNIT";#N/A,#N/A,FALSE,"UNIT";#N/A,#N/A,FALSE,"계정"}</definedName>
    <definedName name="_20T1">#REF!</definedName>
    <definedName name="_20T2">#REF!</definedName>
    <definedName name="_21">#REF!</definedName>
    <definedName name="_21_________NOTE1_3">#REF!</definedName>
    <definedName name="_21__123Graph_AGROSS_MARGINS" hidden="1">#REF!</definedName>
    <definedName name="_21__123Graph_ASUPPLIES_BY_B_U">#REF!</definedName>
    <definedName name="_21__123Graph_BCHART_112" hidden="1">#REF!</definedName>
    <definedName name="_21__123Graph_BChart_31L">#REF!</definedName>
    <definedName name="_21__123Graph_BCONTRACT_BY_B_U">#REF!</definedName>
    <definedName name="_21__123Graph_BSUPPLIES_BY_B_U">#REF!</definedName>
    <definedName name="_21__123Graph_BTAX_CREDIT">#REF!</definedName>
    <definedName name="_21__123Graph_CQRE_S_BY_TYPE" hidden="1">#REF!</definedName>
    <definedName name="_21__123Graph_CSENS_COMPARISON">#REF!</definedName>
    <definedName name="_21__123Graph_CSUPPLIES_BY_B_U">#REF!</definedName>
    <definedName name="_21__123Graph_DCONTRACT_BY_B_U" hidden="1">#REF!</definedName>
    <definedName name="_21__123Graph_DQRE_S_BY_CO.">#REF!</definedName>
    <definedName name="_21__123Graph_DSUPPLIES_BY_B_U">#REF!</definedName>
    <definedName name="_21__123Graph_DWAGES_BY_B_U">#REF!</definedName>
    <definedName name="_21__FDSAUDITLINK__" localSheetId="0"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_FDSAUDITLINK__" hidden="1">{"fdsup://directions/FAT Viewer?action=UPDATE&amp;creator=factset&amp;DYN_ARGS=TRUE&amp;DOC_NAME=FAT:FQL_AUDITING_CLIENT_TEMPLATE.FAT&amp;display_string=Audit&amp;VAR:KEY=ALUBKXWBYN&amp;VAR:QUERY=Q1NGX0RJVl9ZTEQoUVRSX1IsMTIvMzAvMjAwNSk=&amp;WINDOW=FIRST_POPUP&amp;HEIGHT=450&amp;WIDTH=450&amp;STAR","T_MAXIMIZED=FALSE&amp;VAR:CALENDAR=US&amp;VAR:SYMBOL=MO&amp;VAR:INDEX=0"}</definedName>
    <definedName name="_21_0_Table2_" hidden="1">#REF!</definedName>
    <definedName name="_21_02_1999">#REF!</definedName>
    <definedName name="_21_6__1_CRADDIN_DataGrid">#REF!</definedName>
    <definedName name="_210">#REF!</definedName>
    <definedName name="_210__FDSAUDITLINK__" localSheetId="0"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__FDSAUDITLINK__" hidden="1">{"fdsup://directions/FAT Viewer?action=UPDATE&amp;creator=factset&amp;DYN_ARGS=TRUE&amp;DOC_NAME=FAT:FQL_AUDITING_CLIENT_TEMPLATE.FAT&amp;display_string=Audit&amp;VAR:KEY=JCPULKZWRS&amp;VAR:QUERY=RkZfRElWX1lMRChBTk4sMy8yOS8wNywzLzI5LzA3KQ==&amp;WINDOW=FIRST_POPUP&amp;HEIGHT=450&amp;WIDTH=450&amp;","START_MAXIMIZED=FALSE&amp;VAR:CALENDAR=US&amp;VAR:SYMBOL=RAI&amp;VAR:INDEX=0"}</definedName>
    <definedName name="_2100__FDSAUDITLINK__" localSheetId="0"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0__FDSAUDITLINK__" hidden="1">{"fdsup://directions/FAT Viewer?action=UPDATE&amp;creator=factset&amp;DYN_ARGS=TRUE&amp;DOC_NAME=FAT:FQL_AUDITING_CLIENT_TEMPLATE.FAT&amp;display_string=Audit&amp;VAR:KEY=KJSBSJEXMT&amp;VAR:QUERY=RkZfRElWX1lMRChBTk4sMy8wOS8xMSwzLzA5LzExKQ==&amp;WINDOW=FIRST_POPUP&amp;HEIGHT=450&amp;WIDTH=450&amp;","START_MAXIMIZED=FALSE&amp;VAR:CALENDAR=US&amp;VAR:SYMBOL=RAI&amp;VAR:INDEX=0"}</definedName>
    <definedName name="_2101__FDSAUDITLINK__" localSheetId="0"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1__FDSAUDITLINK__" hidden="1">{"fdsup://directions/FAT Viewer?action=UPDATE&amp;creator=factset&amp;DYN_ARGS=TRUE&amp;DOC_NAME=FAT:FQL_AUDITING_CLIENT_TEMPLATE.FAT&amp;display_string=Audit&amp;VAR:KEY=CDWNWXIFQF&amp;VAR:QUERY=RkZfRElWX1lMRChBTk4sMy8wMi8xMSwzLzAyLzExKQ==&amp;WINDOW=FIRST_POPUP&amp;HEIGHT=450&amp;WIDTH=450&amp;","START_MAXIMIZED=FALSE&amp;VAR:CALENDAR=US&amp;VAR:SYMBOL=RAI&amp;VAR:INDEX=0"}</definedName>
    <definedName name="_2102">#REF!</definedName>
    <definedName name="_2102__FDSAUDITLINK__" localSheetId="0"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2__FDSAUDITLINK__" hidden="1">{"fdsup://directions/FAT Viewer?action=UPDATE&amp;creator=factset&amp;DYN_ARGS=TRUE&amp;DOC_NAME=FAT:FQL_AUDITING_CLIENT_TEMPLATE.FAT&amp;display_string=Audit&amp;VAR:KEY=AXUZUDOJOX&amp;VAR:QUERY=RkZfRElWX1lMRChBTk4sMi8yMy8xMSwyLzIzLzExKQ==&amp;WINDOW=FIRST_POPUP&amp;HEIGHT=450&amp;WIDTH=450&amp;","START_MAXIMIZED=FALSE&amp;VAR:CALENDAR=US&amp;VAR:SYMBOL=RAI&amp;VAR:INDEX=0"}</definedName>
    <definedName name="_2103__FDSAUDITLINK__" localSheetId="0"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3__FDSAUDITLINK__" hidden="1">{"fdsup://directions/FAT Viewer?action=UPDATE&amp;creator=factset&amp;DYN_ARGS=TRUE&amp;DOC_NAME=FAT:FQL_AUDITING_CLIENT_TEMPLATE.FAT&amp;display_string=Audit&amp;VAR:KEY=WRIHGFSBOD&amp;VAR:QUERY=RkZfRElWX1lMRChBTk4sMi8xNi8xMSwyLzE2LzExKQ==&amp;WINDOW=FIRST_POPUP&amp;HEIGHT=450&amp;WIDTH=450&amp;","START_MAXIMIZED=FALSE&amp;VAR:CALENDAR=US&amp;VAR:SYMBOL=RAI&amp;VAR:INDEX=0"}</definedName>
    <definedName name="_2104__FDSAUDITLINK__" localSheetId="0"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4__FDSAUDITLINK__" hidden="1">{"fdsup://directions/FAT Viewer?action=UPDATE&amp;creator=factset&amp;DYN_ARGS=TRUE&amp;DOC_NAME=FAT:FQL_AUDITING_CLIENT_TEMPLATE.FAT&amp;display_string=Audit&amp;VAR:KEY=GPQFWNWNWZ&amp;VAR:QUERY=RkZfRElWX1lMRChBTk4sMi8wOS8xMSwyLzA5LzExKQ==&amp;WINDOW=FIRST_POPUP&amp;HEIGHT=450&amp;WIDTH=450&amp;","START_MAXIMIZED=FALSE&amp;VAR:CALENDAR=US&amp;VAR:SYMBOL=RAI&amp;VAR:INDEX=0"}</definedName>
    <definedName name="_2105__FDSAUDITLINK__" localSheetId="0"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5__FDSAUDITLINK__" hidden="1">{"fdsup://directions/FAT Viewer?action=UPDATE&amp;creator=factset&amp;DYN_ARGS=TRUE&amp;DOC_NAME=FAT:FQL_AUDITING_CLIENT_TEMPLATE.FAT&amp;display_string=Audit&amp;VAR:KEY=SJOFGPCJSN&amp;VAR:QUERY=RkZfRElWX1lMRChBTk4sMi8wMi8xMSwyLzAyLzExKQ==&amp;WINDOW=FIRST_POPUP&amp;HEIGHT=450&amp;WIDTH=450&amp;","START_MAXIMIZED=FALSE&amp;VAR:CALENDAR=US&amp;VAR:SYMBOL=RAI&amp;VAR:INDEX=0"}</definedName>
    <definedName name="_2106__FDSAUDITLINK__" localSheetId="0"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6__FDSAUDITLINK__" hidden="1">{"fdsup://directions/FAT Viewer?action=UPDATE&amp;creator=factset&amp;DYN_ARGS=TRUE&amp;DOC_NAME=FAT:FQL_AUDITING_CLIENT_TEMPLATE.FAT&amp;display_string=Audit&amp;VAR:KEY=AJKPSJINWN&amp;VAR:QUERY=RkZfRElWX1lMRChBTk4sMS8yNi8xMSwxLzI2LzExKQ==&amp;WINDOW=FIRST_POPUP&amp;HEIGHT=450&amp;WIDTH=450&amp;","START_MAXIMIZED=FALSE&amp;VAR:CALENDAR=US&amp;VAR:SYMBOL=RAI&amp;VAR:INDEX=0"}</definedName>
    <definedName name="_2107">#REF!</definedName>
    <definedName name="_2107__FDSAUDITLINK__" localSheetId="0"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7__FDSAUDITLINK__" hidden="1">{"fdsup://directions/FAT Viewer?action=UPDATE&amp;creator=factset&amp;DYN_ARGS=TRUE&amp;DOC_NAME=FAT:FQL_AUDITING_CLIENT_TEMPLATE.FAT&amp;display_string=Audit&amp;VAR:KEY=SDCXQZUTGF&amp;VAR:QUERY=RkZfRElWX1lMRChBTk4sMS8xOS8xMSwxLzE5LzExKQ==&amp;WINDOW=FIRST_POPUP&amp;HEIGHT=450&amp;WIDTH=450&amp;","START_MAXIMIZED=FALSE&amp;VAR:CALENDAR=US&amp;VAR:SYMBOL=RAI&amp;VAR:INDEX=0"}</definedName>
    <definedName name="_2108__FDSAUDITLINK__" localSheetId="0"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8__FDSAUDITLINK__" hidden="1">{"fdsup://directions/FAT Viewer?action=UPDATE&amp;creator=factset&amp;DYN_ARGS=TRUE&amp;DOC_NAME=FAT:FQL_AUDITING_CLIENT_TEMPLATE.FAT&amp;display_string=Audit&amp;VAR:KEY=KDKXEPCTKL&amp;VAR:QUERY=RkZfRElWX1lMRChBTk4sMS8xMi8xMSwxLzEyLzExKQ==&amp;WINDOW=FIRST_POPUP&amp;HEIGHT=450&amp;WIDTH=450&amp;","START_MAXIMIZED=FALSE&amp;VAR:CALENDAR=US&amp;VAR:SYMBOL=RAI&amp;VAR:INDEX=0"}</definedName>
    <definedName name="_2109__FDSAUDITLINK__" localSheetId="0"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09__FDSAUDITLINK__" hidden="1">{"fdsup://directions/FAT Viewer?action=UPDATE&amp;creator=factset&amp;DYN_ARGS=TRUE&amp;DOC_NAME=FAT:FQL_AUDITING_CLIENT_TEMPLATE.FAT&amp;display_string=Audit&amp;VAR:KEY=IHMRQNUBML&amp;VAR:QUERY=RkZfRElWX1lMRChBTk4sMS8wNS8xMSwxLzA1LzExKQ==&amp;WINDOW=FIRST_POPUP&amp;HEIGHT=450&amp;WIDTH=450&amp;","START_MAXIMIZED=FALSE&amp;VAR:CALENDAR=US&amp;VAR:SYMBOL=RAI&amp;VAR:INDEX=0"}</definedName>
    <definedName name="_211" hidden="1">{#N/A,#N/A,FALSE,"ESI";#N/A,#N/A,FALSE,"LTI";#N/A,#N/A,FALSE,"Medical";#N/A,#N/A,FALSE,"DSG";#N/A,#N/A,FALSE,"PI";#N/A,#N/A,FALSE,"OI"}</definedName>
    <definedName name="_211__FDSAUDITLINK__" localSheetId="0"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__FDSAUDITLINK__" hidden="1">{"fdsup://directions/FAT Viewer?action=UPDATE&amp;creator=factset&amp;DYN_ARGS=TRUE&amp;DOC_NAME=FAT:FQL_AUDITING_CLIENT_TEMPLATE.FAT&amp;display_string=Audit&amp;VAR:KEY=HKBQHYTCVW&amp;VAR:QUERY=RkZfRElWX1lMRChBTk4sMy8yMi8wNywzLzIyLzA3KQ==&amp;WINDOW=FIRST_POPUP&amp;HEIGHT=450&amp;WIDTH=450&amp;","START_MAXIMIZED=FALSE&amp;VAR:CALENDAR=US&amp;VAR:SYMBOL=RAI&amp;VAR:INDEX=0"}</definedName>
    <definedName name="_2110__FDSAUDITLINK__" localSheetId="0"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0__FDSAUDITLINK__" hidden="1">{"fdsup://directions/FAT Viewer?action=UPDATE&amp;creator=factset&amp;DYN_ARGS=TRUE&amp;DOC_NAME=FAT:FQL_AUDITING_CLIENT_TEMPLATE.FAT&amp;display_string=Audit&amp;VAR:KEY=YDIDKFWDGX&amp;VAR:QUERY=RkZfRElWX1lMRChBTk4sMTIvMjkvMTAsMTIvMjkvMTAp&amp;WINDOW=FIRST_POPUP&amp;HEIGHT=450&amp;WIDTH=450&amp;","START_MAXIMIZED=FALSE&amp;VAR:CALENDAR=US&amp;VAR:SYMBOL=RAI&amp;VAR:INDEX=0"}</definedName>
    <definedName name="_2111__FDSAUDITLINK__" localSheetId="0"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1__FDSAUDITLINK__" hidden="1">{"fdsup://directions/FAT Viewer?action=UPDATE&amp;creator=factset&amp;DYN_ARGS=TRUE&amp;DOC_NAME=FAT:FQL_AUDITING_CLIENT_TEMPLATE.FAT&amp;display_string=Audit&amp;VAR:KEY=MPYJODWVIR&amp;VAR:QUERY=RkZfRElWX1lMRChBTk4sMTIvMjIvMTAsMTIvMjIvMTAp&amp;WINDOW=FIRST_POPUP&amp;HEIGHT=450&amp;WIDTH=450&amp;","START_MAXIMIZED=FALSE&amp;VAR:CALENDAR=US&amp;VAR:SYMBOL=RAI&amp;VAR:INDEX=0"}</definedName>
    <definedName name="_2112__FDSAUDITLINK__" localSheetId="0"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2__FDSAUDITLINK__" hidden="1">{"fdsup://directions/FAT Viewer?action=UPDATE&amp;creator=factset&amp;DYN_ARGS=TRUE&amp;DOC_NAME=FAT:FQL_AUDITING_CLIENT_TEMPLATE.FAT&amp;display_string=Audit&amp;VAR:KEY=ODYNCNAZMT&amp;VAR:QUERY=RkZfRElWX1lMRChBTk4sMTIvMTUvMTAsMTIvMTUvMTAp&amp;WINDOW=FIRST_POPUP&amp;HEIGHT=450&amp;WIDTH=450&amp;","START_MAXIMIZED=FALSE&amp;VAR:CALENDAR=US&amp;VAR:SYMBOL=RAI&amp;VAR:INDEX=0"}</definedName>
    <definedName name="_2113__FDSAUDITLINK__" localSheetId="0"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3__FDSAUDITLINK__" hidden="1">{"fdsup://directions/FAT Viewer?action=UPDATE&amp;creator=factset&amp;DYN_ARGS=TRUE&amp;DOC_NAME=FAT:FQL_AUDITING_CLIENT_TEMPLATE.FAT&amp;display_string=Audit&amp;VAR:KEY=YFMPQZWRKX&amp;VAR:QUERY=RkZfRElWX1lMRChBTk4sMTIvMDgvMTAsMTIvMDgvMTAp&amp;WINDOW=FIRST_POPUP&amp;HEIGHT=450&amp;WIDTH=450&amp;","START_MAXIMIZED=FALSE&amp;VAR:CALENDAR=US&amp;VAR:SYMBOL=RAI&amp;VAR:INDEX=0"}</definedName>
    <definedName name="_2114__FDSAUDITLINK__" localSheetId="0"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4__FDSAUDITLINK__" hidden="1">{"fdsup://directions/FAT Viewer?action=UPDATE&amp;creator=factset&amp;DYN_ARGS=TRUE&amp;DOC_NAME=FAT:FQL_AUDITING_CLIENT_TEMPLATE.FAT&amp;display_string=Audit&amp;VAR:KEY=SJUXYPWVKX&amp;VAR:QUERY=RkZfRElWX1lMRChBTk4sMTIvMDEvMTAsMTIvMDEvMTAp&amp;WINDOW=FIRST_POPUP&amp;HEIGHT=450&amp;WIDTH=450&amp;","START_MAXIMIZED=FALSE&amp;VAR:CALENDAR=US&amp;VAR:SYMBOL=RAI&amp;VAR:INDEX=0"}</definedName>
    <definedName name="_2115">#REF!</definedName>
    <definedName name="_2115__FDSAUDITLINK__" localSheetId="0"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5__FDSAUDITLINK__" hidden="1">{"fdsup://directions/FAT Viewer?action=UPDATE&amp;creator=factset&amp;DYN_ARGS=TRUE&amp;DOC_NAME=FAT:FQL_AUDITING_CLIENT_TEMPLATE.FAT&amp;display_string=Audit&amp;VAR:KEY=WNUTKFMTAZ&amp;VAR:QUERY=RkZfRElWX1lMRChBTk4sMTEvMjQvMTAsMTEvMjQvMTAp&amp;WINDOW=FIRST_POPUP&amp;HEIGHT=450&amp;WIDTH=450&amp;","START_MAXIMIZED=FALSE&amp;VAR:CALENDAR=US&amp;VAR:SYMBOL=RAI&amp;VAR:INDEX=0"}</definedName>
    <definedName name="_2116__FDSAUDITLINK__" localSheetId="0"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6__FDSAUDITLINK__" hidden="1">{"fdsup://directions/FAT Viewer?action=UPDATE&amp;creator=factset&amp;DYN_ARGS=TRUE&amp;DOC_NAME=FAT:FQL_AUDITING_CLIENT_TEMPLATE.FAT&amp;display_string=Audit&amp;VAR:KEY=CJSNGDIRSD&amp;VAR:QUERY=RkZfRElWX1lMRChBTk4sMTEvMTcvMTAsMTEvMTcvMTAp&amp;WINDOW=FIRST_POPUP&amp;HEIGHT=450&amp;WIDTH=450&amp;","START_MAXIMIZED=FALSE&amp;VAR:CALENDAR=US&amp;VAR:SYMBOL=RAI&amp;VAR:INDEX=0"}</definedName>
    <definedName name="_2117__FDSAUDITLINK__" localSheetId="0"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7__FDSAUDITLINK__" hidden="1">{"fdsup://directions/FAT Viewer?action=UPDATE&amp;creator=factset&amp;DYN_ARGS=TRUE&amp;DOC_NAME=FAT:FQL_AUDITING_CLIENT_TEMPLATE.FAT&amp;display_string=Audit&amp;VAR:KEY=WXWZMVGVMX&amp;VAR:QUERY=RkZfRElWX1lMRChBTk4sMTEvMTAvMTAsMTEvMTAvMTAp&amp;WINDOW=FIRST_POPUP&amp;HEIGHT=450&amp;WIDTH=450&amp;","START_MAXIMIZED=FALSE&amp;VAR:CALENDAR=US&amp;VAR:SYMBOL=RAI&amp;VAR:INDEX=0"}</definedName>
    <definedName name="_2118__FDSAUDITLINK__" localSheetId="0"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8__FDSAUDITLINK__" hidden="1">{"fdsup://directions/FAT Viewer?action=UPDATE&amp;creator=factset&amp;DYN_ARGS=TRUE&amp;DOC_NAME=FAT:FQL_AUDITING_CLIENT_TEMPLATE.FAT&amp;display_string=Audit&amp;VAR:KEY=KXKNCFCXGL&amp;VAR:QUERY=RkZfRElWX1lMRChBTk4sMTEvMDMvMTAsMTEvMDMvMTAp&amp;WINDOW=FIRST_POPUP&amp;HEIGHT=450&amp;WIDTH=450&amp;","START_MAXIMIZED=FALSE&amp;VAR:CALENDAR=US&amp;VAR:SYMBOL=RAI&amp;VAR:INDEX=0"}</definedName>
    <definedName name="_2119">#REF!</definedName>
    <definedName name="_2119__FDSAUDITLINK__" localSheetId="0"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19__FDSAUDITLINK__" hidden="1">{"fdsup://directions/FAT Viewer?action=UPDATE&amp;creator=factset&amp;DYN_ARGS=TRUE&amp;DOC_NAME=FAT:FQL_AUDITING_CLIENT_TEMPLATE.FAT&amp;display_string=Audit&amp;VAR:KEY=SLWJYFWDGB&amp;VAR:QUERY=RkZfRElWX1lMRChBTk4sMTAvMjcvMTAsMTAvMjcvMTAp&amp;WINDOW=FIRST_POPUP&amp;HEIGHT=450&amp;WIDTH=450&amp;","START_MAXIMIZED=FALSE&amp;VAR:CALENDAR=US&amp;VAR:SYMBOL=RAI&amp;VAR:INDEX=0"}</definedName>
    <definedName name="_212__FDSAUDITLINK__" localSheetId="0"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__FDSAUDITLINK__" hidden="1">{"fdsup://directions/FAT Viewer?action=UPDATE&amp;creator=factset&amp;DYN_ARGS=TRUE&amp;DOC_NAME=FAT:FQL_AUDITING_CLIENT_TEMPLATE.FAT&amp;display_string=Audit&amp;VAR:KEY=TYRMTEREXW&amp;VAR:QUERY=RkZfRElWX1lMRChBTk4sMy8xNS8wNywzLzE1LzA3KQ==&amp;WINDOW=FIRST_POPUP&amp;HEIGHT=450&amp;WIDTH=450&amp;","START_MAXIMIZED=FALSE&amp;VAR:CALENDAR=US&amp;VAR:SYMBOL=RAI&amp;VAR:INDEX=0"}</definedName>
    <definedName name="_2120__FDSAUDITLINK__" localSheetId="0"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0__FDSAUDITLINK__" hidden="1">{"fdsup://directions/FAT Viewer?action=UPDATE&amp;creator=factset&amp;DYN_ARGS=TRUE&amp;DOC_NAME=FAT:FQL_AUDITING_CLIENT_TEMPLATE.FAT&amp;display_string=Audit&amp;VAR:KEY=YPGRSHODIP&amp;VAR:QUERY=RkZfRElWX1lMRChBTk4sMTAvMjAvMTAsMTAvMjAvMTAp&amp;WINDOW=FIRST_POPUP&amp;HEIGHT=450&amp;WIDTH=450&amp;","START_MAXIMIZED=FALSE&amp;VAR:CALENDAR=US&amp;VAR:SYMBOL=RAI&amp;VAR:INDEX=0"}</definedName>
    <definedName name="_2121__FDSAUDITLINK__" localSheetId="0"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1__FDSAUDITLINK__" hidden="1">{"fdsup://directions/FAT Viewer?action=UPDATE&amp;creator=factset&amp;DYN_ARGS=TRUE&amp;DOC_NAME=FAT:FQL_AUDITING_CLIENT_TEMPLATE.FAT&amp;display_string=Audit&amp;VAR:KEY=KBUPEPQXAJ&amp;VAR:QUERY=RkZfRElWX1lMRChBTk4sMTAvMTMvMTAsMTAvMTMvMTAp&amp;WINDOW=FIRST_POPUP&amp;HEIGHT=450&amp;WIDTH=450&amp;","START_MAXIMIZED=FALSE&amp;VAR:CALENDAR=US&amp;VAR:SYMBOL=RAI&amp;VAR:INDEX=0"}</definedName>
    <definedName name="_2122__FDSAUDITLINK__" localSheetId="0"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2__FDSAUDITLINK__" hidden="1">{"fdsup://directions/FAT Viewer?action=UPDATE&amp;creator=factset&amp;DYN_ARGS=TRUE&amp;DOC_NAME=FAT:FQL_AUDITING_CLIENT_TEMPLATE.FAT&amp;display_string=Audit&amp;VAR:KEY=WDQZGLMBIT&amp;VAR:QUERY=RkZfRElWX1lMRChBTk4sMTAvMDYvMTAsMTAvMDYvMTAp&amp;WINDOW=FIRST_POPUP&amp;HEIGHT=450&amp;WIDTH=450&amp;","START_MAXIMIZED=FALSE&amp;VAR:CALENDAR=US&amp;VAR:SYMBOL=RAI&amp;VAR:INDEX=0"}</definedName>
    <definedName name="_2123__FDSAUDITLINK__" localSheetId="0"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3__FDSAUDITLINK__" hidden="1">{"fdsup://directions/FAT Viewer?action=UPDATE&amp;creator=factset&amp;DYN_ARGS=TRUE&amp;DOC_NAME=FAT:FQL_AUDITING_CLIENT_TEMPLATE.FAT&amp;display_string=Audit&amp;VAR:KEY=AZUNQLWZAN&amp;VAR:QUERY=RkZfRElWX1lMRChBTk4sOS8yOS8xMCw5LzI5LzEwKQ==&amp;WINDOW=FIRST_POPUP&amp;HEIGHT=450&amp;WIDTH=450&amp;","START_MAXIMIZED=FALSE&amp;VAR:CALENDAR=US&amp;VAR:SYMBOL=RAI&amp;VAR:INDEX=0"}</definedName>
    <definedName name="_2124">#REF!</definedName>
    <definedName name="_2124__FDSAUDITLINK__" localSheetId="0"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4__FDSAUDITLINK__" hidden="1">{"fdsup://directions/FAT Viewer?action=UPDATE&amp;creator=factset&amp;DYN_ARGS=TRUE&amp;DOC_NAME=FAT:FQL_AUDITING_CLIENT_TEMPLATE.FAT&amp;display_string=Audit&amp;VAR:KEY=IRIHGTIJIX&amp;VAR:QUERY=RkZfRElWX1lMRChBTk4sOS8yMi8xMCw5LzIyLzEwKQ==&amp;WINDOW=FIRST_POPUP&amp;HEIGHT=450&amp;WIDTH=450&amp;","START_MAXIMIZED=FALSE&amp;VAR:CALENDAR=US&amp;VAR:SYMBOL=RAI&amp;VAR:INDEX=0"}</definedName>
    <definedName name="_2125__FDSAUDITLINK__" localSheetId="0"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5__FDSAUDITLINK__" hidden="1">{"fdsup://directions/FAT Viewer?action=UPDATE&amp;creator=factset&amp;DYN_ARGS=TRUE&amp;DOC_NAME=FAT:FQL_AUDITING_CLIENT_TEMPLATE.FAT&amp;display_string=Audit&amp;VAR:KEY=UDKJWJSRCN&amp;VAR:QUERY=RkZfRElWX1lMRChBTk4sOS8xNS8xMCw5LzE1LzEwKQ==&amp;WINDOW=FIRST_POPUP&amp;HEIGHT=450&amp;WIDTH=450&amp;","START_MAXIMIZED=FALSE&amp;VAR:CALENDAR=US&amp;VAR:SYMBOL=RAI&amp;VAR:INDEX=0"}</definedName>
    <definedName name="_2126__FDSAUDITLINK__" localSheetId="0"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6__FDSAUDITLINK__" hidden="1">{"fdsup://directions/FAT Viewer?action=UPDATE&amp;creator=factset&amp;DYN_ARGS=TRUE&amp;DOC_NAME=FAT:FQL_AUDITING_CLIENT_TEMPLATE.FAT&amp;display_string=Audit&amp;VAR:KEY=EZWHKTQNSL&amp;VAR:QUERY=RkZfRElWX1lMRChBTk4sOS8wOC8xMCw5LzA4LzEwKQ==&amp;WINDOW=FIRST_POPUP&amp;HEIGHT=450&amp;WIDTH=450&amp;","START_MAXIMIZED=FALSE&amp;VAR:CALENDAR=US&amp;VAR:SYMBOL=RAI&amp;VAR:INDEX=0"}</definedName>
    <definedName name="_2127__FDSAUDITLINK__" localSheetId="0"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7__FDSAUDITLINK__" hidden="1">{"fdsup://directions/FAT Viewer?action=UPDATE&amp;creator=factset&amp;DYN_ARGS=TRUE&amp;DOC_NAME=FAT:FQL_AUDITING_CLIENT_TEMPLATE.FAT&amp;display_string=Audit&amp;VAR:KEY=MJAZMRWTGV&amp;VAR:QUERY=RkZfRElWX1lMRChBTk4sOS8wMS8xMCw5LzAxLzEwKQ==&amp;WINDOW=FIRST_POPUP&amp;HEIGHT=450&amp;WIDTH=450&amp;","START_MAXIMIZED=FALSE&amp;VAR:CALENDAR=US&amp;VAR:SYMBOL=RAI&amp;VAR:INDEX=0"}</definedName>
    <definedName name="_2128__FDSAUDITLINK__" localSheetId="0"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8__FDSAUDITLINK__" hidden="1">{"fdsup://directions/FAT Viewer?action=UPDATE&amp;creator=factset&amp;DYN_ARGS=TRUE&amp;DOC_NAME=FAT:FQL_AUDITING_CLIENT_TEMPLATE.FAT&amp;display_string=Audit&amp;VAR:KEY=UHMTUDCNAF&amp;VAR:QUERY=RkZfRElWX1lMRChBTk4sOC8yNS8xMCw4LzI1LzEwKQ==&amp;WINDOW=FIRST_POPUP&amp;HEIGHT=450&amp;WIDTH=450&amp;","START_MAXIMIZED=FALSE&amp;VAR:CALENDAR=US&amp;VAR:SYMBOL=RAI&amp;VAR:INDEX=0"}</definedName>
    <definedName name="_2129">#REF!</definedName>
    <definedName name="_2129__FDSAUDITLINK__" localSheetId="0"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29__FDSAUDITLINK__" hidden="1">{"fdsup://directions/FAT Viewer?action=UPDATE&amp;creator=factset&amp;DYN_ARGS=TRUE&amp;DOC_NAME=FAT:FQL_AUDITING_CLIENT_TEMPLATE.FAT&amp;display_string=Audit&amp;VAR:KEY=SJQFOVKLMB&amp;VAR:QUERY=RkZfRElWX1lMRChBTk4sOC8xOC8xMCw4LzE4LzEwKQ==&amp;WINDOW=FIRST_POPUP&amp;HEIGHT=450&amp;WIDTH=450&amp;","START_MAXIMIZED=FALSE&amp;VAR:CALENDAR=US&amp;VAR:SYMBOL=RAI&amp;VAR:INDEX=0"}</definedName>
    <definedName name="_213__FDSAUDITLINK__" localSheetId="0"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__FDSAUDITLINK__" hidden="1">{"fdsup://directions/FAT Viewer?action=UPDATE&amp;creator=factset&amp;DYN_ARGS=TRUE&amp;DOC_NAME=FAT:FQL_AUDITING_CLIENT_TEMPLATE.FAT&amp;display_string=Audit&amp;VAR:KEY=FUHKPCNQRS&amp;VAR:QUERY=RkZfRElWX1lMRChBTk4sMy8wOC8wNywzLzA4LzA3KQ==&amp;WINDOW=FIRST_POPUP&amp;HEIGHT=450&amp;WIDTH=450&amp;","START_MAXIMIZED=FALSE&amp;VAR:CALENDAR=US&amp;VAR:SYMBOL=RAI&amp;VAR:INDEX=0"}</definedName>
    <definedName name="_2130__FDSAUDITLINK__" localSheetId="0"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0__FDSAUDITLINK__" hidden="1">{"fdsup://directions/FAT Viewer?action=UPDATE&amp;creator=factset&amp;DYN_ARGS=TRUE&amp;DOC_NAME=FAT:FQL_AUDITING_CLIENT_TEMPLATE.FAT&amp;display_string=Audit&amp;VAR:KEY=OBYHIHIROT&amp;VAR:QUERY=RkZfRElWX1lMRChBTk4sOC8xMS8xMCw4LzExLzEwKQ==&amp;WINDOW=FIRST_POPUP&amp;HEIGHT=450&amp;WIDTH=450&amp;","START_MAXIMIZED=FALSE&amp;VAR:CALENDAR=US&amp;VAR:SYMBOL=RAI&amp;VAR:INDEX=0"}</definedName>
    <definedName name="_2131__FDSAUDITLINK__" localSheetId="0"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1__FDSAUDITLINK__" hidden="1">{"fdsup://directions/FAT Viewer?action=UPDATE&amp;creator=factset&amp;DYN_ARGS=TRUE&amp;DOC_NAME=FAT:FQL_AUDITING_CLIENT_TEMPLATE.FAT&amp;display_string=Audit&amp;VAR:KEY=IPWHGZERAJ&amp;VAR:QUERY=RkZfRElWX1lMRChBTk4sOC8wNC8xMCw4LzA0LzEwKQ==&amp;WINDOW=FIRST_POPUP&amp;HEIGHT=450&amp;WIDTH=450&amp;","START_MAXIMIZED=FALSE&amp;VAR:CALENDAR=US&amp;VAR:SYMBOL=RAI&amp;VAR:INDEX=0"}</definedName>
    <definedName name="_2132">#REF!</definedName>
    <definedName name="_2132__FDSAUDITLINK__" localSheetId="0"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2__FDSAUDITLINK__" hidden="1">{"fdsup://directions/FAT Viewer?action=UPDATE&amp;creator=factset&amp;DYN_ARGS=TRUE&amp;DOC_NAME=FAT:FQL_AUDITING_CLIENT_TEMPLATE.FAT&amp;display_string=Audit&amp;VAR:KEY=SHIZIPQZIF&amp;VAR:QUERY=RkZfRElWX1lMRChBTk4sNy8yOC8xMCw3LzI4LzEwKQ==&amp;WINDOW=FIRST_POPUP&amp;HEIGHT=450&amp;WIDTH=450&amp;","START_MAXIMIZED=FALSE&amp;VAR:CALENDAR=US&amp;VAR:SYMBOL=RAI&amp;VAR:INDEX=0"}</definedName>
    <definedName name="_2133">#REF!</definedName>
    <definedName name="_2133__FDSAUDITLINK__" localSheetId="0"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3__FDSAUDITLINK__" hidden="1">{"fdsup://directions/FAT Viewer?action=UPDATE&amp;creator=factset&amp;DYN_ARGS=TRUE&amp;DOC_NAME=FAT:FQL_AUDITING_CLIENT_TEMPLATE.FAT&amp;display_string=Audit&amp;VAR:KEY=URONMRSJMH&amp;VAR:QUERY=RkZfRElWX1lMRChBTk4sNy8yMS8xMCw3LzIxLzEwKQ==&amp;WINDOW=FIRST_POPUP&amp;HEIGHT=450&amp;WIDTH=450&amp;","START_MAXIMIZED=FALSE&amp;VAR:CALENDAR=US&amp;VAR:SYMBOL=RAI&amp;VAR:INDEX=0"}</definedName>
    <definedName name="_2134__FDSAUDITLINK__" localSheetId="0"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4__FDSAUDITLINK__" hidden="1">{"fdsup://directions/FAT Viewer?action=UPDATE&amp;creator=factset&amp;DYN_ARGS=TRUE&amp;DOC_NAME=FAT:FQL_AUDITING_CLIENT_TEMPLATE.FAT&amp;display_string=Audit&amp;VAR:KEY=QZGVQNWZQH&amp;VAR:QUERY=RkZfRElWX1lMRChBTk4sNy8xNC8xMCw3LzE0LzEwKQ==&amp;WINDOW=FIRST_POPUP&amp;HEIGHT=450&amp;WIDTH=450&amp;","START_MAXIMIZED=FALSE&amp;VAR:CALENDAR=US&amp;VAR:SYMBOL=RAI&amp;VAR:INDEX=0"}</definedName>
    <definedName name="_2135">#REF!</definedName>
    <definedName name="_2135__FDSAUDITLINK__" localSheetId="0"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5__FDSAUDITLINK__" hidden="1">{"fdsup://directions/FAT Viewer?action=UPDATE&amp;creator=factset&amp;DYN_ARGS=TRUE&amp;DOC_NAME=FAT:FQL_AUDITING_CLIENT_TEMPLATE.FAT&amp;display_string=Audit&amp;VAR:KEY=MDYBGDKFYF&amp;VAR:QUERY=RkZfRElWX1lMRChBTk4sNy8wNy8xMCw3LzA3LzEwKQ==&amp;WINDOW=FIRST_POPUP&amp;HEIGHT=450&amp;WIDTH=450&amp;","START_MAXIMIZED=FALSE&amp;VAR:CALENDAR=US&amp;VAR:SYMBOL=RAI&amp;VAR:INDEX=0"}</definedName>
    <definedName name="_2136">#REF!</definedName>
    <definedName name="_2136__FDSAUDITLINK__" localSheetId="0"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6__FDSAUDITLINK__" hidden="1">{"fdsup://directions/FAT Viewer?action=UPDATE&amp;creator=factset&amp;DYN_ARGS=TRUE&amp;DOC_NAME=FAT:FQL_AUDITING_CLIENT_TEMPLATE.FAT&amp;display_string=Audit&amp;VAR:KEY=UVCLSDCXSJ&amp;VAR:QUERY=RkZfRElWX1lMRChBTk4sNi8zMC8xMCw2LzMwLzEwKQ==&amp;WINDOW=FIRST_POPUP&amp;HEIGHT=450&amp;WIDTH=450&amp;","START_MAXIMIZED=FALSE&amp;VAR:CALENDAR=US&amp;VAR:SYMBOL=RAI&amp;VAR:INDEX=0"}</definedName>
    <definedName name="_2137">#REF!</definedName>
    <definedName name="_2137__FDSAUDITLINK__" localSheetId="0"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7__FDSAUDITLINK__" hidden="1">{"fdsup://directions/FAT Viewer?action=UPDATE&amp;creator=factset&amp;DYN_ARGS=TRUE&amp;DOC_NAME=FAT:FQL_AUDITING_CLIENT_TEMPLATE.FAT&amp;display_string=Audit&amp;VAR:KEY=CHYROFWVMT&amp;VAR:QUERY=RkZfRElWX1lMRChBTk4sNi8yMy8xMCw2LzIzLzEwKQ==&amp;WINDOW=FIRST_POPUP&amp;HEIGHT=450&amp;WIDTH=450&amp;","START_MAXIMIZED=FALSE&amp;VAR:CALENDAR=US&amp;VAR:SYMBOL=RAI&amp;VAR:INDEX=0"}</definedName>
    <definedName name="_2138">#REF!</definedName>
    <definedName name="_2138__FDSAUDITLINK__" localSheetId="0"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8__FDSAUDITLINK__" hidden="1">{"fdsup://directions/FAT Viewer?action=UPDATE&amp;creator=factset&amp;DYN_ARGS=TRUE&amp;DOC_NAME=FAT:FQL_AUDITING_CLIENT_TEMPLATE.FAT&amp;display_string=Audit&amp;VAR:KEY=KZMPYDKFIX&amp;VAR:QUERY=RkZfRElWX1lMRChBTk4sNi8xNi8xMCw2LzE2LzEwKQ==&amp;WINDOW=FIRST_POPUP&amp;HEIGHT=450&amp;WIDTH=450&amp;","START_MAXIMIZED=FALSE&amp;VAR:CALENDAR=US&amp;VAR:SYMBOL=RAI&amp;VAR:INDEX=0"}</definedName>
    <definedName name="_2139">#REF!</definedName>
    <definedName name="_2139__FDSAUDITLINK__" localSheetId="0"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39__FDSAUDITLINK__" hidden="1">{"fdsup://directions/FAT Viewer?action=UPDATE&amp;creator=factset&amp;DYN_ARGS=TRUE&amp;DOC_NAME=FAT:FQL_AUDITING_CLIENT_TEMPLATE.FAT&amp;display_string=Audit&amp;VAR:KEY=ADKDEPCJOX&amp;VAR:QUERY=RkZfRElWX1lMRChBTk4sNi8wOS8xMCw2LzA5LzEwKQ==&amp;WINDOW=FIRST_POPUP&amp;HEIGHT=450&amp;WIDTH=450&amp;","START_MAXIMIZED=FALSE&amp;VAR:CALENDAR=US&amp;VAR:SYMBOL=RAI&amp;VAR:INDEX=0"}</definedName>
    <definedName name="_214">#REF!</definedName>
    <definedName name="_214__FDSAUDITLINK__" localSheetId="0"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__FDSAUDITLINK__" hidden="1">{"fdsup://directions/FAT Viewer?action=UPDATE&amp;creator=factset&amp;DYN_ARGS=TRUE&amp;DOC_NAME=FAT:FQL_AUDITING_CLIENT_TEMPLATE.FAT&amp;display_string=Audit&amp;VAR:KEY=FKZEHIFOHC&amp;VAR:QUERY=RkZfRElWX1lMRChBTk4sMy8wMS8wNywzLzAxLzA3KQ==&amp;WINDOW=FIRST_POPUP&amp;HEIGHT=450&amp;WIDTH=450&amp;","START_MAXIMIZED=FALSE&amp;VAR:CALENDAR=US&amp;VAR:SYMBOL=RAI&amp;VAR:INDEX=0"}</definedName>
    <definedName name="_2140__FDSAUDITLINK__" localSheetId="0"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0__FDSAUDITLINK__" hidden="1">{"fdsup://directions/FAT Viewer?action=UPDATE&amp;creator=factset&amp;DYN_ARGS=TRUE&amp;DOC_NAME=FAT:FQL_AUDITING_CLIENT_TEMPLATE.FAT&amp;display_string=Audit&amp;VAR:KEY=MPYFCRSDWL&amp;VAR:QUERY=RkZfRElWX1lMRChBTk4sNi8wMi8xMCw2LzAyLzEwKQ==&amp;WINDOW=FIRST_POPUP&amp;HEIGHT=450&amp;WIDTH=450&amp;","START_MAXIMIZED=FALSE&amp;VAR:CALENDAR=US&amp;VAR:SYMBOL=RAI&amp;VAR:INDEX=0"}</definedName>
    <definedName name="_2141">#REF!</definedName>
    <definedName name="_2141__FDSAUDITLINK__" localSheetId="0"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1__FDSAUDITLINK__" hidden="1">{"fdsup://directions/FAT Viewer?action=UPDATE&amp;creator=factset&amp;DYN_ARGS=TRUE&amp;DOC_NAME=FAT:FQL_AUDITING_CLIENT_TEMPLATE.FAT&amp;display_string=Audit&amp;VAR:KEY=CHOFIXAVCH&amp;VAR:QUERY=RkZfRElWX1lMRChBTk4sNS8yNi8xMCw1LzI2LzEwKQ==&amp;WINDOW=FIRST_POPUP&amp;HEIGHT=450&amp;WIDTH=450&amp;","START_MAXIMIZED=FALSE&amp;VAR:CALENDAR=US&amp;VAR:SYMBOL=RAI&amp;VAR:INDEX=0"}</definedName>
    <definedName name="_2142">#REF!</definedName>
    <definedName name="_2142__FDSAUDITLINK__" localSheetId="0"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2__FDSAUDITLINK__" hidden="1">{"fdsup://directions/FAT Viewer?action=UPDATE&amp;creator=factset&amp;DYN_ARGS=TRUE&amp;DOC_NAME=FAT:FQL_AUDITING_CLIENT_TEMPLATE.FAT&amp;display_string=Audit&amp;VAR:KEY=AXOBYJYPKH&amp;VAR:QUERY=RkZfRElWX1lMRChBTk4sNS8xOS8xMCw1LzE5LzEwKQ==&amp;WINDOW=FIRST_POPUP&amp;HEIGHT=450&amp;WIDTH=450&amp;","START_MAXIMIZED=FALSE&amp;VAR:CALENDAR=US&amp;VAR:SYMBOL=RAI&amp;VAR:INDEX=0"}</definedName>
    <definedName name="_2143__FDSAUDITLINK__" localSheetId="0"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3__FDSAUDITLINK__" hidden="1">{"fdsup://directions/FAT Viewer?action=UPDATE&amp;creator=factset&amp;DYN_ARGS=TRUE&amp;DOC_NAME=FAT:FQL_AUDITING_CLIENT_TEMPLATE.FAT&amp;display_string=Audit&amp;VAR:KEY=EBIFMTSBUH&amp;VAR:QUERY=RkZfRElWX1lMRChBTk4sNS8xMi8xMCw1LzEyLzEwKQ==&amp;WINDOW=FIRST_POPUP&amp;HEIGHT=450&amp;WIDTH=450&amp;","START_MAXIMIZED=FALSE&amp;VAR:CALENDAR=US&amp;VAR:SYMBOL=RAI&amp;VAR:INDEX=0"}</definedName>
    <definedName name="_2144__FDSAUDITLINK__" localSheetId="0"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4__FDSAUDITLINK__" hidden="1">{"fdsup://directions/FAT Viewer?action=UPDATE&amp;creator=factset&amp;DYN_ARGS=TRUE&amp;DOC_NAME=FAT:FQL_AUDITING_CLIENT_TEMPLATE.FAT&amp;display_string=Audit&amp;VAR:KEY=OVUFWTCZKF&amp;VAR:QUERY=RkZfRElWX1lMRChBTk4sNS8wNS8xMCw1LzA1LzEwKQ==&amp;WINDOW=FIRST_POPUP&amp;HEIGHT=450&amp;WIDTH=450&amp;","START_MAXIMIZED=FALSE&amp;VAR:CALENDAR=US&amp;VAR:SYMBOL=RAI&amp;VAR:INDEX=0"}</definedName>
    <definedName name="_2145__FDSAUDITLINK__" localSheetId="0"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5__FDSAUDITLINK__" hidden="1">{"fdsup://directions/FAT Viewer?action=UPDATE&amp;creator=factset&amp;DYN_ARGS=TRUE&amp;DOC_NAME=FAT:FQL_AUDITING_CLIENT_TEMPLATE.FAT&amp;display_string=Audit&amp;VAR:KEY=GDQZGPUNYT&amp;VAR:QUERY=RkZfRElWX1lMRChBTk4sNC8yOC8xMCw0LzI4LzEwKQ==&amp;WINDOW=FIRST_POPUP&amp;HEIGHT=450&amp;WIDTH=450&amp;","START_MAXIMIZED=FALSE&amp;VAR:CALENDAR=US&amp;VAR:SYMBOL=RAI&amp;VAR:INDEX=0"}</definedName>
    <definedName name="_2146">#REF!</definedName>
    <definedName name="_2146__FDSAUDITLINK__" localSheetId="0"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6__FDSAUDITLINK__" hidden="1">{"fdsup://directions/FAT Viewer?action=UPDATE&amp;creator=factset&amp;DYN_ARGS=TRUE&amp;DOC_NAME=FAT:FQL_AUDITING_CLIENT_TEMPLATE.FAT&amp;display_string=Audit&amp;VAR:KEY=SROTYFIBSR&amp;VAR:QUERY=RkZfRElWX1lMRChBTk4sNC8yMS8xMCw0LzIxLzEwKQ==&amp;WINDOW=FIRST_POPUP&amp;HEIGHT=450&amp;WIDTH=450&amp;","START_MAXIMIZED=FALSE&amp;VAR:CALENDAR=US&amp;VAR:SYMBOL=RAI&amp;VAR:INDEX=0"}</definedName>
    <definedName name="_2147__FDSAUDITLINK__" localSheetId="0"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7__FDSAUDITLINK__" hidden="1">{"fdsup://directions/FAT Viewer?action=UPDATE&amp;creator=factset&amp;DYN_ARGS=TRUE&amp;DOC_NAME=FAT:FQL_AUDITING_CLIENT_TEMPLATE.FAT&amp;display_string=Audit&amp;VAR:KEY=SJCHEBSRUV&amp;VAR:QUERY=RkZfRElWX1lMRChBTk4sNC8xNC8xMCw0LzE0LzEwKQ==&amp;WINDOW=FIRST_POPUP&amp;HEIGHT=450&amp;WIDTH=450&amp;","START_MAXIMIZED=FALSE&amp;VAR:CALENDAR=US&amp;VAR:SYMBOL=RAI&amp;VAR:INDEX=0"}</definedName>
    <definedName name="_2148__FDSAUDITLINK__" localSheetId="0"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8__FDSAUDITLINK__" hidden="1">{"fdsup://directions/FAT Viewer?action=UPDATE&amp;creator=factset&amp;DYN_ARGS=TRUE&amp;DOC_NAME=FAT:FQL_AUDITING_CLIENT_TEMPLATE.FAT&amp;display_string=Audit&amp;VAR:KEY=STQPYXYRID&amp;VAR:QUERY=RkZfRElWX1lMRChBTk4sNC8wNy8xMCw0LzA3LzEwKQ==&amp;WINDOW=FIRST_POPUP&amp;HEIGHT=450&amp;WIDTH=450&amp;","START_MAXIMIZED=FALSE&amp;VAR:CALENDAR=US&amp;VAR:SYMBOL=RAI&amp;VAR:INDEX=0"}</definedName>
    <definedName name="_2149__FDSAUDITLINK__" localSheetId="0"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49__FDSAUDITLINK__" hidden="1">{"fdsup://directions/FAT Viewer?action=UPDATE&amp;creator=factset&amp;DYN_ARGS=TRUE&amp;DOC_NAME=FAT:FQL_AUDITING_CLIENT_TEMPLATE.FAT&amp;display_string=Audit&amp;VAR:KEY=IBQHONWJUZ&amp;VAR:QUERY=RkZfRElWX1lMRChBTk4sMy8zMS8xMCwzLzMxLzEwKQ==&amp;WINDOW=FIRST_POPUP&amp;HEIGHT=450&amp;WIDTH=450&amp;","START_MAXIMIZED=FALSE&amp;VAR:CALENDAR=US&amp;VAR:SYMBOL=RAI&amp;VAR:INDEX=0"}</definedName>
    <definedName name="_215__FDSAUDITLINK__" localSheetId="0"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__FDSAUDITLINK__" hidden="1">{"fdsup://directions/FAT Viewer?action=UPDATE&amp;creator=factset&amp;DYN_ARGS=TRUE&amp;DOC_NAME=FAT:FQL_AUDITING_CLIENT_TEMPLATE.FAT&amp;display_string=Audit&amp;VAR:KEY=BQDGXKDUVW&amp;VAR:QUERY=RkZfRElWX1lMRChBTk4sMi8yMi8wNywyLzIyLzA3KQ==&amp;WINDOW=FIRST_POPUP&amp;HEIGHT=450&amp;WIDTH=450&amp;","START_MAXIMIZED=FALSE&amp;VAR:CALENDAR=US&amp;VAR:SYMBOL=RAI&amp;VAR:INDEX=0"}</definedName>
    <definedName name="_2150__FDSAUDITLINK__" localSheetId="0"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0__FDSAUDITLINK__" hidden="1">{"fdsup://directions/FAT Viewer?action=UPDATE&amp;creator=factset&amp;DYN_ARGS=TRUE&amp;DOC_NAME=FAT:FQL_AUDITING_CLIENT_TEMPLATE.FAT&amp;display_string=Audit&amp;VAR:KEY=YDAZSZKNGB&amp;VAR:QUERY=RkZfRElWX1lMRChBTk4sMy8yNC8xMCwzLzI0LzEwKQ==&amp;WINDOW=FIRST_POPUP&amp;HEIGHT=450&amp;WIDTH=450&amp;","START_MAXIMIZED=FALSE&amp;VAR:CALENDAR=US&amp;VAR:SYMBOL=RAI&amp;VAR:INDEX=0"}</definedName>
    <definedName name="_2151">#REF!</definedName>
    <definedName name="_2151__FDSAUDITLINK__" localSheetId="0"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1__FDSAUDITLINK__" hidden="1">{"fdsup://directions/FAT Viewer?action=UPDATE&amp;creator=factset&amp;DYN_ARGS=TRUE&amp;DOC_NAME=FAT:FQL_AUDITING_CLIENT_TEMPLATE.FAT&amp;display_string=Audit&amp;VAR:KEY=OZSTYTQPSV&amp;VAR:QUERY=RkZfRElWX1lMRChBTk4sMy8xNy8xMCwzLzE3LzEwKQ==&amp;WINDOW=FIRST_POPUP&amp;HEIGHT=450&amp;WIDTH=450&amp;","START_MAXIMIZED=FALSE&amp;VAR:CALENDAR=US&amp;VAR:SYMBOL=RAI&amp;VAR:INDEX=0"}</definedName>
    <definedName name="_2152">#REF!</definedName>
    <definedName name="_2152__FDSAUDITLINK__" localSheetId="0"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2__FDSAUDITLINK__" hidden="1">{"fdsup://directions/FAT Viewer?action=UPDATE&amp;creator=factset&amp;DYN_ARGS=TRUE&amp;DOC_NAME=FAT:FQL_AUDITING_CLIENT_TEMPLATE.FAT&amp;display_string=Audit&amp;VAR:KEY=YXGXQJILMX&amp;VAR:QUERY=RkZfRElWX1lMRChBTk4sMy8xMC8xMCwzLzEwLzEwKQ==&amp;WINDOW=FIRST_POPUP&amp;HEIGHT=450&amp;WIDTH=450&amp;","START_MAXIMIZED=FALSE&amp;VAR:CALENDAR=US&amp;VAR:SYMBOL=RAI&amp;VAR:INDEX=0"}</definedName>
    <definedName name="_2153__FDSAUDITLINK__" localSheetId="0"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3__FDSAUDITLINK__" hidden="1">{"fdsup://directions/FAT Viewer?action=UPDATE&amp;creator=factset&amp;DYN_ARGS=TRUE&amp;DOC_NAME=FAT:FQL_AUDITING_CLIENT_TEMPLATE.FAT&amp;display_string=Audit&amp;VAR:KEY=CZGXWZMDCB&amp;VAR:QUERY=RkZfRElWX1lMRChBTk4sMy8wMy8xMCwzLzAzLzEwKQ==&amp;WINDOW=FIRST_POPUP&amp;HEIGHT=450&amp;WIDTH=450&amp;","START_MAXIMIZED=FALSE&amp;VAR:CALENDAR=US&amp;VAR:SYMBOL=RAI&amp;VAR:INDEX=0"}</definedName>
    <definedName name="_2154">#REF!</definedName>
    <definedName name="_2154__FDSAUDITLINK__" localSheetId="0"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4__FDSAUDITLINK__" hidden="1">{"fdsup://directions/FAT Viewer?action=UPDATE&amp;creator=factset&amp;DYN_ARGS=TRUE&amp;DOC_NAME=FAT:FQL_AUDITING_CLIENT_TEMPLATE.FAT&amp;display_string=Audit&amp;VAR:KEY=GDMJIZGHWP&amp;VAR:QUERY=RkZfRElWX1lMRChBTk4sMi8yNC8xMCwyLzI0LzEwKQ==&amp;WINDOW=FIRST_POPUP&amp;HEIGHT=450&amp;WIDTH=450&amp;","START_MAXIMIZED=FALSE&amp;VAR:CALENDAR=US&amp;VAR:SYMBOL=RAI&amp;VAR:INDEX=0"}</definedName>
    <definedName name="_2155">#REF!</definedName>
    <definedName name="_2155__FDSAUDITLINK__" localSheetId="0"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5__FDSAUDITLINK__" hidden="1">{"fdsup://directions/FAT Viewer?action=UPDATE&amp;creator=factset&amp;DYN_ARGS=TRUE&amp;DOC_NAME=FAT:FQL_AUDITING_CLIENT_TEMPLATE.FAT&amp;display_string=Audit&amp;VAR:KEY=UPQRSHAJIF&amp;VAR:QUERY=RkZfRElWX1lMRChBTk4sMi8xNy8xMCwyLzE3LzEwKQ==&amp;WINDOW=FIRST_POPUP&amp;HEIGHT=450&amp;WIDTH=450&amp;","START_MAXIMIZED=FALSE&amp;VAR:CALENDAR=US&amp;VAR:SYMBOL=RAI&amp;VAR:INDEX=0"}</definedName>
    <definedName name="_2156__FDSAUDITLINK__" localSheetId="0"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6__FDSAUDITLINK__" hidden="1">{"fdsup://directions/FAT Viewer?action=UPDATE&amp;creator=factset&amp;DYN_ARGS=TRUE&amp;DOC_NAME=FAT:FQL_AUDITING_CLIENT_TEMPLATE.FAT&amp;display_string=Audit&amp;VAR:KEY=QLWFOXMFWH&amp;VAR:QUERY=RkZfRElWX1lMRChBTk4sMi8xMC8xMCwyLzEwLzEwKQ==&amp;WINDOW=FIRST_POPUP&amp;HEIGHT=450&amp;WIDTH=450&amp;","START_MAXIMIZED=FALSE&amp;VAR:CALENDAR=US&amp;VAR:SYMBOL=RAI&amp;VAR:INDEX=0"}</definedName>
    <definedName name="_2157">#REF!</definedName>
    <definedName name="_2157__FDSAUDITLINK__" localSheetId="0"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7__FDSAUDITLINK__" hidden="1">{"fdsup://directions/FAT Viewer?action=UPDATE&amp;creator=factset&amp;DYN_ARGS=TRUE&amp;DOC_NAME=FAT:FQL_AUDITING_CLIENT_TEMPLATE.FAT&amp;display_string=Audit&amp;VAR:KEY=IXMNEJODQB&amp;VAR:QUERY=RkZfRElWX1lMRChBTk4sMi8wMy8xMCwyLzAzLzEwKQ==&amp;WINDOW=FIRST_POPUP&amp;HEIGHT=450&amp;WIDTH=450&amp;","START_MAXIMIZED=FALSE&amp;VAR:CALENDAR=US&amp;VAR:SYMBOL=RAI&amp;VAR:INDEX=0"}</definedName>
    <definedName name="_2158">#REF!</definedName>
    <definedName name="_2158__FDSAUDITLINK__" localSheetId="0"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8__FDSAUDITLINK__" hidden="1">{"fdsup://directions/FAT Viewer?action=UPDATE&amp;creator=factset&amp;DYN_ARGS=TRUE&amp;DOC_NAME=FAT:FQL_AUDITING_CLIENT_TEMPLATE.FAT&amp;display_string=Audit&amp;VAR:KEY=QDEVAZKHMV&amp;VAR:QUERY=RkZfRElWX1lMRChBTk4sMS8yNy8xMCwxLzI3LzEwKQ==&amp;WINDOW=FIRST_POPUP&amp;HEIGHT=450&amp;WIDTH=450&amp;","START_MAXIMIZED=FALSE&amp;VAR:CALENDAR=US&amp;VAR:SYMBOL=RAI&amp;VAR:INDEX=0"}</definedName>
    <definedName name="_2159">#REF!</definedName>
    <definedName name="_2159__FDSAUDITLINK__" localSheetId="0"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59__FDSAUDITLINK__" hidden="1">{"fdsup://directions/FAT Viewer?action=UPDATE&amp;creator=factset&amp;DYN_ARGS=TRUE&amp;DOC_NAME=FAT:FQL_AUDITING_CLIENT_TEMPLATE.FAT&amp;display_string=Audit&amp;VAR:KEY=EBYNKXYXYF&amp;VAR:QUERY=RkZfRElWX1lMRChBTk4sMS8yMC8xMCwxLzIwLzEwKQ==&amp;WINDOW=FIRST_POPUP&amp;HEIGHT=450&amp;WIDTH=450&amp;","START_MAXIMIZED=FALSE&amp;VAR:CALENDAR=US&amp;VAR:SYMBOL=RAI&amp;VAR:INDEX=0"}</definedName>
    <definedName name="_216">#REF!</definedName>
    <definedName name="_216__FDSAUDITLINK__" localSheetId="0"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__FDSAUDITLINK__" hidden="1">{"fdsup://directions/FAT Viewer?action=UPDATE&amp;creator=factset&amp;DYN_ARGS=TRUE&amp;DOC_NAME=FAT:FQL_AUDITING_CLIENT_TEMPLATE.FAT&amp;display_string=Audit&amp;VAR:KEY=XMNWDADCXM&amp;VAR:QUERY=RkZfRElWX1lMRChBTk4sMi8xNS8wNywyLzE1LzA3KQ==&amp;WINDOW=FIRST_POPUP&amp;HEIGHT=450&amp;WIDTH=450&amp;","START_MAXIMIZED=FALSE&amp;VAR:CALENDAR=US&amp;VAR:SYMBOL=RAI&amp;VAR:INDEX=0"}</definedName>
    <definedName name="_2160__FDSAUDITLINK__" localSheetId="0"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0__FDSAUDITLINK__" hidden="1">{"fdsup://directions/FAT Viewer?action=UPDATE&amp;creator=factset&amp;DYN_ARGS=TRUE&amp;DOC_NAME=FAT:FQL_AUDITING_CLIENT_TEMPLATE.FAT&amp;display_string=Audit&amp;VAR:KEY=SLABKLQPOX&amp;VAR:QUERY=RkZfRElWX1lMRChBTk4sMS8xMy8xMCwxLzEzLzEwKQ==&amp;WINDOW=FIRST_POPUP&amp;HEIGHT=450&amp;WIDTH=450&amp;","START_MAXIMIZED=FALSE&amp;VAR:CALENDAR=US&amp;VAR:SYMBOL=RAI&amp;VAR:INDEX=0"}</definedName>
    <definedName name="_2161__FDSAUDITLINK__" localSheetId="0"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1__FDSAUDITLINK__" hidden="1">{"fdsup://directions/FAT Viewer?action=UPDATE&amp;creator=factset&amp;DYN_ARGS=TRUE&amp;DOC_NAME=FAT:FQL_AUDITING_CLIENT_TEMPLATE.FAT&amp;display_string=Audit&amp;VAR:KEY=YPEVIPYTEX&amp;VAR:QUERY=RkZfRElWX1lMRChBTk4sMS8wNi8xMCwxLzA2LzEwKQ==&amp;WINDOW=FIRST_POPUP&amp;HEIGHT=450&amp;WIDTH=450&amp;","START_MAXIMIZED=FALSE&amp;VAR:CALENDAR=US&amp;VAR:SYMBOL=RAI&amp;VAR:INDEX=0"}</definedName>
    <definedName name="_2162__FDSAUDITLINK__" localSheetId="0"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2__FDSAUDITLINK__" hidden="1">{"fdsup://directions/FAT Viewer?action=UPDATE&amp;creator=factset&amp;DYN_ARGS=TRUE&amp;DOC_NAME=FAT:FQL_AUDITING_CLIENT_TEMPLATE.FAT&amp;display_string=Audit&amp;VAR:KEY=IDWXURSNUP&amp;VAR:QUERY=RkZfRElWX1lMRChBTk4sMTIvMzAvMDksMTIvMzAvMDkp&amp;WINDOW=FIRST_POPUP&amp;HEIGHT=450&amp;WIDTH=450&amp;","START_MAXIMIZED=FALSE&amp;VAR:CALENDAR=US&amp;VAR:SYMBOL=RAI&amp;VAR:INDEX=0"}</definedName>
    <definedName name="_2163">#REF!</definedName>
    <definedName name="_2163__FDSAUDITLINK__" localSheetId="0"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3__FDSAUDITLINK__" hidden="1">{"fdsup://directions/FAT Viewer?action=UPDATE&amp;creator=factset&amp;DYN_ARGS=TRUE&amp;DOC_NAME=FAT:FQL_AUDITING_CLIENT_TEMPLATE.FAT&amp;display_string=Audit&amp;VAR:KEY=ARGFCVMRGJ&amp;VAR:QUERY=RkZfRElWX1lMRChBTk4sMTIvMjMvMDksMTIvMjMvMDkp&amp;WINDOW=FIRST_POPUP&amp;HEIGHT=450&amp;WIDTH=450&amp;","START_MAXIMIZED=FALSE&amp;VAR:CALENDAR=US&amp;VAR:SYMBOL=RAI&amp;VAR:INDEX=0"}</definedName>
    <definedName name="_2164__FDSAUDITLINK__" localSheetId="0"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4__FDSAUDITLINK__" hidden="1">{"fdsup://directions/FAT Viewer?action=UPDATE&amp;creator=factset&amp;DYN_ARGS=TRUE&amp;DOC_NAME=FAT:FQL_AUDITING_CLIENT_TEMPLATE.FAT&amp;display_string=Audit&amp;VAR:KEY=ATYFEVCVIZ&amp;VAR:QUERY=RkZfRElWX1lMRChBTk4sMTIvMTYvMDksMTIvMTYvMDkp&amp;WINDOW=FIRST_POPUP&amp;HEIGHT=450&amp;WIDTH=450&amp;","START_MAXIMIZED=FALSE&amp;VAR:CALENDAR=US&amp;VAR:SYMBOL=RAI&amp;VAR:INDEX=0"}</definedName>
    <definedName name="_2165__FDSAUDITLINK__" localSheetId="0"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5__FDSAUDITLINK__" hidden="1">{"fdsup://directions/FAT Viewer?action=UPDATE&amp;creator=factset&amp;DYN_ARGS=TRUE&amp;DOC_NAME=FAT:FQL_AUDITING_CLIENT_TEMPLATE.FAT&amp;display_string=Audit&amp;VAR:KEY=AROTERKLSF&amp;VAR:QUERY=RkZfRElWX1lMRChBTk4sMTIvMDkvMDksMTIvMDkvMDkp&amp;WINDOW=FIRST_POPUP&amp;HEIGHT=450&amp;WIDTH=450&amp;","START_MAXIMIZED=FALSE&amp;VAR:CALENDAR=US&amp;VAR:SYMBOL=RAI&amp;VAR:INDEX=0"}</definedName>
    <definedName name="_2166__FDSAUDITLINK__" localSheetId="0"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6__FDSAUDITLINK__" hidden="1">{"fdsup://directions/FAT Viewer?action=UPDATE&amp;creator=factset&amp;DYN_ARGS=TRUE&amp;DOC_NAME=FAT:FQL_AUDITING_CLIENT_TEMPLATE.FAT&amp;display_string=Audit&amp;VAR:KEY=KVUPYPGPUX&amp;VAR:QUERY=RkZfRElWX1lMRChBTk4sMTIvMDIvMDksMTIvMDIvMDkp&amp;WINDOW=FIRST_POPUP&amp;HEIGHT=450&amp;WIDTH=450&amp;","START_MAXIMIZED=FALSE&amp;VAR:CALENDAR=US&amp;VAR:SYMBOL=RAI&amp;VAR:INDEX=0"}</definedName>
    <definedName name="_2167__FDSAUDITLINK__" localSheetId="0"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7__FDSAUDITLINK__" hidden="1">{"fdsup://directions/FAT Viewer?action=UPDATE&amp;creator=factset&amp;DYN_ARGS=TRUE&amp;DOC_NAME=FAT:FQL_AUDITING_CLIENT_TEMPLATE.FAT&amp;display_string=Audit&amp;VAR:KEY=YRUVYRQJEV&amp;VAR:QUERY=RkZfRElWX1lMRChBTk4sMTEvMjUvMDksMTEvMjUvMDkp&amp;WINDOW=FIRST_POPUP&amp;HEIGHT=450&amp;WIDTH=450&amp;","START_MAXIMIZED=FALSE&amp;VAR:CALENDAR=US&amp;VAR:SYMBOL=RAI&amp;VAR:INDEX=0"}</definedName>
    <definedName name="_2168">#REF!</definedName>
    <definedName name="_2168__FDSAUDITLINK__" localSheetId="0"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8__FDSAUDITLINK__" hidden="1">{"fdsup://directions/FAT Viewer?action=UPDATE&amp;creator=factset&amp;DYN_ARGS=TRUE&amp;DOC_NAME=FAT:FQL_AUDITING_CLIENT_TEMPLATE.FAT&amp;display_string=Audit&amp;VAR:KEY=IRSHEZQNSF&amp;VAR:QUERY=RkZfRElWX1lMRChBTk4sMTEvMTgvMDksMTEvMTgvMDkp&amp;WINDOW=FIRST_POPUP&amp;HEIGHT=450&amp;WIDTH=450&amp;","START_MAXIMIZED=FALSE&amp;VAR:CALENDAR=US&amp;VAR:SYMBOL=RAI&amp;VAR:INDEX=0"}</definedName>
    <definedName name="_2169__FDSAUDITLINK__" localSheetId="0"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69__FDSAUDITLINK__" hidden="1">{"fdsup://directions/FAT Viewer?action=UPDATE&amp;creator=factset&amp;DYN_ARGS=TRUE&amp;DOC_NAME=FAT:FQL_AUDITING_CLIENT_TEMPLATE.FAT&amp;display_string=Audit&amp;VAR:KEY=YDYZMDOFST&amp;VAR:QUERY=RkZfRElWX1lMRChBTk4sMTEvMTEvMDksMTEvMTEvMDkp&amp;WINDOW=FIRST_POPUP&amp;HEIGHT=450&amp;WIDTH=450&amp;","START_MAXIMIZED=FALSE&amp;VAR:CALENDAR=US&amp;VAR:SYMBOL=RAI&amp;VAR:INDEX=0"}</definedName>
    <definedName name="_217">#REF!</definedName>
    <definedName name="_217__FDSAUDITLINK__" localSheetId="0"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__FDSAUDITLINK__" hidden="1">{"fdsup://directions/FAT Viewer?action=UPDATE&amp;creator=factset&amp;DYN_ARGS=TRUE&amp;DOC_NAME=FAT:FQL_AUDITING_CLIENT_TEMPLATE.FAT&amp;display_string=Audit&amp;VAR:KEY=JEDARQTIXM&amp;VAR:QUERY=RkZfRElWX1lMRChBTk4sMi8wOC8wNywyLzA4LzA3KQ==&amp;WINDOW=FIRST_POPUP&amp;HEIGHT=450&amp;WIDTH=450&amp;","START_MAXIMIZED=FALSE&amp;VAR:CALENDAR=US&amp;VAR:SYMBOL=RAI&amp;VAR:INDEX=0"}</definedName>
    <definedName name="_2170__FDSAUDITLINK__" localSheetId="0"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0__FDSAUDITLINK__" hidden="1">{"fdsup://directions/FAT Viewer?action=UPDATE&amp;creator=factset&amp;DYN_ARGS=TRUE&amp;DOC_NAME=FAT:FQL_AUDITING_CLIENT_TEMPLATE.FAT&amp;display_string=Audit&amp;VAR:KEY=IJMLQRKDCB&amp;VAR:QUERY=RkZfRElWX1lMRChBTk4sMTEvMDQvMDksMTEvMDQvMDkp&amp;WINDOW=FIRST_POPUP&amp;HEIGHT=450&amp;WIDTH=450&amp;","START_MAXIMIZED=FALSE&amp;VAR:CALENDAR=US&amp;VAR:SYMBOL=RAI&amp;VAR:INDEX=0"}</definedName>
    <definedName name="_2171__FDSAUDITLINK__" localSheetId="0"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1__FDSAUDITLINK__" hidden="1">{"fdsup://directions/FAT Viewer?action=UPDATE&amp;creator=factset&amp;DYN_ARGS=TRUE&amp;DOC_NAME=FAT:FQL_AUDITING_CLIENT_TEMPLATE.FAT&amp;display_string=Audit&amp;VAR:KEY=GRSFWFEZSP&amp;VAR:QUERY=RkZfRElWX1lMRChBTk4sMTAvMjgvMDksMTAvMjgvMDkp&amp;WINDOW=FIRST_POPUP&amp;HEIGHT=450&amp;WIDTH=450&amp;","START_MAXIMIZED=FALSE&amp;VAR:CALENDAR=US&amp;VAR:SYMBOL=RAI&amp;VAR:INDEX=0"}</definedName>
    <definedName name="_2172__FDSAUDITLINK__" localSheetId="0"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2__FDSAUDITLINK__" hidden="1">{"fdsup://directions/FAT Viewer?action=UPDATE&amp;creator=factset&amp;DYN_ARGS=TRUE&amp;DOC_NAME=FAT:FQL_AUDITING_CLIENT_TEMPLATE.FAT&amp;display_string=Audit&amp;VAR:KEY=WLYRWJWXMP&amp;VAR:QUERY=RkZfRElWX1lMRChBTk4sMTAvMjEvMDksMTAvMjEvMDkp&amp;WINDOW=FIRST_POPUP&amp;HEIGHT=450&amp;WIDTH=450&amp;","START_MAXIMIZED=FALSE&amp;VAR:CALENDAR=US&amp;VAR:SYMBOL=RAI&amp;VAR:INDEX=0"}</definedName>
    <definedName name="_2173">#REF!</definedName>
    <definedName name="_2173__FDSAUDITLINK__" localSheetId="0"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3__FDSAUDITLINK__" hidden="1">{"fdsup://directions/FAT Viewer?action=UPDATE&amp;creator=factset&amp;DYN_ARGS=TRUE&amp;DOC_NAME=FAT:FQL_AUDITING_CLIENT_TEMPLATE.FAT&amp;display_string=Audit&amp;VAR:KEY=OXSHGJQDEZ&amp;VAR:QUERY=RkZfRElWX1lMRChBTk4sMTAvMTQvMDksMTAvMTQvMDkp&amp;WINDOW=FIRST_POPUP&amp;HEIGHT=450&amp;WIDTH=450&amp;","START_MAXIMIZED=FALSE&amp;VAR:CALENDAR=US&amp;VAR:SYMBOL=RAI&amp;VAR:INDEX=0"}</definedName>
    <definedName name="_2174__FDSAUDITLINK__" localSheetId="0"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4__FDSAUDITLINK__" hidden="1">{"fdsup://directions/FAT Viewer?action=UPDATE&amp;creator=factset&amp;DYN_ARGS=TRUE&amp;DOC_NAME=FAT:FQL_AUDITING_CLIENT_TEMPLATE.FAT&amp;display_string=Audit&amp;VAR:KEY=CPMFYRSLYZ&amp;VAR:QUERY=RkZfRElWX1lMRChBTk4sMTAvMDcvMDksMTAvMDcvMDkp&amp;WINDOW=FIRST_POPUP&amp;HEIGHT=450&amp;WIDTH=450&amp;","START_MAXIMIZED=FALSE&amp;VAR:CALENDAR=US&amp;VAR:SYMBOL=RAI&amp;VAR:INDEX=0"}</definedName>
    <definedName name="_2175__FDSAUDITLINK__" localSheetId="0"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5__FDSAUDITLINK__" hidden="1">{"fdsup://directions/FAT Viewer?action=UPDATE&amp;creator=factset&amp;DYN_ARGS=TRUE&amp;DOC_NAME=FAT:FQL_AUDITING_CLIENT_TEMPLATE.FAT&amp;display_string=Audit&amp;VAR:KEY=AFGHGRGDET&amp;VAR:QUERY=RkZfRElWX1lMRChBTk4sOS8zMC8wOSw5LzMwLzA5KQ==&amp;WINDOW=FIRST_POPUP&amp;HEIGHT=450&amp;WIDTH=450&amp;","START_MAXIMIZED=FALSE&amp;VAR:CALENDAR=US&amp;VAR:SYMBOL=RAI&amp;VAR:INDEX=0"}</definedName>
    <definedName name="_2176__FDSAUDITLINK__" localSheetId="0"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6__FDSAUDITLINK__" hidden="1">{"fdsup://directions/FAT Viewer?action=UPDATE&amp;creator=factset&amp;DYN_ARGS=TRUE&amp;DOC_NAME=FAT:FQL_AUDITING_CLIENT_TEMPLATE.FAT&amp;display_string=Audit&amp;VAR:KEY=WDMNQXEVWT&amp;VAR:QUERY=RkZfRElWX1lMRChBTk4sOS8yMy8wOSw5LzIzLzA5KQ==&amp;WINDOW=FIRST_POPUP&amp;HEIGHT=450&amp;WIDTH=450&amp;","START_MAXIMIZED=FALSE&amp;VAR:CALENDAR=US&amp;VAR:SYMBOL=RAI&amp;VAR:INDEX=0"}</definedName>
    <definedName name="_2177__FDSAUDITLINK__" localSheetId="0"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7__FDSAUDITLINK__" hidden="1">{"fdsup://directions/FAT Viewer?action=UPDATE&amp;creator=factset&amp;DYN_ARGS=TRUE&amp;DOC_NAME=FAT:FQL_AUDITING_CLIENT_TEMPLATE.FAT&amp;display_string=Audit&amp;VAR:KEY=INWPULETWF&amp;VAR:QUERY=RkZfRElWX1lMRChBTk4sOS8xNi8wOSw5LzE2LzA5KQ==&amp;WINDOW=FIRST_POPUP&amp;HEIGHT=450&amp;WIDTH=450&amp;","START_MAXIMIZED=FALSE&amp;VAR:CALENDAR=US&amp;VAR:SYMBOL=RAI&amp;VAR:INDEX=0"}</definedName>
    <definedName name="_2178__FDSAUDITLINK__" localSheetId="0"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8__FDSAUDITLINK__" hidden="1">{"fdsup://directions/FAT Viewer?action=UPDATE&amp;creator=factset&amp;DYN_ARGS=TRUE&amp;DOC_NAME=FAT:FQL_AUDITING_CLIENT_TEMPLATE.FAT&amp;display_string=Audit&amp;VAR:KEY=UBWNCTGPWV&amp;VAR:QUERY=RkZfRElWX1lMRChBTk4sOS8wOS8wOSw5LzA5LzA5KQ==&amp;WINDOW=FIRST_POPUP&amp;HEIGHT=450&amp;WIDTH=450&amp;","START_MAXIMIZED=FALSE&amp;VAR:CALENDAR=US&amp;VAR:SYMBOL=RAI&amp;VAR:INDEX=0"}</definedName>
    <definedName name="_2179__FDSAUDITLINK__" localSheetId="0"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79__FDSAUDITLINK__" hidden="1">{"fdsup://directions/FAT Viewer?action=UPDATE&amp;creator=factset&amp;DYN_ARGS=TRUE&amp;DOC_NAME=FAT:FQL_AUDITING_CLIENT_TEMPLATE.FAT&amp;display_string=Audit&amp;VAR:KEY=WJWRGJCZAH&amp;VAR:QUERY=RkZfRElWX1lMRChBTk4sOS8wMi8wOSw5LzAyLzA5KQ==&amp;WINDOW=FIRST_POPUP&amp;HEIGHT=450&amp;WIDTH=450&amp;","START_MAXIMIZED=FALSE&amp;VAR:CALENDAR=US&amp;VAR:SYMBOL=RAI&amp;VAR:INDEX=0"}</definedName>
    <definedName name="_218">#REF!</definedName>
    <definedName name="_218__FDSAUDITLINK__" localSheetId="0"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__FDSAUDITLINK__" hidden="1">{"fdsup://directions/FAT Viewer?action=UPDATE&amp;creator=factset&amp;DYN_ARGS=TRUE&amp;DOC_NAME=FAT:FQL_AUDITING_CLIENT_TEMPLATE.FAT&amp;display_string=Audit&amp;VAR:KEY=ZCNYHILMTA&amp;VAR:QUERY=RkZfRElWX1lMRChBTk4sMi8wMS8wNywyLzAxLzA3KQ==&amp;WINDOW=FIRST_POPUP&amp;HEIGHT=450&amp;WIDTH=450&amp;","START_MAXIMIZED=FALSE&amp;VAR:CALENDAR=US&amp;VAR:SYMBOL=RAI&amp;VAR:INDEX=0"}</definedName>
    <definedName name="_2180__FDSAUDITLINK__" localSheetId="0"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0__FDSAUDITLINK__" hidden="1">{"fdsup://directions/FAT Viewer?action=UPDATE&amp;creator=factset&amp;DYN_ARGS=TRUE&amp;DOC_NAME=FAT:FQL_AUDITING_CLIENT_TEMPLATE.FAT&amp;display_string=Audit&amp;VAR:KEY=EHSNCPMZMF&amp;VAR:QUERY=RkZfRElWX1lMRChBTk4sOC8yNi8wOSw4LzI2LzA5KQ==&amp;WINDOW=FIRST_POPUP&amp;HEIGHT=450&amp;WIDTH=450&amp;","START_MAXIMIZED=FALSE&amp;VAR:CALENDAR=US&amp;VAR:SYMBOL=RAI&amp;VAR:INDEX=0"}</definedName>
    <definedName name="_2181">#REF!</definedName>
    <definedName name="_2181__FDSAUDITLINK__" localSheetId="0"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1__FDSAUDITLINK__" hidden="1">{"fdsup://directions/FAT Viewer?action=UPDATE&amp;creator=factset&amp;DYN_ARGS=TRUE&amp;DOC_NAME=FAT:FQL_AUDITING_CLIENT_TEMPLATE.FAT&amp;display_string=Audit&amp;VAR:KEY=QXAFQRIDWZ&amp;VAR:QUERY=RkZfRElWX1lMRChBTk4sOC8xOS8wOSw4LzE5LzA5KQ==&amp;WINDOW=FIRST_POPUP&amp;HEIGHT=450&amp;WIDTH=450&amp;","START_MAXIMIZED=FALSE&amp;VAR:CALENDAR=US&amp;VAR:SYMBOL=RAI&amp;VAR:INDEX=0"}</definedName>
    <definedName name="_2182__FDSAUDITLINK__" localSheetId="0"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2__FDSAUDITLINK__" hidden="1">{"fdsup://directions/FAT Viewer?action=UPDATE&amp;creator=factset&amp;DYN_ARGS=TRUE&amp;DOC_NAME=FAT:FQL_AUDITING_CLIENT_TEMPLATE.FAT&amp;display_string=Audit&amp;VAR:KEY=EDUJKLKXUP&amp;VAR:QUERY=RkZfRElWX1lMRChBTk4sOC8xMi8wOSw4LzEyLzA5KQ==&amp;WINDOW=FIRST_POPUP&amp;HEIGHT=450&amp;WIDTH=450&amp;","START_MAXIMIZED=FALSE&amp;VAR:CALENDAR=US&amp;VAR:SYMBOL=RAI&amp;VAR:INDEX=0"}</definedName>
    <definedName name="_2183__FDSAUDITLINK__" localSheetId="0"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3__FDSAUDITLINK__" hidden="1">{"fdsup://directions/FAT Viewer?action=UPDATE&amp;creator=factset&amp;DYN_ARGS=TRUE&amp;DOC_NAME=FAT:FQL_AUDITING_CLIENT_TEMPLATE.FAT&amp;display_string=Audit&amp;VAR:KEY=MDMTIHMHWB&amp;VAR:QUERY=RkZfRElWX1lMRChBTk4sOC8wNS8wOSw4LzA1LzA5KQ==&amp;WINDOW=FIRST_POPUP&amp;HEIGHT=450&amp;WIDTH=450&amp;","START_MAXIMIZED=FALSE&amp;VAR:CALENDAR=US&amp;VAR:SYMBOL=RAI&amp;VAR:INDEX=0"}</definedName>
    <definedName name="_2184__FDSAUDITLINK__" localSheetId="0"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4__FDSAUDITLINK__" hidden="1">{"fdsup://directions/FAT Viewer?action=UPDATE&amp;creator=factset&amp;DYN_ARGS=TRUE&amp;DOC_NAME=FAT:FQL_AUDITING_CLIENT_TEMPLATE.FAT&amp;display_string=Audit&amp;VAR:KEY=YBCRYNILCB&amp;VAR:QUERY=RkZfRElWX1lMRChBTk4sNy8yOS8wOSw3LzI5LzA5KQ==&amp;WINDOW=FIRST_POPUP&amp;HEIGHT=450&amp;WIDTH=450&amp;","START_MAXIMIZED=FALSE&amp;VAR:CALENDAR=US&amp;VAR:SYMBOL=RAI&amp;VAR:INDEX=0"}</definedName>
    <definedName name="_2185">#REF!</definedName>
    <definedName name="_2185__FDSAUDITLINK__" localSheetId="0"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5__FDSAUDITLINK__" hidden="1">{"fdsup://directions/FAT Viewer?action=UPDATE&amp;creator=factset&amp;DYN_ARGS=TRUE&amp;DOC_NAME=FAT:FQL_AUDITING_CLIENT_TEMPLATE.FAT&amp;display_string=Audit&amp;VAR:KEY=ENENIVSFSZ&amp;VAR:QUERY=RkZfRElWX1lMRChBTk4sNy8yMi8wOSw3LzIyLzA5KQ==&amp;WINDOW=FIRST_POPUP&amp;HEIGHT=450&amp;WIDTH=450&amp;","START_MAXIMIZED=FALSE&amp;VAR:CALENDAR=US&amp;VAR:SYMBOL=RAI&amp;VAR:INDEX=0"}</definedName>
    <definedName name="_2186__FDSAUDITLINK__" localSheetId="0"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6__FDSAUDITLINK__" hidden="1">{"fdsup://directions/FAT Viewer?action=UPDATE&amp;creator=factset&amp;DYN_ARGS=TRUE&amp;DOC_NAME=FAT:FQL_AUDITING_CLIENT_TEMPLATE.FAT&amp;display_string=Audit&amp;VAR:KEY=GBKHMVGTUB&amp;VAR:QUERY=RkZfRElWX1lMRChBTk4sNy8xNS8wOSw3LzE1LzA5KQ==&amp;WINDOW=FIRST_POPUP&amp;HEIGHT=450&amp;WIDTH=450&amp;","START_MAXIMIZED=FALSE&amp;VAR:CALENDAR=US&amp;VAR:SYMBOL=RAI&amp;VAR:INDEX=0"}</definedName>
    <definedName name="_2187__FDSAUDITLINK__" localSheetId="0"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7__FDSAUDITLINK__" hidden="1">{"fdsup://directions/FAT Viewer?action=UPDATE&amp;creator=factset&amp;DYN_ARGS=TRUE&amp;DOC_NAME=FAT:FQL_AUDITING_CLIENT_TEMPLATE.FAT&amp;display_string=Audit&amp;VAR:KEY=YDEVMXABQR&amp;VAR:QUERY=RkZfRElWX1lMRChBTk4sNy8wOC8wOSw3LzA4LzA5KQ==&amp;WINDOW=FIRST_POPUP&amp;HEIGHT=450&amp;WIDTH=450&amp;","START_MAXIMIZED=FALSE&amp;VAR:CALENDAR=US&amp;VAR:SYMBOL=RAI&amp;VAR:INDEX=0"}</definedName>
    <definedName name="_2188__FDSAUDITLINK__" localSheetId="0"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8__FDSAUDITLINK__" hidden="1">{"fdsup://directions/FAT Viewer?action=UPDATE&amp;creator=factset&amp;DYN_ARGS=TRUE&amp;DOC_NAME=FAT:FQL_AUDITING_CLIENT_TEMPLATE.FAT&amp;display_string=Audit&amp;VAR:KEY=YHKRAPOVST&amp;VAR:QUERY=RkZfRElWX1lMRChBTk4sNy8wMS8wOSw3LzAxLzA5KQ==&amp;WINDOW=FIRST_POPUP&amp;HEIGHT=450&amp;WIDTH=450&amp;","START_MAXIMIZED=FALSE&amp;VAR:CALENDAR=US&amp;VAR:SYMBOL=RAI&amp;VAR:INDEX=0"}</definedName>
    <definedName name="_2189__FDSAUDITLINK__" localSheetId="0"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89__FDSAUDITLINK__" hidden="1">{"fdsup://directions/FAT Viewer?action=UPDATE&amp;creator=factset&amp;DYN_ARGS=TRUE&amp;DOC_NAME=FAT:FQL_AUDITING_CLIENT_TEMPLATE.FAT&amp;display_string=Audit&amp;VAR:KEY=CHWXENEPMF&amp;VAR:QUERY=RkZfRElWX1lMRChBTk4sNi8yNC8wOSw2LzI0LzA5KQ==&amp;WINDOW=FIRST_POPUP&amp;HEIGHT=450&amp;WIDTH=450&amp;","START_MAXIMIZED=FALSE&amp;VAR:CALENDAR=US&amp;VAR:SYMBOL=RAI&amp;VAR:INDEX=0"}</definedName>
    <definedName name="_219">#REF!</definedName>
    <definedName name="_219__FDSAUDITLINK__" localSheetId="0"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__FDSAUDITLINK__" hidden="1">{"fdsup://directions/FAT Viewer?action=UPDATE&amp;creator=factset&amp;DYN_ARGS=TRUE&amp;DOC_NAME=FAT:FQL_AUDITING_CLIENT_TEMPLATE.FAT&amp;display_string=Audit&amp;VAR:KEY=VINOJKZADG&amp;VAR:QUERY=RkZfRElWX1lMRChBTk4sMS8yNS8wNywxLzI1LzA3KQ==&amp;WINDOW=FIRST_POPUP&amp;HEIGHT=450&amp;WIDTH=450&amp;","START_MAXIMIZED=FALSE&amp;VAR:CALENDAR=US&amp;VAR:SYMBOL=RAI&amp;VAR:INDEX=0"}</definedName>
    <definedName name="_2190">#REF!</definedName>
    <definedName name="_2190__FDSAUDITLINK__" localSheetId="0"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0__FDSAUDITLINK__" hidden="1">{"fdsup://directions/FAT Viewer?action=UPDATE&amp;creator=factset&amp;DYN_ARGS=TRUE&amp;DOC_NAME=FAT:FQL_AUDITING_CLIENT_TEMPLATE.FAT&amp;display_string=Audit&amp;VAR:KEY=MNUFQNWVAH&amp;VAR:QUERY=RkZfRElWX1lMRChBTk4sNi8xNy8wOSw2LzE3LzA5KQ==&amp;WINDOW=FIRST_POPUP&amp;HEIGHT=450&amp;WIDTH=450&amp;","START_MAXIMIZED=FALSE&amp;VAR:CALENDAR=US&amp;VAR:SYMBOL=RAI&amp;VAR:INDEX=0"}</definedName>
    <definedName name="_2191__FDSAUDITLINK__" localSheetId="0"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1__FDSAUDITLINK__" hidden="1">{"fdsup://directions/FAT Viewer?action=UPDATE&amp;creator=factset&amp;DYN_ARGS=TRUE&amp;DOC_NAME=FAT:FQL_AUDITING_CLIENT_TEMPLATE.FAT&amp;display_string=Audit&amp;VAR:KEY=SRABINGHYX&amp;VAR:QUERY=RkZfRElWX1lMRChBTk4sNi8xMC8wOSw2LzEwLzA5KQ==&amp;WINDOW=FIRST_POPUP&amp;HEIGHT=450&amp;WIDTH=450&amp;","START_MAXIMIZED=FALSE&amp;VAR:CALENDAR=US&amp;VAR:SYMBOL=RAI&amp;VAR:INDEX=0"}</definedName>
    <definedName name="_2192__FDSAUDITLINK__" localSheetId="0"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2__FDSAUDITLINK__" hidden="1">{"fdsup://directions/FAT Viewer?action=UPDATE&amp;creator=factset&amp;DYN_ARGS=TRUE&amp;DOC_NAME=FAT:FQL_AUDITING_CLIENT_TEMPLATE.FAT&amp;display_string=Audit&amp;VAR:KEY=SRURQRQRCF&amp;VAR:QUERY=RkZfRElWX1lMRChBTk4sNi8wMy8wOSw2LzAzLzA5KQ==&amp;WINDOW=FIRST_POPUP&amp;HEIGHT=450&amp;WIDTH=450&amp;","START_MAXIMIZED=FALSE&amp;VAR:CALENDAR=US&amp;VAR:SYMBOL=RAI&amp;VAR:INDEX=0"}</definedName>
    <definedName name="_2193__FDSAUDITLINK__" localSheetId="0"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3__FDSAUDITLINK__" hidden="1">{"fdsup://directions/FAT Viewer?action=UPDATE&amp;creator=factset&amp;DYN_ARGS=TRUE&amp;DOC_NAME=FAT:FQL_AUDITING_CLIENT_TEMPLATE.FAT&amp;display_string=Audit&amp;VAR:KEY=GLOLOHGLWL&amp;VAR:QUERY=RkZfRElWX1lMRChBTk4sNS8yNy8wOSw1LzI3LzA5KQ==&amp;WINDOW=FIRST_POPUP&amp;HEIGHT=450&amp;WIDTH=450&amp;","START_MAXIMIZED=FALSE&amp;VAR:CALENDAR=US&amp;VAR:SYMBOL=RAI&amp;VAR:INDEX=0"}</definedName>
    <definedName name="_2194__FDSAUDITLINK__" localSheetId="0"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4__FDSAUDITLINK__" hidden="1">{"fdsup://directions/FAT Viewer?action=UPDATE&amp;creator=factset&amp;DYN_ARGS=TRUE&amp;DOC_NAME=FAT:FQL_AUDITING_CLIENT_TEMPLATE.FAT&amp;display_string=Audit&amp;VAR:KEY=EPEXSTGNUR&amp;VAR:QUERY=RkZfRElWX1lMRChBTk4sNS8yMC8wOSw1LzIwLzA5KQ==&amp;WINDOW=FIRST_POPUP&amp;HEIGHT=450&amp;WIDTH=450&amp;","START_MAXIMIZED=FALSE&amp;VAR:CALENDAR=US&amp;VAR:SYMBOL=RAI&amp;VAR:INDEX=0"}</definedName>
    <definedName name="_2195">#REF!</definedName>
    <definedName name="_2195__FDSAUDITLINK__" localSheetId="0"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5__FDSAUDITLINK__" hidden="1">{"fdsup://directions/FAT Viewer?action=UPDATE&amp;creator=factset&amp;DYN_ARGS=TRUE&amp;DOC_NAME=FAT:FQL_AUDITING_CLIENT_TEMPLATE.FAT&amp;display_string=Audit&amp;VAR:KEY=SXSJCPARQL&amp;VAR:QUERY=RkZfRElWX1lMRChBTk4sNS8xMy8wOSw1LzEzLzA5KQ==&amp;WINDOW=FIRST_POPUP&amp;HEIGHT=450&amp;WIDTH=450&amp;","START_MAXIMIZED=FALSE&amp;VAR:CALENDAR=US&amp;VAR:SYMBOL=RAI&amp;VAR:INDEX=0"}</definedName>
    <definedName name="_2196__FDSAUDITLINK__" localSheetId="0"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6__FDSAUDITLINK__" hidden="1">{"fdsup://directions/FAT Viewer?action=UPDATE&amp;creator=factset&amp;DYN_ARGS=TRUE&amp;DOC_NAME=FAT:FQL_AUDITING_CLIENT_TEMPLATE.FAT&amp;display_string=Audit&amp;VAR:KEY=ALQHSBEZEZ&amp;VAR:QUERY=RkZfRElWX1lMRChBTk4sNS8wNi8wOSw1LzA2LzA5KQ==&amp;WINDOW=FIRST_POPUP&amp;HEIGHT=450&amp;WIDTH=450&amp;","START_MAXIMIZED=FALSE&amp;VAR:CALENDAR=US&amp;VAR:SYMBOL=RAI&amp;VAR:INDEX=0"}</definedName>
    <definedName name="_2197__FDSAUDITLINK__" localSheetId="0"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7__FDSAUDITLINK__" hidden="1">{"fdsup://directions/FAT Viewer?action=UPDATE&amp;creator=factset&amp;DYN_ARGS=TRUE&amp;DOC_NAME=FAT:FQL_AUDITING_CLIENT_TEMPLATE.FAT&amp;display_string=Audit&amp;VAR:KEY=EBMJWRGJCJ&amp;VAR:QUERY=RkZfRElWX1lMRChBTk4sNC8yOS8wOSw0LzI5LzA5KQ==&amp;WINDOW=FIRST_POPUP&amp;HEIGHT=450&amp;WIDTH=450&amp;","START_MAXIMIZED=FALSE&amp;VAR:CALENDAR=US&amp;VAR:SYMBOL=RAI&amp;VAR:INDEX=0"}</definedName>
    <definedName name="_2198__FDSAUDITLINK__" localSheetId="0"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8__FDSAUDITLINK__" hidden="1">{"fdsup://directions/FAT Viewer?action=UPDATE&amp;creator=factset&amp;DYN_ARGS=TRUE&amp;DOC_NAME=FAT:FQL_AUDITING_CLIENT_TEMPLATE.FAT&amp;display_string=Audit&amp;VAR:KEY=GTMLSRUBWL&amp;VAR:QUERY=RkZfRElWX1lMRChBTk4sNC8yMi8wOSw0LzIyLzA5KQ==&amp;WINDOW=FIRST_POPUP&amp;HEIGHT=450&amp;WIDTH=450&amp;","START_MAXIMIZED=FALSE&amp;VAR:CALENDAR=US&amp;VAR:SYMBOL=RAI&amp;VAR:INDEX=0"}</definedName>
    <definedName name="_2199__FDSAUDITLINK__" localSheetId="0"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99__FDSAUDITLINK__" hidden="1">{"fdsup://directions/FAT Viewer?action=UPDATE&amp;creator=factset&amp;DYN_ARGS=TRUE&amp;DOC_NAME=FAT:FQL_AUDITING_CLIENT_TEMPLATE.FAT&amp;display_string=Audit&amp;VAR:KEY=QRIDOVINYB&amp;VAR:QUERY=RkZfRElWX1lMRChBTk4sNC8xNS8wOSw0LzE1LzA5KQ==&amp;WINDOW=FIRST_POPUP&amp;HEIGHT=450&amp;WIDTH=450&amp;","START_MAXIMIZED=FALSE&amp;VAR:CALENDAR=US&amp;VAR:SYMBOL=RAI&amp;VAR:INDEX=0"}</definedName>
    <definedName name="_21s17_" hidden="1">{#N/A,#N/A,FALSE,"UNIT";#N/A,#N/A,FALSE,"UNIT";#N/A,#N/A,FALSE,"계정"}</definedName>
    <definedName name="_22">#REF!</definedName>
    <definedName name="_22_________NOTE5_7">#REF!</definedName>
    <definedName name="_22__123Graph_BCHART_26" hidden="1">#REF!</definedName>
    <definedName name="_22__123Graph_BChart_3I">#REF!</definedName>
    <definedName name="_22__123Graph_BSUPPLIES_BY_B_U">#REF!</definedName>
    <definedName name="_22__123Graph_BTAX_CREDIT">#REF!</definedName>
    <definedName name="_22__123Graph_BWAGES_BY_B_U">#REF!</definedName>
    <definedName name="_22__123Graph_CSUPPLIES_BY_B_U">#REF!</definedName>
    <definedName name="_22__123Graph_CWAGES_BY_B_U">#REF!</definedName>
    <definedName name="_22__123Graph_DQRE_S_BY_CO." hidden="1">#REF!</definedName>
    <definedName name="_22__123Graph_DSUPPLIES_BY_B_U">#REF!</definedName>
    <definedName name="_22__123Graph_DWAGES_BY_B_U">#REF!</definedName>
    <definedName name="_22__123Graph_ECONTRACT_BY_B_U">#REF!</definedName>
    <definedName name="_22__FDSAUDITLINK__" localSheetId="0"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_FDSAUDITLINK__" hidden="1">{"fdsup://directions/FAT Viewer?action=UPDATE&amp;creator=factset&amp;DYN_ARGS=TRUE&amp;DOC_NAME=FAT:FQL_AUDITING_CLIENT_TEMPLATE.FAT&amp;display_string=Audit&amp;VAR:KEY=GTYTEXGVQR&amp;VAR:QUERY=Q1NGX0RJVl9ZTEQoUVRSX1IsOS8zMC8yMDA1KQ==&amp;WINDOW=FIRST_POPUP&amp;HEIGHT=450&amp;WIDTH=450&amp;STAR","T_MAXIMIZED=FALSE&amp;VAR:CALENDAR=US&amp;VAR:SYMBOL=MO&amp;VAR:INDEX=0"}</definedName>
    <definedName name="_22_04_1999">#REF!</definedName>
    <definedName name="_22_1_0_F">#REF!</definedName>
    <definedName name="_22_10_1997">#REF!</definedName>
    <definedName name="_22_6__1_CRADDIN_Headings">#REF!</definedName>
    <definedName name="_220__FDSAUDITLINK__" localSheetId="0"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__FDSAUDITLINK__" hidden="1">{"fdsup://directions/FAT Viewer?action=UPDATE&amp;creator=factset&amp;DYN_ARGS=TRUE&amp;DOC_NAME=FAT:FQL_AUDITING_CLIENT_TEMPLATE.FAT&amp;display_string=Audit&amp;VAR:KEY=VYZAZIZKDO&amp;VAR:QUERY=RkZfRElWX1lMRChBTk4sMS8xOC8wNywxLzE4LzA3KQ==&amp;WINDOW=FIRST_POPUP&amp;HEIGHT=450&amp;WIDTH=450&amp;","START_MAXIMIZED=FALSE&amp;VAR:CALENDAR=US&amp;VAR:SYMBOL=RAI&amp;VAR:INDEX=0"}</definedName>
    <definedName name="_2200__FDSAUDITLINK__" localSheetId="0"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0__FDSAUDITLINK__" hidden="1">{"fdsup://directions/FAT Viewer?action=UPDATE&amp;creator=factset&amp;DYN_ARGS=TRUE&amp;DOC_NAME=FAT:FQL_AUDITING_CLIENT_TEMPLATE.FAT&amp;display_string=Audit&amp;VAR:KEY=OXYZOFKTMN&amp;VAR:QUERY=RkZfRElWX1lMRChBTk4sNC8wOC8wOSw0LzA4LzA5KQ==&amp;WINDOW=FIRST_POPUP&amp;HEIGHT=450&amp;WIDTH=450&amp;","START_MAXIMIZED=FALSE&amp;VAR:CALENDAR=US&amp;VAR:SYMBOL=RAI&amp;VAR:INDEX=0"}</definedName>
    <definedName name="_2201__FDSAUDITLINK__" localSheetId="0"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1__FDSAUDITLINK__" hidden="1">{"fdsup://directions/FAT Viewer?action=UPDATE&amp;creator=factset&amp;DYN_ARGS=TRUE&amp;DOC_NAME=FAT:FQL_AUDITING_CLIENT_TEMPLATE.FAT&amp;display_string=Audit&amp;VAR:KEY=WPENEZYRMV&amp;VAR:QUERY=RkZfRElWX1lMRChBTk4sNC8wMS8wOSw0LzAxLzA5KQ==&amp;WINDOW=FIRST_POPUP&amp;HEIGHT=450&amp;WIDTH=450&amp;","START_MAXIMIZED=FALSE&amp;VAR:CALENDAR=US&amp;VAR:SYMBOL=RAI&amp;VAR:INDEX=0"}</definedName>
    <definedName name="_2202__FDSAUDITLINK__" localSheetId="0"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2__FDSAUDITLINK__" hidden="1">{"fdsup://directions/FAT Viewer?action=UPDATE&amp;creator=factset&amp;DYN_ARGS=TRUE&amp;DOC_NAME=FAT:FQL_AUDITING_CLIENT_TEMPLATE.FAT&amp;display_string=Audit&amp;VAR:KEY=QFUXWHSVYX&amp;VAR:QUERY=RkZfRElWX1lMRChBTk4sMy8yNS8wOSwzLzI1LzA5KQ==&amp;WINDOW=FIRST_POPUP&amp;HEIGHT=450&amp;WIDTH=450&amp;","START_MAXIMIZED=FALSE&amp;VAR:CALENDAR=US&amp;VAR:SYMBOL=RAI&amp;VAR:INDEX=0"}</definedName>
    <definedName name="_2203">#REF!</definedName>
    <definedName name="_2203__FDSAUDITLINK__" localSheetId="0"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3__FDSAUDITLINK__" hidden="1">{"fdsup://directions/FAT Viewer?action=UPDATE&amp;creator=factset&amp;DYN_ARGS=TRUE&amp;DOC_NAME=FAT:FQL_AUDITING_CLIENT_TEMPLATE.FAT&amp;display_string=Audit&amp;VAR:KEY=EZETOPYTWF&amp;VAR:QUERY=RkZfRElWX1lMRChBTk4sMy8xOC8wOSwzLzE4LzA5KQ==&amp;WINDOW=FIRST_POPUP&amp;HEIGHT=450&amp;WIDTH=450&amp;","START_MAXIMIZED=FALSE&amp;VAR:CALENDAR=US&amp;VAR:SYMBOL=RAI&amp;VAR:INDEX=0"}</definedName>
    <definedName name="_2204__FDSAUDITLINK__" localSheetId="0"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4__FDSAUDITLINK__" hidden="1">{"fdsup://directions/FAT Viewer?action=UPDATE&amp;creator=factset&amp;DYN_ARGS=TRUE&amp;DOC_NAME=FAT:FQL_AUDITING_CLIENT_TEMPLATE.FAT&amp;display_string=Audit&amp;VAR:KEY=APKHWZCBSD&amp;VAR:QUERY=RkZfRElWX1lMRChBTk4sMy8xMS8wOSwzLzExLzA5KQ==&amp;WINDOW=FIRST_POPUP&amp;HEIGHT=450&amp;WIDTH=450&amp;","START_MAXIMIZED=FALSE&amp;VAR:CALENDAR=US&amp;VAR:SYMBOL=RAI&amp;VAR:INDEX=0"}</definedName>
    <definedName name="_2205__FDSAUDITLINK__" localSheetId="0"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5__FDSAUDITLINK__" hidden="1">{"fdsup://directions/FAT Viewer?action=UPDATE&amp;creator=factset&amp;DYN_ARGS=TRUE&amp;DOC_NAME=FAT:FQL_AUDITING_CLIENT_TEMPLATE.FAT&amp;display_string=Audit&amp;VAR:KEY=SNINCFIJIN&amp;VAR:QUERY=RkZfRElWX1lMRChBTk4sMy8wNC8wOSwzLzA0LzA5KQ==&amp;WINDOW=FIRST_POPUP&amp;HEIGHT=450&amp;WIDTH=450&amp;","START_MAXIMIZED=FALSE&amp;VAR:CALENDAR=US&amp;VAR:SYMBOL=RAI&amp;VAR:INDEX=0"}</definedName>
    <definedName name="_2206__FDSAUDITLINK__" localSheetId="0"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6__FDSAUDITLINK__" hidden="1">{"fdsup://directions/FAT Viewer?action=UPDATE&amp;creator=factset&amp;DYN_ARGS=TRUE&amp;DOC_NAME=FAT:FQL_AUDITING_CLIENT_TEMPLATE.FAT&amp;display_string=Audit&amp;VAR:KEY=WZEDIVCXOZ&amp;VAR:QUERY=RkZfRElWX1lMRChBTk4sMi8yNS8wOSwyLzI1LzA5KQ==&amp;WINDOW=FIRST_POPUP&amp;HEIGHT=450&amp;WIDTH=450&amp;","START_MAXIMIZED=FALSE&amp;VAR:CALENDAR=US&amp;VAR:SYMBOL=RAI&amp;VAR:INDEX=0"}</definedName>
    <definedName name="_2207">#REF!</definedName>
    <definedName name="_2207__FDSAUDITLINK__" localSheetId="0"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7__FDSAUDITLINK__" hidden="1">{"fdsup://directions/FAT Viewer?action=UPDATE&amp;creator=factset&amp;DYN_ARGS=TRUE&amp;DOC_NAME=FAT:FQL_AUDITING_CLIENT_TEMPLATE.FAT&amp;display_string=Audit&amp;VAR:KEY=CXSLCLMLCN&amp;VAR:QUERY=RkZfRElWX1lMRChBTk4sMi8xOC8wOSwyLzE4LzA5KQ==&amp;WINDOW=FIRST_POPUP&amp;HEIGHT=450&amp;WIDTH=450&amp;","START_MAXIMIZED=FALSE&amp;VAR:CALENDAR=US&amp;VAR:SYMBOL=RAI&amp;VAR:INDEX=0"}</definedName>
    <definedName name="_2208__FDSAUDITLINK__" localSheetId="0"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8__FDSAUDITLINK__" hidden="1">{"fdsup://directions/FAT Viewer?action=UPDATE&amp;creator=factset&amp;DYN_ARGS=TRUE&amp;DOC_NAME=FAT:FQL_AUDITING_CLIENT_TEMPLATE.FAT&amp;display_string=Audit&amp;VAR:KEY=WHMFONYHKV&amp;VAR:QUERY=RkZfRElWX1lMRChBTk4sMi8xMS8wOSwyLzExLzA5KQ==&amp;WINDOW=FIRST_POPUP&amp;HEIGHT=450&amp;WIDTH=450&amp;","START_MAXIMIZED=FALSE&amp;VAR:CALENDAR=US&amp;VAR:SYMBOL=RAI&amp;VAR:INDEX=0"}</definedName>
    <definedName name="_2209__FDSAUDITLINK__" localSheetId="0"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09__FDSAUDITLINK__" hidden="1">{"fdsup://directions/FAT Viewer?action=UPDATE&amp;creator=factset&amp;DYN_ARGS=TRUE&amp;DOC_NAME=FAT:FQL_AUDITING_CLIENT_TEMPLATE.FAT&amp;display_string=Audit&amp;VAR:KEY=UBQHENOXEX&amp;VAR:QUERY=RkZfRElWX1lMRChBTk4sMi8wNC8wOSwyLzA0LzA5KQ==&amp;WINDOW=FIRST_POPUP&amp;HEIGHT=450&amp;WIDTH=450&amp;","START_MAXIMIZED=FALSE&amp;VAR:CALENDAR=US&amp;VAR:SYMBOL=RAI&amp;VAR:INDEX=0"}</definedName>
    <definedName name="_221__FDSAUDITLINK__" localSheetId="0"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__FDSAUDITLINK__" hidden="1">{"fdsup://directions/FAT Viewer?action=UPDATE&amp;creator=factset&amp;DYN_ARGS=TRUE&amp;DOC_NAME=FAT:FQL_AUDITING_CLIENT_TEMPLATE.FAT&amp;display_string=Audit&amp;VAR:KEY=XQDEBQVCXU&amp;VAR:QUERY=RkZfRElWX1lMRChBTk4sMS8xMS8wNywxLzExLzA3KQ==&amp;WINDOW=FIRST_POPUP&amp;HEIGHT=450&amp;WIDTH=450&amp;","START_MAXIMIZED=FALSE&amp;VAR:CALENDAR=US&amp;VAR:SYMBOL=RAI&amp;VAR:INDEX=0"}</definedName>
    <definedName name="_2210__FDSAUDITLINK__" localSheetId="0"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0__FDSAUDITLINK__" hidden="1">{"fdsup://directions/FAT Viewer?action=UPDATE&amp;creator=factset&amp;DYN_ARGS=TRUE&amp;DOC_NAME=FAT:FQL_AUDITING_CLIENT_TEMPLATE.FAT&amp;display_string=Audit&amp;VAR:KEY=QLENCBYJMP&amp;VAR:QUERY=RkZfRElWX1lMRChBTk4sMS8yOC8wOSwxLzI4LzA5KQ==&amp;WINDOW=FIRST_POPUP&amp;HEIGHT=450&amp;WIDTH=450&amp;","START_MAXIMIZED=FALSE&amp;VAR:CALENDAR=US&amp;VAR:SYMBOL=RAI&amp;VAR:INDEX=0"}</definedName>
    <definedName name="_2211__FDSAUDITLINK__" localSheetId="0"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1__FDSAUDITLINK__" hidden="1">{"fdsup://directions/FAT Viewer?action=UPDATE&amp;creator=factset&amp;DYN_ARGS=TRUE&amp;DOC_NAME=FAT:FQL_AUDITING_CLIENT_TEMPLATE.FAT&amp;display_string=Audit&amp;VAR:KEY=WXIZGFSDYT&amp;VAR:QUERY=RkZfRElWX1lMRChBTk4sMS8yMS8wOSwxLzIxLzA5KQ==&amp;WINDOW=FIRST_POPUP&amp;HEIGHT=450&amp;WIDTH=450&amp;","START_MAXIMIZED=FALSE&amp;VAR:CALENDAR=US&amp;VAR:SYMBOL=RAI&amp;VAR:INDEX=0"}</definedName>
    <definedName name="_2212">#REF!</definedName>
    <definedName name="_2212__FDSAUDITLINK__" localSheetId="0"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2__FDSAUDITLINK__" hidden="1">{"fdsup://directions/FAT Viewer?action=UPDATE&amp;creator=factset&amp;DYN_ARGS=TRUE&amp;DOC_NAME=FAT:FQL_AUDITING_CLIENT_TEMPLATE.FAT&amp;display_string=Audit&amp;VAR:KEY=AJSTYREBKX&amp;VAR:QUERY=RkZfRElWX1lMRChBTk4sMS8xNC8wOSwxLzE0LzA5KQ==&amp;WINDOW=FIRST_POPUP&amp;HEIGHT=450&amp;WIDTH=450&amp;","START_MAXIMIZED=FALSE&amp;VAR:CALENDAR=US&amp;VAR:SYMBOL=RAI&amp;VAR:INDEX=0"}</definedName>
    <definedName name="_2213__FDSAUDITLINK__" localSheetId="0"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3__FDSAUDITLINK__" hidden="1">{"fdsup://directions/FAT Viewer?action=UPDATE&amp;creator=factset&amp;DYN_ARGS=TRUE&amp;DOC_NAME=FAT:FQL_AUDITING_CLIENT_TEMPLATE.FAT&amp;display_string=Audit&amp;VAR:KEY=WDMRKXEXGD&amp;VAR:QUERY=RkZfRElWX1lMRChBTk4sMS8wNy8wOSwxLzA3LzA5KQ==&amp;WINDOW=FIRST_POPUP&amp;HEIGHT=450&amp;WIDTH=450&amp;","START_MAXIMIZED=FALSE&amp;VAR:CALENDAR=US&amp;VAR:SYMBOL=RAI&amp;VAR:INDEX=0"}</definedName>
    <definedName name="_2214__FDSAUDITLINK__" localSheetId="0"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4__FDSAUDITLINK__" hidden="1">{"fdsup://directions/FAT Viewer?action=UPDATE&amp;creator=factset&amp;DYN_ARGS=TRUE&amp;DOC_NAME=FAT:FQL_AUDITING_CLIENT_TEMPLATE.FAT&amp;display_string=Audit&amp;VAR:KEY=SBMLWPSLMJ&amp;VAR:QUERY=RkZfRElWX1lMRChBTk4sMTIvMzEvMDgsMTIvMzEvMDgp&amp;WINDOW=FIRST_POPUP&amp;HEIGHT=450&amp;WIDTH=450&amp;","START_MAXIMIZED=FALSE&amp;VAR:CALENDAR=US&amp;VAR:SYMBOL=RAI&amp;VAR:INDEX=0"}</definedName>
    <definedName name="_2215__FDSAUDITLINK__" localSheetId="0"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5__FDSAUDITLINK__" hidden="1">{"fdsup://directions/FAT Viewer?action=UPDATE&amp;creator=factset&amp;DYN_ARGS=TRUE&amp;DOC_NAME=FAT:FQL_AUDITING_CLIENT_TEMPLATE.FAT&amp;display_string=Audit&amp;VAR:KEY=OBKPCNCZGP&amp;VAR:QUERY=RkZfRElWX1lMRChBTk4sMTIvMjQvMDgsMTIvMjQvMDgp&amp;WINDOW=FIRST_POPUP&amp;HEIGHT=450&amp;WIDTH=450&amp;","START_MAXIMIZED=FALSE&amp;VAR:CALENDAR=US&amp;VAR:SYMBOL=RAI&amp;VAR:INDEX=0"}</definedName>
    <definedName name="_2216__FDSAUDITLINK__" localSheetId="0"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6__FDSAUDITLINK__" hidden="1">{"fdsup://directions/FAT Viewer?action=UPDATE&amp;creator=factset&amp;DYN_ARGS=TRUE&amp;DOC_NAME=FAT:FQL_AUDITING_CLIENT_TEMPLATE.FAT&amp;display_string=Audit&amp;VAR:KEY=ELEBORKJMT&amp;VAR:QUERY=RkZfRElWX1lMRChBTk4sMTIvMTcvMDgsMTIvMTcvMDgp&amp;WINDOW=FIRST_POPUP&amp;HEIGHT=450&amp;WIDTH=450&amp;","START_MAXIMIZED=FALSE&amp;VAR:CALENDAR=US&amp;VAR:SYMBOL=RAI&amp;VAR:INDEX=0"}</definedName>
    <definedName name="_2217">#REF!</definedName>
    <definedName name="_2217__FDSAUDITLINK__" localSheetId="0"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7__FDSAUDITLINK__" hidden="1">{"fdsup://directions/FAT Viewer?action=UPDATE&amp;creator=factset&amp;DYN_ARGS=TRUE&amp;DOC_NAME=FAT:FQL_AUDITING_CLIENT_TEMPLATE.FAT&amp;display_string=Audit&amp;VAR:KEY=EVYPONSDUD&amp;VAR:QUERY=RkZfRElWX1lMRChBTk4sMTIvMTAvMDgsMTIvMTAvMDgp&amp;WINDOW=FIRST_POPUP&amp;HEIGHT=450&amp;WIDTH=450&amp;","START_MAXIMIZED=FALSE&amp;VAR:CALENDAR=US&amp;VAR:SYMBOL=RAI&amp;VAR:INDEX=0"}</definedName>
    <definedName name="_2218__FDSAUDITLINK__" localSheetId="0"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8__FDSAUDITLINK__" hidden="1">{"fdsup://directions/FAT Viewer?action=UPDATE&amp;creator=factset&amp;DYN_ARGS=TRUE&amp;DOC_NAME=FAT:FQL_AUDITING_CLIENT_TEMPLATE.FAT&amp;display_string=Audit&amp;VAR:KEY=GHSJKBQVMP&amp;VAR:QUERY=RkZfRElWX1lMRChBTk4sMTIvMDMvMDgsMTIvMDMvMDgp&amp;WINDOW=FIRST_POPUP&amp;HEIGHT=450&amp;WIDTH=450&amp;","START_MAXIMIZED=FALSE&amp;VAR:CALENDAR=US&amp;VAR:SYMBOL=RAI&amp;VAR:INDEX=0"}</definedName>
    <definedName name="_2219__FDSAUDITLINK__" localSheetId="0"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19__FDSAUDITLINK__" hidden="1">{"fdsup://directions/FAT Viewer?action=UPDATE&amp;creator=factset&amp;DYN_ARGS=TRUE&amp;DOC_NAME=FAT:FQL_AUDITING_CLIENT_TEMPLATE.FAT&amp;display_string=Audit&amp;VAR:KEY=YNGLIRMZWJ&amp;VAR:QUERY=RkZfRElWX1lMRChBTk4sMTEvMjYvMDgsMTEvMjYvMDgp&amp;WINDOW=FIRST_POPUP&amp;HEIGHT=450&amp;WIDTH=450&amp;","START_MAXIMIZED=FALSE&amp;VAR:CALENDAR=US&amp;VAR:SYMBOL=RAI&amp;VAR:INDEX=0"}</definedName>
    <definedName name="_222__FDSAUDITLINK__" localSheetId="0"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__FDSAUDITLINK__" hidden="1">{"fdsup://directions/FAT Viewer?action=UPDATE&amp;creator=factset&amp;DYN_ARGS=TRUE&amp;DOC_NAME=FAT:FQL_AUDITING_CLIENT_TEMPLATE.FAT&amp;display_string=Audit&amp;VAR:KEY=ZWRQLGHUDQ&amp;VAR:QUERY=RkZfRElWX1lMRChBTk4sMS8wNC8wNywxLzA0LzA3KQ==&amp;WINDOW=FIRST_POPUP&amp;HEIGHT=450&amp;WIDTH=450&amp;","START_MAXIMIZED=FALSE&amp;VAR:CALENDAR=US&amp;VAR:SYMBOL=RAI&amp;VAR:INDEX=0"}</definedName>
    <definedName name="_2220__FDSAUDITLINK__" localSheetId="0"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0__FDSAUDITLINK__" hidden="1">{"fdsup://directions/FAT Viewer?action=UPDATE&amp;creator=factset&amp;DYN_ARGS=TRUE&amp;DOC_NAME=FAT:FQL_AUDITING_CLIENT_TEMPLATE.FAT&amp;display_string=Audit&amp;VAR:KEY=QDOHMBSZEH&amp;VAR:QUERY=RkZfRElWX1lMRChBTk4sMTEvMTkvMDgsMTEvMTkvMDgp&amp;WINDOW=FIRST_POPUP&amp;HEIGHT=450&amp;WIDTH=450&amp;","START_MAXIMIZED=FALSE&amp;VAR:CALENDAR=US&amp;VAR:SYMBOL=RAI&amp;VAR:INDEX=0"}</definedName>
    <definedName name="_2221__FDSAUDITLINK__" localSheetId="0"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1__FDSAUDITLINK__" hidden="1">{"fdsup://directions/FAT Viewer?action=UPDATE&amp;creator=factset&amp;DYN_ARGS=TRUE&amp;DOC_NAME=FAT:FQL_AUDITING_CLIENT_TEMPLATE.FAT&amp;display_string=Audit&amp;VAR:KEY=CFSVEVYHAR&amp;VAR:QUERY=RkZfRElWX1lMRChBTk4sMTEvMTIvMDgsMTEvMTIvMDgp&amp;WINDOW=FIRST_POPUP&amp;HEIGHT=450&amp;WIDTH=450&amp;","START_MAXIMIZED=FALSE&amp;VAR:CALENDAR=US&amp;VAR:SYMBOL=RAI&amp;VAR:INDEX=0"}</definedName>
    <definedName name="_2222__FDSAUDITLINK__" localSheetId="0"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2__FDSAUDITLINK__" hidden="1">{"fdsup://directions/FAT Viewer?action=UPDATE&amp;creator=factset&amp;DYN_ARGS=TRUE&amp;DOC_NAME=FAT:FQL_AUDITING_CLIENT_TEMPLATE.FAT&amp;display_string=Audit&amp;VAR:KEY=GRIRYVUBSR&amp;VAR:QUERY=RkZfRElWX1lMRChBTk4sMTEvMDUvMDgsMTEvMDUvMDgp&amp;WINDOW=FIRST_POPUP&amp;HEIGHT=450&amp;WIDTH=450&amp;","START_MAXIMIZED=FALSE&amp;VAR:CALENDAR=US&amp;VAR:SYMBOL=RAI&amp;VAR:INDEX=0"}</definedName>
    <definedName name="_2223__FDSAUDITLINK__" localSheetId="0"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3__FDSAUDITLINK__" hidden="1">{"fdsup://directions/FAT Viewer?action=UPDATE&amp;creator=factset&amp;DYN_ARGS=TRUE&amp;DOC_NAME=FAT:FQL_AUDITING_CLIENT_TEMPLATE.FAT&amp;display_string=Audit&amp;VAR:KEY=WTEFERMDMF&amp;VAR:QUERY=RkZfRElWX1lMRChBTk4sMTAvMjkvMDgsMTAvMjkvMDgp&amp;WINDOW=FIRST_POPUP&amp;HEIGHT=450&amp;WIDTH=450&amp;","START_MAXIMIZED=FALSE&amp;VAR:CALENDAR=US&amp;VAR:SYMBOL=RAI&amp;VAR:INDEX=0"}</definedName>
    <definedName name="_2224__FDSAUDITLINK__" localSheetId="0"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4__FDSAUDITLINK__" hidden="1">{"fdsup://directions/FAT Viewer?action=UPDATE&amp;creator=factset&amp;DYN_ARGS=TRUE&amp;DOC_NAME=FAT:FQL_AUDITING_CLIENT_TEMPLATE.FAT&amp;display_string=Audit&amp;VAR:KEY=YXSZKBQHQF&amp;VAR:QUERY=RkZfRElWX1lMRChBTk4sMTAvMjIvMDgsMTAvMjIvMDgp&amp;WINDOW=FIRST_POPUP&amp;HEIGHT=450&amp;WIDTH=450&amp;","START_MAXIMIZED=FALSE&amp;VAR:CALENDAR=US&amp;VAR:SYMBOL=RAI&amp;VAR:INDEX=0"}</definedName>
    <definedName name="_2225">#REF!</definedName>
    <definedName name="_2225__FDSAUDITLINK__" localSheetId="0"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5__FDSAUDITLINK__" hidden="1">{"fdsup://directions/FAT Viewer?action=UPDATE&amp;creator=factset&amp;DYN_ARGS=TRUE&amp;DOC_NAME=FAT:FQL_AUDITING_CLIENT_TEMPLATE.FAT&amp;display_string=Audit&amp;VAR:KEY=ERYNCVSBGB&amp;VAR:QUERY=RkZfRElWX1lMRChBTk4sMTAvMTUvMDgsMTAvMTUvMDgp&amp;WINDOW=FIRST_POPUP&amp;HEIGHT=450&amp;WIDTH=450&amp;","START_MAXIMIZED=FALSE&amp;VAR:CALENDAR=US&amp;VAR:SYMBOL=RAI&amp;VAR:INDEX=0"}</definedName>
    <definedName name="_2226__FDSAUDITLINK__" localSheetId="0"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6__FDSAUDITLINK__" hidden="1">{"fdsup://directions/FAT Viewer?action=UPDATE&amp;creator=factset&amp;DYN_ARGS=TRUE&amp;DOC_NAME=FAT:FQL_AUDITING_CLIENT_TEMPLATE.FAT&amp;display_string=Audit&amp;VAR:KEY=IDYJWDYDWZ&amp;VAR:QUERY=RkZfRElWX1lMRChBTk4sMTAvMDgvMDgsMTAvMDgvMDgp&amp;WINDOW=FIRST_POPUP&amp;HEIGHT=450&amp;WIDTH=450&amp;","START_MAXIMIZED=FALSE&amp;VAR:CALENDAR=US&amp;VAR:SYMBOL=RAI&amp;VAR:INDEX=0"}</definedName>
    <definedName name="_2227__FDSAUDITLINK__" localSheetId="0"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7__FDSAUDITLINK__" hidden="1">{"fdsup://directions/FAT Viewer?action=UPDATE&amp;creator=factset&amp;DYN_ARGS=TRUE&amp;DOC_NAME=FAT:FQL_AUDITING_CLIENT_TEMPLATE.FAT&amp;display_string=Audit&amp;VAR:KEY=ANIPQXMTYP&amp;VAR:QUERY=RkZfRElWX1lMRChBTk4sMTAvMDEvMDgsMTAvMDEvMDgp&amp;WINDOW=FIRST_POPUP&amp;HEIGHT=450&amp;WIDTH=450&amp;","START_MAXIMIZED=FALSE&amp;VAR:CALENDAR=US&amp;VAR:SYMBOL=RAI&amp;VAR:INDEX=0"}</definedName>
    <definedName name="_2228__FDSAUDITLINK__" localSheetId="0"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8__FDSAUDITLINK__" hidden="1">{"fdsup://directions/FAT Viewer?action=UPDATE&amp;creator=factset&amp;DYN_ARGS=TRUE&amp;DOC_NAME=FAT:FQL_AUDITING_CLIENT_TEMPLATE.FAT&amp;display_string=Audit&amp;VAR:KEY=WLAHSRYTSL&amp;VAR:QUERY=RkZfRElWX1lMRChBTk4sOS8yNC8wOCw5LzI0LzA4KQ==&amp;WINDOW=FIRST_POPUP&amp;HEIGHT=450&amp;WIDTH=450&amp;","START_MAXIMIZED=FALSE&amp;VAR:CALENDAR=US&amp;VAR:SYMBOL=RAI&amp;VAR:INDEX=0"}</definedName>
    <definedName name="_2229">#REF!</definedName>
    <definedName name="_2229__FDSAUDITLINK__" localSheetId="0"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29__FDSAUDITLINK__" hidden="1">{"fdsup://directions/FAT Viewer?action=UPDATE&amp;creator=factset&amp;DYN_ARGS=TRUE&amp;DOC_NAME=FAT:FQL_AUDITING_CLIENT_TEMPLATE.FAT&amp;display_string=Audit&amp;VAR:KEY=CDMBSFQTUX&amp;VAR:QUERY=RkZfRElWX1lMRChBTk4sOS8xNy8wOCw5LzE3LzA4KQ==&amp;WINDOW=FIRST_POPUP&amp;HEIGHT=450&amp;WIDTH=450&amp;","START_MAXIMIZED=FALSE&amp;VAR:CALENDAR=US&amp;VAR:SYMBOL=RAI&amp;VAR:INDEX=0"}</definedName>
    <definedName name="_223">#REF!</definedName>
    <definedName name="_223__FDSAUDITLINK__" localSheetId="0"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__FDSAUDITLINK__" hidden="1">{"fdsup://directions/FAT Viewer?action=UPDATE&amp;creator=factset&amp;DYN_ARGS=TRUE&amp;DOC_NAME=FAT:FQL_AUDITING_CLIENT_TEMPLATE.FAT&amp;display_string=Audit&amp;VAR:KEY=TCBCDQDAPE&amp;VAR:QUERY=RkZfRElWX1lMRChBTk4sMTIvMjgvMDYsMTIvMjgvMDYp&amp;WINDOW=FIRST_POPUP&amp;HEIGHT=450&amp;WIDTH=450&amp;","START_MAXIMIZED=FALSE&amp;VAR:CALENDAR=US&amp;VAR:SYMBOL=RAI&amp;VAR:INDEX=0"}</definedName>
    <definedName name="_2230__FDSAUDITLINK__" localSheetId="0"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0__FDSAUDITLINK__" hidden="1">{"fdsup://directions/FAT Viewer?action=UPDATE&amp;creator=factset&amp;DYN_ARGS=TRUE&amp;DOC_NAME=FAT:FQL_AUDITING_CLIENT_TEMPLATE.FAT&amp;display_string=Audit&amp;VAR:KEY=OXUDMPUNEX&amp;VAR:QUERY=RkZfRElWX1lMRChBTk4sOS8xMC8wOCw5LzEwLzA4KQ==&amp;WINDOW=FIRST_POPUP&amp;HEIGHT=450&amp;WIDTH=450&amp;","START_MAXIMIZED=FALSE&amp;VAR:CALENDAR=US&amp;VAR:SYMBOL=RAI&amp;VAR:INDEX=0"}</definedName>
    <definedName name="_2231__FDSAUDITLINK__" localSheetId="0"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1__FDSAUDITLINK__" hidden="1">{"fdsup://directions/FAT Viewer?action=UPDATE&amp;creator=factset&amp;DYN_ARGS=TRUE&amp;DOC_NAME=FAT:FQL_AUDITING_CLIENT_TEMPLATE.FAT&amp;display_string=Audit&amp;VAR:KEY=GFGXUFABKR&amp;VAR:QUERY=RkZfRElWX1lMRChBTk4sOS8wMy8wOCw5LzAzLzA4KQ==&amp;WINDOW=FIRST_POPUP&amp;HEIGHT=450&amp;WIDTH=450&amp;","START_MAXIMIZED=FALSE&amp;VAR:CALENDAR=US&amp;VAR:SYMBOL=RAI&amp;VAR:INDEX=0"}</definedName>
    <definedName name="_2232__FDSAUDITLINK__" localSheetId="0"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2__FDSAUDITLINK__" hidden="1">{"fdsup://directions/FAT Viewer?action=UPDATE&amp;creator=factset&amp;DYN_ARGS=TRUE&amp;DOC_NAME=FAT:FQL_AUDITING_CLIENT_TEMPLATE.FAT&amp;display_string=Audit&amp;VAR:KEY=MVULQLWNAV&amp;VAR:QUERY=RkZfRElWX1lMRChBTk4sOC8yNy8wOCw4LzI3LzA4KQ==&amp;WINDOW=FIRST_POPUP&amp;HEIGHT=450&amp;WIDTH=450&amp;","START_MAXIMIZED=FALSE&amp;VAR:CALENDAR=US&amp;VAR:SYMBOL=RAI&amp;VAR:INDEX=0"}</definedName>
    <definedName name="_2233__FDSAUDITLINK__" localSheetId="0"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3__FDSAUDITLINK__" hidden="1">{"fdsup://directions/FAT Viewer?action=UPDATE&amp;creator=factset&amp;DYN_ARGS=TRUE&amp;DOC_NAME=FAT:FQL_AUDITING_CLIENT_TEMPLATE.FAT&amp;display_string=Audit&amp;VAR:KEY=IPQBMXEDOT&amp;VAR:QUERY=RkZfRElWX1lMRChBTk4sOC8yMC8wOCw4LzIwLzA4KQ==&amp;WINDOW=FIRST_POPUP&amp;HEIGHT=450&amp;WIDTH=450&amp;","START_MAXIMIZED=FALSE&amp;VAR:CALENDAR=US&amp;VAR:SYMBOL=RAI&amp;VAR:INDEX=0"}</definedName>
    <definedName name="_2234">#REF!</definedName>
    <definedName name="_2234__FDSAUDITLINK__" localSheetId="0"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4__FDSAUDITLINK__" hidden="1">{"fdsup://directions/FAT Viewer?action=UPDATE&amp;creator=factset&amp;DYN_ARGS=TRUE&amp;DOC_NAME=FAT:FQL_AUDITING_CLIENT_TEMPLATE.FAT&amp;display_string=Audit&amp;VAR:KEY=SNGJCDGDER&amp;VAR:QUERY=RkZfRElWX1lMRChBTk4sOC8xMy8wOCw4LzEzLzA4KQ==&amp;WINDOW=FIRST_POPUP&amp;HEIGHT=450&amp;WIDTH=450&amp;","START_MAXIMIZED=FALSE&amp;VAR:CALENDAR=US&amp;VAR:SYMBOL=RAI&amp;VAR:INDEX=0"}</definedName>
    <definedName name="_2235__FDSAUDITLINK__" localSheetId="0"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5__FDSAUDITLINK__" hidden="1">{"fdsup://directions/FAT Viewer?action=UPDATE&amp;creator=factset&amp;DYN_ARGS=TRUE&amp;DOC_NAME=FAT:FQL_AUDITING_CLIENT_TEMPLATE.FAT&amp;display_string=Audit&amp;VAR:KEY=YPOFIZWDUX&amp;VAR:QUERY=RkZfRElWX1lMRChBTk4sOC8wNi8wOCw4LzA2LzA4KQ==&amp;WINDOW=FIRST_POPUP&amp;HEIGHT=450&amp;WIDTH=450&amp;","START_MAXIMIZED=FALSE&amp;VAR:CALENDAR=US&amp;VAR:SYMBOL=RAI&amp;VAR:INDEX=0"}</definedName>
    <definedName name="_2236__FDSAUDITLINK__" localSheetId="0"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6__FDSAUDITLINK__" hidden="1">{"fdsup://directions/FAT Viewer?action=UPDATE&amp;creator=factset&amp;DYN_ARGS=TRUE&amp;DOC_NAME=FAT:FQL_AUDITING_CLIENT_TEMPLATE.FAT&amp;display_string=Audit&amp;VAR:KEY=WPSLUJIFKT&amp;VAR:QUERY=RkZfRElWX1lMRChBTk4sNy8zMC8wOCw3LzMwLzA4KQ==&amp;WINDOW=FIRST_POPUP&amp;HEIGHT=450&amp;WIDTH=450&amp;","START_MAXIMIZED=FALSE&amp;VAR:CALENDAR=US&amp;VAR:SYMBOL=RAI&amp;VAR:INDEX=0"}</definedName>
    <definedName name="_2237__FDSAUDITLINK__" localSheetId="0"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7__FDSAUDITLINK__" hidden="1">{"fdsup://directions/FAT Viewer?action=UPDATE&amp;creator=factset&amp;DYN_ARGS=TRUE&amp;DOC_NAME=FAT:FQL_AUDITING_CLIENT_TEMPLATE.FAT&amp;display_string=Audit&amp;VAR:KEY=ITMZCHEJUF&amp;VAR:QUERY=RkZfRElWX1lMRChBTk4sNy8yMy8wOCw3LzIzLzA4KQ==&amp;WINDOW=FIRST_POPUP&amp;HEIGHT=450&amp;WIDTH=450&amp;","START_MAXIMIZED=FALSE&amp;VAR:CALENDAR=US&amp;VAR:SYMBOL=RAI&amp;VAR:INDEX=0"}</definedName>
    <definedName name="_2238__FDSAUDITLINK__" localSheetId="0"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8__FDSAUDITLINK__" hidden="1">{"fdsup://directions/FAT Viewer?action=UPDATE&amp;creator=factset&amp;DYN_ARGS=TRUE&amp;DOC_NAME=FAT:FQL_AUDITING_CLIENT_TEMPLATE.FAT&amp;display_string=Audit&amp;VAR:KEY=OPWXOZMPIT&amp;VAR:QUERY=RkZfRElWX1lMRChBTk4sNy8xNi8wOCw3LzE2LzA4KQ==&amp;WINDOW=FIRST_POPUP&amp;HEIGHT=450&amp;WIDTH=450&amp;","START_MAXIMIZED=FALSE&amp;VAR:CALENDAR=US&amp;VAR:SYMBOL=RAI&amp;VAR:INDEX=0"}</definedName>
    <definedName name="_2239">#REF!</definedName>
    <definedName name="_2239__FDSAUDITLINK__" localSheetId="0"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39__FDSAUDITLINK__" hidden="1">{"fdsup://directions/FAT Viewer?action=UPDATE&amp;creator=factset&amp;DYN_ARGS=TRUE&amp;DOC_NAME=FAT:FQL_AUDITING_CLIENT_TEMPLATE.FAT&amp;display_string=Audit&amp;VAR:KEY=EJOFOXSPOP&amp;VAR:QUERY=RkZfRElWX1lMRChBTk4sNy8wOS8wOCw3LzA5LzA4KQ==&amp;WINDOW=FIRST_POPUP&amp;HEIGHT=450&amp;WIDTH=450&amp;","START_MAXIMIZED=FALSE&amp;VAR:CALENDAR=US&amp;VAR:SYMBOL=RAI&amp;VAR:INDEX=0"}</definedName>
    <definedName name="_224">#REF!</definedName>
    <definedName name="_224__FDSAUDITLINK__" localSheetId="0"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__FDSAUDITLINK__" hidden="1">{"fdsup://directions/FAT Viewer?action=UPDATE&amp;creator=factset&amp;DYN_ARGS=TRUE&amp;DOC_NAME=FAT:FQL_AUDITING_CLIENT_TEMPLATE.FAT&amp;display_string=Audit&amp;VAR:KEY=HQLQZMPABK&amp;VAR:QUERY=RkZfRElWX1lMRChBTk4sMTIvMjEvMDYsMTIvMjEvMDYp&amp;WINDOW=FIRST_POPUP&amp;HEIGHT=450&amp;WIDTH=450&amp;","START_MAXIMIZED=FALSE&amp;VAR:CALENDAR=US&amp;VAR:SYMBOL=RAI&amp;VAR:INDEX=0"}</definedName>
    <definedName name="_2240__FDSAUDITLINK__" localSheetId="0"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0__FDSAUDITLINK__" hidden="1">{"fdsup://directions/FAT Viewer?action=UPDATE&amp;creator=factset&amp;DYN_ARGS=TRUE&amp;DOC_NAME=FAT:FQL_AUDITING_CLIENT_TEMPLATE.FAT&amp;display_string=Audit&amp;VAR:KEY=MXQLGNWNWF&amp;VAR:QUERY=RkZfRElWX1lMRChBTk4sNy8wMi8wOCw3LzAyLzA4KQ==&amp;WINDOW=FIRST_POPUP&amp;HEIGHT=450&amp;WIDTH=450&amp;","START_MAXIMIZED=FALSE&amp;VAR:CALENDAR=US&amp;VAR:SYMBOL=RAI&amp;VAR:INDEX=0"}</definedName>
    <definedName name="_2241__FDSAUDITLINK__" localSheetId="0"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1__FDSAUDITLINK__" hidden="1">{"fdsup://directions/FAT Viewer?action=UPDATE&amp;creator=factset&amp;DYN_ARGS=TRUE&amp;DOC_NAME=FAT:FQL_AUDITING_CLIENT_TEMPLATE.FAT&amp;display_string=Audit&amp;VAR:KEY=WJWHEHCBOZ&amp;VAR:QUERY=RkZfRElWX1lMRChBTk4sNi8yNS8wOCw2LzI1LzA4KQ==&amp;WINDOW=FIRST_POPUP&amp;HEIGHT=450&amp;WIDTH=450&amp;","START_MAXIMIZED=FALSE&amp;VAR:CALENDAR=US&amp;VAR:SYMBOL=RAI&amp;VAR:INDEX=0"}</definedName>
    <definedName name="_2242__FDSAUDITLINK__" localSheetId="0"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2__FDSAUDITLINK__" hidden="1">{"fdsup://directions/FAT Viewer?action=UPDATE&amp;creator=factset&amp;DYN_ARGS=TRUE&amp;DOC_NAME=FAT:FQL_AUDITING_CLIENT_TEMPLATE.FAT&amp;display_string=Audit&amp;VAR:KEY=KLGNKNCRSP&amp;VAR:QUERY=RkZfRElWX1lMRChBTk4sNi8xOC8wOCw2LzE4LzA4KQ==&amp;WINDOW=FIRST_POPUP&amp;HEIGHT=450&amp;WIDTH=450&amp;","START_MAXIMIZED=FALSE&amp;VAR:CALENDAR=US&amp;VAR:SYMBOL=RAI&amp;VAR:INDEX=0"}</definedName>
    <definedName name="_2243__FDSAUDITLINK__" localSheetId="0"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3__FDSAUDITLINK__" hidden="1">{"fdsup://directions/FAT Viewer?action=UPDATE&amp;creator=factset&amp;DYN_ARGS=TRUE&amp;DOC_NAME=FAT:FQL_AUDITING_CLIENT_TEMPLATE.FAT&amp;display_string=Audit&amp;VAR:KEY=UBCZGDSDAR&amp;VAR:QUERY=RkZfRElWX1lMRChBTk4sNi8xMS8wOCw2LzExLzA4KQ==&amp;WINDOW=FIRST_POPUP&amp;HEIGHT=450&amp;WIDTH=450&amp;","START_MAXIMIZED=FALSE&amp;VAR:CALENDAR=US&amp;VAR:SYMBOL=RAI&amp;VAR:INDEX=0"}</definedName>
    <definedName name="_2244__FDSAUDITLINK__" localSheetId="0"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4__FDSAUDITLINK__" hidden="1">{"fdsup://directions/FAT Viewer?action=UPDATE&amp;creator=factset&amp;DYN_ARGS=TRUE&amp;DOC_NAME=FAT:FQL_AUDITING_CLIENT_TEMPLATE.FAT&amp;display_string=Audit&amp;VAR:KEY=AXYBAPUZAH&amp;VAR:QUERY=RkZfRElWX1lMRChBTk4sNi8wNC8wOCw2LzA0LzA4KQ==&amp;WINDOW=FIRST_POPUP&amp;HEIGHT=450&amp;WIDTH=450&amp;","START_MAXIMIZED=FALSE&amp;VAR:CALENDAR=US&amp;VAR:SYMBOL=RAI&amp;VAR:INDEX=0"}</definedName>
    <definedName name="_2245__FDSAUDITLINK__" localSheetId="0"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5__FDSAUDITLINK__" hidden="1">{"fdsup://directions/FAT Viewer?action=UPDATE&amp;creator=factset&amp;DYN_ARGS=TRUE&amp;DOC_NAME=FAT:FQL_AUDITING_CLIENT_TEMPLATE.FAT&amp;display_string=Audit&amp;VAR:KEY=MVWDWLMZAD&amp;VAR:QUERY=RkZfRElWX1lMRChBTk4sNS8yOC8wOCw1LzI4LzA4KQ==&amp;WINDOW=FIRST_POPUP&amp;HEIGHT=450&amp;WIDTH=450&amp;","START_MAXIMIZED=FALSE&amp;VAR:CALENDAR=US&amp;VAR:SYMBOL=RAI&amp;VAR:INDEX=0"}</definedName>
    <definedName name="_2246__FDSAUDITLINK__" localSheetId="0"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6__FDSAUDITLINK__" hidden="1">{"fdsup://directions/FAT Viewer?action=UPDATE&amp;creator=factset&amp;DYN_ARGS=TRUE&amp;DOC_NAME=FAT:FQL_AUDITING_CLIENT_TEMPLATE.FAT&amp;display_string=Audit&amp;VAR:KEY=SRKRMDSJKH&amp;VAR:QUERY=RkZfRElWX1lMRChBTk4sNS8yMS8wOCw1LzIxLzA4KQ==&amp;WINDOW=FIRST_POPUP&amp;HEIGHT=450&amp;WIDTH=450&amp;","START_MAXIMIZED=FALSE&amp;VAR:CALENDAR=US&amp;VAR:SYMBOL=RAI&amp;VAR:INDEX=0"}</definedName>
    <definedName name="_2247">#REF!</definedName>
    <definedName name="_2247__FDSAUDITLINK__" localSheetId="0"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7__FDSAUDITLINK__" hidden="1">{"fdsup://directions/FAT Viewer?action=UPDATE&amp;creator=factset&amp;DYN_ARGS=TRUE&amp;DOC_NAME=FAT:FQL_AUDITING_CLIENT_TEMPLATE.FAT&amp;display_string=Audit&amp;VAR:KEY=INYBQVWTST&amp;VAR:QUERY=RkZfRElWX1lMRChBTk4sNS8xNC8wOCw1LzE0LzA4KQ==&amp;WINDOW=FIRST_POPUP&amp;HEIGHT=450&amp;WIDTH=450&amp;","START_MAXIMIZED=FALSE&amp;VAR:CALENDAR=US&amp;VAR:SYMBOL=RAI&amp;VAR:INDEX=0"}</definedName>
    <definedName name="_2248__FDSAUDITLINK__" localSheetId="0"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8__FDSAUDITLINK__" hidden="1">{"fdsup://directions/FAT Viewer?action=UPDATE&amp;creator=factset&amp;DYN_ARGS=TRUE&amp;DOC_NAME=FAT:FQL_AUDITING_CLIENT_TEMPLATE.FAT&amp;display_string=Audit&amp;VAR:KEY=MHERCHSVKF&amp;VAR:QUERY=RkZfRElWX1lMRChBTk4sNS8wNy8wOCw1LzA3LzA4KQ==&amp;WINDOW=FIRST_POPUP&amp;HEIGHT=450&amp;WIDTH=450&amp;","START_MAXIMIZED=FALSE&amp;VAR:CALENDAR=US&amp;VAR:SYMBOL=RAI&amp;VAR:INDEX=0"}</definedName>
    <definedName name="_2249__FDSAUDITLINK__" localSheetId="0"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49__FDSAUDITLINK__" hidden="1">{"fdsup://directions/FAT Viewer?action=UPDATE&amp;creator=factset&amp;DYN_ARGS=TRUE&amp;DOC_NAME=FAT:FQL_AUDITING_CLIENT_TEMPLATE.FAT&amp;display_string=Audit&amp;VAR:KEY=AXIVYXQJWB&amp;VAR:QUERY=RkZfRElWX1lMRChBTk4sNC8zMC8wOCw0LzMwLzA4KQ==&amp;WINDOW=FIRST_POPUP&amp;HEIGHT=450&amp;WIDTH=450&amp;","START_MAXIMIZED=FALSE&amp;VAR:CALENDAR=US&amp;VAR:SYMBOL=RAI&amp;VAR:INDEX=0"}</definedName>
    <definedName name="_225">#REF!</definedName>
    <definedName name="_225__FDSAUDITLINK__" localSheetId="0"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__FDSAUDITLINK__" hidden="1">{"fdsup://directions/FAT Viewer?action=UPDATE&amp;creator=factset&amp;DYN_ARGS=TRUE&amp;DOC_NAME=FAT:FQL_AUDITING_CLIENT_TEMPLATE.FAT&amp;display_string=Audit&amp;VAR:KEY=NKRIZGDYRC&amp;VAR:QUERY=RkZfRElWX1lMRChBTk4sMTIvMTQvMDYsMTIvMTQvMDYp&amp;WINDOW=FIRST_POPUP&amp;HEIGHT=450&amp;WIDTH=450&amp;","START_MAXIMIZED=FALSE&amp;VAR:CALENDAR=US&amp;VAR:SYMBOL=RAI&amp;VAR:INDEX=0"}</definedName>
    <definedName name="_2250__FDSAUDITLINK__" localSheetId="0"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0__FDSAUDITLINK__" hidden="1">{"fdsup://directions/FAT Viewer?action=UPDATE&amp;creator=factset&amp;DYN_ARGS=TRUE&amp;DOC_NAME=FAT:FQL_AUDITING_CLIENT_TEMPLATE.FAT&amp;display_string=Audit&amp;VAR:KEY=MRCRKPABYH&amp;VAR:QUERY=RkZfRElWX1lMRChBTk4sNC8yMy8wOCw0LzIzLzA4KQ==&amp;WINDOW=FIRST_POPUP&amp;HEIGHT=450&amp;WIDTH=450&amp;","START_MAXIMIZED=FALSE&amp;VAR:CALENDAR=US&amp;VAR:SYMBOL=RAI&amp;VAR:INDEX=0"}</definedName>
    <definedName name="_2251">#REF!</definedName>
    <definedName name="_2251__FDSAUDITLINK__" localSheetId="0"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1__FDSAUDITLINK__" hidden="1">{"fdsup://directions/FAT Viewer?action=UPDATE&amp;creator=factset&amp;DYN_ARGS=TRUE&amp;DOC_NAME=FAT:FQL_AUDITING_CLIENT_TEMPLATE.FAT&amp;display_string=Audit&amp;VAR:KEY=QFOPGNQLMN&amp;VAR:QUERY=RkZfRElWX1lMRChBTk4sNC8xNi8wOCw0LzE2LzA4KQ==&amp;WINDOW=FIRST_POPUP&amp;HEIGHT=450&amp;WIDTH=450&amp;","START_MAXIMIZED=FALSE&amp;VAR:CALENDAR=US&amp;VAR:SYMBOL=RAI&amp;VAR:INDEX=0"}</definedName>
    <definedName name="_2252__FDSAUDITLINK__" localSheetId="0"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2__FDSAUDITLINK__" hidden="1">{"fdsup://directions/FAT Viewer?action=UPDATE&amp;creator=factset&amp;DYN_ARGS=TRUE&amp;DOC_NAME=FAT:FQL_AUDITING_CLIENT_TEMPLATE.FAT&amp;display_string=Audit&amp;VAR:KEY=KBSJOTOXYF&amp;VAR:QUERY=RkZfRElWX1lMRChBTk4sNC8wOS8wOCw0LzA5LzA4KQ==&amp;WINDOW=FIRST_POPUP&amp;HEIGHT=450&amp;WIDTH=450&amp;","START_MAXIMIZED=FALSE&amp;VAR:CALENDAR=US&amp;VAR:SYMBOL=RAI&amp;VAR:INDEX=0"}</definedName>
    <definedName name="_2253__FDSAUDITLINK__" localSheetId="0"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3__FDSAUDITLINK__" hidden="1">{"fdsup://directions/FAT Viewer?action=UPDATE&amp;creator=factset&amp;DYN_ARGS=TRUE&amp;DOC_NAME=FAT:FQL_AUDITING_CLIENT_TEMPLATE.FAT&amp;display_string=Audit&amp;VAR:KEY=SHYBETWVEP&amp;VAR:QUERY=RkZfRElWX1lMRChBTk4sNC8wMi8wOCw0LzAyLzA4KQ==&amp;WINDOW=FIRST_POPUP&amp;HEIGHT=450&amp;WIDTH=450&amp;","START_MAXIMIZED=FALSE&amp;VAR:CALENDAR=US&amp;VAR:SYMBOL=RAI&amp;VAR:INDEX=0"}</definedName>
    <definedName name="_2254__FDSAUDITLINK__" localSheetId="0"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4__FDSAUDITLINK__" hidden="1">{"fdsup://directions/FAT Viewer?action=UPDATE&amp;creator=factset&amp;DYN_ARGS=TRUE&amp;DOC_NAME=FAT:FQL_AUDITING_CLIENT_TEMPLATE.FAT&amp;display_string=Audit&amp;VAR:KEY=UPYBCTENMB&amp;VAR:QUERY=RkZfRElWX1lMRChBTk4sMy8yNi8wOCwzLzI2LzA4KQ==&amp;WINDOW=FIRST_POPUP&amp;HEIGHT=450&amp;WIDTH=450&amp;","START_MAXIMIZED=FALSE&amp;VAR:CALENDAR=US&amp;VAR:SYMBOL=RAI&amp;VAR:INDEX=0"}</definedName>
    <definedName name="_2255__FDSAUDITLINK__" localSheetId="0"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5__FDSAUDITLINK__" hidden="1">{"fdsup://directions/FAT Viewer?action=UPDATE&amp;creator=factset&amp;DYN_ARGS=TRUE&amp;DOC_NAME=FAT:FQL_AUDITING_CLIENT_TEMPLATE.FAT&amp;display_string=Audit&amp;VAR:KEY=EHSHGZUVMX&amp;VAR:QUERY=RkZfRElWX1lMRChBTk4sMy8xOS8wOCwzLzE5LzA4KQ==&amp;WINDOW=FIRST_POPUP&amp;HEIGHT=450&amp;WIDTH=450&amp;","START_MAXIMIZED=FALSE&amp;VAR:CALENDAR=US&amp;VAR:SYMBOL=RAI&amp;VAR:INDEX=0"}</definedName>
    <definedName name="_2256">#REF!</definedName>
    <definedName name="_2256__FDSAUDITLINK__" localSheetId="0"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6__FDSAUDITLINK__" hidden="1">{"fdsup://directions/FAT Viewer?action=UPDATE&amp;creator=factset&amp;DYN_ARGS=TRUE&amp;DOC_NAME=FAT:FQL_AUDITING_CLIENT_TEMPLATE.FAT&amp;display_string=Audit&amp;VAR:KEY=ENQZENSJUP&amp;VAR:QUERY=RkZfRElWX1lMRChBTk4sMy8xMi8wOCwzLzEyLzA4KQ==&amp;WINDOW=FIRST_POPUP&amp;HEIGHT=450&amp;WIDTH=450&amp;","START_MAXIMIZED=FALSE&amp;VAR:CALENDAR=US&amp;VAR:SYMBOL=RAI&amp;VAR:INDEX=0"}</definedName>
    <definedName name="_2257__FDSAUDITLINK__" localSheetId="0"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7__FDSAUDITLINK__" hidden="1">{"fdsup://directions/FAT Viewer?action=UPDATE&amp;creator=factset&amp;DYN_ARGS=TRUE&amp;DOC_NAME=FAT:FQL_AUDITING_CLIENT_TEMPLATE.FAT&amp;display_string=Audit&amp;VAR:KEY=OHCDGJGHSR&amp;VAR:QUERY=RkZfRElWX1lMRChBTk4sMy8wNS8wOCwzLzA1LzA4KQ==&amp;WINDOW=FIRST_POPUP&amp;HEIGHT=450&amp;WIDTH=450&amp;","START_MAXIMIZED=FALSE&amp;VAR:CALENDAR=US&amp;VAR:SYMBOL=RAI&amp;VAR:INDEX=0"}</definedName>
    <definedName name="_2258__FDSAUDITLINK__" localSheetId="0"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8__FDSAUDITLINK__" hidden="1">{"fdsup://directions/FAT Viewer?action=UPDATE&amp;creator=factset&amp;DYN_ARGS=TRUE&amp;DOC_NAME=FAT:FQL_AUDITING_CLIENT_TEMPLATE.FAT&amp;display_string=Audit&amp;VAR:KEY=WBSRIXKPWZ&amp;VAR:QUERY=RkZfRElWX1lMRChBTk4sMi8yNy8wOCwyLzI3LzA4KQ==&amp;WINDOW=FIRST_POPUP&amp;HEIGHT=450&amp;WIDTH=450&amp;","START_MAXIMIZED=FALSE&amp;VAR:CALENDAR=US&amp;VAR:SYMBOL=RAI&amp;VAR:INDEX=0"}</definedName>
    <definedName name="_2259__FDSAUDITLINK__" localSheetId="0"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59__FDSAUDITLINK__" hidden="1">{"fdsup://directions/FAT Viewer?action=UPDATE&amp;creator=factset&amp;DYN_ARGS=TRUE&amp;DOC_NAME=FAT:FQL_AUDITING_CLIENT_TEMPLATE.FAT&amp;display_string=Audit&amp;VAR:KEY=OJIHKHWTOF&amp;VAR:QUERY=RkZfRElWX1lMRChBTk4sMi8yMC8wOCwyLzIwLzA4KQ==&amp;WINDOW=FIRST_POPUP&amp;HEIGHT=450&amp;WIDTH=450&amp;","START_MAXIMIZED=FALSE&amp;VAR:CALENDAR=US&amp;VAR:SYMBOL=RAI&amp;VAR:INDEX=0"}</definedName>
    <definedName name="_226">#REF!</definedName>
    <definedName name="_226__FDSAUDITLINK__" localSheetId="0"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__FDSAUDITLINK__" hidden="1">{"fdsup://directions/FAT Viewer?action=UPDATE&amp;creator=factset&amp;DYN_ARGS=TRUE&amp;DOC_NAME=FAT:FQL_AUDITING_CLIENT_TEMPLATE.FAT&amp;display_string=Audit&amp;VAR:KEY=LCHCTMVKTA&amp;VAR:QUERY=RkZfRElWX1lMRChBTk4sMTIvMDcvMDYsMTIvMDcvMDYp&amp;WINDOW=FIRST_POPUP&amp;HEIGHT=450&amp;WIDTH=450&amp;","START_MAXIMIZED=FALSE&amp;VAR:CALENDAR=US&amp;VAR:SYMBOL=RAI&amp;VAR:INDEX=0"}</definedName>
    <definedName name="_2260__FDSAUDITLINK__" localSheetId="0"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0__FDSAUDITLINK__" hidden="1">{"fdsup://directions/FAT Viewer?action=UPDATE&amp;creator=factset&amp;DYN_ARGS=TRUE&amp;DOC_NAME=FAT:FQL_AUDITING_CLIENT_TEMPLATE.FAT&amp;display_string=Audit&amp;VAR:KEY=EJCZQRUVSD&amp;VAR:QUERY=RkZfRElWX1lMRChBTk4sMi8xMy8wOCwyLzEzLzA4KQ==&amp;WINDOW=FIRST_POPUP&amp;HEIGHT=450&amp;WIDTH=450&amp;","START_MAXIMIZED=FALSE&amp;VAR:CALENDAR=US&amp;VAR:SYMBOL=RAI&amp;VAR:INDEX=0"}</definedName>
    <definedName name="_2261">#REF!</definedName>
    <definedName name="_2261__FDSAUDITLINK__" localSheetId="0"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1__FDSAUDITLINK__" hidden="1">{"fdsup://directions/FAT Viewer?action=UPDATE&amp;creator=factset&amp;DYN_ARGS=TRUE&amp;DOC_NAME=FAT:FQL_AUDITING_CLIENT_TEMPLATE.FAT&amp;display_string=Audit&amp;VAR:KEY=YVCBODGTQF&amp;VAR:QUERY=RkZfRElWX1lMRChBTk4sMi8wNi8wOCwyLzA2LzA4KQ==&amp;WINDOW=FIRST_POPUP&amp;HEIGHT=450&amp;WIDTH=450&amp;","START_MAXIMIZED=FALSE&amp;VAR:CALENDAR=US&amp;VAR:SYMBOL=RAI&amp;VAR:INDEX=0"}</definedName>
    <definedName name="_2262__FDSAUDITLINK__" localSheetId="0"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2__FDSAUDITLINK__" hidden="1">{"fdsup://directions/FAT Viewer?action=UPDATE&amp;creator=factset&amp;DYN_ARGS=TRUE&amp;DOC_NAME=FAT:FQL_AUDITING_CLIENT_TEMPLATE.FAT&amp;display_string=Audit&amp;VAR:KEY=CPUTIRKXOD&amp;VAR:QUERY=RkZfRElWX1lMRChBTk4sMS8zMC8wOCwxLzMwLzA4KQ==&amp;WINDOW=FIRST_POPUP&amp;HEIGHT=450&amp;WIDTH=450&amp;","START_MAXIMIZED=FALSE&amp;VAR:CALENDAR=US&amp;VAR:SYMBOL=RAI&amp;VAR:INDEX=0"}</definedName>
    <definedName name="_2263__FDSAUDITLINK__" localSheetId="0"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3__FDSAUDITLINK__" hidden="1">{"fdsup://directions/FAT Viewer?action=UPDATE&amp;creator=factset&amp;DYN_ARGS=TRUE&amp;DOC_NAME=FAT:FQL_AUDITING_CLIENT_TEMPLATE.FAT&amp;display_string=Audit&amp;VAR:KEY=CRAXWVSVIR&amp;VAR:QUERY=RkZfRElWX1lMRChBTk4sMS8yMy8wOCwxLzIzLzA4KQ==&amp;WINDOW=FIRST_POPUP&amp;HEIGHT=450&amp;WIDTH=450&amp;","START_MAXIMIZED=FALSE&amp;VAR:CALENDAR=US&amp;VAR:SYMBOL=RAI&amp;VAR:INDEX=0"}</definedName>
    <definedName name="_2264__FDSAUDITLINK__" localSheetId="0"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4__FDSAUDITLINK__" hidden="1">{"fdsup://directions/FAT Viewer?action=UPDATE&amp;creator=factset&amp;DYN_ARGS=TRUE&amp;DOC_NAME=FAT:FQL_AUDITING_CLIENT_TEMPLATE.FAT&amp;display_string=Audit&amp;VAR:KEY=SFSXQXYDSD&amp;VAR:QUERY=RkZfRElWX1lMRChBTk4sMS8xNi8wOCwxLzE2LzA4KQ==&amp;WINDOW=FIRST_POPUP&amp;HEIGHT=450&amp;WIDTH=450&amp;","START_MAXIMIZED=FALSE&amp;VAR:CALENDAR=US&amp;VAR:SYMBOL=RAI&amp;VAR:INDEX=0"}</definedName>
    <definedName name="_2265__FDSAUDITLINK__" localSheetId="0"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5__FDSAUDITLINK__" hidden="1">{"fdsup://directions/FAT Viewer?action=UPDATE&amp;creator=factset&amp;DYN_ARGS=TRUE&amp;DOC_NAME=FAT:FQL_AUDITING_CLIENT_TEMPLATE.FAT&amp;display_string=Audit&amp;VAR:KEY=YRYFOPEPAP&amp;VAR:QUERY=RkZfRElWX1lMRChBTk4sMS8wOS8wOCwxLzA5LzA4KQ==&amp;WINDOW=FIRST_POPUP&amp;HEIGHT=450&amp;WIDTH=450&amp;","START_MAXIMIZED=FALSE&amp;VAR:CALENDAR=US&amp;VAR:SYMBOL=RAI&amp;VAR:INDEX=0"}</definedName>
    <definedName name="_2266__FDSAUDITLINK__" localSheetId="0"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6__FDSAUDITLINK__" hidden="1">{"fdsup://directions/FAT Viewer?action=UPDATE&amp;creator=factset&amp;DYN_ARGS=TRUE&amp;DOC_NAME=FAT:FQL_AUDITING_CLIENT_TEMPLATE.FAT&amp;display_string=Audit&amp;VAR:KEY=GBORIPMRMF&amp;VAR:QUERY=RkZfRElWX1lMRChBTk4sMS8wMi8wOCwxLzAyLzA4KQ==&amp;WINDOW=FIRST_POPUP&amp;HEIGHT=450&amp;WIDTH=450&amp;","START_MAXIMIZED=FALSE&amp;VAR:CALENDAR=US&amp;VAR:SYMBOL=RAI&amp;VAR:INDEX=0"}</definedName>
    <definedName name="_2267__FDSAUDITLINK__" localSheetId="0"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7__FDSAUDITLINK__" hidden="1">{"fdsup://directions/FAT Viewer?action=UPDATE&amp;creator=factset&amp;DYN_ARGS=TRUE&amp;DOC_NAME=FAT:FQL_AUDITING_CLIENT_TEMPLATE.FAT&amp;display_string=Audit&amp;VAR:KEY=GREDYBAJMN&amp;VAR:QUERY=RkZfRElWX1lMRChBTk4sMTIvMjYvMDcsMTIvMjYvMDcp&amp;WINDOW=FIRST_POPUP&amp;HEIGHT=450&amp;WIDTH=450&amp;","START_MAXIMIZED=FALSE&amp;VAR:CALENDAR=US&amp;VAR:SYMBOL=RAI&amp;VAR:INDEX=0"}</definedName>
    <definedName name="_2268__FDSAUDITLINK__" localSheetId="0"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8__FDSAUDITLINK__" hidden="1">{"fdsup://directions/FAT Viewer?action=UPDATE&amp;creator=factset&amp;DYN_ARGS=TRUE&amp;DOC_NAME=FAT:FQL_AUDITING_CLIENT_TEMPLATE.FAT&amp;display_string=Audit&amp;VAR:KEY=CLUHUXWLCN&amp;VAR:QUERY=RkZfRElWX1lMRChBTk4sMTIvMTkvMDcsMTIvMTkvMDcp&amp;WINDOW=FIRST_POPUP&amp;HEIGHT=450&amp;WIDTH=450&amp;","START_MAXIMIZED=FALSE&amp;VAR:CALENDAR=US&amp;VAR:SYMBOL=RAI&amp;VAR:INDEX=0"}</definedName>
    <definedName name="_2269">#REF!</definedName>
    <definedName name="_2269__FDSAUDITLINK__" localSheetId="0"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69__FDSAUDITLINK__" hidden="1">{"fdsup://directions/FAT Viewer?action=UPDATE&amp;creator=factset&amp;DYN_ARGS=TRUE&amp;DOC_NAME=FAT:FQL_AUDITING_CLIENT_TEMPLATE.FAT&amp;display_string=Audit&amp;VAR:KEY=QXOJSXARAB&amp;VAR:QUERY=RkZfRElWX1lMRChBTk4sMTIvMTIvMDcsMTIvMTIvMDcp&amp;WINDOW=FIRST_POPUP&amp;HEIGHT=450&amp;WIDTH=450&amp;","START_MAXIMIZED=FALSE&amp;VAR:CALENDAR=US&amp;VAR:SYMBOL=RAI&amp;VAR:INDEX=0"}</definedName>
    <definedName name="_227">#REF!</definedName>
    <definedName name="_227__FDSAUDITLINK__" localSheetId="0"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__FDSAUDITLINK__" hidden="1">{"fdsup://directions/FAT Viewer?action=UPDATE&amp;creator=factset&amp;DYN_ARGS=TRUE&amp;DOC_NAME=FAT:FQL_AUDITING_CLIENT_TEMPLATE.FAT&amp;display_string=Audit&amp;VAR:KEY=XUJSNETYZE&amp;VAR:QUERY=RkZfRElWX1lMRChBTk4sMTEvMzAvMDYsMTEvMzAvMDYp&amp;WINDOW=FIRST_POPUP&amp;HEIGHT=450&amp;WIDTH=450&amp;","START_MAXIMIZED=FALSE&amp;VAR:CALENDAR=US&amp;VAR:SYMBOL=RAI&amp;VAR:INDEX=0"}</definedName>
    <definedName name="_2270__FDSAUDITLINK__" localSheetId="0"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0__FDSAUDITLINK__" hidden="1">{"fdsup://directions/FAT Viewer?action=UPDATE&amp;creator=factset&amp;DYN_ARGS=TRUE&amp;DOC_NAME=FAT:FQL_AUDITING_CLIENT_TEMPLATE.FAT&amp;display_string=Audit&amp;VAR:KEY=YBOBQVUTAH&amp;VAR:QUERY=RkZfRElWX1lMRChBTk4sMTIvMDUvMDcsMTIvMDUvMDcp&amp;WINDOW=FIRST_POPUP&amp;HEIGHT=450&amp;WIDTH=450&amp;","START_MAXIMIZED=FALSE&amp;VAR:CALENDAR=US&amp;VAR:SYMBOL=RAI&amp;VAR:INDEX=0"}</definedName>
    <definedName name="_2271__FDSAUDITLINK__" localSheetId="0"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1__FDSAUDITLINK__" hidden="1">{"fdsup://directions/FAT Viewer?action=UPDATE&amp;creator=factset&amp;DYN_ARGS=TRUE&amp;DOC_NAME=FAT:FQL_AUDITING_CLIENT_TEMPLATE.FAT&amp;display_string=Audit&amp;VAR:KEY=KLWLSLABGN&amp;VAR:QUERY=RkZfRElWX1lMRChBTk4sMTEvMjgvMDcsMTEvMjgvMDcp&amp;WINDOW=FIRST_POPUP&amp;HEIGHT=450&amp;WIDTH=450&amp;","START_MAXIMIZED=FALSE&amp;VAR:CALENDAR=US&amp;VAR:SYMBOL=RAI&amp;VAR:INDEX=0"}</definedName>
    <definedName name="_2272__FDSAUDITLINK__" localSheetId="0"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2__FDSAUDITLINK__" hidden="1">{"fdsup://directions/FAT Viewer?action=UPDATE&amp;creator=factset&amp;DYN_ARGS=TRUE&amp;DOC_NAME=FAT:FQL_AUDITING_CLIENT_TEMPLATE.FAT&amp;display_string=Audit&amp;VAR:KEY=IDIVANUJOH&amp;VAR:QUERY=RkZfRElWX1lMRChBTk4sMTEvMjEvMDcsMTEvMjEvMDcp&amp;WINDOW=FIRST_POPUP&amp;HEIGHT=450&amp;WIDTH=450&amp;","START_MAXIMIZED=FALSE&amp;VAR:CALENDAR=US&amp;VAR:SYMBOL=RAI&amp;VAR:INDEX=0"}</definedName>
    <definedName name="_2273">#REF!</definedName>
    <definedName name="_2273__FDSAUDITLINK__" localSheetId="0"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3__FDSAUDITLINK__" hidden="1">{"fdsup://directions/FAT Viewer?action=UPDATE&amp;creator=factset&amp;DYN_ARGS=TRUE&amp;DOC_NAME=FAT:FQL_AUDITING_CLIENT_TEMPLATE.FAT&amp;display_string=Audit&amp;VAR:KEY=CHYJSVKZWZ&amp;VAR:QUERY=RkZfRElWX1lMRChBTk4sMTEvMTQvMDcsMTEvMTQvMDcp&amp;WINDOW=FIRST_POPUP&amp;HEIGHT=450&amp;WIDTH=450&amp;","START_MAXIMIZED=FALSE&amp;VAR:CALENDAR=US&amp;VAR:SYMBOL=RAI&amp;VAR:INDEX=0"}</definedName>
    <definedName name="_2274__FDSAUDITLINK__" localSheetId="0"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4__FDSAUDITLINK__" hidden="1">{"fdsup://directions/FAT Viewer?action=UPDATE&amp;creator=factset&amp;DYN_ARGS=TRUE&amp;DOC_NAME=FAT:FQL_AUDITING_CLIENT_TEMPLATE.FAT&amp;display_string=Audit&amp;VAR:KEY=UZMTWZCJCD&amp;VAR:QUERY=RkZfRElWX1lMRChBTk4sMTEvMDcvMDcsMTEvMDcvMDcp&amp;WINDOW=FIRST_POPUP&amp;HEIGHT=450&amp;WIDTH=450&amp;","START_MAXIMIZED=FALSE&amp;VAR:CALENDAR=US&amp;VAR:SYMBOL=RAI&amp;VAR:INDEX=0"}</definedName>
    <definedName name="_2275__FDSAUDITLINK__" localSheetId="0"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5__FDSAUDITLINK__" hidden="1">{"fdsup://directions/FAT Viewer?action=UPDATE&amp;creator=factset&amp;DYN_ARGS=TRUE&amp;DOC_NAME=FAT:FQL_AUDITING_CLIENT_TEMPLATE.FAT&amp;display_string=Audit&amp;VAR:KEY=IJGPSJCLIL&amp;VAR:QUERY=RkZfRElWX1lMRChBTk4sMTAvMzEvMDcsMTAvMzEvMDcp&amp;WINDOW=FIRST_POPUP&amp;HEIGHT=450&amp;WIDTH=450&amp;","START_MAXIMIZED=FALSE&amp;VAR:CALENDAR=US&amp;VAR:SYMBOL=RAI&amp;VAR:INDEX=0"}</definedName>
    <definedName name="_2276__FDSAUDITLINK__" localSheetId="0"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6__FDSAUDITLINK__" hidden="1">{"fdsup://directions/FAT Viewer?action=UPDATE&amp;creator=factset&amp;DYN_ARGS=TRUE&amp;DOC_NAME=FAT:FQL_AUDITING_CLIENT_TEMPLATE.FAT&amp;display_string=Audit&amp;VAR:KEY=OHIVKXSZSX&amp;VAR:QUERY=RkZfRElWX1lMRChBTk4sMTAvMjQvMDcsMTAvMjQvMDcp&amp;WINDOW=FIRST_POPUP&amp;HEIGHT=450&amp;WIDTH=450&amp;","START_MAXIMIZED=FALSE&amp;VAR:CALENDAR=US&amp;VAR:SYMBOL=RAI&amp;VAR:INDEX=0"}</definedName>
    <definedName name="_2277__FDSAUDITLINK__" localSheetId="0"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7__FDSAUDITLINK__" hidden="1">{"fdsup://directions/FAT Viewer?action=UPDATE&amp;creator=factset&amp;DYN_ARGS=TRUE&amp;DOC_NAME=FAT:FQL_AUDITING_CLIENT_TEMPLATE.FAT&amp;display_string=Audit&amp;VAR:KEY=ONMPMZUFMJ&amp;VAR:QUERY=RkZfRElWX1lMRChBTk4sMTAvMTcvMDcsMTAvMTcvMDcp&amp;WINDOW=FIRST_POPUP&amp;HEIGHT=450&amp;WIDTH=450&amp;","START_MAXIMIZED=FALSE&amp;VAR:CALENDAR=US&amp;VAR:SYMBOL=RAI&amp;VAR:INDEX=0"}</definedName>
    <definedName name="_2278">#REF!</definedName>
    <definedName name="_2278__FDSAUDITLINK__" localSheetId="0"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8__FDSAUDITLINK__" hidden="1">{"fdsup://directions/FAT Viewer?action=UPDATE&amp;creator=factset&amp;DYN_ARGS=TRUE&amp;DOC_NAME=FAT:FQL_AUDITING_CLIENT_TEMPLATE.FAT&amp;display_string=Audit&amp;VAR:KEY=SFIDAZCBAT&amp;VAR:QUERY=RkZfRElWX1lMRChBTk4sMTAvMTAvMDcsMTAvMTAvMDcp&amp;WINDOW=FIRST_POPUP&amp;HEIGHT=450&amp;WIDTH=450&amp;","START_MAXIMIZED=FALSE&amp;VAR:CALENDAR=US&amp;VAR:SYMBOL=RAI&amp;VAR:INDEX=0"}</definedName>
    <definedName name="_2279__FDSAUDITLINK__" localSheetId="0"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79__FDSAUDITLINK__" hidden="1">{"fdsup://directions/FAT Viewer?action=UPDATE&amp;creator=factset&amp;DYN_ARGS=TRUE&amp;DOC_NAME=FAT:FQL_AUDITING_CLIENT_TEMPLATE.FAT&amp;display_string=Audit&amp;VAR:KEY=SRINAXOHWN&amp;VAR:QUERY=RkZfRElWX1lMRChBTk4sMTAvMDMvMDcsMTAvMDMvMDcp&amp;WINDOW=FIRST_POPUP&amp;HEIGHT=450&amp;WIDTH=450&amp;","START_MAXIMIZED=FALSE&amp;VAR:CALENDAR=US&amp;VAR:SYMBOL=RAI&amp;VAR:INDEX=0"}</definedName>
    <definedName name="_228">#REF!</definedName>
    <definedName name="_228__FDSAUDITLINK__" localSheetId="0"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__FDSAUDITLINK__" hidden="1">{"fdsup://directions/FAT Viewer?action=UPDATE&amp;creator=factset&amp;DYN_ARGS=TRUE&amp;DOC_NAME=FAT:FQL_AUDITING_CLIENT_TEMPLATE.FAT&amp;display_string=Audit&amp;VAR:KEY=XQPGNOZWRS&amp;VAR:QUERY=RkZfRElWX1lMRChBTk4sMTEvMjIvMDYsMTEvMjIvMDYp&amp;WINDOW=FIRST_POPUP&amp;HEIGHT=450&amp;WIDTH=450&amp;","START_MAXIMIZED=FALSE&amp;VAR:CALENDAR=US&amp;VAR:SYMBOL=RAI&amp;VAR:INDEX=0"}</definedName>
    <definedName name="_2280__FDSAUDITLINK__" localSheetId="0"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0__FDSAUDITLINK__" hidden="1">{"fdsup://directions/FAT Viewer?action=UPDATE&amp;creator=factset&amp;DYN_ARGS=TRUE&amp;DOC_NAME=FAT:FQL_AUDITING_CLIENT_TEMPLATE.FAT&amp;display_string=Audit&amp;VAR:KEY=EBIJQHAXEF&amp;VAR:QUERY=RkZfRElWX1lMRChBTk4sOS8yNi8wNyw5LzI2LzA3KQ==&amp;WINDOW=FIRST_POPUP&amp;HEIGHT=450&amp;WIDTH=450&amp;","START_MAXIMIZED=FALSE&amp;VAR:CALENDAR=US&amp;VAR:SYMBOL=RAI&amp;VAR:INDEX=0"}</definedName>
    <definedName name="_2281__FDSAUDITLINK__" localSheetId="0"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1__FDSAUDITLINK__" hidden="1">{"fdsup://directions/FAT Viewer?action=UPDATE&amp;creator=factset&amp;DYN_ARGS=TRUE&amp;DOC_NAME=FAT:FQL_AUDITING_CLIENT_TEMPLATE.FAT&amp;display_string=Audit&amp;VAR:KEY=EVOHOJAVSP&amp;VAR:QUERY=RkZfRElWX1lMRChBTk4sOS8xOS8wNyw5LzE5LzA3KQ==&amp;WINDOW=FIRST_POPUP&amp;HEIGHT=450&amp;WIDTH=450&amp;","START_MAXIMIZED=FALSE&amp;VAR:CALENDAR=US&amp;VAR:SYMBOL=RAI&amp;VAR:INDEX=0"}</definedName>
    <definedName name="_2282__FDSAUDITLINK__" localSheetId="0"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2__FDSAUDITLINK__" hidden="1">{"fdsup://directions/FAT Viewer?action=UPDATE&amp;creator=factset&amp;DYN_ARGS=TRUE&amp;DOC_NAME=FAT:FQL_AUDITING_CLIENT_TEMPLATE.FAT&amp;display_string=Audit&amp;VAR:KEY=KPUZGNOVQT&amp;VAR:QUERY=RkZfRElWX1lMRChBTk4sOS8xMi8wNyw5LzEyLzA3KQ==&amp;WINDOW=FIRST_POPUP&amp;HEIGHT=450&amp;WIDTH=450&amp;","START_MAXIMIZED=FALSE&amp;VAR:CALENDAR=US&amp;VAR:SYMBOL=RAI&amp;VAR:INDEX=0"}</definedName>
    <definedName name="_2283">#REF!</definedName>
    <definedName name="_2283__FDSAUDITLINK__" localSheetId="0"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3__FDSAUDITLINK__" hidden="1">{"fdsup://directions/FAT Viewer?action=UPDATE&amp;creator=factset&amp;DYN_ARGS=TRUE&amp;DOC_NAME=FAT:FQL_AUDITING_CLIENT_TEMPLATE.FAT&amp;display_string=Audit&amp;VAR:KEY=QXYROBIFGN&amp;VAR:QUERY=RkZfRElWX1lMRChBTk4sOS8wNS8wNyw5LzA1LzA3KQ==&amp;WINDOW=FIRST_POPUP&amp;HEIGHT=450&amp;WIDTH=450&amp;","START_MAXIMIZED=FALSE&amp;VAR:CALENDAR=US&amp;VAR:SYMBOL=RAI&amp;VAR:INDEX=0"}</definedName>
    <definedName name="_2284__FDSAUDITLINK__" localSheetId="0"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4__FDSAUDITLINK__" hidden="1">{"fdsup://directions/FAT Viewer?action=UPDATE&amp;creator=factset&amp;DYN_ARGS=TRUE&amp;DOC_NAME=FAT:FQL_AUDITING_CLIENT_TEMPLATE.FAT&amp;display_string=Audit&amp;VAR:KEY=MVINGVGNGN&amp;VAR:QUERY=RkZfRElWX1lMRChBTk4sOC8yOS8wNyw4LzI5LzA3KQ==&amp;WINDOW=FIRST_POPUP&amp;HEIGHT=450&amp;WIDTH=450&amp;","START_MAXIMIZED=FALSE&amp;VAR:CALENDAR=US&amp;VAR:SYMBOL=RAI&amp;VAR:INDEX=0"}</definedName>
    <definedName name="_2285__FDSAUDITLINK__" localSheetId="0"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5__FDSAUDITLINK__" hidden="1">{"fdsup://directions/FAT Viewer?action=UPDATE&amp;creator=factset&amp;DYN_ARGS=TRUE&amp;DOC_NAME=FAT:FQL_AUDITING_CLIENT_TEMPLATE.FAT&amp;display_string=Audit&amp;VAR:KEY=WLQZONKJIR&amp;VAR:QUERY=RkZfRElWX1lMRChBTk4sOC8yMi8wNyw4LzIyLzA3KQ==&amp;WINDOW=FIRST_POPUP&amp;HEIGHT=450&amp;WIDTH=450&amp;","START_MAXIMIZED=FALSE&amp;VAR:CALENDAR=US&amp;VAR:SYMBOL=RAI&amp;VAR:INDEX=0"}</definedName>
    <definedName name="_2286__FDSAUDITLINK__" localSheetId="0"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6__FDSAUDITLINK__" hidden="1">{"fdsup://directions/FAT Viewer?action=UPDATE&amp;creator=factset&amp;DYN_ARGS=TRUE&amp;DOC_NAME=FAT:FQL_AUDITING_CLIENT_TEMPLATE.FAT&amp;display_string=Audit&amp;VAR:KEY=UZITWVQBWL&amp;VAR:QUERY=RkZfRElWX1lMRChBTk4sOC8xNS8wNyw4LzE1LzA3KQ==&amp;WINDOW=FIRST_POPUP&amp;HEIGHT=450&amp;WIDTH=450&amp;","START_MAXIMIZED=FALSE&amp;VAR:CALENDAR=US&amp;VAR:SYMBOL=RAI&amp;VAR:INDEX=0"}</definedName>
    <definedName name="_2287__FDSAUDITLINK__" localSheetId="0"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7__FDSAUDITLINK__" hidden="1">{"fdsup://directions/FAT Viewer?action=UPDATE&amp;creator=factset&amp;DYN_ARGS=TRUE&amp;DOC_NAME=FAT:FQL_AUDITING_CLIENT_TEMPLATE.FAT&amp;display_string=Audit&amp;VAR:KEY=KZSVMTWJIH&amp;VAR:QUERY=RkZfRElWX1lMRChBTk4sOC8wOC8wNyw4LzA4LzA3KQ==&amp;WINDOW=FIRST_POPUP&amp;HEIGHT=450&amp;WIDTH=450&amp;","START_MAXIMIZED=FALSE&amp;VAR:CALENDAR=US&amp;VAR:SYMBOL=RAI&amp;VAR:INDEX=0"}</definedName>
    <definedName name="_2288__FDSAUDITLINK__" localSheetId="0"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8__FDSAUDITLINK__" hidden="1">{"fdsup://directions/FAT Viewer?action=UPDATE&amp;creator=factset&amp;DYN_ARGS=TRUE&amp;DOC_NAME=FAT:FQL_AUDITING_CLIENT_TEMPLATE.FAT&amp;display_string=Audit&amp;VAR:KEY=OJOZUHMNUL&amp;VAR:QUERY=RkZfRElWX1lMRChBTk4sOC8wMS8wNyw4LzAxLzA3KQ==&amp;WINDOW=FIRST_POPUP&amp;HEIGHT=450&amp;WIDTH=450&amp;","START_MAXIMIZED=FALSE&amp;VAR:CALENDAR=US&amp;VAR:SYMBOL=RAI&amp;VAR:INDEX=0"}</definedName>
    <definedName name="_2289__FDSAUDITLINK__" localSheetId="0"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89__FDSAUDITLINK__" hidden="1">{"fdsup://directions/FAT Viewer?action=UPDATE&amp;creator=factset&amp;DYN_ARGS=TRUE&amp;DOC_NAME=FAT:FQL_AUDITING_CLIENT_TEMPLATE.FAT&amp;display_string=Audit&amp;VAR:KEY=QBCTWTGNCN&amp;VAR:QUERY=RkZfRElWX1lMRChBTk4sNy8yNS8wNyw3LzI1LzA3KQ==&amp;WINDOW=FIRST_POPUP&amp;HEIGHT=450&amp;WIDTH=450&amp;","START_MAXIMIZED=FALSE&amp;VAR:CALENDAR=US&amp;VAR:SYMBOL=RAI&amp;VAR:INDEX=0"}</definedName>
    <definedName name="_229">#REF!</definedName>
    <definedName name="_229__FDSAUDITLINK__" localSheetId="0"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__FDSAUDITLINK__" hidden="1">{"fdsup://directions/FAT Viewer?action=UPDATE&amp;creator=factset&amp;DYN_ARGS=TRUE&amp;DOC_NAME=FAT:FQL_AUDITING_CLIENT_TEMPLATE.FAT&amp;display_string=Audit&amp;VAR:KEY=JWBMTITGJO&amp;VAR:QUERY=RkZfRElWX1lMRChBTk4sMTEvMTYvMDYsMTEvMTYvMDYp&amp;WINDOW=FIRST_POPUP&amp;HEIGHT=450&amp;WIDTH=450&amp;","START_MAXIMIZED=FALSE&amp;VAR:CALENDAR=US&amp;VAR:SYMBOL=RAI&amp;VAR:INDEX=0"}</definedName>
    <definedName name="_2290__FDSAUDITLINK__" localSheetId="0"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0__FDSAUDITLINK__" hidden="1">{"fdsup://directions/FAT Viewer?action=UPDATE&amp;creator=factset&amp;DYN_ARGS=TRUE&amp;DOC_NAME=FAT:FQL_AUDITING_CLIENT_TEMPLATE.FAT&amp;display_string=Audit&amp;VAR:KEY=EDQZSPSLER&amp;VAR:QUERY=RkZfRElWX1lMRChBTk4sNy8xOC8wNyw3LzE4LzA3KQ==&amp;WINDOW=FIRST_POPUP&amp;HEIGHT=450&amp;WIDTH=450&amp;","START_MAXIMIZED=FALSE&amp;VAR:CALENDAR=US&amp;VAR:SYMBOL=RAI&amp;VAR:INDEX=0"}</definedName>
    <definedName name="_2291">#REF!</definedName>
    <definedName name="_2291__FDSAUDITLINK__" localSheetId="0"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1__FDSAUDITLINK__" hidden="1">{"fdsup://directions/FAT Viewer?action=UPDATE&amp;creator=factset&amp;DYN_ARGS=TRUE&amp;DOC_NAME=FAT:FQL_AUDITING_CLIENT_TEMPLATE.FAT&amp;display_string=Audit&amp;VAR:KEY=UPQHWLUTCF&amp;VAR:QUERY=RkZfRElWX1lMRChBTk4sNy8xMS8wNyw3LzExLzA3KQ==&amp;WINDOW=FIRST_POPUP&amp;HEIGHT=450&amp;WIDTH=450&amp;","START_MAXIMIZED=FALSE&amp;VAR:CALENDAR=US&amp;VAR:SYMBOL=RAI&amp;VAR:INDEX=0"}</definedName>
    <definedName name="_2292__FDSAUDITLINK__" localSheetId="0"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2__FDSAUDITLINK__" hidden="1">{"fdsup://directions/FAT Viewer?action=UPDATE&amp;creator=factset&amp;DYN_ARGS=TRUE&amp;DOC_NAME=FAT:FQL_AUDITING_CLIENT_TEMPLATE.FAT&amp;display_string=Audit&amp;VAR:KEY=AHMHGPYJGL&amp;VAR:QUERY=RkZfRElWX1lMRChBTk4sNy8wMy8wNyw3LzAzLzA3KQ==&amp;WINDOW=FIRST_POPUP&amp;HEIGHT=450&amp;WIDTH=450&amp;","START_MAXIMIZED=FALSE&amp;VAR:CALENDAR=US&amp;VAR:SYMBOL=RAI&amp;VAR:INDEX=0"}</definedName>
    <definedName name="_2293__FDSAUDITLINK__" localSheetId="0"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3__FDSAUDITLINK__" hidden="1">{"fdsup://directions/FAT Viewer?action=UPDATE&amp;creator=factset&amp;DYN_ARGS=TRUE&amp;DOC_NAME=FAT:FQL_AUDITING_CLIENT_TEMPLATE.FAT&amp;display_string=Audit&amp;VAR:KEY=QJKBSZORUN&amp;VAR:QUERY=RkZfRElWX1lMRChBTk4sNi8yNy8wNyw2LzI3LzA3KQ==&amp;WINDOW=FIRST_POPUP&amp;HEIGHT=450&amp;WIDTH=450&amp;","START_MAXIMIZED=FALSE&amp;VAR:CALENDAR=US&amp;VAR:SYMBOL=RAI&amp;VAR:INDEX=0"}</definedName>
    <definedName name="_2294__FDSAUDITLINK__" localSheetId="0"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4__FDSAUDITLINK__" hidden="1">{"fdsup://directions/FAT Viewer?action=UPDATE&amp;creator=factset&amp;DYN_ARGS=TRUE&amp;DOC_NAME=FAT:FQL_AUDITING_CLIENT_TEMPLATE.FAT&amp;display_string=Audit&amp;VAR:KEY=IVYDWRCLED&amp;VAR:QUERY=RkZfRElWX1lMRChBTk4sNi8yMC8wNyw2LzIwLzA3KQ==&amp;WINDOW=FIRST_POPUP&amp;HEIGHT=450&amp;WIDTH=450&amp;","START_MAXIMIZED=FALSE&amp;VAR:CALENDAR=US&amp;VAR:SYMBOL=RAI&amp;VAR:INDEX=0"}</definedName>
    <definedName name="_2295">#REF!</definedName>
    <definedName name="_2295__FDSAUDITLINK__" localSheetId="0"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5__FDSAUDITLINK__" hidden="1">{"fdsup://directions/FAT Viewer?action=UPDATE&amp;creator=factset&amp;DYN_ARGS=TRUE&amp;DOC_NAME=FAT:FQL_AUDITING_CLIENT_TEMPLATE.FAT&amp;display_string=Audit&amp;VAR:KEY=YZIZQHCDWT&amp;VAR:QUERY=RkZfRElWX1lMRChBTk4sNi8xMy8wNyw2LzEzLzA3KQ==&amp;WINDOW=FIRST_POPUP&amp;HEIGHT=450&amp;WIDTH=450&amp;","START_MAXIMIZED=FALSE&amp;VAR:CALENDAR=US&amp;VAR:SYMBOL=RAI&amp;VAR:INDEX=0"}</definedName>
    <definedName name="_2296__FDSAUDITLINK__" localSheetId="0"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6__FDSAUDITLINK__" hidden="1">{"fdsup://directions/FAT Viewer?action=UPDATE&amp;creator=factset&amp;DYN_ARGS=TRUE&amp;DOC_NAME=FAT:FQL_AUDITING_CLIENT_TEMPLATE.FAT&amp;display_string=Audit&amp;VAR:KEY=ILUDMDGPSZ&amp;VAR:QUERY=RkZfRElWX1lMRChBTk4sNi8wNi8wNyw2LzA2LzA3KQ==&amp;WINDOW=FIRST_POPUP&amp;HEIGHT=450&amp;WIDTH=450&amp;","START_MAXIMIZED=FALSE&amp;VAR:CALENDAR=US&amp;VAR:SYMBOL=RAI&amp;VAR:INDEX=0"}</definedName>
    <definedName name="_2297__FDSAUDITLINK__" localSheetId="0"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7__FDSAUDITLINK__" hidden="1">{"fdsup://directions/FAT Viewer?action=UPDATE&amp;creator=factset&amp;DYN_ARGS=TRUE&amp;DOC_NAME=FAT:FQL_AUDITING_CLIENT_TEMPLATE.FAT&amp;display_string=Audit&amp;VAR:KEY=YXCRCBCBSF&amp;VAR:QUERY=RkZfRElWX1lMRChBTk4sNS8zMC8wNyw1LzMwLzA3KQ==&amp;WINDOW=FIRST_POPUP&amp;HEIGHT=450&amp;WIDTH=450&amp;","START_MAXIMIZED=FALSE&amp;VAR:CALENDAR=US&amp;VAR:SYMBOL=RAI&amp;VAR:INDEX=0"}</definedName>
    <definedName name="_2298__FDSAUDITLINK__" localSheetId="0"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8__FDSAUDITLINK__" hidden="1">{"fdsup://directions/FAT Viewer?action=UPDATE&amp;creator=factset&amp;DYN_ARGS=TRUE&amp;DOC_NAME=FAT:FQL_AUDITING_CLIENT_TEMPLATE.FAT&amp;display_string=Audit&amp;VAR:KEY=MXOJCTIHEX&amp;VAR:QUERY=RkZfRElWX1lMRChBTk4sNS8yMy8wNyw1LzIzLzA3KQ==&amp;WINDOW=FIRST_POPUP&amp;HEIGHT=450&amp;WIDTH=450&amp;","START_MAXIMIZED=FALSE&amp;VAR:CALENDAR=US&amp;VAR:SYMBOL=RAI&amp;VAR:INDEX=0"}</definedName>
    <definedName name="_2299__FDSAUDITLINK__" localSheetId="0"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99__FDSAUDITLINK__" hidden="1">{"fdsup://directions/FAT Viewer?action=UPDATE&amp;creator=factset&amp;DYN_ARGS=TRUE&amp;DOC_NAME=FAT:FQL_AUDITING_CLIENT_TEMPLATE.FAT&amp;display_string=Audit&amp;VAR:KEY=KXUXMZUXUL&amp;VAR:QUERY=RkZfRElWX1lMRChBTk4sNS8xNi8wNyw1LzE2LzA3KQ==&amp;WINDOW=FIRST_POPUP&amp;HEIGHT=450&amp;WIDTH=450&amp;","START_MAXIMIZED=FALSE&amp;VAR:CALENDAR=US&amp;VAR:SYMBOL=RAI&amp;VAR:INDEX=0"}</definedName>
    <definedName name="_22main_form_account_grants_list_18_j_id1022">#REF!</definedName>
    <definedName name="_22s2_" hidden="1">{#N/A,#N/A,FALSE,"UNIT";#N/A,#N/A,FALSE,"UNIT";#N/A,#N/A,FALSE,"계정"}</definedName>
    <definedName name="_23">#REF!</definedName>
    <definedName name="_23_________NOTE8_9">#REF!</definedName>
    <definedName name="_23__123Graph_BCHART_29" hidden="1">#REF!</definedName>
    <definedName name="_23__123Graph_BCHART_3">#REF!</definedName>
    <definedName name="_23__123Graph_BChart_6J">#REF!</definedName>
    <definedName name="_23__123Graph_BTAX_CREDIT">#REF!</definedName>
    <definedName name="_23__123Graph_CCONTRACT_BY_B_U">#REF!</definedName>
    <definedName name="_23__123Graph_CWAGES_BY_B_U">#REF!</definedName>
    <definedName name="_23__123Graph_DCONTRACT_BY_B_U">#REF!</definedName>
    <definedName name="_23__123Graph_DSUPPLIES_BY_B_U" hidden="1">#REF!</definedName>
    <definedName name="_23__123Graph_DWAGES_BY_B_U">#REF!</definedName>
    <definedName name="_23__123Graph_ECONTRACT_BY_B_U">#REF!</definedName>
    <definedName name="_23__123Graph_EQRE_S_BY_CO.">#REF!</definedName>
    <definedName name="_23__FDSAUDITLINK__" localSheetId="0"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_FDSAUDITLINK__" hidden="1">{"fdsup://directions/FAT Viewer?action=UPDATE&amp;creator=factset&amp;DYN_ARGS=TRUE&amp;DOC_NAME=FAT:FQL_AUDITING_CLIENT_TEMPLATE.FAT&amp;display_string=Audit&amp;VAR:KEY=MDOVSPAPON&amp;VAR:QUERY=Q1NGX0RJVl9ZTEQoUVRSX1IsNi8zMC8yMDA1KQ==&amp;WINDOW=FIRST_POPUP&amp;HEIGHT=450&amp;WIDTH=450&amp;STAR","T_MAXIMIZED=FALSE&amp;VAR:CALENDAR=US&amp;VAR:SYMBOL=MO&amp;VAR:INDEX=0"}</definedName>
    <definedName name="_23_0_0_MatInverse" hidden="1">#REF!</definedName>
    <definedName name="_23_09_2000">#REF!</definedName>
    <definedName name="_23_1_0_F">#REF!</definedName>
    <definedName name="_23_6__1_CRADDIN_Table">#REF!</definedName>
    <definedName name="_230">#REF!</definedName>
    <definedName name="_230__FDSAUDITLINK__" localSheetId="0"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__FDSAUDITLINK__" hidden="1">{"fdsup://directions/FAT Viewer?action=UPDATE&amp;creator=factset&amp;DYN_ARGS=TRUE&amp;DOC_NAME=FAT:FQL_AUDITING_CLIENT_TEMPLATE.FAT&amp;display_string=Audit&amp;VAR:KEY=NSLOXKHCFC&amp;VAR:QUERY=RkZfRElWX1lMRChBTk4sMTEvMDkvMDYsMTEvMDkvMDYp&amp;WINDOW=FIRST_POPUP&amp;HEIGHT=450&amp;WIDTH=450&amp;","START_MAXIMIZED=FALSE&amp;VAR:CALENDAR=US&amp;VAR:SYMBOL=RAI&amp;VAR:INDEX=0"}</definedName>
    <definedName name="_2300">#REF!</definedName>
    <definedName name="_2300__FDSAUDITLINK__" localSheetId="0"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0__FDSAUDITLINK__" hidden="1">{"fdsup://directions/FAT Viewer?action=UPDATE&amp;creator=factset&amp;DYN_ARGS=TRUE&amp;DOC_NAME=FAT:FQL_AUDITING_CLIENT_TEMPLATE.FAT&amp;display_string=Audit&amp;VAR:KEY=ONCFQJQHQF&amp;VAR:QUERY=RkZfRElWX1lMRChBTk4sNS8wOS8wNyw1LzA5LzA3KQ==&amp;WINDOW=FIRST_POPUP&amp;HEIGHT=450&amp;WIDTH=450&amp;","START_MAXIMIZED=FALSE&amp;VAR:CALENDAR=US&amp;VAR:SYMBOL=RAI&amp;VAR:INDEX=0"}</definedName>
    <definedName name="_2301__FDSAUDITLINK__" localSheetId="0"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1__FDSAUDITLINK__" hidden="1">{"fdsup://directions/FAT Viewer?action=UPDATE&amp;creator=factset&amp;DYN_ARGS=TRUE&amp;DOC_NAME=FAT:FQL_AUDITING_CLIENT_TEMPLATE.FAT&amp;display_string=Audit&amp;VAR:KEY=GPORGXAFGJ&amp;VAR:QUERY=RkZfRElWX1lMRChBTk4sNS8wMi8wNyw1LzAyLzA3KQ==&amp;WINDOW=FIRST_POPUP&amp;HEIGHT=450&amp;WIDTH=450&amp;","START_MAXIMIZED=FALSE&amp;VAR:CALENDAR=US&amp;VAR:SYMBOL=RAI&amp;VAR:INDEX=0"}</definedName>
    <definedName name="_2302__FDSAUDITLINK__" localSheetId="0"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2__FDSAUDITLINK__" hidden="1">{"fdsup://directions/FAT Viewer?action=UPDATE&amp;creator=factset&amp;DYN_ARGS=TRUE&amp;DOC_NAME=FAT:FQL_AUDITING_CLIENT_TEMPLATE.FAT&amp;display_string=Audit&amp;VAR:KEY=GVQRYNGZUF&amp;VAR:QUERY=RkZfRElWX1lMRChBTk4sNC8yNS8wNyw0LzI1LzA3KQ==&amp;WINDOW=FIRST_POPUP&amp;HEIGHT=450&amp;WIDTH=450&amp;","START_MAXIMIZED=FALSE&amp;VAR:CALENDAR=US&amp;VAR:SYMBOL=RAI&amp;VAR:INDEX=0"}</definedName>
    <definedName name="_2303">#REF!</definedName>
    <definedName name="_2303__FDSAUDITLINK__" localSheetId="0"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3__FDSAUDITLINK__" hidden="1">{"fdsup://directions/FAT Viewer?action=UPDATE&amp;creator=factset&amp;DYN_ARGS=TRUE&amp;DOC_NAME=FAT:FQL_AUDITING_CLIENT_TEMPLATE.FAT&amp;display_string=Audit&amp;VAR:KEY=INMPIBSJCH&amp;VAR:QUERY=RkZfRElWX1lMRChBTk4sNC8xOC8wNyw0LzE4LzA3KQ==&amp;WINDOW=FIRST_POPUP&amp;HEIGHT=450&amp;WIDTH=450&amp;","START_MAXIMIZED=FALSE&amp;VAR:CALENDAR=US&amp;VAR:SYMBOL=RAI&amp;VAR:INDEX=0"}</definedName>
    <definedName name="_2304">#REF!</definedName>
    <definedName name="_2304__FDSAUDITLINK__" localSheetId="0"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4__FDSAUDITLINK__" hidden="1">{"fdsup://directions/FAT Viewer?action=UPDATE&amp;creator=factset&amp;DYN_ARGS=TRUE&amp;DOC_NAME=FAT:FQL_AUDITING_CLIENT_TEMPLATE.FAT&amp;display_string=Audit&amp;VAR:KEY=EVKNKLYBMZ&amp;VAR:QUERY=RkZfRElWX1lMRChBTk4sNC8xMS8wNyw0LzExLzA3KQ==&amp;WINDOW=FIRST_POPUP&amp;HEIGHT=450&amp;WIDTH=450&amp;","START_MAXIMIZED=FALSE&amp;VAR:CALENDAR=US&amp;VAR:SYMBOL=RAI&amp;VAR:INDEX=0"}</definedName>
    <definedName name="_2305">#REF!</definedName>
    <definedName name="_2305__FDSAUDITLINK__" localSheetId="0"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5__FDSAUDITLINK__" hidden="1">{"fdsup://directions/FAT Viewer?action=UPDATE&amp;creator=factset&amp;DYN_ARGS=TRUE&amp;DOC_NAME=FAT:FQL_AUDITING_CLIENT_TEMPLATE.FAT&amp;display_string=Audit&amp;VAR:KEY=OFWVMPSPWZ&amp;VAR:QUERY=RkZfRElWX1lMRChBTk4sNC8wNC8wNyw0LzA0LzA3KQ==&amp;WINDOW=FIRST_POPUP&amp;HEIGHT=450&amp;WIDTH=450&amp;","START_MAXIMIZED=FALSE&amp;VAR:CALENDAR=US&amp;VAR:SYMBOL=RAI&amp;VAR:INDEX=0"}</definedName>
    <definedName name="_2306">#REF!</definedName>
    <definedName name="_2306__FDSAUDITLINK__" localSheetId="0"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6__FDSAUDITLINK__" hidden="1">{"fdsup://directions/FAT Viewer?action=UPDATE&amp;creator=factset&amp;DYN_ARGS=TRUE&amp;DOC_NAME=FAT:FQL_AUDITING_CLIENT_TEMPLATE.FAT&amp;display_string=Audit&amp;VAR:KEY=YRSZYTUVUV&amp;VAR:QUERY=RkZfRElWX1lMRChBTk4sMy8yOC8wNywzLzI4LzA3KQ==&amp;WINDOW=FIRST_POPUP&amp;HEIGHT=450&amp;WIDTH=450&amp;","START_MAXIMIZED=FALSE&amp;VAR:CALENDAR=US&amp;VAR:SYMBOL=RAI&amp;VAR:INDEX=0"}</definedName>
    <definedName name="_2307">#REF!</definedName>
    <definedName name="_2307__FDSAUDITLINK__" localSheetId="0"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7__FDSAUDITLINK__" hidden="1">{"fdsup://directions/FAT Viewer?action=UPDATE&amp;creator=factset&amp;DYN_ARGS=TRUE&amp;DOC_NAME=FAT:FQL_AUDITING_CLIENT_TEMPLATE.FAT&amp;display_string=Audit&amp;VAR:KEY=KVOPUJEXGR&amp;VAR:QUERY=RkZfRElWX1lMRChBTk4sMy8yMS8wNywzLzIxLzA3KQ==&amp;WINDOW=FIRST_POPUP&amp;HEIGHT=450&amp;WIDTH=450&amp;","START_MAXIMIZED=FALSE&amp;VAR:CALENDAR=US&amp;VAR:SYMBOL=RAI&amp;VAR:INDEX=0"}</definedName>
    <definedName name="_2308__FDSAUDITLINK__" localSheetId="0"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8__FDSAUDITLINK__" hidden="1">{"fdsup://directions/FAT Viewer?action=UPDATE&amp;creator=factset&amp;DYN_ARGS=TRUE&amp;DOC_NAME=FAT:FQL_AUDITING_CLIENT_TEMPLATE.FAT&amp;display_string=Audit&amp;VAR:KEY=QHAXUVQFEV&amp;VAR:QUERY=RkZfRElWX1lMRChBTk4sMy8xNC8wNywzLzE0LzA3KQ==&amp;WINDOW=FIRST_POPUP&amp;HEIGHT=450&amp;WIDTH=450&amp;","START_MAXIMIZED=FALSE&amp;VAR:CALENDAR=US&amp;VAR:SYMBOL=RAI&amp;VAR:INDEX=0"}</definedName>
    <definedName name="_2309">#REF!</definedName>
    <definedName name="_2309__FDSAUDITLINK__" localSheetId="0"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09__FDSAUDITLINK__" hidden="1">{"fdsup://directions/FAT Viewer?action=UPDATE&amp;creator=factset&amp;DYN_ARGS=TRUE&amp;DOC_NAME=FAT:FQL_AUDITING_CLIENT_TEMPLATE.FAT&amp;display_string=Audit&amp;VAR:KEY=SJELGRGTUP&amp;VAR:QUERY=RkZfRElWX1lMRChBTk4sMy8wNy8wNywzLzA3LzA3KQ==&amp;WINDOW=FIRST_POPUP&amp;HEIGHT=450&amp;WIDTH=450&amp;","START_MAXIMIZED=FALSE&amp;VAR:CALENDAR=US&amp;VAR:SYMBOL=RAI&amp;VAR:INDEX=0"}</definedName>
    <definedName name="_231">#REF!</definedName>
    <definedName name="_231__FDSAUDITLINK__" localSheetId="0"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__FDSAUDITLINK__" hidden="1">{"fdsup://directions/FAT Viewer?action=UPDATE&amp;creator=factset&amp;DYN_ARGS=TRUE&amp;DOC_NAME=FAT:FQL_AUDITING_CLIENT_TEMPLATE.FAT&amp;display_string=Audit&amp;VAR:KEY=ZKJGXOFKLK&amp;VAR:QUERY=RkZfRElWX1lMRChBTk4sMTEvMDIvMDYsMTEvMDIvMDYp&amp;WINDOW=FIRST_POPUP&amp;HEIGHT=450&amp;WIDTH=450&amp;","START_MAXIMIZED=FALSE&amp;VAR:CALENDAR=US&amp;VAR:SYMBOL=RAI&amp;VAR:INDEX=0"}</definedName>
    <definedName name="_2310">#REF!</definedName>
    <definedName name="_2310__FDSAUDITLINK__" localSheetId="0"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0__FDSAUDITLINK__" hidden="1">{"fdsup://directions/FAT Viewer?action=UPDATE&amp;creator=factset&amp;DYN_ARGS=TRUE&amp;DOC_NAME=FAT:FQL_AUDITING_CLIENT_TEMPLATE.FAT&amp;display_string=Audit&amp;VAR:KEY=WHMFWRCPKR&amp;VAR:QUERY=RkZfRElWX1lMRChBTk4sMi8yOC8wNywyLzI4LzA3KQ==&amp;WINDOW=FIRST_POPUP&amp;HEIGHT=450&amp;WIDTH=450&amp;","START_MAXIMIZED=FALSE&amp;VAR:CALENDAR=US&amp;VAR:SYMBOL=RAI&amp;VAR:INDEX=0"}</definedName>
    <definedName name="_2311__FDSAUDITLINK__" localSheetId="0"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1__FDSAUDITLINK__" hidden="1">{"fdsup://directions/FAT Viewer?action=UPDATE&amp;creator=factset&amp;DYN_ARGS=TRUE&amp;DOC_NAME=FAT:FQL_AUDITING_CLIENT_TEMPLATE.FAT&amp;display_string=Audit&amp;VAR:KEY=IHYRSDKTOF&amp;VAR:QUERY=RkZfRElWX1lMRChBTk4sMi8yMS8wNywyLzIxLzA3KQ==&amp;WINDOW=FIRST_POPUP&amp;HEIGHT=450&amp;WIDTH=450&amp;","START_MAXIMIZED=FALSE&amp;VAR:CALENDAR=US&amp;VAR:SYMBOL=RAI&amp;VAR:INDEX=0"}</definedName>
    <definedName name="_2312__FDSAUDITLINK__" localSheetId="0"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2__FDSAUDITLINK__" hidden="1">{"fdsup://directions/FAT Viewer?action=UPDATE&amp;creator=factset&amp;DYN_ARGS=TRUE&amp;DOC_NAME=FAT:FQL_AUDITING_CLIENT_TEMPLATE.FAT&amp;display_string=Audit&amp;VAR:KEY=EXIXQXMFOB&amp;VAR:QUERY=RkZfRElWX1lMRChBTk4sMi8xNC8wNywyLzE0LzA3KQ==&amp;WINDOW=FIRST_POPUP&amp;HEIGHT=450&amp;WIDTH=450&amp;","START_MAXIMIZED=FALSE&amp;VAR:CALENDAR=US&amp;VAR:SYMBOL=RAI&amp;VAR:INDEX=0"}</definedName>
    <definedName name="_2313__FDSAUDITLINK__" localSheetId="0"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3__FDSAUDITLINK__" hidden="1">{"fdsup://directions/FAT Viewer?action=UPDATE&amp;creator=factset&amp;DYN_ARGS=TRUE&amp;DOC_NAME=FAT:FQL_AUDITING_CLIENT_TEMPLATE.FAT&amp;display_string=Audit&amp;VAR:KEY=SNMPUVSFYJ&amp;VAR:QUERY=RkZfRElWX1lMRChBTk4sMi8wNy8wNywyLzA3LzA3KQ==&amp;WINDOW=FIRST_POPUP&amp;HEIGHT=450&amp;WIDTH=450&amp;","START_MAXIMIZED=FALSE&amp;VAR:CALENDAR=US&amp;VAR:SYMBOL=RAI&amp;VAR:INDEX=0"}</definedName>
    <definedName name="_2314__FDSAUDITLINK__" localSheetId="0"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4__FDSAUDITLINK__" hidden="1">{"fdsup://directions/FAT Viewer?action=UPDATE&amp;creator=factset&amp;DYN_ARGS=TRUE&amp;DOC_NAME=FAT:FQL_AUDITING_CLIENT_TEMPLATE.FAT&amp;display_string=Audit&amp;VAR:KEY=ABKFERCTQD&amp;VAR:QUERY=RkZfRElWX1lMRChBTk4sMS8zMS8wNywxLzMxLzA3KQ==&amp;WINDOW=FIRST_POPUP&amp;HEIGHT=450&amp;WIDTH=450&amp;","START_MAXIMIZED=FALSE&amp;VAR:CALENDAR=US&amp;VAR:SYMBOL=RAI&amp;VAR:INDEX=0"}</definedName>
    <definedName name="_2315__FDSAUDITLINK__" localSheetId="0"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5__FDSAUDITLINK__" hidden="1">{"fdsup://directions/FAT Viewer?action=UPDATE&amp;creator=factset&amp;DYN_ARGS=TRUE&amp;DOC_NAME=FAT:FQL_AUDITING_CLIENT_TEMPLATE.FAT&amp;display_string=Audit&amp;VAR:KEY=WDATIDQTSN&amp;VAR:QUERY=RkZfRElWX1lMRChBTk4sMS8yNC8wNywxLzI0LzA3KQ==&amp;WINDOW=FIRST_POPUP&amp;HEIGHT=450&amp;WIDTH=450&amp;","START_MAXIMIZED=FALSE&amp;VAR:CALENDAR=US&amp;VAR:SYMBOL=RAI&amp;VAR:INDEX=0"}</definedName>
    <definedName name="_2316__FDSAUDITLINK__" localSheetId="0"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6__FDSAUDITLINK__" hidden="1">{"fdsup://directions/FAT Viewer?action=UPDATE&amp;creator=factset&amp;DYN_ARGS=TRUE&amp;DOC_NAME=FAT:FQL_AUDITING_CLIENT_TEMPLATE.FAT&amp;display_string=Audit&amp;VAR:KEY=STUDWVMDSP&amp;VAR:QUERY=RkZfRElWX1lMRChBTk4sMS8xNy8wNywxLzE3LzA3KQ==&amp;WINDOW=FIRST_POPUP&amp;HEIGHT=450&amp;WIDTH=450&amp;","START_MAXIMIZED=FALSE&amp;VAR:CALENDAR=US&amp;VAR:SYMBOL=RAI&amp;VAR:INDEX=0"}</definedName>
    <definedName name="_2317__FDSAUDITLINK__" localSheetId="0"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7__FDSAUDITLINK__" hidden="1">{"fdsup://directions/FAT Viewer?action=UPDATE&amp;creator=factset&amp;DYN_ARGS=TRUE&amp;DOC_NAME=FAT:FQL_AUDITING_CLIENT_TEMPLATE.FAT&amp;display_string=Audit&amp;VAR:KEY=YBQNEPMRIZ&amp;VAR:QUERY=RkZfRElWX1lMRChBTk4sMS8xMC8wNywxLzEwLzA3KQ==&amp;WINDOW=FIRST_POPUP&amp;HEIGHT=450&amp;WIDTH=450&amp;","START_MAXIMIZED=FALSE&amp;VAR:CALENDAR=US&amp;VAR:SYMBOL=RAI&amp;VAR:INDEX=0"}</definedName>
    <definedName name="_2318__FDSAUDITLINK__" localSheetId="0"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8__FDSAUDITLINK__" hidden="1">{"fdsup://directions/FAT Viewer?action=UPDATE&amp;creator=factset&amp;DYN_ARGS=TRUE&amp;DOC_NAME=FAT:FQL_AUDITING_CLIENT_TEMPLATE.FAT&amp;display_string=Audit&amp;VAR:KEY=CVOLKXIBQX&amp;VAR:QUERY=RkZfRElWX1lMRChBTk4sMS8wMy8wNywxLzAzLzA3KQ==&amp;WINDOW=FIRST_POPUP&amp;HEIGHT=450&amp;WIDTH=450&amp;","START_MAXIMIZED=FALSE&amp;VAR:CALENDAR=US&amp;VAR:SYMBOL=RAI&amp;VAR:INDEX=0"}</definedName>
    <definedName name="_2319__FDSAUDITLINK__" localSheetId="0"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19__FDSAUDITLINK__" hidden="1">{"fdsup://directions/FAT Viewer?action=UPDATE&amp;creator=factset&amp;DYN_ARGS=TRUE&amp;DOC_NAME=FAT:FQL_AUDITING_CLIENT_TEMPLATE.FAT&amp;display_string=Audit&amp;VAR:KEY=AXQBGNYJSZ&amp;VAR:QUERY=RkZfRElWX1lMRChBTk4sMTIvMjcvMDYsMTIvMjcvMDYp&amp;WINDOW=FIRST_POPUP&amp;HEIGHT=450&amp;WIDTH=450&amp;","START_MAXIMIZED=FALSE&amp;VAR:CALENDAR=US&amp;VAR:SYMBOL=RAI&amp;VAR:INDEX=0"}</definedName>
    <definedName name="_232">#REF!</definedName>
    <definedName name="_232__FDSAUDITLINK__" localSheetId="0"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__FDSAUDITLINK__" hidden="1">{"fdsup://directions/FAT Viewer?action=UPDATE&amp;creator=factset&amp;DYN_ARGS=TRUE&amp;DOC_NAME=FAT:FQL_AUDITING_CLIENT_TEMPLATE.FAT&amp;display_string=Audit&amp;VAR:KEY=POHSLSNUPO&amp;VAR:QUERY=RkZfRElWX1lMRChBTk4sMTAvMjYvMDYsMTAvMjYvMDYp&amp;WINDOW=FIRST_POPUP&amp;HEIGHT=450&amp;WIDTH=450&amp;","START_MAXIMIZED=FALSE&amp;VAR:CALENDAR=US&amp;VAR:SYMBOL=RAI&amp;VAR:INDEX=0"}</definedName>
    <definedName name="_2320__FDSAUDITLINK__" localSheetId="0"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0__FDSAUDITLINK__" hidden="1">{"fdsup://directions/FAT Viewer?action=UPDATE&amp;creator=factset&amp;DYN_ARGS=TRUE&amp;DOC_NAME=FAT:FQL_AUDITING_CLIENT_TEMPLATE.FAT&amp;display_string=Audit&amp;VAR:KEY=UBCBSBARGH&amp;VAR:QUERY=RkZfRElWX1lMRChBTk4sMTIvMjAvMDYsMTIvMjAvMDYp&amp;WINDOW=FIRST_POPUP&amp;HEIGHT=450&amp;WIDTH=450&amp;","START_MAXIMIZED=FALSE&amp;VAR:CALENDAR=US&amp;VAR:SYMBOL=RAI&amp;VAR:INDEX=0"}</definedName>
    <definedName name="_2321__FDSAUDITLINK__" localSheetId="0"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1__FDSAUDITLINK__" hidden="1">{"fdsup://directions/FAT Viewer?action=UPDATE&amp;creator=factset&amp;DYN_ARGS=TRUE&amp;DOC_NAME=FAT:FQL_AUDITING_CLIENT_TEMPLATE.FAT&amp;display_string=Audit&amp;VAR:KEY=KBQLGDOTSP&amp;VAR:QUERY=RkZfRElWX1lMRChBTk4sMTIvMTMvMDYsMTIvMTMvMDYp&amp;WINDOW=FIRST_POPUP&amp;HEIGHT=450&amp;WIDTH=450&amp;","START_MAXIMIZED=FALSE&amp;VAR:CALENDAR=US&amp;VAR:SYMBOL=RAI&amp;VAR:INDEX=0"}</definedName>
    <definedName name="_2322__FDSAUDITLINK__" localSheetId="0"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2__FDSAUDITLINK__" hidden="1">{"fdsup://directions/FAT Viewer?action=UPDATE&amp;creator=factset&amp;DYN_ARGS=TRUE&amp;DOC_NAME=FAT:FQL_AUDITING_CLIENT_TEMPLATE.FAT&amp;display_string=Audit&amp;VAR:KEY=CRGRELIRQL&amp;VAR:QUERY=RkZfRElWX1lMRChBTk4sMTIvMDYvMDYsMTIvMDYvMDYp&amp;WINDOW=FIRST_POPUP&amp;HEIGHT=450&amp;WIDTH=450&amp;","START_MAXIMIZED=FALSE&amp;VAR:CALENDAR=US&amp;VAR:SYMBOL=RAI&amp;VAR:INDEX=0"}</definedName>
    <definedName name="_2323__FDSAUDITLINK__" localSheetId="0"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3__FDSAUDITLINK__" hidden="1">{"fdsup://directions/FAT Viewer?action=UPDATE&amp;creator=factset&amp;DYN_ARGS=TRUE&amp;DOC_NAME=FAT:FQL_AUDITING_CLIENT_TEMPLATE.FAT&amp;display_string=Audit&amp;VAR:KEY=MBSBSVKPYD&amp;VAR:QUERY=RkZfRElWX1lMRChBTk4sMTEvMjkvMDYsMTEvMjkvMDYp&amp;WINDOW=FIRST_POPUP&amp;HEIGHT=450&amp;WIDTH=450&amp;","START_MAXIMIZED=FALSE&amp;VAR:CALENDAR=US&amp;VAR:SYMBOL=RAI&amp;VAR:INDEX=0"}</definedName>
    <definedName name="_2324__FDSAUDITLINK__" localSheetId="0"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4__FDSAUDITLINK__" hidden="1">{"fdsup://directions/FAT Viewer?action=UPDATE&amp;creator=factset&amp;DYN_ARGS=TRUE&amp;DOC_NAME=FAT:FQL_AUDITING_CLIENT_TEMPLATE.FAT&amp;display_string=Audit&amp;VAR:KEY=CZGXYHSBSD&amp;VAR:QUERY=RkZfRElWX1lMRChBTk4sMTEvMjIvMDYsMTEvMjIvMDYp&amp;WINDOW=FIRST_POPUP&amp;HEIGHT=450&amp;WIDTH=450&amp;","START_MAXIMIZED=FALSE&amp;VAR:CALENDAR=US&amp;VAR:SYMBOL=RAI&amp;VAR:INDEX=0"}</definedName>
    <definedName name="_2325__FDSAUDITLINK__" localSheetId="0"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5__FDSAUDITLINK__" hidden="1">{"fdsup://directions/FAT Viewer?action=UPDATE&amp;creator=factset&amp;DYN_ARGS=TRUE&amp;DOC_NAME=FAT:FQL_AUDITING_CLIENT_TEMPLATE.FAT&amp;display_string=Audit&amp;VAR:KEY=MRCHWTIVCH&amp;VAR:QUERY=RkZfRElWX1lMRChBTk4sMTEvMTUvMDYsMTEvMTUvMDYp&amp;WINDOW=FIRST_POPUP&amp;HEIGHT=450&amp;WIDTH=450&amp;","START_MAXIMIZED=FALSE&amp;VAR:CALENDAR=US&amp;VAR:SYMBOL=RAI&amp;VAR:INDEX=0"}</definedName>
    <definedName name="_2326__FDSAUDITLINK__" localSheetId="0"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6__FDSAUDITLINK__" hidden="1">{"fdsup://directions/FAT Viewer?action=UPDATE&amp;creator=factset&amp;DYN_ARGS=TRUE&amp;DOC_NAME=FAT:FQL_AUDITING_CLIENT_TEMPLATE.FAT&amp;display_string=Audit&amp;VAR:KEY=ABKJEXUXYP&amp;VAR:QUERY=RkZfRElWX1lMRChBTk4sMTEvMDgvMDYsMTEvMDgvMDYp&amp;WINDOW=FIRST_POPUP&amp;HEIGHT=450&amp;WIDTH=450&amp;","START_MAXIMIZED=FALSE&amp;VAR:CALENDAR=US&amp;VAR:SYMBOL=RAI&amp;VAR:INDEX=0"}</definedName>
    <definedName name="_2327__FDSAUDITLINK__" localSheetId="0"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7__FDSAUDITLINK__" hidden="1">{"fdsup://directions/FAT Viewer?action=UPDATE&amp;creator=factset&amp;DYN_ARGS=TRUE&amp;DOC_NAME=FAT:FQL_AUDITING_CLIENT_TEMPLATE.FAT&amp;display_string=Audit&amp;VAR:KEY=CPOVINEBWZ&amp;VAR:QUERY=RkZfRElWX1lMRChBTk4sMTEvMDEvMDYsMTEvMDEvMDYp&amp;WINDOW=FIRST_POPUP&amp;HEIGHT=450&amp;WIDTH=450&amp;","START_MAXIMIZED=FALSE&amp;VAR:CALENDAR=US&amp;VAR:SYMBOL=RAI&amp;VAR:INDEX=0"}</definedName>
    <definedName name="_2328__FDSAUDITLINK__" localSheetId="0"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8__FDSAUDITLINK__" hidden="1">{"fdsup://directions/FAT Viewer?action=UPDATE&amp;creator=factset&amp;DYN_ARGS=TRUE&amp;DOC_NAME=FAT:FQL_AUDITING_CLIENT_TEMPLATE.FAT&amp;display_string=Audit&amp;VAR:KEY=YFKJKJODMF&amp;VAR:QUERY=RkZfRElWX1lMRChBTk4sMTAvMjUvMDYsMTAvMjUvMDYp&amp;WINDOW=FIRST_POPUP&amp;HEIGHT=450&amp;WIDTH=450&amp;","START_MAXIMIZED=FALSE&amp;VAR:CALENDAR=US&amp;VAR:SYMBOL=RAI&amp;VAR:INDEX=0"}</definedName>
    <definedName name="_2329__FDSAUDITLINK__" localSheetId="0"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29__FDSAUDITLINK__" hidden="1">{"fdsup://directions/FAT Viewer?action=UPDATE&amp;creator=factset&amp;DYN_ARGS=TRUE&amp;DOC_NAME=FAT:FQL_AUDITING_CLIENT_TEMPLATE.FAT&amp;display_string=Audit&amp;VAR:KEY=EXOZIBSNQV&amp;VAR:QUERY=RkZfRElWX1lMRChBTk4sMTAvMTgvMDYsMTAvMTgvMDYp&amp;WINDOW=FIRST_POPUP&amp;HEIGHT=450&amp;WIDTH=450&amp;","START_MAXIMIZED=FALSE&amp;VAR:CALENDAR=US&amp;VAR:SYMBOL=RAI&amp;VAR:INDEX=0"}</definedName>
    <definedName name="_233">#REF!</definedName>
    <definedName name="_233__FDSAUDITLINK__" localSheetId="0"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__FDSAUDITLINK__" hidden="1">{"fdsup://directions/FAT Viewer?action=UPDATE&amp;creator=factset&amp;DYN_ARGS=TRUE&amp;DOC_NAME=FAT:FQL_AUDITING_CLIENT_TEMPLATE.FAT&amp;display_string=Audit&amp;VAR:KEY=VQFIJSHSXQ&amp;VAR:QUERY=RkZfRElWX1lMRChBTk4sMTAvMTkvMDYsMTAvMTkvMDYp&amp;WINDOW=FIRST_POPUP&amp;HEIGHT=450&amp;WIDTH=450&amp;","START_MAXIMIZED=FALSE&amp;VAR:CALENDAR=US&amp;VAR:SYMBOL=RAI&amp;VAR:INDEX=0"}</definedName>
    <definedName name="_2330__FDSAUDITLINK__" localSheetId="0"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0__FDSAUDITLINK__" hidden="1">{"fdsup://directions/FAT Viewer?action=UPDATE&amp;creator=factset&amp;DYN_ARGS=TRUE&amp;DOC_NAME=FAT:FQL_AUDITING_CLIENT_TEMPLATE.FAT&amp;display_string=Audit&amp;VAR:KEY=KTQFKZGPUN&amp;VAR:QUERY=RkZfRElWX1lMRChBTk4sMTAvMTEvMDYsMTAvMTEvMDYp&amp;WINDOW=FIRST_POPUP&amp;HEIGHT=450&amp;WIDTH=450&amp;","START_MAXIMIZED=FALSE&amp;VAR:CALENDAR=US&amp;VAR:SYMBOL=RAI&amp;VAR:INDEX=0"}</definedName>
    <definedName name="_2331__FDSAUDITLINK__" localSheetId="0"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1__FDSAUDITLINK__" hidden="1">{"fdsup://directions/FAT Viewer?action=UPDATE&amp;creator=factset&amp;DYN_ARGS=TRUE&amp;DOC_NAME=FAT:FQL_AUDITING_CLIENT_TEMPLATE.FAT&amp;display_string=Audit&amp;VAR:KEY=AJQDSPEXQL&amp;VAR:QUERY=RkZfRElWX1lMRChBTk4sMTAvMDQvMDYsMTAvMDQvMDYp&amp;WINDOW=FIRST_POPUP&amp;HEIGHT=450&amp;WIDTH=450&amp;","START_MAXIMIZED=FALSE&amp;VAR:CALENDAR=US&amp;VAR:SYMBOL=RAI&amp;VAR:INDEX=0"}</definedName>
    <definedName name="_2332__FDSAUDITLINK__" localSheetId="0"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2__FDSAUDITLINK__" hidden="1">{"fdsup://directions/FAT Viewer?action=UPDATE&amp;creator=factset&amp;DYN_ARGS=TRUE&amp;DOC_NAME=FAT:FQL_AUDITING_CLIENT_TEMPLATE.FAT&amp;display_string=Audit&amp;VAR:KEY=WXMDQDAXOX&amp;VAR:QUERY=RkZfRElWX1lMRChBTk4sOS8yNy8wNiw5LzI3LzA2KQ==&amp;WINDOW=FIRST_POPUP&amp;HEIGHT=450&amp;WIDTH=450&amp;","START_MAXIMIZED=FALSE&amp;VAR:CALENDAR=US&amp;VAR:SYMBOL=RAI&amp;VAR:INDEX=0"}</definedName>
    <definedName name="_2333__FDSAUDITLINK__" localSheetId="0"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3__FDSAUDITLINK__" hidden="1">{"fdsup://directions/FAT Viewer?action=UPDATE&amp;creator=factset&amp;DYN_ARGS=TRUE&amp;DOC_NAME=FAT:FQL_AUDITING_CLIENT_TEMPLATE.FAT&amp;display_string=Audit&amp;VAR:KEY=KFALINWHCD&amp;VAR:QUERY=RkZfRElWX1lMRChBTk4sOS8yMC8wNiw5LzIwLzA2KQ==&amp;WINDOW=FIRST_POPUP&amp;HEIGHT=450&amp;WIDTH=450&amp;","START_MAXIMIZED=FALSE&amp;VAR:CALENDAR=US&amp;VAR:SYMBOL=RAI&amp;VAR:INDEX=0"}</definedName>
    <definedName name="_2334__FDSAUDITLINK__" localSheetId="0"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4__FDSAUDITLINK__" hidden="1">{"fdsup://directions/FAT Viewer?action=UPDATE&amp;creator=factset&amp;DYN_ARGS=TRUE&amp;DOC_NAME=FAT:FQL_AUDITING_CLIENT_TEMPLATE.FAT&amp;display_string=Audit&amp;VAR:KEY=ETYHKVWLGL&amp;VAR:QUERY=RkZfRElWX1lMRChBTk4sOS8xMy8wNiw5LzEzLzA2KQ==&amp;WINDOW=FIRST_POPUP&amp;HEIGHT=450&amp;WIDTH=450&amp;","START_MAXIMIZED=FALSE&amp;VAR:CALENDAR=US&amp;VAR:SYMBOL=RAI&amp;VAR:INDEX=0"}</definedName>
    <definedName name="_2335__FDSAUDITLINK__" localSheetId="0"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5__FDSAUDITLINK__" hidden="1">{"fdsup://directions/FAT Viewer?action=UPDATE&amp;creator=factset&amp;DYN_ARGS=TRUE&amp;DOC_NAME=FAT:FQL_AUDITING_CLIENT_TEMPLATE.FAT&amp;display_string=Audit&amp;VAR:KEY=EJKPKBUZWJ&amp;VAR:QUERY=RkZfRElWX1lMRChBTk4sOS8wNi8wNiw5LzA2LzA2KQ==&amp;WINDOW=FIRST_POPUP&amp;HEIGHT=450&amp;WIDTH=450&amp;","START_MAXIMIZED=FALSE&amp;VAR:CALENDAR=US&amp;VAR:SYMBOL=RAI&amp;VAR:INDEX=0"}</definedName>
    <definedName name="_2336__FDSAUDITLINK__" localSheetId="0"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6__FDSAUDITLINK__" hidden="1">{"fdsup://directions/FAT Viewer?action=UPDATE&amp;creator=factset&amp;DYN_ARGS=TRUE&amp;DOC_NAME=FAT:FQL_AUDITING_CLIENT_TEMPLATE.FAT&amp;display_string=Audit&amp;VAR:KEY=OZEFQVGJAR&amp;VAR:QUERY=RkZfRElWX1lMRChBTk4sOC8zMC8wNiw4LzMwLzA2KQ==&amp;WINDOW=FIRST_POPUP&amp;HEIGHT=450&amp;WIDTH=450&amp;","START_MAXIMIZED=FALSE&amp;VAR:CALENDAR=US&amp;VAR:SYMBOL=RAI&amp;VAR:INDEX=0"}</definedName>
    <definedName name="_2337__FDSAUDITLINK__" localSheetId="0"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7__FDSAUDITLINK__" hidden="1">{"fdsup://directions/FAT Viewer?action=UPDATE&amp;creator=factset&amp;DYN_ARGS=TRUE&amp;DOC_NAME=FAT:FQL_AUDITING_CLIENT_TEMPLATE.FAT&amp;display_string=Audit&amp;VAR:KEY=YBWJONQRMP&amp;VAR:QUERY=RkZfRElWX1lMRChBTk4sOC8yMy8wNiw4LzIzLzA2KQ==&amp;WINDOW=FIRST_POPUP&amp;HEIGHT=450&amp;WIDTH=450&amp;","START_MAXIMIZED=FALSE&amp;VAR:CALENDAR=US&amp;VAR:SYMBOL=RAI&amp;VAR:INDEX=0"}</definedName>
    <definedName name="_2338">#REF!</definedName>
    <definedName name="_2338__FDSAUDITLINK__" localSheetId="0"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8__FDSAUDITLINK__" hidden="1">{"fdsup://directions/FAT Viewer?action=UPDATE&amp;creator=factset&amp;DYN_ARGS=TRUE&amp;DOC_NAME=FAT:FQL_AUDITING_CLIENT_TEMPLATE.FAT&amp;display_string=Audit&amp;VAR:KEY=ONILMVKXIX&amp;VAR:QUERY=RkZfRElWX1lMRChBTk4sOC8xNi8wNiw4LzE2LzA2KQ==&amp;WINDOW=FIRST_POPUP&amp;HEIGHT=450&amp;WIDTH=450&amp;","START_MAXIMIZED=FALSE&amp;VAR:CALENDAR=US&amp;VAR:SYMBOL=RAI&amp;VAR:INDEX=0"}</definedName>
    <definedName name="_2339">#REF!</definedName>
    <definedName name="_2339__FDSAUDITLINK__" localSheetId="0"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39__FDSAUDITLINK__" hidden="1">{"fdsup://directions/FAT Viewer?action=UPDATE&amp;creator=factset&amp;DYN_ARGS=TRUE&amp;DOC_NAME=FAT:FQL_AUDITING_CLIENT_TEMPLATE.FAT&amp;display_string=Audit&amp;VAR:KEY=UXCBAJUDAN&amp;VAR:QUERY=RkZfRElWX1lMRChBTk4sOC8wOS8wNiw4LzA5LzA2KQ==&amp;WINDOW=FIRST_POPUP&amp;HEIGHT=450&amp;WIDTH=450&amp;","START_MAXIMIZED=FALSE&amp;VAR:CALENDAR=US&amp;VAR:SYMBOL=RAI&amp;VAR:INDEX=0"}</definedName>
    <definedName name="_234">#REF!</definedName>
    <definedName name="_234__FDSAUDITLINK__" localSheetId="0"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__FDSAUDITLINK__" hidden="1">{"fdsup://directions/FAT Viewer?action=UPDATE&amp;creator=factset&amp;DYN_ARGS=TRUE&amp;DOC_NAME=FAT:FQL_AUDITING_CLIENT_TEMPLATE.FAT&amp;display_string=Audit&amp;VAR:KEY=XAXENAXATY&amp;VAR:QUERY=RkZfRElWX1lMRChBTk4sMTAvMTIvMDYsMTAvMTIvMDYp&amp;WINDOW=FIRST_POPUP&amp;HEIGHT=450&amp;WIDTH=450&amp;","START_MAXIMIZED=FALSE&amp;VAR:CALENDAR=US&amp;VAR:SYMBOL=RAI&amp;VAR:INDEX=0"}</definedName>
    <definedName name="_2340__FDSAUDITLINK__" localSheetId="0"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0__FDSAUDITLINK__" hidden="1">{"fdsup://directions/FAT Viewer?action=UPDATE&amp;creator=factset&amp;DYN_ARGS=TRUE&amp;DOC_NAME=FAT:FQL_AUDITING_CLIENT_TEMPLATE.FAT&amp;display_string=Audit&amp;VAR:KEY=OHWPGDWZUP&amp;VAR:QUERY=RkZfRElWX1lMRChBTk4sOC8wMi8wNiw4LzAyLzA2KQ==&amp;WINDOW=FIRST_POPUP&amp;HEIGHT=450&amp;WIDTH=450&amp;","START_MAXIMIZED=FALSE&amp;VAR:CALENDAR=US&amp;VAR:SYMBOL=RAI&amp;VAR:INDEX=0"}</definedName>
    <definedName name="_2341">#REF!</definedName>
    <definedName name="_2341__FDSAUDITLINK__" localSheetId="0"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1__FDSAUDITLINK__" hidden="1">{"fdsup://directions/FAT Viewer?action=UPDATE&amp;creator=factset&amp;DYN_ARGS=TRUE&amp;DOC_NAME=FAT:FQL_AUDITING_CLIENT_TEMPLATE.FAT&amp;display_string=Audit&amp;VAR:KEY=AZKTUFKNKB&amp;VAR:QUERY=RkZfRElWX1lMRChBTk4sNy8yNi8wNiw3LzI2LzA2KQ==&amp;WINDOW=FIRST_POPUP&amp;HEIGHT=450&amp;WIDTH=450&amp;","START_MAXIMIZED=FALSE&amp;VAR:CALENDAR=US&amp;VAR:SYMBOL=RAI&amp;VAR:INDEX=0"}</definedName>
    <definedName name="_2342">#REF!</definedName>
    <definedName name="_2342__FDSAUDITLINK__" localSheetId="0"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2__FDSAUDITLINK__" hidden="1">{"fdsup://directions/FAT Viewer?action=UPDATE&amp;creator=factset&amp;DYN_ARGS=TRUE&amp;DOC_NAME=FAT:FQL_AUDITING_CLIENT_TEMPLATE.FAT&amp;display_string=Audit&amp;VAR:KEY=SFUVUJKPAN&amp;VAR:QUERY=RkZfRElWX1lMRChBTk4sNy8xOS8wNiw3LzE5LzA2KQ==&amp;WINDOW=FIRST_POPUP&amp;HEIGHT=450&amp;WIDTH=450&amp;","START_MAXIMIZED=FALSE&amp;VAR:CALENDAR=US&amp;VAR:SYMBOL=RAI&amp;VAR:INDEX=0"}</definedName>
    <definedName name="_2343__FDSAUDITLINK__" localSheetId="0"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3__FDSAUDITLINK__" hidden="1">{"fdsup://directions/FAT Viewer?action=UPDATE&amp;creator=factset&amp;DYN_ARGS=TRUE&amp;DOC_NAME=FAT:FQL_AUDITING_CLIENT_TEMPLATE.FAT&amp;display_string=Audit&amp;VAR:KEY=GJYZUFGTIR&amp;VAR:QUERY=RkZfRElWX1lMRChBTk4sNy8xMi8wNiw3LzEyLzA2KQ==&amp;WINDOW=FIRST_POPUP&amp;HEIGHT=450&amp;WIDTH=450&amp;","START_MAXIMIZED=FALSE&amp;VAR:CALENDAR=US&amp;VAR:SYMBOL=RAI&amp;VAR:INDEX=0"}</definedName>
    <definedName name="_2344">#REF!</definedName>
    <definedName name="_2344__FDSAUDITLINK__" localSheetId="0"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4__FDSAUDITLINK__" hidden="1">{"fdsup://directions/FAT Viewer?action=UPDATE&amp;creator=factset&amp;DYN_ARGS=TRUE&amp;DOC_NAME=FAT:FQL_AUDITING_CLIENT_TEMPLATE.FAT&amp;display_string=Audit&amp;VAR:KEY=QFODEDWXUJ&amp;VAR:QUERY=RkZfRElWX1lMRChBTk4sNy8wNS8wNiw3LzA1LzA2KQ==&amp;WINDOW=FIRST_POPUP&amp;HEIGHT=450&amp;WIDTH=450&amp;","START_MAXIMIZED=FALSE&amp;VAR:CALENDAR=US&amp;VAR:SYMBOL=RAI&amp;VAR:INDEX=0"}</definedName>
    <definedName name="_2345">#REF!</definedName>
    <definedName name="_2345__FDSAUDITLINK__" localSheetId="0"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5__FDSAUDITLINK__" hidden="1">{"fdsup://directions/FAT Viewer?action=UPDATE&amp;creator=factset&amp;DYN_ARGS=TRUE&amp;DOC_NAME=FAT:FQL_AUDITING_CLIENT_TEMPLATE.FAT&amp;display_string=Audit&amp;VAR:KEY=EFIBSPIHIF&amp;VAR:QUERY=RkZfRElWX1lMRChBTk4sNi8yOC8wNiw2LzI4LzA2KQ==&amp;WINDOW=FIRST_POPUP&amp;HEIGHT=450&amp;WIDTH=450&amp;","START_MAXIMIZED=FALSE&amp;VAR:CALENDAR=US&amp;VAR:SYMBOL=RAI&amp;VAR:INDEX=0"}</definedName>
    <definedName name="_2346__FDSAUDITLINK__" localSheetId="0"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6__FDSAUDITLINK__" hidden="1">{"fdsup://directions/FAT Viewer?action=UPDATE&amp;creator=factset&amp;DYN_ARGS=TRUE&amp;DOC_NAME=FAT:FQL_AUDITING_CLIENT_TEMPLATE.FAT&amp;display_string=Audit&amp;VAR:KEY=YJGFAFSDIX&amp;VAR:QUERY=RkZfRElWX1lMRChBTk4sNi8yMS8wNiw2LzIxLzA2KQ==&amp;WINDOW=FIRST_POPUP&amp;HEIGHT=450&amp;WIDTH=450&amp;","START_MAXIMIZED=FALSE&amp;VAR:CALENDAR=US&amp;VAR:SYMBOL=RAI&amp;VAR:INDEX=0"}</definedName>
    <definedName name="_2347">#REF!</definedName>
    <definedName name="_2347__FDSAUDITLINK__" localSheetId="0"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7__FDSAUDITLINK__" hidden="1">{"fdsup://directions/FAT Viewer?action=UPDATE&amp;creator=factset&amp;DYN_ARGS=TRUE&amp;DOC_NAME=FAT:FQL_AUDITING_CLIENT_TEMPLATE.FAT&amp;display_string=Audit&amp;VAR:KEY=STUHWHKXSD&amp;VAR:QUERY=RkZfRElWX1lMRChBTk4sNi8xNC8wNiw2LzE0LzA2KQ==&amp;WINDOW=FIRST_POPUP&amp;HEIGHT=450&amp;WIDTH=450&amp;","START_MAXIMIZED=FALSE&amp;VAR:CALENDAR=US&amp;VAR:SYMBOL=RAI&amp;VAR:INDEX=0"}</definedName>
    <definedName name="_2348">#REF!</definedName>
    <definedName name="_2348__FDSAUDITLINK__" localSheetId="0"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8__FDSAUDITLINK__" hidden="1">{"fdsup://directions/FAT Viewer?action=UPDATE&amp;creator=factset&amp;DYN_ARGS=TRUE&amp;DOC_NAME=FAT:FQL_AUDITING_CLIENT_TEMPLATE.FAT&amp;display_string=Audit&amp;VAR:KEY=INQTOVIPQL&amp;VAR:QUERY=RkZfRElWX1lMRChBTk4sNi8wNy8wNiw2LzA3LzA2KQ==&amp;WINDOW=FIRST_POPUP&amp;HEIGHT=450&amp;WIDTH=450&amp;","START_MAXIMIZED=FALSE&amp;VAR:CALENDAR=US&amp;VAR:SYMBOL=RAI&amp;VAR:INDEX=0"}</definedName>
    <definedName name="_2349__FDSAUDITLINK__" localSheetId="0"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49__FDSAUDITLINK__" hidden="1">{"fdsup://directions/FAT Viewer?action=UPDATE&amp;creator=factset&amp;DYN_ARGS=TRUE&amp;DOC_NAME=FAT:FQL_AUDITING_CLIENT_TEMPLATE.FAT&amp;display_string=Audit&amp;VAR:KEY=AFAXMBOVMH&amp;VAR:QUERY=RkZfRElWX1lMRChBTk4sNS8zMS8wNiw1LzMxLzA2KQ==&amp;WINDOW=FIRST_POPUP&amp;HEIGHT=450&amp;WIDTH=450&amp;","START_MAXIMIZED=FALSE&amp;VAR:CALENDAR=US&amp;VAR:SYMBOL=RAI&amp;VAR:INDEX=0"}</definedName>
    <definedName name="_235">#REF!</definedName>
    <definedName name="_235__FDSAUDITLINK__" localSheetId="0"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__FDSAUDITLINK__" hidden="1">{"fdsup://directions/FAT Viewer?action=UPDATE&amp;creator=factset&amp;DYN_ARGS=TRUE&amp;DOC_NAME=FAT:FQL_AUDITING_CLIENT_TEMPLATE.FAT&amp;display_string=Audit&amp;VAR:KEY=TEFKDGXEVA&amp;VAR:QUERY=RkZfRElWX1lMRChBTk4sMTAvMDUvMDYsMTAvMDUvMDYp&amp;WINDOW=FIRST_POPUP&amp;HEIGHT=450&amp;WIDTH=450&amp;","START_MAXIMIZED=FALSE&amp;VAR:CALENDAR=US&amp;VAR:SYMBOL=RAI&amp;VAR:INDEX=0"}</definedName>
    <definedName name="_2350__FDSAUDITLINK__" localSheetId="0"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0__FDSAUDITLINK__" hidden="1">{"fdsup://directions/FAT Viewer?action=UPDATE&amp;creator=factset&amp;DYN_ARGS=TRUE&amp;DOC_NAME=FAT:FQL_AUDITING_CLIENT_TEMPLATE.FAT&amp;display_string=Audit&amp;VAR:KEY=EVIPKLYLGJ&amp;VAR:QUERY=RkZfRElWX1lMRChBTk4sNS8yNC8wNiw1LzI0LzA2KQ==&amp;WINDOW=FIRST_POPUP&amp;HEIGHT=450&amp;WIDTH=450&amp;","START_MAXIMIZED=FALSE&amp;VAR:CALENDAR=US&amp;VAR:SYMBOL=RAI&amp;VAR:INDEX=0"}</definedName>
    <definedName name="_2351__FDSAUDITLINK__" localSheetId="0"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1__FDSAUDITLINK__" hidden="1">{"fdsup://directions/FAT Viewer?action=UPDATE&amp;creator=factset&amp;DYN_ARGS=TRUE&amp;DOC_NAME=FAT:FQL_AUDITING_CLIENT_TEMPLATE.FAT&amp;display_string=Audit&amp;VAR:KEY=ANKRINOTCL&amp;VAR:QUERY=RkZfRElWX1lMRChBTk4sNS8xNy8wNiw1LzE3LzA2KQ==&amp;WINDOW=FIRST_POPUP&amp;HEIGHT=450&amp;WIDTH=450&amp;","START_MAXIMIZED=FALSE&amp;VAR:CALENDAR=US&amp;VAR:SYMBOL=RAI&amp;VAR:INDEX=0"}</definedName>
    <definedName name="_2352__FDSAUDITLINK__" localSheetId="0"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2__FDSAUDITLINK__" hidden="1">{"fdsup://directions/FAT Viewer?action=UPDATE&amp;creator=factset&amp;DYN_ARGS=TRUE&amp;DOC_NAME=FAT:FQL_AUDITING_CLIENT_TEMPLATE.FAT&amp;display_string=Audit&amp;VAR:KEY=CJKLYDYJGJ&amp;VAR:QUERY=RkZfRElWX1lMRChBTk4sNS8xMC8wNiw1LzEwLzA2KQ==&amp;WINDOW=FIRST_POPUP&amp;HEIGHT=450&amp;WIDTH=450&amp;","START_MAXIMIZED=FALSE&amp;VAR:CALENDAR=US&amp;VAR:SYMBOL=RAI&amp;VAR:INDEX=0"}</definedName>
    <definedName name="_2353__FDSAUDITLINK__" localSheetId="0"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3__FDSAUDITLINK__" hidden="1">{"fdsup://directions/FAT Viewer?action=UPDATE&amp;creator=factset&amp;DYN_ARGS=TRUE&amp;DOC_NAME=FAT:FQL_AUDITING_CLIENT_TEMPLATE.FAT&amp;display_string=Audit&amp;VAR:KEY=GBYTIHOFIB&amp;VAR:QUERY=RkZfRElWX1lMRChBTk4sNS8wMy8wNiw1LzAzLzA2KQ==&amp;WINDOW=FIRST_POPUP&amp;HEIGHT=450&amp;WIDTH=450&amp;","START_MAXIMIZED=FALSE&amp;VAR:CALENDAR=US&amp;VAR:SYMBOL=RAI&amp;VAR:INDEX=0"}</definedName>
    <definedName name="_2354__FDSAUDITLINK__" localSheetId="0"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4__FDSAUDITLINK__" hidden="1">{"fdsup://directions/FAT Viewer?action=UPDATE&amp;creator=factset&amp;DYN_ARGS=TRUE&amp;DOC_NAME=FAT:FQL_AUDITING_CLIENT_TEMPLATE.FAT&amp;display_string=Audit&amp;VAR:KEY=EJSVKBKBOH&amp;VAR:QUERY=RkZfRElWX1lMRChBTk4sNC8yNi8wNiw0LzI2LzA2KQ==&amp;WINDOW=FIRST_POPUP&amp;HEIGHT=450&amp;WIDTH=450&amp;","START_MAXIMIZED=FALSE&amp;VAR:CALENDAR=US&amp;VAR:SYMBOL=RAI&amp;VAR:INDEX=0"}</definedName>
    <definedName name="_2355__FDSAUDITLINK__" localSheetId="0"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5__FDSAUDITLINK__" hidden="1">{"fdsup://directions/FAT Viewer?action=UPDATE&amp;creator=factset&amp;DYN_ARGS=TRUE&amp;DOC_NAME=FAT:FQL_AUDITING_CLIENT_TEMPLATE.FAT&amp;display_string=Audit&amp;VAR:KEY=CZKJGHIJWX&amp;VAR:QUERY=RkZfRElWX1lMRChBTk4sNC8xOS8wNiw0LzE5LzA2KQ==&amp;WINDOW=FIRST_POPUP&amp;HEIGHT=450&amp;WIDTH=450&amp;","START_MAXIMIZED=FALSE&amp;VAR:CALENDAR=US&amp;VAR:SYMBOL=RAI&amp;VAR:INDEX=0"}</definedName>
    <definedName name="_2356__FDSAUDITLINK__" localSheetId="0"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6__FDSAUDITLINK__" hidden="1">{"fdsup://directions/FAT Viewer?action=UPDATE&amp;creator=factset&amp;DYN_ARGS=TRUE&amp;DOC_NAME=FAT:FQL_AUDITING_CLIENT_TEMPLATE.FAT&amp;display_string=Audit&amp;VAR:KEY=OJWXOHIDKN&amp;VAR:QUERY=RkZfRElWX1lMRChBTk4sNC8xMi8wNiw0LzEyLzA2KQ==&amp;WINDOW=FIRST_POPUP&amp;HEIGHT=450&amp;WIDTH=450&amp;","START_MAXIMIZED=FALSE&amp;VAR:CALENDAR=US&amp;VAR:SYMBOL=RAI&amp;VAR:INDEX=0"}</definedName>
    <definedName name="_2357__FDSAUDITLINK__" localSheetId="0"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7__FDSAUDITLINK__" hidden="1">{"fdsup://directions/FAT Viewer?action=UPDATE&amp;creator=factset&amp;DYN_ARGS=TRUE&amp;DOC_NAME=FAT:FQL_AUDITING_CLIENT_TEMPLATE.FAT&amp;display_string=Audit&amp;VAR:KEY=IBGNIRWPUL&amp;VAR:QUERY=RkZfRElWX1lMRChBTk4sNC8wNS8wNiw0LzA1LzA2KQ==&amp;WINDOW=FIRST_POPUP&amp;HEIGHT=450&amp;WIDTH=450&amp;","START_MAXIMIZED=FALSE&amp;VAR:CALENDAR=US&amp;VAR:SYMBOL=RAI&amp;VAR:INDEX=0"}</definedName>
    <definedName name="_2358__FDSAUDITLINK__" localSheetId="0"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8__FDSAUDITLINK__" hidden="1">{"fdsup://directions/FAT Viewer?action=UPDATE&amp;creator=factset&amp;DYN_ARGS=TRUE&amp;DOC_NAME=FAT:FQL_AUDITING_CLIENT_TEMPLATE.FAT&amp;display_string=Audit&amp;VAR:KEY=QHODUFCRAR&amp;VAR:QUERY=RkZfRElWX1lMRChBTk4sMy8yOS8wNiwzLzI5LzA2KQ==&amp;WINDOW=FIRST_POPUP&amp;HEIGHT=450&amp;WIDTH=450&amp;","START_MAXIMIZED=FALSE&amp;VAR:CALENDAR=US&amp;VAR:SYMBOL=RAI&amp;VAR:INDEX=0"}</definedName>
    <definedName name="_2359__FDSAUDITLINK__" localSheetId="0"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59__FDSAUDITLINK__" hidden="1">{"fdsup://directions/FAT Viewer?action=UPDATE&amp;creator=factset&amp;DYN_ARGS=TRUE&amp;DOC_NAME=FAT:FQL_AUDITING_CLIENT_TEMPLATE.FAT&amp;display_string=Audit&amp;VAR:KEY=ILMNQBKXKB&amp;VAR:QUERY=RkZfRElWX1lMRChBTk4sMy8yMi8wNiwzLzIyLzA2KQ==&amp;WINDOW=FIRST_POPUP&amp;HEIGHT=450&amp;WIDTH=450&amp;","START_MAXIMIZED=FALSE&amp;VAR:CALENDAR=US&amp;VAR:SYMBOL=RAI&amp;VAR:INDEX=0"}</definedName>
    <definedName name="_236">#REF!</definedName>
    <definedName name="_236__FDSAUDITLINK__" localSheetId="0"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__FDSAUDITLINK__" hidden="1">{"fdsup://directions/FAT Viewer?action=UPDATE&amp;creator=factset&amp;DYN_ARGS=TRUE&amp;DOC_NAME=FAT:FQL_AUDITING_CLIENT_TEMPLATE.FAT&amp;display_string=Audit&amp;VAR:KEY=TMZGDIHEPQ&amp;VAR:QUERY=RkZfRElWX1lMRChBTk4sOS8yOC8wNiw5LzI4LzA2KQ==&amp;WINDOW=FIRST_POPUP&amp;HEIGHT=450&amp;WIDTH=450&amp;","START_MAXIMIZED=FALSE&amp;VAR:CALENDAR=US&amp;VAR:SYMBOL=RAI&amp;VAR:INDEX=0"}</definedName>
    <definedName name="_2360__FDSAUDITLINK__" localSheetId="0"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0__FDSAUDITLINK__" hidden="1">{"fdsup://directions/FAT Viewer?action=UPDATE&amp;creator=factset&amp;DYN_ARGS=TRUE&amp;DOC_NAME=FAT:FQL_AUDITING_CLIENT_TEMPLATE.FAT&amp;display_string=Audit&amp;VAR:KEY=OVQNGHMRCL&amp;VAR:QUERY=RkZfRElWX1lMRChBTk4sMy8xNS8wNiwzLzE1LzA2KQ==&amp;WINDOW=FIRST_POPUP&amp;HEIGHT=450&amp;WIDTH=450&amp;","START_MAXIMIZED=FALSE&amp;VAR:CALENDAR=US&amp;VAR:SYMBOL=RAI&amp;VAR:INDEX=0"}</definedName>
    <definedName name="_2361__FDSAUDITLINK__" localSheetId="0"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1__FDSAUDITLINK__" hidden="1">{"fdsup://directions/FAT Viewer?action=UPDATE&amp;creator=factset&amp;DYN_ARGS=TRUE&amp;DOC_NAME=FAT:FQL_AUDITING_CLIENT_TEMPLATE.FAT&amp;display_string=Audit&amp;VAR:KEY=UNOXYPIXQB&amp;VAR:QUERY=RkZfRElWX1lMRChBTk4sMy8wOC8wNiwzLzA4LzA2KQ==&amp;WINDOW=FIRST_POPUP&amp;HEIGHT=450&amp;WIDTH=450&amp;","START_MAXIMIZED=FALSE&amp;VAR:CALENDAR=US&amp;VAR:SYMBOL=RAI&amp;VAR:INDEX=0"}</definedName>
    <definedName name="_2362__FDSAUDITLINK__" localSheetId="0"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2__FDSAUDITLINK__" hidden="1">{"fdsup://directions/FAT Viewer?action=UPDATE&amp;creator=factset&amp;DYN_ARGS=TRUE&amp;DOC_NAME=FAT:FQL_AUDITING_CLIENT_TEMPLATE.FAT&amp;display_string=Audit&amp;VAR:KEY=CTYPUHELSN&amp;VAR:QUERY=RkZfRElWX1lMRChBTk4sMy8wMS8wNiwzLzAxLzA2KQ==&amp;WINDOW=FIRST_POPUP&amp;HEIGHT=450&amp;WIDTH=450&amp;","START_MAXIMIZED=FALSE&amp;VAR:CALENDAR=US&amp;VAR:SYMBOL=RAI&amp;VAR:INDEX=0"}</definedName>
    <definedName name="_2363__FDSAUDITLINK__" localSheetId="0"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3__FDSAUDITLINK__" hidden="1">{"fdsup://directions/FAT Viewer?action=UPDATE&amp;creator=factset&amp;DYN_ARGS=TRUE&amp;DOC_NAME=FAT:FQL_AUDITING_CLIENT_TEMPLATE.FAT&amp;display_string=Audit&amp;VAR:KEY=KTMFUBQXWX&amp;VAR:QUERY=RkZfRElWX1lMRChBTk4sMi8yMi8wNiwyLzIyLzA2KQ==&amp;WINDOW=FIRST_POPUP&amp;HEIGHT=450&amp;WIDTH=450&amp;","START_MAXIMIZED=FALSE&amp;VAR:CALENDAR=US&amp;VAR:SYMBOL=RAI&amp;VAR:INDEX=0"}</definedName>
    <definedName name="_2364__FDSAUDITLINK__" localSheetId="0"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4__FDSAUDITLINK__" hidden="1">{"fdsup://directions/FAT Viewer?action=UPDATE&amp;creator=factset&amp;DYN_ARGS=TRUE&amp;DOC_NAME=FAT:FQL_AUDITING_CLIENT_TEMPLATE.FAT&amp;display_string=Audit&amp;VAR:KEY=YDOPKZATWL&amp;VAR:QUERY=RkZfRElWX1lMRChBTk4sMi8xNS8wNiwyLzE1LzA2KQ==&amp;WINDOW=FIRST_POPUP&amp;HEIGHT=450&amp;WIDTH=450&amp;","START_MAXIMIZED=FALSE&amp;VAR:CALENDAR=US&amp;VAR:SYMBOL=RAI&amp;VAR:INDEX=0"}</definedName>
    <definedName name="_2365__FDSAUDITLINK__" localSheetId="0"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5__FDSAUDITLINK__" hidden="1">{"fdsup://directions/FAT Viewer?action=UPDATE&amp;creator=factset&amp;DYN_ARGS=TRUE&amp;DOC_NAME=FAT:FQL_AUDITING_CLIENT_TEMPLATE.FAT&amp;display_string=Audit&amp;VAR:KEY=SHWVCTSZQV&amp;VAR:QUERY=RkZfRElWX1lMRChBTk4sMi8wOC8wNiwyLzA4LzA2KQ==&amp;WINDOW=FIRST_POPUP&amp;HEIGHT=450&amp;WIDTH=450&amp;","START_MAXIMIZED=FALSE&amp;VAR:CALENDAR=US&amp;VAR:SYMBOL=RAI&amp;VAR:INDEX=0"}</definedName>
    <definedName name="_2366__FDSAUDITLINK__" localSheetId="0"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6__FDSAUDITLINK__" hidden="1">{"fdsup://directions/FAT Viewer?action=UPDATE&amp;creator=factset&amp;DYN_ARGS=TRUE&amp;DOC_NAME=FAT:FQL_AUDITING_CLIENT_TEMPLATE.FAT&amp;display_string=Audit&amp;VAR:KEY=YBABMVYVOP&amp;VAR:QUERY=RkZfRElWX1lMRChBTk4sMi8wMS8wNiwyLzAxLzA2KQ==&amp;WINDOW=FIRST_POPUP&amp;HEIGHT=450&amp;WIDTH=450&amp;","START_MAXIMIZED=FALSE&amp;VAR:CALENDAR=US&amp;VAR:SYMBOL=RAI&amp;VAR:INDEX=0"}</definedName>
    <definedName name="_2367__FDSAUDITLINK__" localSheetId="0"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7__FDSAUDITLINK__" hidden="1">{"fdsup://directions/FAT Viewer?action=UPDATE&amp;creator=factset&amp;DYN_ARGS=TRUE&amp;DOC_NAME=FAT:FQL_AUDITING_CLIENT_TEMPLATE.FAT&amp;display_string=Audit&amp;VAR:KEY=OHOXQLORQT&amp;VAR:QUERY=RkZfRElWX1lMRChBTk4sMS8yNS8wNiwxLzI1LzA2KQ==&amp;WINDOW=FIRST_POPUP&amp;HEIGHT=450&amp;WIDTH=450&amp;","START_MAXIMIZED=FALSE&amp;VAR:CALENDAR=US&amp;VAR:SYMBOL=RAI&amp;VAR:INDEX=0"}</definedName>
    <definedName name="_2368__FDSAUDITLINK__" localSheetId="0"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8__FDSAUDITLINK__" hidden="1">{"fdsup://directions/FAT Viewer?action=UPDATE&amp;creator=factset&amp;DYN_ARGS=TRUE&amp;DOC_NAME=FAT:FQL_AUDITING_CLIENT_TEMPLATE.FAT&amp;display_string=Audit&amp;VAR:KEY=MHSBKVCLYB&amp;VAR:QUERY=RkZfRElWX1lMRChBTk4sMS8xOC8wNiwxLzE4LzA2KQ==&amp;WINDOW=FIRST_POPUP&amp;HEIGHT=450&amp;WIDTH=450&amp;","START_MAXIMIZED=FALSE&amp;VAR:CALENDAR=US&amp;VAR:SYMBOL=RAI&amp;VAR:INDEX=0"}</definedName>
    <definedName name="_2369__FDSAUDITLINK__" localSheetId="0"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69__FDSAUDITLINK__" hidden="1">{"fdsup://directions/FAT Viewer?action=UPDATE&amp;creator=factset&amp;DYN_ARGS=TRUE&amp;DOC_NAME=FAT:FQL_AUDITING_CLIENT_TEMPLATE.FAT&amp;display_string=Audit&amp;VAR:KEY=KFCJMFGFIX&amp;VAR:QUERY=RkZfRElWX1lMRChBTk4sMS8xMS8wNiwxLzExLzA2KQ==&amp;WINDOW=FIRST_POPUP&amp;HEIGHT=450&amp;WIDTH=450&amp;","START_MAXIMIZED=FALSE&amp;VAR:CALENDAR=US&amp;VAR:SYMBOL=RAI&amp;VAR:INDEX=0"}</definedName>
    <definedName name="_237">#REF!</definedName>
    <definedName name="_237__FDSAUDITLINK__" localSheetId="0"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__FDSAUDITLINK__" hidden="1">{"fdsup://directions/FAT Viewer?action=UPDATE&amp;creator=factset&amp;DYN_ARGS=TRUE&amp;DOC_NAME=FAT:FQL_AUDITING_CLIENT_TEMPLATE.FAT&amp;display_string=Audit&amp;VAR:KEY=LEFUDORWPS&amp;VAR:QUERY=RkZfRElWX1lMRChBTk4sOS8yMS8wNiw5LzIxLzA2KQ==&amp;WINDOW=FIRST_POPUP&amp;HEIGHT=450&amp;WIDTH=450&amp;","START_MAXIMIZED=FALSE&amp;VAR:CALENDAR=US&amp;VAR:SYMBOL=RAI&amp;VAR:INDEX=0"}</definedName>
    <definedName name="_2370__FDSAUDITLINK__" localSheetId="0"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0__FDSAUDITLINK__" hidden="1">{"fdsup://directions/FAT Viewer?action=UPDATE&amp;creator=factset&amp;DYN_ARGS=TRUE&amp;DOC_NAME=FAT:FQL_AUDITING_CLIENT_TEMPLATE.FAT&amp;display_string=Audit&amp;VAR:KEY=UZAXWNWXYD&amp;VAR:QUERY=RkZfRElWX1lMRChBTk4sMS8wNC8wNiwxLzA0LzA2KQ==&amp;WINDOW=FIRST_POPUP&amp;HEIGHT=450&amp;WIDTH=450&amp;","START_MAXIMIZED=FALSE&amp;VAR:CALENDAR=US&amp;VAR:SYMBOL=RAI&amp;VAR:INDEX=0"}</definedName>
    <definedName name="_2371__FDSAUDITLINK__" localSheetId="0"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1__FDSAUDITLINK__" hidden="1">{"fdsup://directions/FAT Viewer?action=UPDATE&amp;creator=factset&amp;DYN_ARGS=TRUE&amp;DOC_NAME=FAT:FQL_AUDITING_CLIENT_TEMPLATE.FAT&amp;display_string=Audit&amp;VAR:KEY=OPMNKXGZYT&amp;VAR:QUERY=RkZfRElWX1lMRChBTk4sMTIvMjgvMDUsMTIvMjgvMDUp&amp;WINDOW=FIRST_POPUP&amp;HEIGHT=450&amp;WIDTH=450&amp;","START_MAXIMIZED=FALSE&amp;VAR:CALENDAR=US&amp;VAR:SYMBOL=RAI&amp;VAR:INDEX=0"}</definedName>
    <definedName name="_2372__FDSAUDITLINK__" localSheetId="0"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2__FDSAUDITLINK__" hidden="1">{"fdsup://directions/FAT Viewer?action=UPDATE&amp;creator=factset&amp;DYN_ARGS=TRUE&amp;DOC_NAME=FAT:FQL_AUDITING_CLIENT_TEMPLATE.FAT&amp;display_string=Audit&amp;VAR:KEY=EFGVKBEHIH&amp;VAR:QUERY=RkZfRElWX1lMRChBTk4sMTIvMjEvMDUsMTIvMjEvMDUp&amp;WINDOW=FIRST_POPUP&amp;HEIGHT=450&amp;WIDTH=450&amp;","START_MAXIMIZED=FALSE&amp;VAR:CALENDAR=US&amp;VAR:SYMBOL=RAI&amp;VAR:INDEX=0"}</definedName>
    <definedName name="_2373__FDSAUDITLINK__" localSheetId="0"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3__FDSAUDITLINK__" hidden="1">{"fdsup://directions/FAT Viewer?action=UPDATE&amp;creator=factset&amp;DYN_ARGS=TRUE&amp;DOC_NAME=FAT:FQL_AUDITING_CLIENT_TEMPLATE.FAT&amp;display_string=Audit&amp;VAR:KEY=YLYXEXIVIR&amp;VAR:QUERY=RkZfRElWX1lMRChBTk4sMTIvMTQvMDUsMTIvMTQvMDUp&amp;WINDOW=FIRST_POPUP&amp;HEIGHT=450&amp;WIDTH=450&amp;","START_MAXIMIZED=FALSE&amp;VAR:CALENDAR=US&amp;VAR:SYMBOL=RAI&amp;VAR:INDEX=0"}</definedName>
    <definedName name="_2374__FDSAUDITLINK__" localSheetId="0"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4__FDSAUDITLINK__" hidden="1">{"fdsup://directions/FAT Viewer?action=UPDATE&amp;creator=factset&amp;DYN_ARGS=TRUE&amp;DOC_NAME=FAT:FQL_AUDITING_CLIENT_TEMPLATE.FAT&amp;display_string=Audit&amp;VAR:KEY=MPIJCPKZCB&amp;VAR:QUERY=RkZfRElWX1lMRChBTk4sMTIvMDcvMDUsMTIvMDcvMDUp&amp;WINDOW=FIRST_POPUP&amp;HEIGHT=450&amp;WIDTH=450&amp;","START_MAXIMIZED=FALSE&amp;VAR:CALENDAR=US&amp;VAR:SYMBOL=RAI&amp;VAR:INDEX=0"}</definedName>
    <definedName name="_2375__FDSAUDITLINK__" localSheetId="0"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5__FDSAUDITLINK__" hidden="1">{"fdsup://directions/FAT Viewer?action=UPDATE&amp;creator=factset&amp;DYN_ARGS=TRUE&amp;DOC_NAME=FAT:FQL_AUDITING_CLIENT_TEMPLATE.FAT&amp;display_string=Audit&amp;VAR:KEY=WVYBQNILEJ&amp;VAR:QUERY=RkZfRElWX1lMRChBTk4sMTEvMzAvMDUsMTEvMzAvMDUp&amp;WINDOW=FIRST_POPUP&amp;HEIGHT=450&amp;WIDTH=450&amp;","START_MAXIMIZED=FALSE&amp;VAR:CALENDAR=US&amp;VAR:SYMBOL=RAI&amp;VAR:INDEX=0"}</definedName>
    <definedName name="_2376__FDSAUDITLINK__" localSheetId="0"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6__FDSAUDITLINK__" hidden="1">{"fdsup://directions/FAT Viewer?action=UPDATE&amp;creator=factset&amp;DYN_ARGS=TRUE&amp;DOC_NAME=FAT:FQL_AUDITING_CLIENT_TEMPLATE.FAT&amp;display_string=Audit&amp;VAR:KEY=ODQRWLIROL&amp;VAR:QUERY=RkZfRElWX1lMRChBTk4sMTEvMjMvMDUsMTEvMjMvMDUp&amp;WINDOW=FIRST_POPUP&amp;HEIGHT=450&amp;WIDTH=450&amp;","START_MAXIMIZED=FALSE&amp;VAR:CALENDAR=US&amp;VAR:SYMBOL=RAI&amp;VAR:INDEX=0"}</definedName>
    <definedName name="_2377__FDSAUDITLINK__" localSheetId="0"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7__FDSAUDITLINK__" hidden="1">{"fdsup://directions/FAT Viewer?action=UPDATE&amp;creator=factset&amp;DYN_ARGS=TRUE&amp;DOC_NAME=FAT:FQL_AUDITING_CLIENT_TEMPLATE.FAT&amp;display_string=Audit&amp;VAR:KEY=KTAFQPWRKR&amp;VAR:QUERY=RkZfRElWX1lMRChBTk4sMTEvMTYvMDUsMTEvMTYvMDUp&amp;WINDOW=FIRST_POPUP&amp;HEIGHT=450&amp;WIDTH=450&amp;","START_MAXIMIZED=FALSE&amp;VAR:CALENDAR=US&amp;VAR:SYMBOL=RAI&amp;VAR:INDEX=0"}</definedName>
    <definedName name="_2378__FDSAUDITLINK__" localSheetId="0"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8__FDSAUDITLINK__" hidden="1">{"fdsup://directions/FAT Viewer?action=UPDATE&amp;creator=factset&amp;DYN_ARGS=TRUE&amp;DOC_NAME=FAT:FQL_AUDITING_CLIENT_TEMPLATE.FAT&amp;display_string=Audit&amp;VAR:KEY=ELAZYZAPSF&amp;VAR:QUERY=RkZfRElWX1lMRChBTk4sMTEvMDkvMDUsMTEvMDkvMDUp&amp;WINDOW=FIRST_POPUP&amp;HEIGHT=450&amp;WIDTH=450&amp;","START_MAXIMIZED=FALSE&amp;VAR:CALENDAR=US&amp;VAR:SYMBOL=RAI&amp;VAR:INDEX=0"}</definedName>
    <definedName name="_2379__FDSAUDITLINK__" localSheetId="0"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79__FDSAUDITLINK__" hidden="1">{"fdsup://directions/FAT Viewer?action=UPDATE&amp;creator=factset&amp;DYN_ARGS=TRUE&amp;DOC_NAME=FAT:FQL_AUDITING_CLIENT_TEMPLATE.FAT&amp;display_string=Audit&amp;VAR:KEY=GDUFENWVQJ&amp;VAR:QUERY=RkZfRElWX1lMRChBTk4sMTEvMDIvMDUsMTEvMDIvMDUp&amp;WINDOW=FIRST_POPUP&amp;HEIGHT=450&amp;WIDTH=450&amp;","START_MAXIMIZED=FALSE&amp;VAR:CALENDAR=US&amp;VAR:SYMBOL=RAI&amp;VAR:INDEX=0"}</definedName>
    <definedName name="_238">#REF!</definedName>
    <definedName name="_238__FDSAUDITLINK__" localSheetId="0"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__FDSAUDITLINK__" hidden="1">{"fdsup://directions/FAT Viewer?action=UPDATE&amp;creator=factset&amp;DYN_ARGS=TRUE&amp;DOC_NAME=FAT:FQL_AUDITING_CLIENT_TEMPLATE.FAT&amp;display_string=Audit&amp;VAR:KEY=WPCJCFIVMV&amp;VAR:QUERY=QVZHKEZGX0RJVl9ZTEQoQU5OLDQxMDEyLC0xMEFZKSk=&amp;WINDOW=FIRST_POPUP&amp;HEIGHT=450&amp;WIDTH=450&amp;","START_MAXIMIZED=FALSE&amp;VAR:CALENDAR=US&amp;VAR:SYMBOL=SP50"}</definedName>
    <definedName name="_2380__FDSAUDITLINK__" localSheetId="0"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0__FDSAUDITLINK__" hidden="1">{"fdsup://directions/FAT Viewer?action=UPDATE&amp;creator=factset&amp;DYN_ARGS=TRUE&amp;DOC_NAME=FAT:FQL_AUDITING_CLIENT_TEMPLATE.FAT&amp;display_string=Audit&amp;VAR:KEY=AJCTSJODQJ&amp;VAR:QUERY=RkZfRElWX1lMRChBTk4sMTAvMjYvMDUsMTAvMjYvMDUp&amp;WINDOW=FIRST_POPUP&amp;HEIGHT=450&amp;WIDTH=450&amp;","START_MAXIMIZED=FALSE&amp;VAR:CALENDAR=US&amp;VAR:SYMBOL=RAI&amp;VAR:INDEX=0"}</definedName>
    <definedName name="_2381__FDSAUDITLINK__" localSheetId="0"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1__FDSAUDITLINK__" hidden="1">{"fdsup://directions/FAT Viewer?action=UPDATE&amp;creator=factset&amp;DYN_ARGS=TRUE&amp;DOC_NAME=FAT:FQL_AUDITING_CLIENT_TEMPLATE.FAT&amp;display_string=Audit&amp;VAR:KEY=KHSXINQPUT&amp;VAR:QUERY=RkZfRElWX1lMRChBTk4sMTAvMTkvMDUsMTAvMTkvMDUp&amp;WINDOW=FIRST_POPUP&amp;HEIGHT=450&amp;WIDTH=450&amp;","START_MAXIMIZED=FALSE&amp;VAR:CALENDAR=US&amp;VAR:SYMBOL=RAI&amp;VAR:INDEX=0"}</definedName>
    <definedName name="_2382__FDSAUDITLINK__" localSheetId="0"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2__FDSAUDITLINK__" hidden="1">{"fdsup://directions/FAT Viewer?action=UPDATE&amp;creator=factset&amp;DYN_ARGS=TRUE&amp;DOC_NAME=FAT:FQL_AUDITING_CLIENT_TEMPLATE.FAT&amp;display_string=Audit&amp;VAR:KEY=CZWXEHMPSZ&amp;VAR:QUERY=RkZfRElWX1lMRChBTk4sMTAvMTIvMDUsMTAvMTIvMDUp&amp;WINDOW=FIRST_POPUP&amp;HEIGHT=450&amp;WIDTH=450&amp;","START_MAXIMIZED=FALSE&amp;VAR:CALENDAR=US&amp;VAR:SYMBOL=RAI&amp;VAR:INDEX=0"}</definedName>
    <definedName name="_2383__FDSAUDITLINK__" localSheetId="0"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3__FDSAUDITLINK__" hidden="1">{"fdsup://directions/FAT Viewer?action=UPDATE&amp;creator=factset&amp;DYN_ARGS=TRUE&amp;DOC_NAME=FAT:FQL_AUDITING_CLIENT_TEMPLATE.FAT&amp;display_string=Audit&amp;VAR:KEY=QXKXEHADIF&amp;VAR:QUERY=RkZfRElWX1lMRChBTk4sMTAvMDUvMDUsMTAvMDUvMDUp&amp;WINDOW=FIRST_POPUP&amp;HEIGHT=450&amp;WIDTH=450&amp;","START_MAXIMIZED=FALSE&amp;VAR:CALENDAR=US&amp;VAR:SYMBOL=RAI&amp;VAR:INDEX=0"}</definedName>
    <definedName name="_2384__FDSAUDITLINK__" localSheetId="0"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4__FDSAUDITLINK__" hidden="1">{"fdsup://directions/FAT Viewer?action=UPDATE&amp;creator=factset&amp;DYN_ARGS=TRUE&amp;DOC_NAME=FAT:FQL_AUDITING_CLIENT_TEMPLATE.FAT&amp;display_string=Audit&amp;VAR:KEY=EVCDSJIPMH&amp;VAR:QUERY=RkZfRElWX1lMRChBTk4sOS8yOC8wNSw5LzI4LzA1KQ==&amp;WINDOW=FIRST_POPUP&amp;HEIGHT=450&amp;WIDTH=450&amp;","START_MAXIMIZED=FALSE&amp;VAR:CALENDAR=US&amp;VAR:SYMBOL=RAI&amp;VAR:INDEX=0"}</definedName>
    <definedName name="_2385__FDSAUDITLINK__" localSheetId="0"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5__FDSAUDITLINK__" hidden="1">{"fdsup://directions/FAT Viewer?action=UPDATE&amp;creator=factset&amp;DYN_ARGS=TRUE&amp;DOC_NAME=FAT:FQL_AUDITING_CLIENT_TEMPLATE.FAT&amp;display_string=Audit&amp;VAR:KEY=YDQPMNETEX&amp;VAR:QUERY=RkZfRElWX1lMRChBTk4sOS8yMS8wNSw5LzIxLzA1KQ==&amp;WINDOW=FIRST_POPUP&amp;HEIGHT=450&amp;WIDTH=450&amp;","START_MAXIMIZED=FALSE&amp;VAR:CALENDAR=US&amp;VAR:SYMBOL=RAI&amp;VAR:INDEX=0"}</definedName>
    <definedName name="_2386__FDSAUDITLINK__" localSheetId="0"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6__FDSAUDITLINK__" hidden="1">{"fdsup://directions/FAT Viewer?action=UPDATE&amp;creator=factset&amp;DYN_ARGS=TRUE&amp;DOC_NAME=FAT:FQL_AUDITING_CLIENT_TEMPLATE.FAT&amp;display_string=Audit&amp;VAR:KEY=GPOXMNMRYR&amp;VAR:QUERY=RkZfRElWX1lMRChBTk4sOS8xNC8wNSw5LzE0LzA1KQ==&amp;WINDOW=FIRST_POPUP&amp;HEIGHT=450&amp;WIDTH=450&amp;","START_MAXIMIZED=FALSE&amp;VAR:CALENDAR=US&amp;VAR:SYMBOL=RAI&amp;VAR:INDEX=0"}</definedName>
    <definedName name="_2387__FDSAUDITLINK__" localSheetId="0"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7__FDSAUDITLINK__" hidden="1">{"fdsup://directions/FAT Viewer?action=UPDATE&amp;creator=factset&amp;DYN_ARGS=TRUE&amp;DOC_NAME=FAT:FQL_AUDITING_CLIENT_TEMPLATE.FAT&amp;display_string=Audit&amp;VAR:KEY=IDANKDQXEX&amp;VAR:QUERY=RkZfRElWX1lMRChBTk4sOS8wNy8wNSw5LzA3LzA1KQ==&amp;WINDOW=FIRST_POPUP&amp;HEIGHT=450&amp;WIDTH=450&amp;","START_MAXIMIZED=FALSE&amp;VAR:CALENDAR=US&amp;VAR:SYMBOL=RAI&amp;VAR:INDEX=0"}</definedName>
    <definedName name="_2388__FDSAUDITLINK__" localSheetId="0"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8__FDSAUDITLINK__" hidden="1">{"fdsup://directions/FAT Viewer?action=UPDATE&amp;creator=factset&amp;DYN_ARGS=TRUE&amp;DOC_NAME=FAT:FQL_AUDITING_CLIENT_TEMPLATE.FAT&amp;display_string=Audit&amp;VAR:KEY=ADMXMLEHSJ&amp;VAR:QUERY=RkZfRElWX1lMRChBTk4sOC8zMS8wNSw4LzMxLzA1KQ==&amp;WINDOW=FIRST_POPUP&amp;HEIGHT=450&amp;WIDTH=450&amp;","START_MAXIMIZED=FALSE&amp;VAR:CALENDAR=US&amp;VAR:SYMBOL=RAI&amp;VAR:INDEX=0"}</definedName>
    <definedName name="_2389__FDSAUDITLINK__" localSheetId="0"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89__FDSAUDITLINK__" hidden="1">{"fdsup://directions/FAT Viewer?action=UPDATE&amp;creator=factset&amp;DYN_ARGS=TRUE&amp;DOC_NAME=FAT:FQL_AUDITING_CLIENT_TEMPLATE.FAT&amp;display_string=Audit&amp;VAR:KEY=KLMVWXADOR&amp;VAR:QUERY=RkZfRElWX1lMRChBTk4sOC8yNC8wNSw4LzI0LzA1KQ==&amp;WINDOW=FIRST_POPUP&amp;HEIGHT=450&amp;WIDTH=450&amp;","START_MAXIMIZED=FALSE&amp;VAR:CALENDAR=US&amp;VAR:SYMBOL=RAI&amp;VAR:INDEX=0"}</definedName>
    <definedName name="_239">#REF!</definedName>
    <definedName name="_239__FDSAUDITLINK__" localSheetId="0"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__FDSAUDITLINK__" hidden="1">{"fdsup://directions/FAT Viewer?action=UPDATE&amp;creator=factset&amp;DYN_ARGS=TRUE&amp;DOC_NAME=FAT:FQL_AUDITING_CLIENT_TEMPLATE.FAT&amp;display_string=Audit&amp;VAR:KEY=KZWJWNMRMV&amp;VAR:QUERY=QVZHKEZGX0RJVl9ZTEQoQU5OLDQxMDEyLC01QVkpKQ==&amp;WINDOW=FIRST_POPUP&amp;HEIGHT=450&amp;WIDTH=450&amp;","START_MAXIMIZED=FALSE&amp;VAR:CALENDAR=US&amp;VAR:SYMBOL=SP50"}</definedName>
    <definedName name="_2390__FDSAUDITLINK__" localSheetId="0"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0__FDSAUDITLINK__" hidden="1">{"fdsup://directions/FAT Viewer?action=UPDATE&amp;creator=factset&amp;DYN_ARGS=TRUE&amp;DOC_NAME=FAT:FQL_AUDITING_CLIENT_TEMPLATE.FAT&amp;display_string=Audit&amp;VAR:KEY=YZMTWVAJKB&amp;VAR:QUERY=RkZfRElWX1lMRChBTk4sOC8xNy8wNSw4LzE3LzA1KQ==&amp;WINDOW=FIRST_POPUP&amp;HEIGHT=450&amp;WIDTH=450&amp;","START_MAXIMIZED=FALSE&amp;VAR:CALENDAR=US&amp;VAR:SYMBOL=RAI&amp;VAR:INDEX=0"}</definedName>
    <definedName name="_2391__FDSAUDITLINK__" localSheetId="0"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1__FDSAUDITLINK__" hidden="1">{"fdsup://directions/FAT Viewer?action=UPDATE&amp;creator=factset&amp;DYN_ARGS=TRUE&amp;DOC_NAME=FAT:FQL_AUDITING_CLIENT_TEMPLATE.FAT&amp;display_string=Audit&amp;VAR:KEY=YZOLUBWPID&amp;VAR:QUERY=RkZfRElWX1lMRChBTk4sOC8xMC8wNSw4LzEwLzA1KQ==&amp;WINDOW=FIRST_POPUP&amp;HEIGHT=450&amp;WIDTH=450&amp;","START_MAXIMIZED=FALSE&amp;VAR:CALENDAR=US&amp;VAR:SYMBOL=RAI&amp;VAR:INDEX=0"}</definedName>
    <definedName name="_2392__FDSAUDITLINK__" localSheetId="0"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2__FDSAUDITLINK__" hidden="1">{"fdsup://directions/FAT Viewer?action=UPDATE&amp;creator=factset&amp;DYN_ARGS=TRUE&amp;DOC_NAME=FAT:FQL_AUDITING_CLIENT_TEMPLATE.FAT&amp;display_string=Audit&amp;VAR:KEY=WFYTGXYPYP&amp;VAR:QUERY=RkZfRElWX1lMRChBTk4sOC8wMy8wNSw4LzAzLzA1KQ==&amp;WINDOW=FIRST_POPUP&amp;HEIGHT=450&amp;WIDTH=450&amp;","START_MAXIMIZED=FALSE&amp;VAR:CALENDAR=US&amp;VAR:SYMBOL=RAI&amp;VAR:INDEX=0"}</definedName>
    <definedName name="_2393__FDSAUDITLINK__" localSheetId="0"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3__FDSAUDITLINK__" hidden="1">{"fdsup://directions/FAT Viewer?action=UPDATE&amp;creator=factset&amp;DYN_ARGS=TRUE&amp;DOC_NAME=FAT:FQL_AUDITING_CLIENT_TEMPLATE.FAT&amp;display_string=Audit&amp;VAR:KEY=OLMZEJSHUF&amp;VAR:QUERY=RkZfRElWX1lMRChBTk4sNy8yNy8wNSw3LzI3LzA1KQ==&amp;WINDOW=FIRST_POPUP&amp;HEIGHT=450&amp;WIDTH=450&amp;","START_MAXIMIZED=FALSE&amp;VAR:CALENDAR=US&amp;VAR:SYMBOL=RAI&amp;VAR:INDEX=0"}</definedName>
    <definedName name="_2394__FDSAUDITLINK__" localSheetId="0"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4__FDSAUDITLINK__" hidden="1">{"fdsup://directions/FAT Viewer?action=UPDATE&amp;creator=factset&amp;DYN_ARGS=TRUE&amp;DOC_NAME=FAT:FQL_AUDITING_CLIENT_TEMPLATE.FAT&amp;display_string=Audit&amp;VAR:KEY=MNUJEHOJQP&amp;VAR:QUERY=RkZfRElWX1lMRChBTk4sNy8yMC8wNSw3LzIwLzA1KQ==&amp;WINDOW=FIRST_POPUP&amp;HEIGHT=450&amp;WIDTH=450&amp;","START_MAXIMIZED=FALSE&amp;VAR:CALENDAR=US&amp;VAR:SYMBOL=RAI&amp;VAR:INDEX=0"}</definedName>
    <definedName name="_2395__FDSAUDITLINK__" localSheetId="0"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5__FDSAUDITLINK__" hidden="1">{"fdsup://directions/FAT Viewer?action=UPDATE&amp;creator=factset&amp;DYN_ARGS=TRUE&amp;DOC_NAME=FAT:FQL_AUDITING_CLIENT_TEMPLATE.FAT&amp;display_string=Audit&amp;VAR:KEY=GBOTMDGBMN&amp;VAR:QUERY=RkZfRElWX1lMRChBTk4sNy8xMy8wNSw3LzEzLzA1KQ==&amp;WINDOW=FIRST_POPUP&amp;HEIGHT=450&amp;WIDTH=450&amp;","START_MAXIMIZED=FALSE&amp;VAR:CALENDAR=US&amp;VAR:SYMBOL=RAI&amp;VAR:INDEX=0"}</definedName>
    <definedName name="_2396__FDSAUDITLINK__" localSheetId="0"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6__FDSAUDITLINK__" hidden="1">{"fdsup://directions/FAT Viewer?action=UPDATE&amp;creator=factset&amp;DYN_ARGS=TRUE&amp;DOC_NAME=FAT:FQL_AUDITING_CLIENT_TEMPLATE.FAT&amp;display_string=Audit&amp;VAR:KEY=KBCNGHAXWV&amp;VAR:QUERY=RkZfRElWX1lMRChBTk4sNy8wNi8wNSw3LzA2LzA1KQ==&amp;WINDOW=FIRST_POPUP&amp;HEIGHT=450&amp;WIDTH=450&amp;","START_MAXIMIZED=FALSE&amp;VAR:CALENDAR=US&amp;VAR:SYMBOL=RAI&amp;VAR:INDEX=0"}</definedName>
    <definedName name="_2397__FDSAUDITLINK__" localSheetId="0"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7__FDSAUDITLINK__" hidden="1">{"fdsup://directions/FAT Viewer?action=UPDATE&amp;creator=factset&amp;DYN_ARGS=TRUE&amp;DOC_NAME=FAT:FQL_AUDITING_CLIENT_TEMPLATE.FAT&amp;display_string=Audit&amp;VAR:KEY=KDQJETIPMF&amp;VAR:QUERY=RkZfRElWX1lMRChBTk4sNi8yOS8wNSw2LzI5LzA1KQ==&amp;WINDOW=FIRST_POPUP&amp;HEIGHT=450&amp;WIDTH=450&amp;","START_MAXIMIZED=FALSE&amp;VAR:CALENDAR=US&amp;VAR:SYMBOL=RAI&amp;VAR:INDEX=0"}</definedName>
    <definedName name="_2398__FDSAUDITLINK__" localSheetId="0"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8__FDSAUDITLINK__" hidden="1">{"fdsup://directions/FAT Viewer?action=UPDATE&amp;creator=factset&amp;DYN_ARGS=TRUE&amp;DOC_NAME=FAT:FQL_AUDITING_CLIENT_TEMPLATE.FAT&amp;display_string=Audit&amp;VAR:KEY=IRQNGFKHMR&amp;VAR:QUERY=RkZfRElWX1lMRChBTk4sNi8yMi8wNSw2LzIyLzA1KQ==&amp;WINDOW=FIRST_POPUP&amp;HEIGHT=450&amp;WIDTH=450&amp;","START_MAXIMIZED=FALSE&amp;VAR:CALENDAR=US&amp;VAR:SYMBOL=RAI&amp;VAR:INDEX=0"}</definedName>
    <definedName name="_2399__FDSAUDITLINK__" localSheetId="0"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99__FDSAUDITLINK__" hidden="1">{"fdsup://directions/FAT Viewer?action=UPDATE&amp;creator=factset&amp;DYN_ARGS=TRUE&amp;DOC_NAME=FAT:FQL_AUDITING_CLIENT_TEMPLATE.FAT&amp;display_string=Audit&amp;VAR:KEY=SDYJCNCNWZ&amp;VAR:QUERY=RkZfRElWX1lMRChBTk4sNi8xNS8wNSw2LzE1LzA1KQ==&amp;WINDOW=FIRST_POPUP&amp;HEIGHT=450&amp;WIDTH=450&amp;","START_MAXIMIZED=FALSE&amp;VAR:CALENDAR=US&amp;VAR:SYMBOL=RAI&amp;VAR:INDEX=0"}</definedName>
    <definedName name="_23s3_" hidden="1">{#N/A,#N/A,FALSE,"UNIT";#N/A,#N/A,FALSE,"UNIT";#N/A,#N/A,FALSE,"계정"}</definedName>
    <definedName name="_24">#REF!</definedName>
    <definedName name="_24_????1_3">#REF!</definedName>
    <definedName name="_24_????8_3">#REF!</definedName>
    <definedName name="_24_________P_L">#REF!</definedName>
    <definedName name="_24__123Graph_AGROWTH_REVS_A" hidden="1">#REF!</definedName>
    <definedName name="_24__123Graph_ASUPPLIES_BY_B_U">#REF!</definedName>
    <definedName name="_24__123Graph_AWAGES_BY_B_U">#REF!</definedName>
    <definedName name="_24__123Graph_BChart_7J">#REF!</definedName>
    <definedName name="_24__123Graph_BGROSS_MARGINS" hidden="1">#REF!</definedName>
    <definedName name="_24__123Graph_BQRE_S_BY_CO.">#REF!</definedName>
    <definedName name="_24__123Graph_BTAX_CREDIT">#REF!</definedName>
    <definedName name="_24__123Graph_BWAGES_BY_B_U">#REF!</definedName>
    <definedName name="_24__123Graph_CQRE_S_BY_CO.">#REF!</definedName>
    <definedName name="_24__123Graph_DCONTRACT_BY_B_U">#REF!</definedName>
    <definedName name="_24__123Graph_DQRE_S_BY_CO.">#REF!</definedName>
    <definedName name="_24__123Graph_DWAGES_BY_B_U" hidden="1">#REF!</definedName>
    <definedName name="_24__123Graph_ECONTRACT_BY_B_U">#REF!</definedName>
    <definedName name="_24__123Graph_EQRE_S_BY_CO.">#REF!</definedName>
    <definedName name="_24__123Graph_ESUPPLIES_BY_B_U">#REF!</definedName>
    <definedName name="_24__FDSAUDITLINK__" localSheetId="0"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_FDSAUDITLINK__" hidden="1">{"fdsup://directions/FAT Viewer?action=UPDATE&amp;creator=factset&amp;DYN_ARGS=TRUE&amp;DOC_NAME=FAT:FQL_AUDITING_CLIENT_TEMPLATE.FAT&amp;display_string=Audit&amp;VAR:KEY=MPKHAJELOB&amp;VAR:QUERY=Q1NGX0RJVl9ZTEQoUVRSX1IsMy8zMS8yMDA1KQ==&amp;WINDOW=FIRST_POPUP&amp;HEIGHT=450&amp;WIDTH=450&amp;STAR","T_MAXIMIZED=FALSE&amp;VAR:CALENDAR=US&amp;VAR:SYMBOL=MO&amp;VAR:INDEX=0"}</definedName>
    <definedName name="_24_0_Table2_" hidden="1">#REF!</definedName>
    <definedName name="_24_01_2000">#REF!</definedName>
    <definedName name="_24_04_1998">#REF!</definedName>
    <definedName name="_24_09_1997">#REF!</definedName>
    <definedName name="_240">#REF!</definedName>
    <definedName name="_240__FDSAUDITLINK__" localSheetId="0"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__FDSAUDITLINK__" hidden="1">{"fdsup://directions/FAT Viewer?action=UPDATE&amp;creator=factset&amp;DYN_ARGS=TRUE&amp;DOC_NAME=FAT:FQL_AUDITING_CLIENT_TEMPLATE.FAT&amp;display_string=Audit&amp;VAR:KEY=JAZYJWLQZY&amp;VAR:QUERY=RkZfRElWX1lMRChBTk4sOC8zMS8wNiw4LzMxLzA2KQ==&amp;WINDOW=FIRST_POPUP&amp;HEIGHT=450&amp;WIDTH=450&amp;","START_MAXIMIZED=FALSE&amp;VAR:CALENDAR=US&amp;VAR:SYMBOL=RAI&amp;VAR:INDEX=0"}</definedName>
    <definedName name="_2400__FDSAUDITLINK__" localSheetId="0"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0__FDSAUDITLINK__" hidden="1">{"fdsup://directions/FAT Viewer?action=UPDATE&amp;creator=factset&amp;DYN_ARGS=TRUE&amp;DOC_NAME=FAT:FQL_AUDITING_CLIENT_TEMPLATE.FAT&amp;display_string=Audit&amp;VAR:KEY=GBETUVEFUR&amp;VAR:QUERY=RkZfRElWX1lMRChBTk4sNi8wOC8wNSw2LzA4LzA1KQ==&amp;WINDOW=FIRST_POPUP&amp;HEIGHT=450&amp;WIDTH=450&amp;","START_MAXIMIZED=FALSE&amp;VAR:CALENDAR=US&amp;VAR:SYMBOL=RAI&amp;VAR:INDEX=0"}</definedName>
    <definedName name="_2401__FDSAUDITLINK__" localSheetId="0"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1__FDSAUDITLINK__" hidden="1">{"fdsup://directions/FAT Viewer?action=UPDATE&amp;creator=factset&amp;DYN_ARGS=TRUE&amp;DOC_NAME=FAT:FQL_AUDITING_CLIENT_TEMPLATE.FAT&amp;display_string=Audit&amp;VAR:KEY=MPULKREXMP&amp;VAR:QUERY=RkZfRElWX1lMRChBTk4sNi8wMS8wNSw2LzAxLzA1KQ==&amp;WINDOW=FIRST_POPUP&amp;HEIGHT=450&amp;WIDTH=450&amp;","START_MAXIMIZED=FALSE&amp;VAR:CALENDAR=US&amp;VAR:SYMBOL=RAI&amp;VAR:INDEX=0"}</definedName>
    <definedName name="_2402__FDSAUDITLINK__" localSheetId="0"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2__FDSAUDITLINK__" hidden="1">{"fdsup://directions/FAT Viewer?action=UPDATE&amp;creator=factset&amp;DYN_ARGS=TRUE&amp;DOC_NAME=FAT:FQL_AUDITING_CLIENT_TEMPLATE.FAT&amp;display_string=Audit&amp;VAR:KEY=IDIPAPIRCR&amp;VAR:QUERY=RkZfRElWX1lMRChBTk4sNS8yNS8wNSw1LzI1LzA1KQ==&amp;WINDOW=FIRST_POPUP&amp;HEIGHT=450&amp;WIDTH=450&amp;","START_MAXIMIZED=FALSE&amp;VAR:CALENDAR=US&amp;VAR:SYMBOL=RAI&amp;VAR:INDEX=0"}</definedName>
    <definedName name="_2403__FDSAUDITLINK__" localSheetId="0"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3__FDSAUDITLINK__" hidden="1">{"fdsup://directions/FAT Viewer?action=UPDATE&amp;creator=factset&amp;DYN_ARGS=TRUE&amp;DOC_NAME=FAT:FQL_AUDITING_CLIENT_TEMPLATE.FAT&amp;display_string=Audit&amp;VAR:KEY=ELYFOZOXGN&amp;VAR:QUERY=RkZfRElWX1lMRChBTk4sNS8xOC8wNSw1LzE4LzA1KQ==&amp;WINDOW=FIRST_POPUP&amp;HEIGHT=450&amp;WIDTH=450&amp;","START_MAXIMIZED=FALSE&amp;VAR:CALENDAR=US&amp;VAR:SYMBOL=RAI&amp;VAR:INDEX=0"}</definedName>
    <definedName name="_2404__FDSAUDITLINK__" localSheetId="0"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4__FDSAUDITLINK__" hidden="1">{"fdsup://directions/FAT Viewer?action=UPDATE&amp;creator=factset&amp;DYN_ARGS=TRUE&amp;DOC_NAME=FAT:FQL_AUDITING_CLIENT_TEMPLATE.FAT&amp;display_string=Audit&amp;VAR:KEY=AJYXIFWNGJ&amp;VAR:QUERY=RkZfRElWX1lMRChBTk4sNS8xMS8wNSw1LzExLzA1KQ==&amp;WINDOW=FIRST_POPUP&amp;HEIGHT=450&amp;WIDTH=450&amp;","START_MAXIMIZED=FALSE&amp;VAR:CALENDAR=US&amp;VAR:SYMBOL=RAI&amp;VAR:INDEX=0"}</definedName>
    <definedName name="_2405__FDSAUDITLINK__" localSheetId="0"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5__FDSAUDITLINK__" hidden="1">{"fdsup://directions/FAT Viewer?action=UPDATE&amp;creator=factset&amp;DYN_ARGS=TRUE&amp;DOC_NAME=FAT:FQL_AUDITING_CLIENT_TEMPLATE.FAT&amp;display_string=Audit&amp;VAR:KEY=OHCVUHOLAN&amp;VAR:QUERY=RkZfRElWX1lMRChBTk4sNS8wNC8wNSw1LzA0LzA1KQ==&amp;WINDOW=FIRST_POPUP&amp;HEIGHT=450&amp;WIDTH=450&amp;","START_MAXIMIZED=FALSE&amp;VAR:CALENDAR=US&amp;VAR:SYMBOL=RAI&amp;VAR:INDEX=0"}</definedName>
    <definedName name="_2406__FDSAUDITLINK__" localSheetId="0"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6__FDSAUDITLINK__" hidden="1">{"fdsup://directions/FAT Viewer?action=UPDATE&amp;creator=factset&amp;DYN_ARGS=TRUE&amp;DOC_NAME=FAT:FQL_AUDITING_CLIENT_TEMPLATE.FAT&amp;display_string=Audit&amp;VAR:KEY=QTAXSHUJAT&amp;VAR:QUERY=RkZfRElWX1lMRChBTk4sNC8yNy8wNSw0LzI3LzA1KQ==&amp;WINDOW=FIRST_POPUP&amp;HEIGHT=450&amp;WIDTH=450&amp;","START_MAXIMIZED=FALSE&amp;VAR:CALENDAR=US&amp;VAR:SYMBOL=RAI&amp;VAR:INDEX=0"}</definedName>
    <definedName name="_2407__FDSAUDITLINK__" localSheetId="0"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7__FDSAUDITLINK__" hidden="1">{"fdsup://directions/FAT Viewer?action=UPDATE&amp;creator=factset&amp;DYN_ARGS=TRUE&amp;DOC_NAME=FAT:FQL_AUDITING_CLIENT_TEMPLATE.FAT&amp;display_string=Audit&amp;VAR:KEY=IRAJITOLKD&amp;VAR:QUERY=RkZfRElWX1lMRChBTk4sNC8yMC8wNSw0LzIwLzA1KQ==&amp;WINDOW=FIRST_POPUP&amp;HEIGHT=450&amp;WIDTH=450&amp;","START_MAXIMIZED=FALSE&amp;VAR:CALENDAR=US&amp;VAR:SYMBOL=RAI&amp;VAR:INDEX=0"}</definedName>
    <definedName name="_2408__FDSAUDITLINK__" localSheetId="0"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8__FDSAUDITLINK__" hidden="1">{"fdsup://directions/FAT Viewer?action=UPDATE&amp;creator=factset&amp;DYN_ARGS=TRUE&amp;DOC_NAME=FAT:FQL_AUDITING_CLIENT_TEMPLATE.FAT&amp;display_string=Audit&amp;VAR:KEY=EFYPQPQPGB&amp;VAR:QUERY=RkZfRElWX1lMRChBTk4sNC8xMy8wNSw0LzEzLzA1KQ==&amp;WINDOW=FIRST_POPUP&amp;HEIGHT=450&amp;WIDTH=450&amp;","START_MAXIMIZED=FALSE&amp;VAR:CALENDAR=US&amp;VAR:SYMBOL=RAI&amp;VAR:INDEX=0"}</definedName>
    <definedName name="_2409__FDSAUDITLINK__" localSheetId="0"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09__FDSAUDITLINK__" hidden="1">{"fdsup://directions/FAT Viewer?action=UPDATE&amp;creator=factset&amp;DYN_ARGS=TRUE&amp;DOC_NAME=FAT:FQL_AUDITING_CLIENT_TEMPLATE.FAT&amp;display_string=Audit&amp;VAR:KEY=CHUDQDYJCT&amp;VAR:QUERY=RkZfRElWX1lMRChBTk4sNC8wNi8wNSw0LzA2LzA1KQ==&amp;WINDOW=FIRST_POPUP&amp;HEIGHT=450&amp;WIDTH=450&amp;","START_MAXIMIZED=FALSE&amp;VAR:CALENDAR=US&amp;VAR:SYMBOL=RAI&amp;VAR:INDEX=0"}</definedName>
    <definedName name="_241">#REF!</definedName>
    <definedName name="_241__FDSAUDITLINK__" localSheetId="0"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__FDSAUDITLINK__" hidden="1">{"fdsup://directions/FAT Viewer?action=UPDATE&amp;creator=factset&amp;DYN_ARGS=TRUE&amp;DOC_NAME=FAT:FQL_AUDITING_CLIENT_TEMPLATE.FAT&amp;display_string=Audit&amp;VAR:KEY=JQTITENMPW&amp;VAR:QUERY=RkZfRElWX1lMRChBTk4sOC8yNC8wNiw4LzI0LzA2KQ==&amp;WINDOW=FIRST_POPUP&amp;HEIGHT=450&amp;WIDTH=450&amp;","START_MAXIMIZED=FALSE&amp;VAR:CALENDAR=US&amp;VAR:SYMBOL=RAI&amp;VAR:INDEX=0"}</definedName>
    <definedName name="_2410__FDSAUDITLINK__" localSheetId="0"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0__FDSAUDITLINK__" hidden="1">{"fdsup://directions/FAT Viewer?action=UPDATE&amp;creator=factset&amp;DYN_ARGS=TRUE&amp;DOC_NAME=FAT:FQL_AUDITING_CLIENT_TEMPLATE.FAT&amp;display_string=Audit&amp;VAR:KEY=IRADSFKLGR&amp;VAR:QUERY=RkZfRElWX1lMRChBTk4sMy8zMC8wNSwzLzMwLzA1KQ==&amp;WINDOW=FIRST_POPUP&amp;HEIGHT=450&amp;WIDTH=450&amp;","START_MAXIMIZED=FALSE&amp;VAR:CALENDAR=US&amp;VAR:SYMBOL=RAI&amp;VAR:INDEX=0"}</definedName>
    <definedName name="_2411__FDSAUDITLINK__" localSheetId="0"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1__FDSAUDITLINK__" hidden="1">{"fdsup://directions/FAT Viewer?action=UPDATE&amp;creator=factset&amp;DYN_ARGS=TRUE&amp;DOC_NAME=FAT:FQL_AUDITING_CLIENT_TEMPLATE.FAT&amp;display_string=Audit&amp;VAR:KEY=YDYDQHSNMV&amp;VAR:QUERY=RkZfRElWX1lMRChBTk4sMy8yMy8wNSwzLzIzLzA1KQ==&amp;WINDOW=FIRST_POPUP&amp;HEIGHT=450&amp;WIDTH=450&amp;","START_MAXIMIZED=FALSE&amp;VAR:CALENDAR=US&amp;VAR:SYMBOL=RAI&amp;VAR:INDEX=0"}</definedName>
    <definedName name="_2412__FDSAUDITLINK__" localSheetId="0"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2__FDSAUDITLINK__" hidden="1">{"fdsup://directions/FAT Viewer?action=UPDATE&amp;creator=factset&amp;DYN_ARGS=TRUE&amp;DOC_NAME=FAT:FQL_AUDITING_CLIENT_TEMPLATE.FAT&amp;display_string=Audit&amp;VAR:KEY=EBWVKRGPYJ&amp;VAR:QUERY=RkZfRElWX1lMRChBTk4sMy8xNi8wNSwzLzE2LzA1KQ==&amp;WINDOW=FIRST_POPUP&amp;HEIGHT=450&amp;WIDTH=450&amp;","START_MAXIMIZED=FALSE&amp;VAR:CALENDAR=US&amp;VAR:SYMBOL=RAI&amp;VAR:INDEX=0"}</definedName>
    <definedName name="_2413__FDSAUDITLINK__" localSheetId="0"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3__FDSAUDITLINK__" hidden="1">{"fdsup://directions/FAT Viewer?action=UPDATE&amp;creator=factset&amp;DYN_ARGS=TRUE&amp;DOC_NAME=FAT:FQL_AUDITING_CLIENT_TEMPLATE.FAT&amp;display_string=Audit&amp;VAR:KEY=EJUZGZCBOZ&amp;VAR:QUERY=RkZfRElWX1lMRChBTk4sMy8wOS8wNSwzLzA5LzA1KQ==&amp;WINDOW=FIRST_POPUP&amp;HEIGHT=450&amp;WIDTH=450&amp;","START_MAXIMIZED=FALSE&amp;VAR:CALENDAR=US&amp;VAR:SYMBOL=RAI&amp;VAR:INDEX=0"}</definedName>
    <definedName name="_2414__FDSAUDITLINK__" localSheetId="0"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4__FDSAUDITLINK__" hidden="1">{"fdsup://directions/FAT Viewer?action=UPDATE&amp;creator=factset&amp;DYN_ARGS=TRUE&amp;DOC_NAME=FAT:FQL_AUDITING_CLIENT_TEMPLATE.FAT&amp;display_string=Audit&amp;VAR:KEY=GXSTGZQNKP&amp;VAR:QUERY=RkZfRElWX1lMRChBTk4sMy8wMi8wNSwzLzAyLzA1KQ==&amp;WINDOW=FIRST_POPUP&amp;HEIGHT=450&amp;WIDTH=450&amp;","START_MAXIMIZED=FALSE&amp;VAR:CALENDAR=US&amp;VAR:SYMBOL=RAI&amp;VAR:INDEX=0"}</definedName>
    <definedName name="_2415__FDSAUDITLINK__" localSheetId="0"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5__FDSAUDITLINK__" hidden="1">{"fdsup://directions/FAT Viewer?action=UPDATE&amp;creator=factset&amp;DYN_ARGS=TRUE&amp;DOC_NAME=FAT:FQL_AUDITING_CLIENT_TEMPLATE.FAT&amp;display_string=Audit&amp;VAR:KEY=WTSHQFWNSR&amp;VAR:QUERY=RkZfRElWX1lMRChBTk4sMi8yMy8wNSwyLzIzLzA1KQ==&amp;WINDOW=FIRST_POPUP&amp;HEIGHT=450&amp;WIDTH=450&amp;","START_MAXIMIZED=FALSE&amp;VAR:CALENDAR=US&amp;VAR:SYMBOL=RAI&amp;VAR:INDEX=0"}</definedName>
    <definedName name="_2416__FDSAUDITLINK__" localSheetId="0"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6__FDSAUDITLINK__" hidden="1">{"fdsup://directions/FAT Viewer?action=UPDATE&amp;creator=factset&amp;DYN_ARGS=TRUE&amp;DOC_NAME=FAT:FQL_AUDITING_CLIENT_TEMPLATE.FAT&amp;display_string=Audit&amp;VAR:KEY=EHIPEXUXCD&amp;VAR:QUERY=RkZfRElWX1lMRChBTk4sMi8xNi8wNSwyLzE2LzA1KQ==&amp;WINDOW=FIRST_POPUP&amp;HEIGHT=450&amp;WIDTH=450&amp;","START_MAXIMIZED=FALSE&amp;VAR:CALENDAR=US&amp;VAR:SYMBOL=RAI&amp;VAR:INDEX=0"}</definedName>
    <definedName name="_2417__FDSAUDITLINK__" localSheetId="0"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7__FDSAUDITLINK__" hidden="1">{"fdsup://directions/FAT Viewer?action=UPDATE&amp;creator=factset&amp;DYN_ARGS=TRUE&amp;DOC_NAME=FAT:FQL_AUDITING_CLIENT_TEMPLATE.FAT&amp;display_string=Audit&amp;VAR:KEY=YBWPKPSXGL&amp;VAR:QUERY=RkZfRElWX1lMRChBTk4sMi8wOS8wNSwyLzA5LzA1KQ==&amp;WINDOW=FIRST_POPUP&amp;HEIGHT=450&amp;WIDTH=450&amp;","START_MAXIMIZED=FALSE&amp;VAR:CALENDAR=US&amp;VAR:SYMBOL=RAI&amp;VAR:INDEX=0"}</definedName>
    <definedName name="_2418__FDSAUDITLINK__" localSheetId="0"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8__FDSAUDITLINK__" hidden="1">{"fdsup://directions/FAT Viewer?action=UPDATE&amp;creator=factset&amp;DYN_ARGS=TRUE&amp;DOC_NAME=FAT:FQL_AUDITING_CLIENT_TEMPLATE.FAT&amp;display_string=Audit&amp;VAR:KEY=SBYZAJQZYP&amp;VAR:QUERY=RkZfRElWX1lMRChBTk4sMi8wMi8wNSwyLzAyLzA1KQ==&amp;WINDOW=FIRST_POPUP&amp;HEIGHT=450&amp;WIDTH=450&amp;","START_MAXIMIZED=FALSE&amp;VAR:CALENDAR=US&amp;VAR:SYMBOL=RAI&amp;VAR:INDEX=0"}</definedName>
    <definedName name="_2419__FDSAUDITLINK__" localSheetId="0"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19__FDSAUDITLINK__" hidden="1">{"fdsup://directions/FAT Viewer?action=UPDATE&amp;creator=factset&amp;DYN_ARGS=TRUE&amp;DOC_NAME=FAT:FQL_AUDITING_CLIENT_TEMPLATE.FAT&amp;display_string=Audit&amp;VAR:KEY=QTOPIFYHOD&amp;VAR:QUERY=RkZfRElWX1lMRChBTk4sMS8yNi8wNSwxLzI2LzA1KQ==&amp;WINDOW=FIRST_POPUP&amp;HEIGHT=450&amp;WIDTH=450&amp;","START_MAXIMIZED=FALSE&amp;VAR:CALENDAR=US&amp;VAR:SYMBOL=RAI&amp;VAR:INDEX=0"}</definedName>
    <definedName name="_242">#REF!</definedName>
    <definedName name="_242__FDSAUDITLINK__" localSheetId="0"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__FDSAUDITLINK__" hidden="1">{"fdsup://directions/FAT Viewer?action=UPDATE&amp;creator=factset&amp;DYN_ARGS=TRUE&amp;DOC_NAME=FAT:FQL_AUDITING_CLIENT_TEMPLATE.FAT&amp;display_string=Audit&amp;VAR:KEY=DWDOJWVMFS&amp;VAR:QUERY=RkZfRElWX1lMRChBTk4sOC8xNy8wNiw4LzE3LzA2KQ==&amp;WINDOW=FIRST_POPUP&amp;HEIGHT=450&amp;WIDTH=450&amp;","START_MAXIMIZED=FALSE&amp;VAR:CALENDAR=US&amp;VAR:SYMBOL=RAI&amp;VAR:INDEX=0"}</definedName>
    <definedName name="_2420__FDSAUDITLINK__" localSheetId="0"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0__FDSAUDITLINK__" hidden="1">{"fdsup://directions/FAT Viewer?action=UPDATE&amp;creator=factset&amp;DYN_ARGS=TRUE&amp;DOC_NAME=FAT:FQL_AUDITING_CLIENT_TEMPLATE.FAT&amp;display_string=Audit&amp;VAR:KEY=QJOZOJKRWB&amp;VAR:QUERY=RkZfRElWX1lMRChBTk4sMS8xOS8wNSwxLzE5LzA1KQ==&amp;WINDOW=FIRST_POPUP&amp;HEIGHT=450&amp;WIDTH=450&amp;","START_MAXIMIZED=FALSE&amp;VAR:CALENDAR=US&amp;VAR:SYMBOL=RAI&amp;VAR:INDEX=0"}</definedName>
    <definedName name="_2421__FDSAUDITLINK__" localSheetId="0"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1__FDSAUDITLINK__" hidden="1">{"fdsup://directions/FAT Viewer?action=UPDATE&amp;creator=factset&amp;DYN_ARGS=TRUE&amp;DOC_NAME=FAT:FQL_AUDITING_CLIENT_TEMPLATE.FAT&amp;display_string=Audit&amp;VAR:KEY=OBWZWTCXQZ&amp;VAR:QUERY=RkZfRElWX1lMRChBTk4sMS8xMi8wNSwxLzEyLzA1KQ==&amp;WINDOW=FIRST_POPUP&amp;HEIGHT=450&amp;WIDTH=450&amp;","START_MAXIMIZED=FALSE&amp;VAR:CALENDAR=US&amp;VAR:SYMBOL=RAI&amp;VAR:INDEX=0"}</definedName>
    <definedName name="_2422__FDSAUDITLINK__" localSheetId="0"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2__FDSAUDITLINK__" hidden="1">{"fdsup://directions/FAT Viewer?action=UPDATE&amp;creator=factset&amp;DYN_ARGS=TRUE&amp;DOC_NAME=FAT:FQL_AUDITING_CLIENT_TEMPLATE.FAT&amp;display_string=Audit&amp;VAR:KEY=IZUTWNYJEV&amp;VAR:QUERY=RkZfRElWX1lMRChBTk4sMS8wNS8wNSwxLzA1LzA1KQ==&amp;WINDOW=FIRST_POPUP&amp;HEIGHT=450&amp;WIDTH=450&amp;","START_MAXIMIZED=FALSE&amp;VAR:CALENDAR=US&amp;VAR:SYMBOL=RAI&amp;VAR:INDEX=0"}</definedName>
    <definedName name="_2423__FDSAUDITLINK__" localSheetId="0"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3__FDSAUDITLINK__" hidden="1">{"fdsup://directions/FAT Viewer?action=UPDATE&amp;creator=factset&amp;DYN_ARGS=TRUE&amp;DOC_NAME=FAT:FQL_AUDITING_CLIENT_TEMPLATE.FAT&amp;display_string=Audit&amp;VAR:KEY=QDMTQXCNST&amp;VAR:QUERY=RkZfRElWX1lMRChBTk4sMTIvMjkvMDQsMTIvMjkvMDQp&amp;WINDOW=FIRST_POPUP&amp;HEIGHT=450&amp;WIDTH=450&amp;","START_MAXIMIZED=FALSE&amp;VAR:CALENDAR=US&amp;VAR:SYMBOL=RAI&amp;VAR:INDEX=0"}</definedName>
    <definedName name="_2424__FDSAUDITLINK__" localSheetId="0"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4__FDSAUDITLINK__" hidden="1">{"fdsup://directions/FAT Viewer?action=UPDATE&amp;creator=factset&amp;DYN_ARGS=TRUE&amp;DOC_NAME=FAT:FQL_AUDITING_CLIENT_TEMPLATE.FAT&amp;display_string=Audit&amp;VAR:KEY=UPIXGZKXCD&amp;VAR:QUERY=RkZfRElWX1lMRChBTk4sMTIvMjIvMDQsMTIvMjIvMDQp&amp;WINDOW=FIRST_POPUP&amp;HEIGHT=450&amp;WIDTH=450&amp;","START_MAXIMIZED=FALSE&amp;VAR:CALENDAR=US&amp;VAR:SYMBOL=RAI&amp;VAR:INDEX=0"}</definedName>
    <definedName name="_2425__FDSAUDITLINK__" localSheetId="0"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5__FDSAUDITLINK__" hidden="1">{"fdsup://directions/FAT Viewer?action=UPDATE&amp;creator=factset&amp;DYN_ARGS=TRUE&amp;DOC_NAME=FAT:FQL_AUDITING_CLIENT_TEMPLATE.FAT&amp;display_string=Audit&amp;VAR:KEY=URMBUNCPUB&amp;VAR:QUERY=RkZfRElWX1lMRChBTk4sMTIvMTUvMDQsMTIvMTUvMDQp&amp;WINDOW=FIRST_POPUP&amp;HEIGHT=450&amp;WIDTH=450&amp;","START_MAXIMIZED=FALSE&amp;VAR:CALENDAR=US&amp;VAR:SYMBOL=RAI&amp;VAR:INDEX=0"}</definedName>
    <definedName name="_2426__FDSAUDITLINK__" localSheetId="0"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6__FDSAUDITLINK__" hidden="1">{"fdsup://directions/FAT Viewer?action=UPDATE&amp;creator=factset&amp;DYN_ARGS=TRUE&amp;DOC_NAME=FAT:FQL_AUDITING_CLIENT_TEMPLATE.FAT&amp;display_string=Audit&amp;VAR:KEY=WFGZEVGHWD&amp;VAR:QUERY=RkZfRElWX1lMRChBTk4sMTIvMDgvMDQsMTIvMDgvMDQp&amp;WINDOW=FIRST_POPUP&amp;HEIGHT=450&amp;WIDTH=450&amp;","START_MAXIMIZED=FALSE&amp;VAR:CALENDAR=US&amp;VAR:SYMBOL=RAI&amp;VAR:INDEX=0"}</definedName>
    <definedName name="_2427__FDSAUDITLINK__" localSheetId="0"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7__FDSAUDITLINK__" hidden="1">{"fdsup://directions/FAT Viewer?action=UPDATE&amp;creator=factset&amp;DYN_ARGS=TRUE&amp;DOC_NAME=FAT:FQL_AUDITING_CLIENT_TEMPLATE.FAT&amp;display_string=Audit&amp;VAR:KEY=SBSZUBKVIT&amp;VAR:QUERY=RkZfRElWX1lMRChBTk4sMTIvMDEvMDQsMTIvMDEvMDQp&amp;WINDOW=FIRST_POPUP&amp;HEIGHT=450&amp;WIDTH=450&amp;","START_MAXIMIZED=FALSE&amp;VAR:CALENDAR=US&amp;VAR:SYMBOL=RAI&amp;VAR:INDEX=0"}</definedName>
    <definedName name="_2428__FDSAUDITLINK__" localSheetId="0"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8__FDSAUDITLINK__" hidden="1">{"fdsup://directions/FAT Viewer?action=UPDATE&amp;creator=factset&amp;DYN_ARGS=TRUE&amp;DOC_NAME=FAT:FQL_AUDITING_CLIENT_TEMPLATE.FAT&amp;display_string=Audit&amp;VAR:KEY=EHQLWZWZQV&amp;VAR:QUERY=RkZfRElWX1lMRChBTk4sMTEvMjQvMDQsMTEvMjQvMDQp&amp;WINDOW=FIRST_POPUP&amp;HEIGHT=450&amp;WIDTH=450&amp;","START_MAXIMIZED=FALSE&amp;VAR:CALENDAR=US&amp;VAR:SYMBOL=RAI&amp;VAR:INDEX=0"}</definedName>
    <definedName name="_2429__FDSAUDITLINK__" localSheetId="0"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29__FDSAUDITLINK__" hidden="1">{"fdsup://directions/FAT Viewer?action=UPDATE&amp;creator=factset&amp;DYN_ARGS=TRUE&amp;DOC_NAME=FAT:FQL_AUDITING_CLIENT_TEMPLATE.FAT&amp;display_string=Audit&amp;VAR:KEY=GNGFUJWDWT&amp;VAR:QUERY=RkZfRElWX1lMRChBTk4sMTEvMTcvMDQsMTEvMTcvMDQp&amp;WINDOW=FIRST_POPUP&amp;HEIGHT=450&amp;WIDTH=450&amp;","START_MAXIMIZED=FALSE&amp;VAR:CALENDAR=US&amp;VAR:SYMBOL=RAI&amp;VAR:INDEX=0"}</definedName>
    <definedName name="_243">#REF!</definedName>
    <definedName name="_243__FDSAUDITLINK__" localSheetId="0"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__FDSAUDITLINK__" hidden="1">{"fdsup://directions/FAT Viewer?action=UPDATE&amp;creator=factset&amp;DYN_ARGS=TRUE&amp;DOC_NAME=FAT:FQL_AUDITING_CLIENT_TEMPLATE.FAT&amp;display_string=Audit&amp;VAR:KEY=TOROBUJWPO&amp;VAR:QUERY=RkZfRElWX1lMRChBTk4sOC8xMC8wNiw4LzEwLzA2KQ==&amp;WINDOW=FIRST_POPUP&amp;HEIGHT=450&amp;WIDTH=450&amp;","START_MAXIMIZED=FALSE&amp;VAR:CALENDAR=US&amp;VAR:SYMBOL=RAI&amp;VAR:INDEX=0"}</definedName>
    <definedName name="_2430__FDSAUDITLINK__" localSheetId="0"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0__FDSAUDITLINK__" hidden="1">{"fdsup://directions/FAT Viewer?action=UPDATE&amp;creator=factset&amp;DYN_ARGS=TRUE&amp;DOC_NAME=FAT:FQL_AUDITING_CLIENT_TEMPLATE.FAT&amp;display_string=Audit&amp;VAR:KEY=OXGRADONCF&amp;VAR:QUERY=RkZfRElWX1lMRChBTk4sMTEvMTAvMDQsMTEvMTAvMDQp&amp;WINDOW=FIRST_POPUP&amp;HEIGHT=450&amp;WIDTH=450&amp;","START_MAXIMIZED=FALSE&amp;VAR:CALENDAR=US&amp;VAR:SYMBOL=RAI&amp;VAR:INDEX=0"}</definedName>
    <definedName name="_2431__FDSAUDITLINK__" localSheetId="0"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1__FDSAUDITLINK__" hidden="1">{"fdsup://directions/FAT Viewer?action=UPDATE&amp;creator=factset&amp;DYN_ARGS=TRUE&amp;DOC_NAME=FAT:FQL_AUDITING_CLIENT_TEMPLATE.FAT&amp;display_string=Audit&amp;VAR:KEY=EDMNKHQNUD&amp;VAR:QUERY=RkZfRElWX1lMRChBTk4sMTEvMDMvMDQsMTEvMDMvMDQp&amp;WINDOW=FIRST_POPUP&amp;HEIGHT=450&amp;WIDTH=450&amp;","START_MAXIMIZED=FALSE&amp;VAR:CALENDAR=US&amp;VAR:SYMBOL=RAI&amp;VAR:INDEX=0"}</definedName>
    <definedName name="_2432__FDSAUDITLINK__" localSheetId="0"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2__FDSAUDITLINK__" hidden="1">{"fdsup://directions/FAT Viewer?action=UPDATE&amp;creator=factset&amp;DYN_ARGS=TRUE&amp;DOC_NAME=FAT:FQL_AUDITING_CLIENT_TEMPLATE.FAT&amp;display_string=Audit&amp;VAR:KEY=YVOJOXYVIJ&amp;VAR:QUERY=RkZfRElWX1lMRChBTk4sMTAvMjcvMDQsMTAvMjcvMDQp&amp;WINDOW=FIRST_POPUP&amp;HEIGHT=450&amp;WIDTH=450&amp;","START_MAXIMIZED=FALSE&amp;VAR:CALENDAR=US&amp;VAR:SYMBOL=RAI&amp;VAR:INDEX=0"}</definedName>
    <definedName name="_2433__FDSAUDITLINK__" localSheetId="0"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3__FDSAUDITLINK__" hidden="1">{"fdsup://directions/FAT Viewer?action=UPDATE&amp;creator=factset&amp;DYN_ARGS=TRUE&amp;DOC_NAME=FAT:FQL_AUDITING_CLIENT_TEMPLATE.FAT&amp;display_string=Audit&amp;VAR:KEY=ITABYLQXOT&amp;VAR:QUERY=RkZfRElWX1lMRChBTk4sMTAvMjAvMDQsMTAvMjAvMDQp&amp;WINDOW=FIRST_POPUP&amp;HEIGHT=450&amp;WIDTH=450&amp;","START_MAXIMIZED=FALSE&amp;VAR:CALENDAR=US&amp;VAR:SYMBOL=RAI&amp;VAR:INDEX=0"}</definedName>
    <definedName name="_2434__FDSAUDITLINK__" localSheetId="0"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4__FDSAUDITLINK__" hidden="1">{"fdsup://directions/FAT Viewer?action=UPDATE&amp;creator=factset&amp;DYN_ARGS=TRUE&amp;DOC_NAME=FAT:FQL_AUDITING_CLIENT_TEMPLATE.FAT&amp;display_string=Audit&amp;VAR:KEY=GLWJIPSPAH&amp;VAR:QUERY=RkZfRElWX1lMRChBTk4sMTAvMTMvMDQsMTAvMTMvMDQp&amp;WINDOW=FIRST_POPUP&amp;HEIGHT=450&amp;WIDTH=450&amp;","START_MAXIMIZED=FALSE&amp;VAR:CALENDAR=US&amp;VAR:SYMBOL=RAI&amp;VAR:INDEX=0"}</definedName>
    <definedName name="_2435__FDSAUDITLINK__" localSheetId="0"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5__FDSAUDITLINK__" hidden="1">{"fdsup://directions/FAT Viewer?action=UPDATE&amp;creator=factset&amp;DYN_ARGS=TRUE&amp;DOC_NAME=FAT:FQL_AUDITING_CLIENT_TEMPLATE.FAT&amp;display_string=Audit&amp;VAR:KEY=ULYROJYZIP&amp;VAR:QUERY=RkZfRElWX1lMRChBTk4sMTAvMDYvMDQsMTAvMDYvMDQp&amp;WINDOW=FIRST_POPUP&amp;HEIGHT=450&amp;WIDTH=450&amp;","START_MAXIMIZED=FALSE&amp;VAR:CALENDAR=US&amp;VAR:SYMBOL=RAI&amp;VAR:INDEX=0"}</definedName>
    <definedName name="_2436__FDSAUDITLINK__" localSheetId="0"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6__FDSAUDITLINK__" hidden="1">{"fdsup://directions/FAT Viewer?action=UPDATE&amp;creator=factset&amp;DYN_ARGS=TRUE&amp;DOC_NAME=FAT:FQL_AUDITING_CLIENT_TEMPLATE.FAT&amp;display_string=Audit&amp;VAR:KEY=WRGPQVQRGB&amp;VAR:QUERY=RkZfRElWX1lMRChBTk4sOS8yOS8wNCw5LzI5LzA0KQ==&amp;WINDOW=FIRST_POPUP&amp;HEIGHT=450&amp;WIDTH=450&amp;","START_MAXIMIZED=FALSE&amp;VAR:CALENDAR=US&amp;VAR:SYMBOL=RAI&amp;VAR:INDEX=0"}</definedName>
    <definedName name="_2437__FDSAUDITLINK__" localSheetId="0"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7__FDSAUDITLINK__" hidden="1">{"fdsup://directions/FAT Viewer?action=UPDATE&amp;creator=factset&amp;DYN_ARGS=TRUE&amp;DOC_NAME=FAT:FQL_AUDITING_CLIENT_TEMPLATE.FAT&amp;display_string=Audit&amp;VAR:KEY=ORWBUPGRMP&amp;VAR:QUERY=RkZfRElWX1lMRChBTk4sOS8yMi8wNCw5LzIyLzA0KQ==&amp;WINDOW=FIRST_POPUP&amp;HEIGHT=450&amp;WIDTH=450&amp;","START_MAXIMIZED=FALSE&amp;VAR:CALENDAR=US&amp;VAR:SYMBOL=RAI&amp;VAR:INDEX=0"}</definedName>
    <definedName name="_2438">#REF!</definedName>
    <definedName name="_2438__FDSAUDITLINK__" localSheetId="0"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8__FDSAUDITLINK__" hidden="1">{"fdsup://directions/FAT Viewer?action=UPDATE&amp;creator=factset&amp;DYN_ARGS=TRUE&amp;DOC_NAME=FAT:FQL_AUDITING_CLIENT_TEMPLATE.FAT&amp;display_string=Audit&amp;VAR:KEY=KJETYDUTYL&amp;VAR:QUERY=RkZfRElWX1lMRChBTk4sOS8xNS8wNCw5LzE1LzA0KQ==&amp;WINDOW=FIRST_POPUP&amp;HEIGHT=450&amp;WIDTH=450&amp;","START_MAXIMIZED=FALSE&amp;VAR:CALENDAR=US&amp;VAR:SYMBOL=RAI&amp;VAR:INDEX=0"}</definedName>
    <definedName name="_2439">#REF!</definedName>
    <definedName name="_2439__FDSAUDITLINK__" localSheetId="0"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39__FDSAUDITLINK__" hidden="1">{"fdsup://directions/FAT Viewer?action=UPDATE&amp;creator=factset&amp;DYN_ARGS=TRUE&amp;DOC_NAME=FAT:FQL_AUDITING_CLIENT_TEMPLATE.FAT&amp;display_string=Audit&amp;VAR:KEY=CTSRIHEXEL&amp;VAR:QUERY=RkZfRElWX1lMRChBTk4sOS8wOC8wNCw5LzA4LzA0KQ==&amp;WINDOW=FIRST_POPUP&amp;HEIGHT=450&amp;WIDTH=450&amp;","START_MAXIMIZED=FALSE&amp;VAR:CALENDAR=US&amp;VAR:SYMBOL=RAI&amp;VAR:INDEX=0"}</definedName>
    <definedName name="_244">#REF!</definedName>
    <definedName name="_244__FDSAUDITLINK__" localSheetId="0"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__FDSAUDITLINK__" hidden="1">{"fdsup://directions/FAT Viewer?action=UPDATE&amp;creator=factset&amp;DYN_ARGS=TRUE&amp;DOC_NAME=FAT:FQL_AUDITING_CLIENT_TEMPLATE.FAT&amp;display_string=Audit&amp;VAR:KEY=NKJODWLMHY&amp;VAR:QUERY=RkZfRElWX1lMRChBTk4sOC8wMy8wNiw4LzAzLzA2KQ==&amp;WINDOW=FIRST_POPUP&amp;HEIGHT=450&amp;WIDTH=450&amp;","START_MAXIMIZED=FALSE&amp;VAR:CALENDAR=US&amp;VAR:SYMBOL=RAI&amp;VAR:INDEX=0"}</definedName>
    <definedName name="_2440__FDSAUDITLINK__" localSheetId="0"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0__FDSAUDITLINK__" hidden="1">{"fdsup://directions/FAT Viewer?action=UPDATE&amp;creator=factset&amp;DYN_ARGS=TRUE&amp;DOC_NAME=FAT:FQL_AUDITING_CLIENT_TEMPLATE.FAT&amp;display_string=Audit&amp;VAR:KEY=INCJCBAHOJ&amp;VAR:QUERY=RkZfRElWX1lMRChBTk4sOS8wMS8wNCw5LzAxLzA0KQ==&amp;WINDOW=FIRST_POPUP&amp;HEIGHT=450&amp;WIDTH=450&amp;","START_MAXIMIZED=FALSE&amp;VAR:CALENDAR=US&amp;VAR:SYMBOL=RAI&amp;VAR:INDEX=0"}</definedName>
    <definedName name="_2441">#REF!</definedName>
    <definedName name="_2441__FDSAUDITLINK__" localSheetId="0"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1__FDSAUDITLINK__" hidden="1">{"fdsup://directions/FAT Viewer?action=UPDATE&amp;creator=factset&amp;DYN_ARGS=TRUE&amp;DOC_NAME=FAT:FQL_AUDITING_CLIENT_TEMPLATE.FAT&amp;display_string=Audit&amp;VAR:KEY=ATKPEHKVUX&amp;VAR:QUERY=RkZfRElWX1lMRChBTk4sOC8yNS8wNCw4LzI1LzA0KQ==&amp;WINDOW=FIRST_POPUP&amp;HEIGHT=450&amp;WIDTH=450&amp;","START_MAXIMIZED=FALSE&amp;VAR:CALENDAR=US&amp;VAR:SYMBOL=RAI&amp;VAR:INDEX=0"}</definedName>
    <definedName name="_2442">#REF!</definedName>
    <definedName name="_2442__FDSAUDITLINK__" localSheetId="0"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2__FDSAUDITLINK__" hidden="1">{"fdsup://directions/FAT Viewer?action=UPDATE&amp;creator=factset&amp;DYN_ARGS=TRUE&amp;DOC_NAME=FAT:FQL_AUDITING_CLIENT_TEMPLATE.FAT&amp;display_string=Audit&amp;VAR:KEY=KZUXSNIJYH&amp;VAR:QUERY=RkZfRElWX1lMRChBTk4sOC8xOC8wNCw4LzE4LzA0KQ==&amp;WINDOW=FIRST_POPUP&amp;HEIGHT=450&amp;WIDTH=450&amp;","START_MAXIMIZED=FALSE&amp;VAR:CALENDAR=US&amp;VAR:SYMBOL=RAI&amp;VAR:INDEX=0"}</definedName>
    <definedName name="_2443__FDSAUDITLINK__" localSheetId="0"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3__FDSAUDITLINK__" hidden="1">{"fdsup://directions/FAT Viewer?action=UPDATE&amp;creator=factset&amp;DYN_ARGS=TRUE&amp;DOC_NAME=FAT:FQL_AUDITING_CLIENT_TEMPLATE.FAT&amp;display_string=Audit&amp;VAR:KEY=QDWZGNEFMN&amp;VAR:QUERY=RkZfRElWX1lMRChBTk4sOC8xMS8wNCw4LzExLzA0KQ==&amp;WINDOW=FIRST_POPUP&amp;HEIGHT=450&amp;WIDTH=450&amp;","START_MAXIMIZED=FALSE&amp;VAR:CALENDAR=US&amp;VAR:SYMBOL=RAI&amp;VAR:INDEX=0"}</definedName>
    <definedName name="_2444">#REF!</definedName>
    <definedName name="_2444__FDSAUDITLINK__" localSheetId="0"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4__FDSAUDITLINK__" hidden="1">{"fdsup://directions/FAT Viewer?action=UPDATE&amp;creator=factset&amp;DYN_ARGS=TRUE&amp;DOC_NAME=FAT:FQL_AUDITING_CLIENT_TEMPLATE.FAT&amp;display_string=Audit&amp;VAR:KEY=OVCDAFCHGX&amp;VAR:QUERY=RkZfRElWX1lMRChBTk4sOC8wNC8wNCw4LzA0LzA0KQ==&amp;WINDOW=FIRST_POPUP&amp;HEIGHT=450&amp;WIDTH=450&amp;","START_MAXIMIZED=FALSE&amp;VAR:CALENDAR=US&amp;VAR:SYMBOL=RAI&amp;VAR:INDEX=0"}</definedName>
    <definedName name="_2445">#REF!</definedName>
    <definedName name="_2445__FDSAUDITLINK__" localSheetId="0"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5__FDSAUDITLINK__" hidden="1">{"fdsup://directions/FAT Viewer?action=UPDATE&amp;creator=factset&amp;DYN_ARGS=TRUE&amp;DOC_NAME=FAT:FQL_AUDITING_CLIENT_TEMPLATE.FAT&amp;display_string=Audit&amp;VAR:KEY=OXAZYDYZQD&amp;VAR:QUERY=RkZfRElWX1lMRChBTk4sNy8yOC8wNCw3LzI4LzA0KQ==&amp;WINDOW=FIRST_POPUP&amp;HEIGHT=450&amp;WIDTH=450&amp;","START_MAXIMIZED=FALSE&amp;VAR:CALENDAR=US&amp;VAR:SYMBOL=RAI&amp;VAR:INDEX=0"}</definedName>
    <definedName name="_2446__FDSAUDITLINK__" localSheetId="0"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6__FDSAUDITLINK__" hidden="1">{"fdsup://directions/FAT Viewer?action=UPDATE&amp;creator=factset&amp;DYN_ARGS=TRUE&amp;DOC_NAME=FAT:FQL_AUDITING_CLIENT_TEMPLATE.FAT&amp;display_string=Audit&amp;VAR:KEY=SPCXYJONEN&amp;VAR:QUERY=RkZfRElWX1lMRChBTk4sNy8yMS8wNCw3LzIxLzA0KQ==&amp;WINDOW=FIRST_POPUP&amp;HEIGHT=450&amp;WIDTH=450&amp;","START_MAXIMIZED=FALSE&amp;VAR:CALENDAR=US&amp;VAR:SYMBOL=RAI&amp;VAR:INDEX=0"}</definedName>
    <definedName name="_2447">#REF!</definedName>
    <definedName name="_2447__FDSAUDITLINK__" localSheetId="0"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7__FDSAUDITLINK__" hidden="1">{"fdsup://directions/FAT Viewer?action=UPDATE&amp;creator=factset&amp;DYN_ARGS=TRUE&amp;DOC_NAME=FAT:FQL_AUDITING_CLIENT_TEMPLATE.FAT&amp;display_string=Audit&amp;VAR:KEY=EZQDCTKLAN&amp;VAR:QUERY=RkZfRElWX1lMRChBTk4sNy8xNC8wNCw3LzE0LzA0KQ==&amp;WINDOW=FIRST_POPUP&amp;HEIGHT=450&amp;WIDTH=450&amp;","START_MAXIMIZED=FALSE&amp;VAR:CALENDAR=US&amp;VAR:SYMBOL=RAI&amp;VAR:INDEX=0"}</definedName>
    <definedName name="_2448">#REF!</definedName>
    <definedName name="_2448__FDSAUDITLINK__" localSheetId="0"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8__FDSAUDITLINK__" hidden="1">{"fdsup://directions/FAT Viewer?action=UPDATE&amp;creator=factset&amp;DYN_ARGS=TRUE&amp;DOC_NAME=FAT:FQL_AUDITING_CLIENT_TEMPLATE.FAT&amp;display_string=Audit&amp;VAR:KEY=YFSPOPKHSL&amp;VAR:QUERY=RkZfRElWX1lMRChBTk4sNy8wNy8wNCw3LzA3LzA0KQ==&amp;WINDOW=FIRST_POPUP&amp;HEIGHT=450&amp;WIDTH=450&amp;","START_MAXIMIZED=FALSE&amp;VAR:CALENDAR=US&amp;VAR:SYMBOL=RAI&amp;VAR:INDEX=0"}</definedName>
    <definedName name="_2449__FDSAUDITLINK__" localSheetId="0"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49__FDSAUDITLINK__" hidden="1">{"fdsup://directions/FAT Viewer?action=UPDATE&amp;creator=factset&amp;DYN_ARGS=TRUE&amp;DOC_NAME=FAT:FQL_AUDITING_CLIENT_TEMPLATE.FAT&amp;display_string=Audit&amp;VAR:KEY=CVIRMTGJSN&amp;VAR:QUERY=RkZfRElWX1lMRChBTk4sNi8zMC8wNCw2LzMwLzA0KQ==&amp;WINDOW=FIRST_POPUP&amp;HEIGHT=450&amp;WIDTH=450&amp;","START_MAXIMIZED=FALSE&amp;VAR:CALENDAR=US&amp;VAR:SYMBOL=RAI&amp;VAR:INDEX=0"}</definedName>
    <definedName name="_245">#REF!</definedName>
    <definedName name="_245__FDSAUDITLINK__" localSheetId="0"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__FDSAUDITLINK__" hidden="1">{"fdsup://directions/FAT Viewer?action=UPDATE&amp;creator=factset&amp;DYN_ARGS=TRUE&amp;DOC_NAME=FAT:FQL_AUDITING_CLIENT_TEMPLATE.FAT&amp;display_string=Audit&amp;VAR:KEY=BEZQTGRQNE&amp;VAR:QUERY=RkZfRElWX1lMRChBTk4sNy8yNy8wNiw3LzI3LzA2KQ==&amp;WINDOW=FIRST_POPUP&amp;HEIGHT=450&amp;WIDTH=450&amp;","START_MAXIMIZED=FALSE&amp;VAR:CALENDAR=US&amp;VAR:SYMBOL=RAI&amp;VAR:INDEX=0"}</definedName>
    <definedName name="_2450__FDSAUDITLINK__" localSheetId="0"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0__FDSAUDITLINK__" hidden="1">{"fdsup://directions/FAT Viewer?action=UPDATE&amp;creator=factset&amp;DYN_ARGS=TRUE&amp;DOC_NAME=FAT:FQL_AUDITING_CLIENT_TEMPLATE.FAT&amp;display_string=Audit&amp;VAR:KEY=OZKNGXIFQL&amp;VAR:QUERY=RkZfRElWX1lMRChBTk4sNi8yMy8wNCw2LzIzLzA0KQ==&amp;WINDOW=FIRST_POPUP&amp;HEIGHT=450&amp;WIDTH=450&amp;","START_MAXIMIZED=FALSE&amp;VAR:CALENDAR=US&amp;VAR:SYMBOL=RAI&amp;VAR:INDEX=0"}</definedName>
    <definedName name="_2451__FDSAUDITLINK__" localSheetId="0"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1__FDSAUDITLINK__" hidden="1">{"fdsup://directions/FAT Viewer?action=UPDATE&amp;creator=factset&amp;DYN_ARGS=TRUE&amp;DOC_NAME=FAT:FQL_AUDITING_CLIENT_TEMPLATE.FAT&amp;display_string=Audit&amp;VAR:KEY=UNKTAXKHKZ&amp;VAR:QUERY=RkZfRElWX1lMRChBTk4sNi8xNi8wNCw2LzE2LzA0KQ==&amp;WINDOW=FIRST_POPUP&amp;HEIGHT=450&amp;WIDTH=450&amp;","START_MAXIMIZED=FALSE&amp;VAR:CALENDAR=US&amp;VAR:SYMBOL=RAI&amp;VAR:INDEX=0"}</definedName>
    <definedName name="_2452__FDSAUDITLINK__" localSheetId="0"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2__FDSAUDITLINK__" hidden="1">{"fdsup://directions/FAT Viewer?action=UPDATE&amp;creator=factset&amp;DYN_ARGS=TRUE&amp;DOC_NAME=FAT:FQL_AUDITING_CLIENT_TEMPLATE.FAT&amp;display_string=Audit&amp;VAR:KEY=AVGTCXKZKH&amp;VAR:QUERY=RkZfRElWX1lMRChBTk4sNi8wOS8wNCw2LzA5LzA0KQ==&amp;WINDOW=FIRST_POPUP&amp;HEIGHT=450&amp;WIDTH=450&amp;","START_MAXIMIZED=FALSE&amp;VAR:CALENDAR=US&amp;VAR:SYMBOL=RAI&amp;VAR:INDEX=0"}</definedName>
    <definedName name="_2453__FDSAUDITLINK__" localSheetId="0"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3__FDSAUDITLINK__" hidden="1">{"fdsup://directions/FAT Viewer?action=UPDATE&amp;creator=factset&amp;DYN_ARGS=TRUE&amp;DOC_NAME=FAT:FQL_AUDITING_CLIENT_TEMPLATE.FAT&amp;display_string=Audit&amp;VAR:KEY=CXCFYHABWV&amp;VAR:QUERY=RkZfRElWX1lMRChBTk4sNi8wMi8wNCw2LzAyLzA0KQ==&amp;WINDOW=FIRST_POPUP&amp;HEIGHT=450&amp;WIDTH=450&amp;","START_MAXIMIZED=FALSE&amp;VAR:CALENDAR=US&amp;VAR:SYMBOL=RAI&amp;VAR:INDEX=0"}</definedName>
    <definedName name="_2454__FDSAUDITLINK__" localSheetId="0"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4__FDSAUDITLINK__" hidden="1">{"fdsup://directions/FAT Viewer?action=UPDATE&amp;creator=factset&amp;DYN_ARGS=TRUE&amp;DOC_NAME=FAT:FQL_AUDITING_CLIENT_TEMPLATE.FAT&amp;display_string=Audit&amp;VAR:KEY=QXKLATWNGP&amp;VAR:QUERY=RkZfRElWX1lMRChBTk4sNS8yNi8wNCw1LzI2LzA0KQ==&amp;WINDOW=FIRST_POPUP&amp;HEIGHT=450&amp;WIDTH=450&amp;","START_MAXIMIZED=FALSE&amp;VAR:CALENDAR=US&amp;VAR:SYMBOL=RAI&amp;VAR:INDEX=0"}</definedName>
    <definedName name="_2455__FDSAUDITLINK__" localSheetId="0"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5__FDSAUDITLINK__" hidden="1">{"fdsup://directions/FAT Viewer?action=UPDATE&amp;creator=factset&amp;DYN_ARGS=TRUE&amp;DOC_NAME=FAT:FQL_AUDITING_CLIENT_TEMPLATE.FAT&amp;display_string=Audit&amp;VAR:KEY=UJSBITGNKB&amp;VAR:QUERY=RkZfRElWX1lMRChBTk4sNS8xOS8wNCw1LzE5LzA0KQ==&amp;WINDOW=FIRST_POPUP&amp;HEIGHT=450&amp;WIDTH=450&amp;","START_MAXIMIZED=FALSE&amp;VAR:CALENDAR=US&amp;VAR:SYMBOL=RAI&amp;VAR:INDEX=0"}</definedName>
    <definedName name="_2456__FDSAUDITLINK__" localSheetId="0"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6__FDSAUDITLINK__" hidden="1">{"fdsup://directions/FAT Viewer?action=UPDATE&amp;creator=factset&amp;DYN_ARGS=TRUE&amp;DOC_NAME=FAT:FQL_AUDITING_CLIENT_TEMPLATE.FAT&amp;display_string=Audit&amp;VAR:KEY=ATIHMPWVED&amp;VAR:QUERY=RkZfRElWX1lMRChBTk4sNS8xMi8wNCw1LzEyLzA0KQ==&amp;WINDOW=FIRST_POPUP&amp;HEIGHT=450&amp;WIDTH=450&amp;","START_MAXIMIZED=FALSE&amp;VAR:CALENDAR=US&amp;VAR:SYMBOL=RAI&amp;VAR:INDEX=0"}</definedName>
    <definedName name="_2457__FDSAUDITLINK__" localSheetId="0"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7__FDSAUDITLINK__" hidden="1">{"fdsup://directions/FAT Viewer?action=UPDATE&amp;creator=factset&amp;DYN_ARGS=TRUE&amp;DOC_NAME=FAT:FQL_AUDITING_CLIENT_TEMPLATE.FAT&amp;display_string=Audit&amp;VAR:KEY=ERALARGXYT&amp;VAR:QUERY=RkZfRElWX1lMRChBTk4sNS8wNS8wNCw1LzA1LzA0KQ==&amp;WINDOW=FIRST_POPUP&amp;HEIGHT=450&amp;WIDTH=450&amp;","START_MAXIMIZED=FALSE&amp;VAR:CALENDAR=US&amp;VAR:SYMBOL=RAI&amp;VAR:INDEX=0"}</definedName>
    <definedName name="_2458__FDSAUDITLINK__" localSheetId="0"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8__FDSAUDITLINK__" hidden="1">{"fdsup://directions/FAT Viewer?action=UPDATE&amp;creator=factset&amp;DYN_ARGS=TRUE&amp;DOC_NAME=FAT:FQL_AUDITING_CLIENT_TEMPLATE.FAT&amp;display_string=Audit&amp;VAR:KEY=ALSHUNUTAB&amp;VAR:QUERY=RkZfRElWX1lMRChBTk4sNC8yOC8wNCw0LzI4LzA0KQ==&amp;WINDOW=FIRST_POPUP&amp;HEIGHT=450&amp;WIDTH=450&amp;","START_MAXIMIZED=FALSE&amp;VAR:CALENDAR=US&amp;VAR:SYMBOL=RAI&amp;VAR:INDEX=0"}</definedName>
    <definedName name="_2459__FDSAUDITLINK__" localSheetId="0"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59__FDSAUDITLINK__" hidden="1">{"fdsup://directions/FAT Viewer?action=UPDATE&amp;creator=factset&amp;DYN_ARGS=TRUE&amp;DOC_NAME=FAT:FQL_AUDITING_CLIENT_TEMPLATE.FAT&amp;display_string=Audit&amp;VAR:KEY=OVCTOLCLIJ&amp;VAR:QUERY=RkZfRElWX1lMRChBTk4sNC8yMS8wNCw0LzIxLzA0KQ==&amp;WINDOW=FIRST_POPUP&amp;HEIGHT=450&amp;WIDTH=450&amp;","START_MAXIMIZED=FALSE&amp;VAR:CALENDAR=US&amp;VAR:SYMBOL=RAI&amp;VAR:INDEX=0"}</definedName>
    <definedName name="_246__FDSAUDITLINK__" localSheetId="0"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__FDSAUDITLINK__" hidden="1">{"fdsup://directions/FAT Viewer?action=UPDATE&amp;creator=factset&amp;DYN_ARGS=TRUE&amp;DOC_NAME=FAT:FQL_AUDITING_CLIENT_TEMPLATE.FAT&amp;display_string=Audit&amp;VAR:KEY=JMJMZINGHW&amp;VAR:QUERY=RkZfRElWX1lMRChBTk4sNy8yMC8wNiw3LzIwLzA2KQ==&amp;WINDOW=FIRST_POPUP&amp;HEIGHT=450&amp;WIDTH=450&amp;","START_MAXIMIZED=FALSE&amp;VAR:CALENDAR=US&amp;VAR:SYMBOL=RAI&amp;VAR:INDEX=0"}</definedName>
    <definedName name="_2460__FDSAUDITLINK__" localSheetId="0"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0__FDSAUDITLINK__" hidden="1">{"fdsup://directions/FAT Viewer?action=UPDATE&amp;creator=factset&amp;DYN_ARGS=TRUE&amp;DOC_NAME=FAT:FQL_AUDITING_CLIENT_TEMPLATE.FAT&amp;display_string=Audit&amp;VAR:KEY=WTCHMFYZOP&amp;VAR:QUERY=RkZfRElWX1lMRChBTk4sNC8xNC8wNCw0LzE0LzA0KQ==&amp;WINDOW=FIRST_POPUP&amp;HEIGHT=450&amp;WIDTH=450&amp;","START_MAXIMIZED=FALSE&amp;VAR:CALENDAR=US&amp;VAR:SYMBOL=RAI&amp;VAR:INDEX=0"}</definedName>
    <definedName name="_2461__FDSAUDITLINK__" localSheetId="0"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1__FDSAUDITLINK__" hidden="1">{"fdsup://directions/FAT Viewer?action=UPDATE&amp;creator=factset&amp;DYN_ARGS=TRUE&amp;DOC_NAME=FAT:FQL_AUDITING_CLIENT_TEMPLATE.FAT&amp;display_string=Audit&amp;VAR:KEY=GPGXOXCZIL&amp;VAR:QUERY=RkZfRElWX1lMRChBTk4sNC8wNy8wNCw0LzA3LzA0KQ==&amp;WINDOW=FIRST_POPUP&amp;HEIGHT=450&amp;WIDTH=450&amp;","START_MAXIMIZED=FALSE&amp;VAR:CALENDAR=US&amp;VAR:SYMBOL=RAI&amp;VAR:INDEX=0"}</definedName>
    <definedName name="_2462__FDSAUDITLINK__" localSheetId="0"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2__FDSAUDITLINK__" hidden="1">{"fdsup://directions/FAT Viewer?action=UPDATE&amp;creator=factset&amp;DYN_ARGS=TRUE&amp;DOC_NAME=FAT:FQL_AUDITING_CLIENT_TEMPLATE.FAT&amp;display_string=Audit&amp;VAR:KEY=INUFUJIPED&amp;VAR:QUERY=RkZfRElWX1lMRChBTk4sMy8zMS8wNCwzLzMxLzA0KQ==&amp;WINDOW=FIRST_POPUP&amp;HEIGHT=450&amp;WIDTH=450&amp;","START_MAXIMIZED=FALSE&amp;VAR:CALENDAR=US&amp;VAR:SYMBOL=RAI&amp;VAR:INDEX=0"}</definedName>
    <definedName name="_2463__FDSAUDITLINK__" localSheetId="0"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3__FDSAUDITLINK__" hidden="1">{"fdsup://directions/FAT Viewer?action=UPDATE&amp;creator=factset&amp;DYN_ARGS=TRUE&amp;DOC_NAME=FAT:FQL_AUDITING_CLIENT_TEMPLATE.FAT&amp;display_string=Audit&amp;VAR:KEY=EHEFSDGVYP&amp;VAR:QUERY=RkZfRElWX1lMRChBTk4sMy8yNC8wNCwzLzI0LzA0KQ==&amp;WINDOW=FIRST_POPUP&amp;HEIGHT=450&amp;WIDTH=450&amp;","START_MAXIMIZED=FALSE&amp;VAR:CALENDAR=US&amp;VAR:SYMBOL=RAI&amp;VAR:INDEX=0"}</definedName>
    <definedName name="_2464__FDSAUDITLINK__" localSheetId="0"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4__FDSAUDITLINK__" hidden="1">{"fdsup://directions/FAT Viewer?action=UPDATE&amp;creator=factset&amp;DYN_ARGS=TRUE&amp;DOC_NAME=FAT:FQL_AUDITING_CLIENT_TEMPLATE.FAT&amp;display_string=Audit&amp;VAR:KEY=YXERUNGBAL&amp;VAR:QUERY=RkZfRElWX1lMRChBTk4sMy8xNy8wNCwzLzE3LzA0KQ==&amp;WINDOW=FIRST_POPUP&amp;HEIGHT=450&amp;WIDTH=450&amp;","START_MAXIMIZED=FALSE&amp;VAR:CALENDAR=US&amp;VAR:SYMBOL=RAI&amp;VAR:INDEX=0"}</definedName>
    <definedName name="_2465__FDSAUDITLINK__" localSheetId="0"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5__FDSAUDITLINK__" hidden="1">{"fdsup://directions/FAT Viewer?action=UPDATE&amp;creator=factset&amp;DYN_ARGS=TRUE&amp;DOC_NAME=FAT:FQL_AUDITING_CLIENT_TEMPLATE.FAT&amp;display_string=Audit&amp;VAR:KEY=QJAVCJGRKV&amp;VAR:QUERY=RkZfRElWX1lMRChBTk4sMy8xMC8wNCwzLzEwLzA0KQ==&amp;WINDOW=FIRST_POPUP&amp;HEIGHT=450&amp;WIDTH=450&amp;","START_MAXIMIZED=FALSE&amp;VAR:CALENDAR=US&amp;VAR:SYMBOL=RAI&amp;VAR:INDEX=0"}</definedName>
    <definedName name="_2466__FDSAUDITLINK__" localSheetId="0"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6__FDSAUDITLINK__" hidden="1">{"fdsup://directions/FAT Viewer?action=UPDATE&amp;creator=factset&amp;DYN_ARGS=TRUE&amp;DOC_NAME=FAT:FQL_AUDITING_CLIENT_TEMPLATE.FAT&amp;display_string=Audit&amp;VAR:KEY=IZEJQFILGD&amp;VAR:QUERY=RkZfRElWX1lMRChBTk4sMy8wMy8wNCwzLzAzLzA0KQ==&amp;WINDOW=FIRST_POPUP&amp;HEIGHT=450&amp;WIDTH=450&amp;","START_MAXIMIZED=FALSE&amp;VAR:CALENDAR=US&amp;VAR:SYMBOL=RAI&amp;VAR:INDEX=0"}</definedName>
    <definedName name="_2467__FDSAUDITLINK__" localSheetId="0"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7__FDSAUDITLINK__" hidden="1">{"fdsup://directions/FAT Viewer?action=UPDATE&amp;creator=factset&amp;DYN_ARGS=TRUE&amp;DOC_NAME=FAT:FQL_AUDITING_CLIENT_TEMPLATE.FAT&amp;display_string=Audit&amp;VAR:KEY=CDUBWBGNIZ&amp;VAR:QUERY=RkZfRElWX1lMRChBTk4sMi8yNS8wNCwyLzI1LzA0KQ==&amp;WINDOW=FIRST_POPUP&amp;HEIGHT=450&amp;WIDTH=450&amp;","START_MAXIMIZED=FALSE&amp;VAR:CALENDAR=US&amp;VAR:SYMBOL=RAI&amp;VAR:INDEX=0"}</definedName>
    <definedName name="_2468__FDSAUDITLINK__" localSheetId="0"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8__FDSAUDITLINK__" hidden="1">{"fdsup://directions/FAT Viewer?action=UPDATE&amp;creator=factset&amp;DYN_ARGS=TRUE&amp;DOC_NAME=FAT:FQL_AUDITING_CLIENT_TEMPLATE.FAT&amp;display_string=Audit&amp;VAR:KEY=CLALKPYFSR&amp;VAR:QUERY=RkZfRElWX1lMRChBTk4sMi8xOC8wNCwyLzE4LzA0KQ==&amp;WINDOW=FIRST_POPUP&amp;HEIGHT=450&amp;WIDTH=450&amp;","START_MAXIMIZED=FALSE&amp;VAR:CALENDAR=US&amp;VAR:SYMBOL=RAI&amp;VAR:INDEX=0"}</definedName>
    <definedName name="_2469__FDSAUDITLINK__" localSheetId="0"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69__FDSAUDITLINK__" hidden="1">{"fdsup://directions/FAT Viewer?action=UPDATE&amp;creator=factset&amp;DYN_ARGS=TRUE&amp;DOC_NAME=FAT:FQL_AUDITING_CLIENT_TEMPLATE.FAT&amp;display_string=Audit&amp;VAR:KEY=WFOLOPYJGB&amp;VAR:QUERY=RkZfRElWX1lMRChBTk4sMi8xMS8wNCwyLzExLzA0KQ==&amp;WINDOW=FIRST_POPUP&amp;HEIGHT=450&amp;WIDTH=450&amp;","START_MAXIMIZED=FALSE&amp;VAR:CALENDAR=US&amp;VAR:SYMBOL=RAI&amp;VAR:INDEX=0"}</definedName>
    <definedName name="_247">#REF!</definedName>
    <definedName name="_247__FDSAUDITLINK__" localSheetId="0"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__FDSAUDITLINK__" hidden="1">{"fdsup://directions/FAT Viewer?action=UPDATE&amp;creator=factset&amp;DYN_ARGS=TRUE&amp;DOC_NAME=FAT:FQL_AUDITING_CLIENT_TEMPLATE.FAT&amp;display_string=Audit&amp;VAR:KEY=ROBYDULAVS&amp;VAR:QUERY=RkZfRElWX1lMRChBTk4sNy8xMy8wNiw3LzEzLzA2KQ==&amp;WINDOW=FIRST_POPUP&amp;HEIGHT=450&amp;WIDTH=450&amp;","START_MAXIMIZED=FALSE&amp;VAR:CALENDAR=US&amp;VAR:SYMBOL=RAI&amp;VAR:INDEX=0"}</definedName>
    <definedName name="_2470__FDSAUDITLINK__" localSheetId="0"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0__FDSAUDITLINK__" hidden="1">{"fdsup://directions/FAT Viewer?action=UPDATE&amp;creator=factset&amp;DYN_ARGS=TRUE&amp;DOC_NAME=FAT:FQL_AUDITING_CLIENT_TEMPLATE.FAT&amp;display_string=Audit&amp;VAR:KEY=INKXODCRGR&amp;VAR:QUERY=RkZfRElWX1lMRChBTk4sMi8wNC8wNCwyLzA0LzA0KQ==&amp;WINDOW=FIRST_POPUP&amp;HEIGHT=450&amp;WIDTH=450&amp;","START_MAXIMIZED=FALSE&amp;VAR:CALENDAR=US&amp;VAR:SYMBOL=RAI&amp;VAR:INDEX=0"}</definedName>
    <definedName name="_2471__FDSAUDITLINK__" localSheetId="0"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1__FDSAUDITLINK__" hidden="1">{"fdsup://directions/FAT Viewer?action=UPDATE&amp;creator=factset&amp;DYN_ARGS=TRUE&amp;DOC_NAME=FAT:FQL_AUDITING_CLIENT_TEMPLATE.FAT&amp;display_string=Audit&amp;VAR:KEY=GDCFSXYNUZ&amp;VAR:QUERY=RkZfRElWX1lMRChBTk4sMS8yOC8wNCwxLzI4LzA0KQ==&amp;WINDOW=FIRST_POPUP&amp;HEIGHT=450&amp;WIDTH=450&amp;","START_MAXIMIZED=FALSE&amp;VAR:CALENDAR=US&amp;VAR:SYMBOL=RAI&amp;VAR:INDEX=0"}</definedName>
    <definedName name="_2472__FDSAUDITLINK__" localSheetId="0"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2__FDSAUDITLINK__" hidden="1">{"fdsup://directions/FAT Viewer?action=UPDATE&amp;creator=factset&amp;DYN_ARGS=TRUE&amp;DOC_NAME=FAT:FQL_AUDITING_CLIENT_TEMPLATE.FAT&amp;display_string=Audit&amp;VAR:KEY=IPKBITEXUD&amp;VAR:QUERY=RkZfRElWX1lMRChBTk4sMS8yMS8wNCwxLzIxLzA0KQ==&amp;WINDOW=FIRST_POPUP&amp;HEIGHT=450&amp;WIDTH=450&amp;","START_MAXIMIZED=FALSE&amp;VAR:CALENDAR=US&amp;VAR:SYMBOL=RAI&amp;VAR:INDEX=0"}</definedName>
    <definedName name="_2473__FDSAUDITLINK__" localSheetId="0"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3__FDSAUDITLINK__" hidden="1">{"fdsup://directions/FAT Viewer?action=UPDATE&amp;creator=factset&amp;DYN_ARGS=TRUE&amp;DOC_NAME=FAT:FQL_AUDITING_CLIENT_TEMPLATE.FAT&amp;display_string=Audit&amp;VAR:KEY=YJETEFUZMB&amp;VAR:QUERY=RkZfRElWX1lMRChBTk4sMS8xNC8wNCwxLzE0LzA0KQ==&amp;WINDOW=FIRST_POPUP&amp;HEIGHT=450&amp;WIDTH=450&amp;","START_MAXIMIZED=FALSE&amp;VAR:CALENDAR=US&amp;VAR:SYMBOL=RAI&amp;VAR:INDEX=0"}</definedName>
    <definedName name="_2474__FDSAUDITLINK__" localSheetId="0"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4__FDSAUDITLINK__" hidden="1">{"fdsup://directions/FAT Viewer?action=UPDATE&amp;creator=factset&amp;DYN_ARGS=TRUE&amp;DOC_NAME=FAT:FQL_AUDITING_CLIENT_TEMPLATE.FAT&amp;display_string=Audit&amp;VAR:KEY=WRQXQFEPIT&amp;VAR:QUERY=RkZfRElWX1lMRChBTk4sMS8wNy8wNCwxLzA3LzA0KQ==&amp;WINDOW=FIRST_POPUP&amp;HEIGHT=450&amp;WIDTH=450&amp;","START_MAXIMIZED=FALSE&amp;VAR:CALENDAR=US&amp;VAR:SYMBOL=RAI&amp;VAR:INDEX=0"}</definedName>
    <definedName name="_2475__FDSAUDITLINK__" localSheetId="0"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5__FDSAUDITLINK__" hidden="1">{"fdsup://directions/FAT Viewer?action=UPDATE&amp;creator=factset&amp;DYN_ARGS=TRUE&amp;DOC_NAME=FAT:FQL_AUDITING_CLIENT_TEMPLATE.FAT&amp;display_string=Audit&amp;VAR:KEY=YBMFMRAVSB&amp;VAR:QUERY=RkZfRElWX1lMRChBTk4sMTIvMzEvMDMsMTIvMzEvMDMp&amp;WINDOW=FIRST_POPUP&amp;HEIGHT=450&amp;WIDTH=450&amp;","START_MAXIMIZED=FALSE&amp;VAR:CALENDAR=US&amp;VAR:SYMBOL=RAI&amp;VAR:INDEX=0"}</definedName>
    <definedName name="_2476__FDSAUDITLINK__" localSheetId="0"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6__FDSAUDITLINK__" hidden="1">{"fdsup://directions/FAT Viewer?action=UPDATE&amp;creator=factset&amp;DYN_ARGS=TRUE&amp;DOC_NAME=FAT:FQL_AUDITING_CLIENT_TEMPLATE.FAT&amp;display_string=Audit&amp;VAR:KEY=GJOLQDEBUX&amp;VAR:QUERY=RkZfRElWX1lMRChBTk4sMTIvMjQvMDMsMTIvMjQvMDMp&amp;WINDOW=FIRST_POPUP&amp;HEIGHT=450&amp;WIDTH=450&amp;","START_MAXIMIZED=FALSE&amp;VAR:CALENDAR=US&amp;VAR:SYMBOL=RAI&amp;VAR:INDEX=0"}</definedName>
    <definedName name="_2477__FDSAUDITLINK__" localSheetId="0"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7__FDSAUDITLINK__" hidden="1">{"fdsup://directions/FAT Viewer?action=UPDATE&amp;creator=factset&amp;DYN_ARGS=TRUE&amp;DOC_NAME=FAT:FQL_AUDITING_CLIENT_TEMPLATE.FAT&amp;display_string=Audit&amp;VAR:KEY=QTSDAXONMX&amp;VAR:QUERY=RkZfRElWX1lMRChBTk4sMTIvMTcvMDMsMTIvMTcvMDMp&amp;WINDOW=FIRST_POPUP&amp;HEIGHT=450&amp;WIDTH=450&amp;","START_MAXIMIZED=FALSE&amp;VAR:CALENDAR=US&amp;VAR:SYMBOL=RAI&amp;VAR:INDEX=0"}</definedName>
    <definedName name="_2478__FDSAUDITLINK__" localSheetId="0"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8__FDSAUDITLINK__" hidden="1">{"fdsup://directions/FAT Viewer?action=UPDATE&amp;creator=factset&amp;DYN_ARGS=TRUE&amp;DOC_NAME=FAT:FQL_AUDITING_CLIENT_TEMPLATE.FAT&amp;display_string=Audit&amp;VAR:KEY=YTQTYZUPMJ&amp;VAR:QUERY=RkZfRElWX1lMRChBTk4sMTIvMTAvMDMsMTIvMTAvMDMp&amp;WINDOW=FIRST_POPUP&amp;HEIGHT=450&amp;WIDTH=450&amp;","START_MAXIMIZED=FALSE&amp;VAR:CALENDAR=US&amp;VAR:SYMBOL=RAI&amp;VAR:INDEX=0"}</definedName>
    <definedName name="_2479__FDSAUDITLINK__" localSheetId="0"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79__FDSAUDITLINK__" hidden="1">{"fdsup://directions/FAT Viewer?action=UPDATE&amp;creator=factset&amp;DYN_ARGS=TRUE&amp;DOC_NAME=FAT:FQL_AUDITING_CLIENT_TEMPLATE.FAT&amp;display_string=Audit&amp;VAR:KEY=IHGZKDGVSD&amp;VAR:QUERY=RkZfRElWX1lMRChBTk4sMTIvMDMvMDMsMTIvMDMvMDMp&amp;WINDOW=FIRST_POPUP&amp;HEIGHT=450&amp;WIDTH=450&amp;","START_MAXIMIZED=FALSE&amp;VAR:CALENDAR=US&amp;VAR:SYMBOL=RAI&amp;VAR:INDEX=0"}</definedName>
    <definedName name="_248">#REF!</definedName>
    <definedName name="_248__FDSAUDITLINK__" localSheetId="0"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__FDSAUDITLINK__" hidden="1">{"fdsup://directions/FAT Viewer?action=UPDATE&amp;creator=factset&amp;DYN_ARGS=TRUE&amp;DOC_NAME=FAT:FQL_AUDITING_CLIENT_TEMPLATE.FAT&amp;display_string=Audit&amp;VAR:KEY=NAPKDQZWLW&amp;VAR:QUERY=RkZfRElWX1lMRChBTk4sNy8wNi8wNiw3LzA2LzA2KQ==&amp;WINDOW=FIRST_POPUP&amp;HEIGHT=450&amp;WIDTH=450&amp;","START_MAXIMIZED=FALSE&amp;VAR:CALENDAR=US&amp;VAR:SYMBOL=RAI&amp;VAR:INDEX=0"}</definedName>
    <definedName name="_2480__FDSAUDITLINK__" localSheetId="0"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0__FDSAUDITLINK__" hidden="1">{"fdsup://directions/FAT Viewer?action=UPDATE&amp;creator=factset&amp;DYN_ARGS=TRUE&amp;DOC_NAME=FAT:FQL_AUDITING_CLIENT_TEMPLATE.FAT&amp;display_string=Audit&amp;VAR:KEY=MNIRWRSFKL&amp;VAR:QUERY=RkZfRElWX1lMRChBTk4sMTEvMjYvMDMsMTEvMjYvMDMp&amp;WINDOW=FIRST_POPUP&amp;HEIGHT=450&amp;WIDTH=450&amp;","START_MAXIMIZED=FALSE&amp;VAR:CALENDAR=US&amp;VAR:SYMBOL=RAI&amp;VAR:INDEX=0"}</definedName>
    <definedName name="_2481__FDSAUDITLINK__" localSheetId="0"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1__FDSAUDITLINK__" hidden="1">{"fdsup://directions/FAT Viewer?action=UPDATE&amp;creator=factset&amp;DYN_ARGS=TRUE&amp;DOC_NAME=FAT:FQL_AUDITING_CLIENT_TEMPLATE.FAT&amp;display_string=Audit&amp;VAR:KEY=UFGLQRANMN&amp;VAR:QUERY=RkZfRElWX1lMRChBTk4sMTEvMTkvMDMsMTEvMTkvMDMp&amp;WINDOW=FIRST_POPUP&amp;HEIGHT=450&amp;WIDTH=450&amp;","START_MAXIMIZED=FALSE&amp;VAR:CALENDAR=US&amp;VAR:SYMBOL=RAI&amp;VAR:INDEX=0"}</definedName>
    <definedName name="_2482__FDSAUDITLINK__" localSheetId="0"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2__FDSAUDITLINK__" hidden="1">{"fdsup://directions/FAT Viewer?action=UPDATE&amp;creator=factset&amp;DYN_ARGS=TRUE&amp;DOC_NAME=FAT:FQL_AUDITING_CLIENT_TEMPLATE.FAT&amp;display_string=Audit&amp;VAR:KEY=EHALSNUXEF&amp;VAR:QUERY=RkZfRElWX1lMRChBTk4sMTEvMTIvMDMsMTEvMTIvMDMp&amp;WINDOW=FIRST_POPUP&amp;HEIGHT=450&amp;WIDTH=450&amp;","START_MAXIMIZED=FALSE&amp;VAR:CALENDAR=US&amp;VAR:SYMBOL=RAI&amp;VAR:INDEX=0"}</definedName>
    <definedName name="_2483__FDSAUDITLINK__" localSheetId="0"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3__FDSAUDITLINK__" hidden="1">{"fdsup://directions/FAT Viewer?action=UPDATE&amp;creator=factset&amp;DYN_ARGS=TRUE&amp;DOC_NAME=FAT:FQL_AUDITING_CLIENT_TEMPLATE.FAT&amp;display_string=Audit&amp;VAR:KEY=CVKZOZMDKL&amp;VAR:QUERY=RkZfRElWX1lMRChBTk4sMTEvMDUvMDMsMTEvMDUvMDMp&amp;WINDOW=FIRST_POPUP&amp;HEIGHT=450&amp;WIDTH=450&amp;","START_MAXIMIZED=FALSE&amp;VAR:CALENDAR=US&amp;VAR:SYMBOL=RAI&amp;VAR:INDEX=0"}</definedName>
    <definedName name="_2484__FDSAUDITLINK__" localSheetId="0"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4__FDSAUDITLINK__" hidden="1">{"fdsup://directions/FAT Viewer?action=UPDATE&amp;creator=factset&amp;DYN_ARGS=TRUE&amp;DOC_NAME=FAT:FQL_AUDITING_CLIENT_TEMPLATE.FAT&amp;display_string=Audit&amp;VAR:KEY=ILCJANILIJ&amp;VAR:QUERY=RkZfRElWX1lMRChBTk4sMTAvMjkvMDMsMTAvMjkvMDMp&amp;WINDOW=FIRST_POPUP&amp;HEIGHT=450&amp;WIDTH=450&amp;","START_MAXIMIZED=FALSE&amp;VAR:CALENDAR=US&amp;VAR:SYMBOL=RAI&amp;VAR:INDEX=0"}</definedName>
    <definedName name="_2485__FDSAUDITLINK__" localSheetId="0"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5__FDSAUDITLINK__" hidden="1">{"fdsup://directions/FAT Viewer?action=UPDATE&amp;creator=factset&amp;DYN_ARGS=TRUE&amp;DOC_NAME=FAT:FQL_AUDITING_CLIENT_TEMPLATE.FAT&amp;display_string=Audit&amp;VAR:KEY=UFEFMVABMJ&amp;VAR:QUERY=RkZfRElWX1lMRChBTk4sMTAvMjIvMDMsMTAvMjIvMDMp&amp;WINDOW=FIRST_POPUP&amp;HEIGHT=450&amp;WIDTH=450&amp;","START_MAXIMIZED=FALSE&amp;VAR:CALENDAR=US&amp;VAR:SYMBOL=RAI&amp;VAR:INDEX=0"}</definedName>
    <definedName name="_2486__FDSAUDITLINK__" localSheetId="0"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6__FDSAUDITLINK__" hidden="1">{"fdsup://directions/FAT Viewer?action=UPDATE&amp;creator=factset&amp;DYN_ARGS=TRUE&amp;DOC_NAME=FAT:FQL_AUDITING_CLIENT_TEMPLATE.FAT&amp;display_string=Audit&amp;VAR:KEY=EPWNSFKZYP&amp;VAR:QUERY=RkZfRElWX1lMRChBTk4sMTAvMTUvMDMsMTAvMTUvMDMp&amp;WINDOW=FIRST_POPUP&amp;HEIGHT=450&amp;WIDTH=450&amp;","START_MAXIMIZED=FALSE&amp;VAR:CALENDAR=US&amp;VAR:SYMBOL=RAI&amp;VAR:INDEX=0"}</definedName>
    <definedName name="_2487__FDSAUDITLINK__" localSheetId="0"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7__FDSAUDITLINK__" hidden="1">{"fdsup://directions/FAT Viewer?action=UPDATE&amp;creator=factset&amp;DYN_ARGS=TRUE&amp;DOC_NAME=FAT:FQL_AUDITING_CLIENT_TEMPLATE.FAT&amp;display_string=Audit&amp;VAR:KEY=CRYHSDSBMT&amp;VAR:QUERY=RkZfRElWX1lMRChBTk4sMTAvMDgvMDMsMTAvMDgvMDMp&amp;WINDOW=FIRST_POPUP&amp;HEIGHT=450&amp;WIDTH=450&amp;","START_MAXIMIZED=FALSE&amp;VAR:CALENDAR=US&amp;VAR:SYMBOL=RAI&amp;VAR:INDEX=0"}</definedName>
    <definedName name="_2488__FDSAUDITLINK__" localSheetId="0"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8__FDSAUDITLINK__" hidden="1">{"fdsup://directions/FAT Viewer?action=UPDATE&amp;creator=factset&amp;DYN_ARGS=TRUE&amp;DOC_NAME=FAT:FQL_AUDITING_CLIENT_TEMPLATE.FAT&amp;display_string=Audit&amp;VAR:KEY=OZYRUJSHAB&amp;VAR:QUERY=RkZfRElWX1lMRChBTk4sMTAvMDEvMDMsMTAvMDEvMDMp&amp;WINDOW=FIRST_POPUP&amp;HEIGHT=450&amp;WIDTH=450&amp;","START_MAXIMIZED=FALSE&amp;VAR:CALENDAR=US&amp;VAR:SYMBOL=RAI&amp;VAR:INDEX=0"}</definedName>
    <definedName name="_2489__FDSAUDITLINK__" localSheetId="0"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89__FDSAUDITLINK__" hidden="1">{"fdsup://directions/FAT Viewer?action=UPDATE&amp;creator=factset&amp;DYN_ARGS=TRUE&amp;DOC_NAME=FAT:FQL_AUDITING_CLIENT_TEMPLATE.FAT&amp;display_string=Audit&amp;VAR:KEY=APGDMXMBUZ&amp;VAR:QUERY=RkZfRElWX1lMRChBTk4sOS8yNC8wMyw5LzI0LzAzKQ==&amp;WINDOW=FIRST_POPUP&amp;HEIGHT=450&amp;WIDTH=450&amp;","START_MAXIMIZED=FALSE&amp;VAR:CALENDAR=US&amp;VAR:SYMBOL=RAI&amp;VAR:INDEX=0"}</definedName>
    <definedName name="_249">#REF!</definedName>
    <definedName name="_249__FDSAUDITLINK__" localSheetId="0"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__FDSAUDITLINK__" hidden="1">{"fdsup://directions/FAT Viewer?action=UPDATE&amp;creator=factset&amp;DYN_ARGS=TRUE&amp;DOC_NAME=FAT:FQL_AUDITING_CLIENT_TEMPLATE.FAT&amp;display_string=Audit&amp;VAR:KEY=PKZOLULIJQ&amp;VAR:QUERY=RkZfRElWX1lMRChBTk4sNi8yOS8wNiw2LzI5LzA2KQ==&amp;WINDOW=FIRST_POPUP&amp;HEIGHT=450&amp;WIDTH=450&amp;","START_MAXIMIZED=FALSE&amp;VAR:CALENDAR=US&amp;VAR:SYMBOL=RAI&amp;VAR:INDEX=0"}</definedName>
    <definedName name="_2490__FDSAUDITLINK__" localSheetId="0"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0__FDSAUDITLINK__" hidden="1">{"fdsup://directions/FAT Viewer?action=UPDATE&amp;creator=factset&amp;DYN_ARGS=TRUE&amp;DOC_NAME=FAT:FQL_AUDITING_CLIENT_TEMPLATE.FAT&amp;display_string=Audit&amp;VAR:KEY=ELEROFATIN&amp;VAR:QUERY=RkZfRElWX1lMRChBTk4sOS8xNy8wMyw5LzE3LzAzKQ==&amp;WINDOW=FIRST_POPUP&amp;HEIGHT=450&amp;WIDTH=450&amp;","START_MAXIMIZED=FALSE&amp;VAR:CALENDAR=US&amp;VAR:SYMBOL=RAI&amp;VAR:INDEX=0"}</definedName>
    <definedName name="_2491__FDSAUDITLINK__" localSheetId="0"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1__FDSAUDITLINK__" hidden="1">{"fdsup://directions/FAT Viewer?action=UPDATE&amp;creator=factset&amp;DYN_ARGS=TRUE&amp;DOC_NAME=FAT:FQL_AUDITING_CLIENT_TEMPLATE.FAT&amp;display_string=Audit&amp;VAR:KEY=AZOHYRWJIP&amp;VAR:QUERY=RkZfRElWX1lMRChBTk4sOS8xMC8wMyw5LzEwLzAzKQ==&amp;WINDOW=FIRST_POPUP&amp;HEIGHT=450&amp;WIDTH=450&amp;","START_MAXIMIZED=FALSE&amp;VAR:CALENDAR=US&amp;VAR:SYMBOL=RAI&amp;VAR:INDEX=0"}</definedName>
    <definedName name="_2492__FDSAUDITLINK__" localSheetId="0"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2__FDSAUDITLINK__" hidden="1">{"fdsup://directions/FAT Viewer?action=UPDATE&amp;creator=factset&amp;DYN_ARGS=TRUE&amp;DOC_NAME=FAT:FQL_AUDITING_CLIENT_TEMPLATE.FAT&amp;display_string=Audit&amp;VAR:KEY=KZWPWXGPQV&amp;VAR:QUERY=RkZfRElWX1lMRChBTk4sOS8wMy8wMyw5LzAzLzAzKQ==&amp;WINDOW=FIRST_POPUP&amp;HEIGHT=450&amp;WIDTH=450&amp;","START_MAXIMIZED=FALSE&amp;VAR:CALENDAR=US&amp;VAR:SYMBOL=RAI&amp;VAR:INDEX=0"}</definedName>
    <definedName name="_2493__FDSAUDITLINK__" localSheetId="0"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3__FDSAUDITLINK__" hidden="1">{"fdsup://directions/FAT Viewer?action=UPDATE&amp;creator=factset&amp;DYN_ARGS=TRUE&amp;DOC_NAME=FAT:FQL_AUDITING_CLIENT_TEMPLATE.FAT&amp;display_string=Audit&amp;VAR:KEY=GDONOHCDYP&amp;VAR:QUERY=RkZfRElWX1lMRChBTk4sOC8yNy8wMyw4LzI3LzAzKQ==&amp;WINDOW=FIRST_POPUP&amp;HEIGHT=450&amp;WIDTH=450&amp;","START_MAXIMIZED=FALSE&amp;VAR:CALENDAR=US&amp;VAR:SYMBOL=RAI&amp;VAR:INDEX=0"}</definedName>
    <definedName name="_2494__FDSAUDITLINK__" localSheetId="0"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4__FDSAUDITLINK__" hidden="1">{"fdsup://directions/FAT Viewer?action=UPDATE&amp;creator=factset&amp;DYN_ARGS=TRUE&amp;DOC_NAME=FAT:FQL_AUDITING_CLIENT_TEMPLATE.FAT&amp;display_string=Audit&amp;VAR:KEY=YZQBABCHUB&amp;VAR:QUERY=RkZfRElWX1lMRChBTk4sOC8yMC8wMyw4LzIwLzAzKQ==&amp;WINDOW=FIRST_POPUP&amp;HEIGHT=450&amp;WIDTH=450&amp;","START_MAXIMIZED=FALSE&amp;VAR:CALENDAR=US&amp;VAR:SYMBOL=RAI&amp;VAR:INDEX=0"}</definedName>
    <definedName name="_2495__FDSAUDITLINK__" localSheetId="0"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5__FDSAUDITLINK__" hidden="1">{"fdsup://directions/FAT Viewer?action=UPDATE&amp;creator=factset&amp;DYN_ARGS=TRUE&amp;DOC_NAME=FAT:FQL_AUDITING_CLIENT_TEMPLATE.FAT&amp;display_string=Audit&amp;VAR:KEY=KTUVQBIFIL&amp;VAR:QUERY=RkZfRElWX1lMRChBTk4sOC8xMy8wMyw4LzEzLzAzKQ==&amp;WINDOW=FIRST_POPUP&amp;HEIGHT=450&amp;WIDTH=450&amp;","START_MAXIMIZED=FALSE&amp;VAR:CALENDAR=US&amp;VAR:SYMBOL=RAI&amp;VAR:INDEX=0"}</definedName>
    <definedName name="_2496__FDSAUDITLINK__" localSheetId="0"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6__FDSAUDITLINK__" hidden="1">{"fdsup://directions/FAT Viewer?action=UPDATE&amp;creator=factset&amp;DYN_ARGS=TRUE&amp;DOC_NAME=FAT:FQL_AUDITING_CLIENT_TEMPLATE.FAT&amp;display_string=Audit&amp;VAR:KEY=GVYTGTKDST&amp;VAR:QUERY=RkZfRElWX1lMRChBTk4sOC8wNi8wMyw4LzA2LzAzKQ==&amp;WINDOW=FIRST_POPUP&amp;HEIGHT=450&amp;WIDTH=450&amp;","START_MAXIMIZED=FALSE&amp;VAR:CALENDAR=US&amp;VAR:SYMBOL=RAI&amp;VAR:INDEX=0"}</definedName>
    <definedName name="_2497__FDSAUDITLINK__" localSheetId="0"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7__FDSAUDITLINK__" hidden="1">{"fdsup://directions/FAT Viewer?action=UPDATE&amp;creator=factset&amp;DYN_ARGS=TRUE&amp;DOC_NAME=FAT:FQL_AUDITING_CLIENT_TEMPLATE.FAT&amp;display_string=Audit&amp;VAR:KEY=KBYDODENUD&amp;VAR:QUERY=RkZfRElWX1lMRChBTk4sNy8zMC8wMyw3LzMwLzAzKQ==&amp;WINDOW=FIRST_POPUP&amp;HEIGHT=450&amp;WIDTH=450&amp;","START_MAXIMIZED=FALSE&amp;VAR:CALENDAR=US&amp;VAR:SYMBOL=RAI&amp;VAR:INDEX=0"}</definedName>
    <definedName name="_2498__FDSAUDITLINK__" localSheetId="0"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8__FDSAUDITLINK__" hidden="1">{"fdsup://directions/FAT Viewer?action=UPDATE&amp;creator=factset&amp;DYN_ARGS=TRUE&amp;DOC_NAME=FAT:FQL_AUDITING_CLIENT_TEMPLATE.FAT&amp;display_string=Audit&amp;VAR:KEY=SHALIXYTWX&amp;VAR:QUERY=RkZfRElWX1lMRChBTk4sNy8yMy8wMyw3LzIzLzAzKQ==&amp;WINDOW=FIRST_POPUP&amp;HEIGHT=450&amp;WIDTH=450&amp;","START_MAXIMIZED=FALSE&amp;VAR:CALENDAR=US&amp;VAR:SYMBOL=RAI&amp;VAR:INDEX=0"}</definedName>
    <definedName name="_2499__FDSAUDITLINK__" localSheetId="0"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99__FDSAUDITLINK__" hidden="1">{"fdsup://directions/FAT Viewer?action=UPDATE&amp;creator=factset&amp;DYN_ARGS=TRUE&amp;DOC_NAME=FAT:FQL_AUDITING_CLIENT_TEMPLATE.FAT&amp;display_string=Audit&amp;VAR:KEY=ALAXSRYNQP&amp;VAR:QUERY=RkZfRElWX1lMRChBTk4sNy8xNi8wMyw3LzE2LzAzKQ==&amp;WINDOW=FIRST_POPUP&amp;HEIGHT=450&amp;WIDTH=450&amp;","START_MAXIMIZED=FALSE&amp;VAR:CALENDAR=US&amp;VAR:SYMBOL=RAI&amp;VAR:INDEX=0"}</definedName>
    <definedName name="_24aa1_" hidden="1">{#N/A,#N/A,FALSE,"Aging Summary";#N/A,#N/A,FALSE,"Ratio Analysis";#N/A,#N/A,FALSE,"Test 120 Day Accts";#N/A,#N/A,FALSE,"Tickmarks"}</definedName>
    <definedName name="_24main_form_account_grants_list_19_j_id1022">#REF!</definedName>
    <definedName name="_24s4_" hidden="1">{#N/A,#N/A,FALSE,"UNIT";#N/A,#N/A,FALSE,"UNIT";#N/A,#N/A,FALSE,"계정"}</definedName>
    <definedName name="_25________B_S">#REF!</definedName>
    <definedName name="_25__123Graph_ACHART_3">#REF!</definedName>
    <definedName name="_25__123Graph_ASUPPLIES_BY_B_U">#REF!</definedName>
    <definedName name="_25__123Graph_BGROWTH_REVS_A" hidden="1">#REF!</definedName>
    <definedName name="_25__123Graph_BWAGES_BY_B_U">#REF!</definedName>
    <definedName name="_25__123Graph_CChart_18K">#REF!</definedName>
    <definedName name="_25__123Graph_CSENS_COMPARISON">#REF!</definedName>
    <definedName name="_25__123Graph_DQRE_S_BY_CO.">#REF!</definedName>
    <definedName name="_25__123Graph_DSUPPLIES_BY_B_U">#REF!</definedName>
    <definedName name="_25__123Graph_ECONTRACT_BY_B_U" hidden="1">#REF!</definedName>
    <definedName name="_25__123Graph_EQRE_S_BY_CO.">#REF!</definedName>
    <definedName name="_25__123Graph_ESUPPLIES_BY_B_U">#REF!</definedName>
    <definedName name="_25__123Graph_EWAGES_BY_B_U">#REF!</definedName>
    <definedName name="_25__FDSAUDITLINK__" localSheetId="0"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_FDSAUDITLINK__" hidden="1">{"fdsup://directions/FAT Viewer?action=UPDATE&amp;creator=factset&amp;DYN_ARGS=TRUE&amp;DOC_NAME=FAT:FQL_AUDITING_CLIENT_TEMPLATE.FAT&amp;display_string=Audit&amp;VAR:KEY=IROHGHYDCF&amp;VAR:QUERY=Q1NGX0RJVl9ZTEQoUVRSX1IsMTIvMzEvMjAwNCk=&amp;WINDOW=FIRST_POPUP&amp;HEIGHT=450&amp;WIDTH=450&amp;STAR","T_MAXIMIZED=FALSE&amp;VAR:CALENDAR=US&amp;VAR:SYMBOL=MO&amp;VAR:INDEX=0"}</definedName>
    <definedName name="_25_09_1998">#REF!</definedName>
    <definedName name="_250">#REF!</definedName>
    <definedName name="_250__FDSAUDITLINK__" localSheetId="0"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__FDSAUDITLINK__" hidden="1">{"fdsup://directions/FAT Viewer?action=UPDATE&amp;creator=factset&amp;DYN_ARGS=TRUE&amp;DOC_NAME=FAT:FQL_AUDITING_CLIENT_TEMPLATE.FAT&amp;display_string=Audit&amp;VAR:KEY=VQPANSRGXO&amp;VAR:QUERY=RkZfRElWX1lMRChBTk4sNi8yMi8wNiw2LzIyLzA2KQ==&amp;WINDOW=FIRST_POPUP&amp;HEIGHT=450&amp;WIDTH=450&amp;","START_MAXIMIZED=FALSE&amp;VAR:CALENDAR=US&amp;VAR:SYMBOL=RAI&amp;VAR:INDEX=0"}</definedName>
    <definedName name="_2500__FDSAUDITLINK__" localSheetId="0"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0__FDSAUDITLINK__" hidden="1">{"fdsup://directions/FAT Viewer?action=UPDATE&amp;creator=factset&amp;DYN_ARGS=TRUE&amp;DOC_NAME=FAT:FQL_AUDITING_CLIENT_TEMPLATE.FAT&amp;display_string=Audit&amp;VAR:KEY=QPMDIVIZMN&amp;VAR:QUERY=RkZfRElWX1lMRChBTk4sNy8wOS8wMyw3LzA5LzAzKQ==&amp;WINDOW=FIRST_POPUP&amp;HEIGHT=450&amp;WIDTH=450&amp;","START_MAXIMIZED=FALSE&amp;VAR:CALENDAR=US&amp;VAR:SYMBOL=RAI&amp;VAR:INDEX=0"}</definedName>
    <definedName name="_2501__FDSAUDITLINK__" localSheetId="0"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1__FDSAUDITLINK__" hidden="1">{"fdsup://directions/FAT Viewer?action=UPDATE&amp;creator=factset&amp;DYN_ARGS=TRUE&amp;DOC_NAME=FAT:FQL_AUDITING_CLIENT_TEMPLATE.FAT&amp;display_string=Audit&amp;VAR:KEY=ABYPGLQTIT&amp;VAR:QUERY=RkZfRElWX1lMRChBTk4sNy8wMi8wMyw3LzAyLzAzKQ==&amp;WINDOW=FIRST_POPUP&amp;HEIGHT=450&amp;WIDTH=450&amp;","START_MAXIMIZED=FALSE&amp;VAR:CALENDAR=US&amp;VAR:SYMBOL=RAI&amp;VAR:INDEX=0"}</definedName>
    <definedName name="_2502__FDSAUDITLINK__" localSheetId="0"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2__FDSAUDITLINK__" hidden="1">{"fdsup://directions/FAT Viewer?action=UPDATE&amp;creator=factset&amp;DYN_ARGS=TRUE&amp;DOC_NAME=FAT:FQL_AUDITING_CLIENT_TEMPLATE.FAT&amp;display_string=Audit&amp;VAR:KEY=OBEXYXCDED&amp;VAR:QUERY=RkZfRElWX1lMRChBTk4sNi8yNS8wMyw2LzI1LzAzKQ==&amp;WINDOW=FIRST_POPUP&amp;HEIGHT=450&amp;WIDTH=450&amp;","START_MAXIMIZED=FALSE&amp;VAR:CALENDAR=US&amp;VAR:SYMBOL=RAI&amp;VAR:INDEX=0"}</definedName>
    <definedName name="_2503__FDSAUDITLINK__" localSheetId="0"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3__FDSAUDITLINK__" hidden="1">{"fdsup://directions/FAT Viewer?action=UPDATE&amp;creator=factset&amp;DYN_ARGS=TRUE&amp;DOC_NAME=FAT:FQL_AUDITING_CLIENT_TEMPLATE.FAT&amp;display_string=Audit&amp;VAR:KEY=IRSVWTCLIH&amp;VAR:QUERY=RkZfRElWX1lMRChBTk4sNi8xOC8wMyw2LzE4LzAzKQ==&amp;WINDOW=FIRST_POPUP&amp;HEIGHT=450&amp;WIDTH=450&amp;","START_MAXIMIZED=FALSE&amp;VAR:CALENDAR=US&amp;VAR:SYMBOL=RAI&amp;VAR:INDEX=0"}</definedName>
    <definedName name="_2504__FDSAUDITLINK__" localSheetId="0"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4__FDSAUDITLINK__" hidden="1">{"fdsup://directions/FAT Viewer?action=UPDATE&amp;creator=factset&amp;DYN_ARGS=TRUE&amp;DOC_NAME=FAT:FQL_AUDITING_CLIENT_TEMPLATE.FAT&amp;display_string=Audit&amp;VAR:KEY=CNQFUZGBSR&amp;VAR:QUERY=RkZfRElWX1lMRChBTk4sNi8xMS8wMyw2LzExLzAzKQ==&amp;WINDOW=FIRST_POPUP&amp;HEIGHT=450&amp;WIDTH=450&amp;","START_MAXIMIZED=FALSE&amp;VAR:CALENDAR=US&amp;VAR:SYMBOL=RAI&amp;VAR:INDEX=0"}</definedName>
    <definedName name="_2505__FDSAUDITLINK__" localSheetId="0"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5__FDSAUDITLINK__" hidden="1">{"fdsup://directions/FAT Viewer?action=UPDATE&amp;creator=factset&amp;DYN_ARGS=TRUE&amp;DOC_NAME=FAT:FQL_AUDITING_CLIENT_TEMPLATE.FAT&amp;display_string=Audit&amp;VAR:KEY=QZWDEXGLOR&amp;VAR:QUERY=RkZfRElWX1lMRChBTk4sNi8wNC8wMyw2LzA0LzAzKQ==&amp;WINDOW=FIRST_POPUP&amp;HEIGHT=450&amp;WIDTH=450&amp;","START_MAXIMIZED=FALSE&amp;VAR:CALENDAR=US&amp;VAR:SYMBOL=RAI&amp;VAR:INDEX=0"}</definedName>
    <definedName name="_2506__FDSAUDITLINK__" localSheetId="0"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6__FDSAUDITLINK__" hidden="1">{"fdsup://directions/FAT Viewer?action=UPDATE&amp;creator=factset&amp;DYN_ARGS=TRUE&amp;DOC_NAME=FAT:FQL_AUDITING_CLIENT_TEMPLATE.FAT&amp;display_string=Audit&amp;VAR:KEY=WVIDQDMXIZ&amp;VAR:QUERY=RkZfRElWX1lMRChBTk4sNS8yOC8wMyw1LzI4LzAzKQ==&amp;WINDOW=FIRST_POPUP&amp;HEIGHT=450&amp;WIDTH=450&amp;","START_MAXIMIZED=FALSE&amp;VAR:CALENDAR=US&amp;VAR:SYMBOL=RAI&amp;VAR:INDEX=0"}</definedName>
    <definedName name="_2507__FDSAUDITLINK__" localSheetId="0"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7__FDSAUDITLINK__" hidden="1">{"fdsup://directions/FAT Viewer?action=UPDATE&amp;creator=factset&amp;DYN_ARGS=TRUE&amp;DOC_NAME=FAT:FQL_AUDITING_CLIENT_TEMPLATE.FAT&amp;display_string=Audit&amp;VAR:KEY=SFKXEVKPMN&amp;VAR:QUERY=RkZfRElWX1lMRChBTk4sNS8yMS8wMyw1LzIxLzAzKQ==&amp;WINDOW=FIRST_POPUP&amp;HEIGHT=450&amp;WIDTH=450&amp;","START_MAXIMIZED=FALSE&amp;VAR:CALENDAR=US&amp;VAR:SYMBOL=RAI&amp;VAR:INDEX=0"}</definedName>
    <definedName name="_2508__FDSAUDITLINK__" localSheetId="0"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8__FDSAUDITLINK__" hidden="1">{"fdsup://directions/FAT Viewer?action=UPDATE&amp;creator=factset&amp;DYN_ARGS=TRUE&amp;DOC_NAME=FAT:FQL_AUDITING_CLIENT_TEMPLATE.FAT&amp;display_string=Audit&amp;VAR:KEY=GBIXQZGFER&amp;VAR:QUERY=RkZfRElWX1lMRChBTk4sNS8xNC8wMyw1LzE0LzAzKQ==&amp;WINDOW=FIRST_POPUP&amp;HEIGHT=450&amp;WIDTH=450&amp;","START_MAXIMIZED=FALSE&amp;VAR:CALENDAR=US&amp;VAR:SYMBOL=RAI&amp;VAR:INDEX=0"}</definedName>
    <definedName name="_2509">#REF!</definedName>
    <definedName name="_2509__FDSAUDITLINK__" localSheetId="0"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09__FDSAUDITLINK__" hidden="1">{"fdsup://directions/FAT Viewer?action=UPDATE&amp;creator=factset&amp;DYN_ARGS=TRUE&amp;DOC_NAME=FAT:FQL_AUDITING_CLIENT_TEMPLATE.FAT&amp;display_string=Audit&amp;VAR:KEY=WNOHEXYJWL&amp;VAR:QUERY=RkZfRElWX1lMRChBTk4sNS8wNy8wMyw1LzA3LzAzKQ==&amp;WINDOW=FIRST_POPUP&amp;HEIGHT=450&amp;WIDTH=450&amp;","START_MAXIMIZED=FALSE&amp;VAR:CALENDAR=US&amp;VAR:SYMBOL=RAI&amp;VAR:INDEX=0"}</definedName>
    <definedName name="_251__FDSAUDITLINK__" localSheetId="0"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__FDSAUDITLINK__" hidden="1">{"fdsup://directions/FAT Viewer?action=UPDATE&amp;creator=factset&amp;DYN_ARGS=TRUE&amp;DOC_NAME=FAT:FQL_AUDITING_CLIENT_TEMPLATE.FAT&amp;display_string=Audit&amp;VAR:KEY=ZYLQLEHWZK&amp;VAR:QUERY=RkZfRElWX1lMRChBTk4sNi8xNS8wNiw2LzE1LzA2KQ==&amp;WINDOW=FIRST_POPUP&amp;HEIGHT=450&amp;WIDTH=450&amp;","START_MAXIMIZED=FALSE&amp;VAR:CALENDAR=US&amp;VAR:SYMBOL=RAI&amp;VAR:INDEX=0"}</definedName>
    <definedName name="_2510">#REF!</definedName>
    <definedName name="_2510__FDSAUDITLINK__" localSheetId="0"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0__FDSAUDITLINK__" hidden="1">{"fdsup://directions/FAT Viewer?action=UPDATE&amp;creator=factset&amp;DYN_ARGS=TRUE&amp;DOC_NAME=FAT:FQL_AUDITING_CLIENT_TEMPLATE.FAT&amp;display_string=Audit&amp;VAR:KEY=WLMBKRODIN&amp;VAR:QUERY=RkZfRElWX1lMRChBTk4sNC8zMC8wMyw0LzMwLzAzKQ==&amp;WINDOW=FIRST_POPUP&amp;HEIGHT=450&amp;WIDTH=450&amp;","START_MAXIMIZED=FALSE&amp;VAR:CALENDAR=US&amp;VAR:SYMBOL=RAI&amp;VAR:INDEX=0"}</definedName>
    <definedName name="_2511__FDSAUDITLINK__" localSheetId="0"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1__FDSAUDITLINK__" hidden="1">{"fdsup://directions/FAT Viewer?action=UPDATE&amp;creator=factset&amp;DYN_ARGS=TRUE&amp;DOC_NAME=FAT:FQL_AUDITING_CLIENT_TEMPLATE.FAT&amp;display_string=Audit&amp;VAR:KEY=WPYDABMHOB&amp;VAR:QUERY=RkZfRElWX1lMRChBTk4sNC8yMy8wMyw0LzIzLzAzKQ==&amp;WINDOW=FIRST_POPUP&amp;HEIGHT=450&amp;WIDTH=450&amp;","START_MAXIMIZED=FALSE&amp;VAR:CALENDAR=US&amp;VAR:SYMBOL=RAI&amp;VAR:INDEX=0"}</definedName>
    <definedName name="_2512">#REF!</definedName>
    <definedName name="_2512__FDSAUDITLINK__" localSheetId="0"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2__FDSAUDITLINK__" hidden="1">{"fdsup://directions/FAT Viewer?action=UPDATE&amp;creator=factset&amp;DYN_ARGS=TRUE&amp;DOC_NAME=FAT:FQL_AUDITING_CLIENT_TEMPLATE.FAT&amp;display_string=Audit&amp;VAR:KEY=QPWRMZWRYT&amp;VAR:QUERY=RkZfRElWX1lMRChBTk4sNC8xNi8wMyw0LzE2LzAzKQ==&amp;WINDOW=FIRST_POPUP&amp;HEIGHT=450&amp;WIDTH=450&amp;","START_MAXIMIZED=FALSE&amp;VAR:CALENDAR=US&amp;VAR:SYMBOL=RAI&amp;VAR:INDEX=0"}</definedName>
    <definedName name="_2513">#REF!</definedName>
    <definedName name="_2513__FDSAUDITLINK__" localSheetId="0"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3__FDSAUDITLINK__" hidden="1">{"fdsup://directions/FAT Viewer?action=UPDATE&amp;creator=factset&amp;DYN_ARGS=TRUE&amp;DOC_NAME=FAT:FQL_AUDITING_CLIENT_TEMPLATE.FAT&amp;display_string=Audit&amp;VAR:KEY=WJEXCRYJUF&amp;VAR:QUERY=RkZfRElWX1lMRChBTk4sNC8wOS8wMyw0LzA5LzAzKQ==&amp;WINDOW=FIRST_POPUP&amp;HEIGHT=450&amp;WIDTH=450&amp;","START_MAXIMIZED=FALSE&amp;VAR:CALENDAR=US&amp;VAR:SYMBOL=RAI&amp;VAR:INDEX=0"}</definedName>
    <definedName name="_2514__FDSAUDITLINK__" localSheetId="0"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4__FDSAUDITLINK__" hidden="1">{"fdsup://directions/FAT Viewer?action=UPDATE&amp;creator=factset&amp;DYN_ARGS=TRUE&amp;DOC_NAME=FAT:FQL_AUDITING_CLIENT_TEMPLATE.FAT&amp;display_string=Audit&amp;VAR:KEY=MBKJQNKDOH&amp;VAR:QUERY=RkZfRElWX1lMRChBTk4sNC8wMi8wMyw0LzAyLzAzKQ==&amp;WINDOW=FIRST_POPUP&amp;HEIGHT=450&amp;WIDTH=450&amp;","START_MAXIMIZED=FALSE&amp;VAR:CALENDAR=US&amp;VAR:SYMBOL=RAI&amp;VAR:INDEX=0"}</definedName>
    <definedName name="_2515">#REF!</definedName>
    <definedName name="_2515__FDSAUDITLINK__" localSheetId="0"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5__FDSAUDITLINK__" hidden="1">{"fdsup://directions/FAT Viewer?action=UPDATE&amp;creator=factset&amp;DYN_ARGS=TRUE&amp;DOC_NAME=FAT:FQL_AUDITING_CLIENT_TEMPLATE.FAT&amp;display_string=Audit&amp;VAR:KEY=OHYNYXMNWZ&amp;VAR:QUERY=RkZfRElWX1lMRChBTk4sMy8yNi8wMywzLzI2LzAzKQ==&amp;WINDOW=FIRST_POPUP&amp;HEIGHT=450&amp;WIDTH=450&amp;","START_MAXIMIZED=FALSE&amp;VAR:CALENDAR=US&amp;VAR:SYMBOL=RAI&amp;VAR:INDEX=0"}</definedName>
    <definedName name="_2516">#REF!</definedName>
    <definedName name="_2516__FDSAUDITLINK__" localSheetId="0"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6__FDSAUDITLINK__" hidden="1">{"fdsup://directions/FAT Viewer?action=UPDATE&amp;creator=factset&amp;DYN_ARGS=TRUE&amp;DOC_NAME=FAT:FQL_AUDITING_CLIENT_TEMPLATE.FAT&amp;display_string=Audit&amp;VAR:KEY=GXEHSHQRGF&amp;VAR:QUERY=RkZfRElWX1lMRChBTk4sMy8xOS8wMywzLzE5LzAzKQ==&amp;WINDOW=FIRST_POPUP&amp;HEIGHT=450&amp;WIDTH=450&amp;","START_MAXIMIZED=FALSE&amp;VAR:CALENDAR=US&amp;VAR:SYMBOL=RAI&amp;VAR:INDEX=0"}</definedName>
    <definedName name="_2517__FDSAUDITLINK__" localSheetId="0"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7__FDSAUDITLINK__" hidden="1">{"fdsup://directions/FAT Viewer?action=UPDATE&amp;creator=factset&amp;DYN_ARGS=TRUE&amp;DOC_NAME=FAT:FQL_AUDITING_CLIENT_TEMPLATE.FAT&amp;display_string=Audit&amp;VAR:KEY=AXSFGJWBCB&amp;VAR:QUERY=RkZfRElWX1lMRChBTk4sMy8xMi8wMywzLzEyLzAzKQ==&amp;WINDOW=FIRST_POPUP&amp;HEIGHT=450&amp;WIDTH=450&amp;","START_MAXIMIZED=FALSE&amp;VAR:CALENDAR=US&amp;VAR:SYMBOL=RAI&amp;VAR:INDEX=0"}</definedName>
    <definedName name="_2518__FDSAUDITLINK__" localSheetId="0"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8__FDSAUDITLINK__" hidden="1">{"fdsup://directions/FAT Viewer?action=UPDATE&amp;creator=factset&amp;DYN_ARGS=TRUE&amp;DOC_NAME=FAT:FQL_AUDITING_CLIENT_TEMPLATE.FAT&amp;display_string=Audit&amp;VAR:KEY=YPGBEFMRYL&amp;VAR:QUERY=RkZfRElWX1lMRChBTk4sMy8wNS8wMywzLzA1LzAzKQ==&amp;WINDOW=FIRST_POPUP&amp;HEIGHT=450&amp;WIDTH=450&amp;","START_MAXIMIZED=FALSE&amp;VAR:CALENDAR=US&amp;VAR:SYMBOL=RAI&amp;VAR:INDEX=0"}</definedName>
    <definedName name="_2519__FDSAUDITLINK__" localSheetId="0"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19__FDSAUDITLINK__" hidden="1">{"fdsup://directions/FAT Viewer?action=UPDATE&amp;creator=factset&amp;DYN_ARGS=TRUE&amp;DOC_NAME=FAT:FQL_AUDITING_CLIENT_TEMPLATE.FAT&amp;display_string=Audit&amp;VAR:KEY=WJODYZQZUX&amp;VAR:QUERY=RkZfRElWX1lMRChBTk4sMi8yNi8wMywyLzI2LzAzKQ==&amp;WINDOW=FIRST_POPUP&amp;HEIGHT=450&amp;WIDTH=450&amp;","START_MAXIMIZED=FALSE&amp;VAR:CALENDAR=US&amp;VAR:SYMBOL=RAI&amp;VAR:INDEX=0"}</definedName>
    <definedName name="_252__FDSAUDITLINK__" localSheetId="0"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__FDSAUDITLINK__" hidden="1">{"fdsup://directions/FAT Viewer?action=UPDATE&amp;creator=factset&amp;DYN_ARGS=TRUE&amp;DOC_NAME=FAT:FQL_AUDITING_CLIENT_TEMPLATE.FAT&amp;display_string=Audit&amp;VAR:KEY=NMDGDWDEXM&amp;VAR:QUERY=RkZfRElWX1lMRChBTk4sNi8wOC8wNiw2LzA4LzA2KQ==&amp;WINDOW=FIRST_POPUP&amp;HEIGHT=450&amp;WIDTH=450&amp;","START_MAXIMIZED=FALSE&amp;VAR:CALENDAR=US&amp;VAR:SYMBOL=RAI&amp;VAR:INDEX=0"}</definedName>
    <definedName name="_2520__FDSAUDITLINK__" localSheetId="0"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0__FDSAUDITLINK__" hidden="1">{"fdsup://directions/FAT Viewer?action=UPDATE&amp;creator=factset&amp;DYN_ARGS=TRUE&amp;DOC_NAME=FAT:FQL_AUDITING_CLIENT_TEMPLATE.FAT&amp;display_string=Audit&amp;VAR:KEY=ADQJKPARGX&amp;VAR:QUERY=RkZfRElWX1lMRChBTk4sMi8xOS8wMywyLzE5LzAzKQ==&amp;WINDOW=FIRST_POPUP&amp;HEIGHT=450&amp;WIDTH=450&amp;","START_MAXIMIZED=FALSE&amp;VAR:CALENDAR=US&amp;VAR:SYMBOL=RAI&amp;VAR:INDEX=0"}</definedName>
    <definedName name="_2521__FDSAUDITLINK__" localSheetId="0"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1__FDSAUDITLINK__" hidden="1">{"fdsup://directions/FAT Viewer?action=UPDATE&amp;creator=factset&amp;DYN_ARGS=TRUE&amp;DOC_NAME=FAT:FQL_AUDITING_CLIENT_TEMPLATE.FAT&amp;display_string=Audit&amp;VAR:KEY=AXONKXMHQB&amp;VAR:QUERY=RkZfRElWX1lMRChBTk4sMi8xMi8wMywyLzEyLzAzKQ==&amp;WINDOW=FIRST_POPUP&amp;HEIGHT=450&amp;WIDTH=450&amp;","START_MAXIMIZED=FALSE&amp;VAR:CALENDAR=US&amp;VAR:SYMBOL=RAI&amp;VAR:INDEX=0"}</definedName>
    <definedName name="_2522__FDSAUDITLINK__" localSheetId="0"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2__FDSAUDITLINK__" hidden="1">{"fdsup://directions/FAT Viewer?action=UPDATE&amp;creator=factset&amp;DYN_ARGS=TRUE&amp;DOC_NAME=FAT:FQL_AUDITING_CLIENT_TEMPLATE.FAT&amp;display_string=Audit&amp;VAR:KEY=ETCZKNMRQL&amp;VAR:QUERY=RkZfRElWX1lMRChBTk4sMi8wNS8wMywyLzA1LzAzKQ==&amp;WINDOW=FIRST_POPUP&amp;HEIGHT=450&amp;WIDTH=450&amp;","START_MAXIMIZED=FALSE&amp;VAR:CALENDAR=US&amp;VAR:SYMBOL=RAI&amp;VAR:INDEX=0"}</definedName>
    <definedName name="_2523__FDSAUDITLINK__" localSheetId="0"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3__FDSAUDITLINK__" hidden="1">{"fdsup://directions/FAT Viewer?action=UPDATE&amp;creator=factset&amp;DYN_ARGS=TRUE&amp;DOC_NAME=FAT:FQL_AUDITING_CLIENT_TEMPLATE.FAT&amp;display_string=Audit&amp;VAR:KEY=URKFQJQTKJ&amp;VAR:QUERY=RkZfRElWX1lMRChBTk4sMS8yOS8wMywxLzI5LzAzKQ==&amp;WINDOW=FIRST_POPUP&amp;HEIGHT=450&amp;WIDTH=450&amp;","START_MAXIMIZED=FALSE&amp;VAR:CALENDAR=US&amp;VAR:SYMBOL=RAI&amp;VAR:INDEX=0"}</definedName>
    <definedName name="_2524__FDSAUDITLINK__" localSheetId="0"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4__FDSAUDITLINK__" hidden="1">{"fdsup://directions/FAT Viewer?action=UPDATE&amp;creator=factset&amp;DYN_ARGS=TRUE&amp;DOC_NAME=FAT:FQL_AUDITING_CLIENT_TEMPLATE.FAT&amp;display_string=Audit&amp;VAR:KEY=IZWHGLCVGT&amp;VAR:QUERY=RkZfRElWX1lMRChBTk4sMS8yMi8wMywxLzIyLzAzKQ==&amp;WINDOW=FIRST_POPUP&amp;HEIGHT=450&amp;WIDTH=450&amp;","START_MAXIMIZED=FALSE&amp;VAR:CALENDAR=US&amp;VAR:SYMBOL=RAI&amp;VAR:INDEX=0"}</definedName>
    <definedName name="_2525__FDSAUDITLINK__" localSheetId="0"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5__FDSAUDITLINK__" hidden="1">{"fdsup://directions/FAT Viewer?action=UPDATE&amp;creator=factset&amp;DYN_ARGS=TRUE&amp;DOC_NAME=FAT:FQL_AUDITING_CLIENT_TEMPLATE.FAT&amp;display_string=Audit&amp;VAR:KEY=KJSPOTSXKD&amp;VAR:QUERY=RkZfRElWX1lMRChBTk4sMS8xNS8wMywxLzE1LzAzKQ==&amp;WINDOW=FIRST_POPUP&amp;HEIGHT=450&amp;WIDTH=450&amp;","START_MAXIMIZED=FALSE&amp;VAR:CALENDAR=US&amp;VAR:SYMBOL=RAI&amp;VAR:INDEX=0"}</definedName>
    <definedName name="_2526__FDSAUDITLINK__" localSheetId="0"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6__FDSAUDITLINK__" hidden="1">{"fdsup://directions/FAT Viewer?action=UPDATE&amp;creator=factset&amp;DYN_ARGS=TRUE&amp;DOC_NAME=FAT:FQL_AUDITING_CLIENT_TEMPLATE.FAT&amp;display_string=Audit&amp;VAR:KEY=CBQXQVSPQX&amp;VAR:QUERY=RkZfRElWX1lMRChBTk4sMS8wOC8wMywxLzA4LzAzKQ==&amp;WINDOW=FIRST_POPUP&amp;HEIGHT=450&amp;WIDTH=450&amp;","START_MAXIMIZED=FALSE&amp;VAR:CALENDAR=US&amp;VAR:SYMBOL=RAI&amp;VAR:INDEX=0"}</definedName>
    <definedName name="_2527__FDSAUDITLINK__" localSheetId="0"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7__FDSAUDITLINK__" hidden="1">{"fdsup://directions/FAT Viewer?action=UPDATE&amp;creator=factset&amp;DYN_ARGS=TRUE&amp;DOC_NAME=FAT:FQL_AUDITING_CLIENT_TEMPLATE.FAT&amp;display_string=Audit&amp;VAR:KEY=YJMLIHSZSD&amp;VAR:QUERY=RkZfRElWX1lMRChBTk4sMTIvMzEvMDIsMTIvMzEvMDIp&amp;WINDOW=FIRST_POPUP&amp;HEIGHT=450&amp;WIDTH=450&amp;","START_MAXIMIZED=FALSE&amp;VAR:CALENDAR=US&amp;VAR:SYMBOL=RAI&amp;VAR:INDEX=0"}</definedName>
    <definedName name="_2528__FDSAUDITLINK__" localSheetId="0"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8__FDSAUDITLINK__" hidden="1">{"fdsup://directions/FAT Viewer?action=UPDATE&amp;creator=factset&amp;DYN_ARGS=TRUE&amp;DOC_NAME=FAT:FQL_AUDITING_CLIENT_TEMPLATE.FAT&amp;display_string=Audit&amp;VAR:KEY=IVEHADGXUT&amp;VAR:QUERY=RkZfRElWX1lMRChBTk4sMTIvMjQvMDIsMTIvMjQvMDIp&amp;WINDOW=FIRST_POPUP&amp;HEIGHT=450&amp;WIDTH=450&amp;","START_MAXIMIZED=FALSE&amp;VAR:CALENDAR=US&amp;VAR:SYMBOL=RAI&amp;VAR:INDEX=0"}</definedName>
    <definedName name="_2529__FDSAUDITLINK__" localSheetId="0"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29__FDSAUDITLINK__" hidden="1">{"fdsup://directions/FAT Viewer?action=UPDATE&amp;creator=factset&amp;DYN_ARGS=TRUE&amp;DOC_NAME=FAT:FQL_AUDITING_CLIENT_TEMPLATE.FAT&amp;display_string=Audit&amp;VAR:KEY=KPARIPYXSB&amp;VAR:QUERY=RkZfRElWX1lMRChBTk4sMTIvMTgvMDIsMTIvMTgvMDIp&amp;WINDOW=FIRST_POPUP&amp;HEIGHT=450&amp;WIDTH=450&amp;","START_MAXIMIZED=FALSE&amp;VAR:CALENDAR=US&amp;VAR:SYMBOL=RAI&amp;VAR:INDEX=0"}</definedName>
    <definedName name="_253">#REF!</definedName>
    <definedName name="_253__FDSAUDITLINK__" localSheetId="0"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__FDSAUDITLINK__" hidden="1">{"fdsup://directions/FAT Viewer?action=UPDATE&amp;creator=factset&amp;DYN_ARGS=TRUE&amp;DOC_NAME=FAT:FQL_AUDITING_CLIENT_TEMPLATE.FAT&amp;display_string=Audit&amp;VAR:KEY=XWTGTGTGXW&amp;VAR:QUERY=RkZfRElWX1lMRChBTk4sNi8wMS8wNiw2LzAxLzA2KQ==&amp;WINDOW=FIRST_POPUP&amp;HEIGHT=450&amp;WIDTH=450&amp;","START_MAXIMIZED=FALSE&amp;VAR:CALENDAR=US&amp;VAR:SYMBOL=RAI&amp;VAR:INDEX=0"}</definedName>
    <definedName name="_2530__FDSAUDITLINK__" localSheetId="0"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0__FDSAUDITLINK__" hidden="1">{"fdsup://directions/FAT Viewer?action=UPDATE&amp;creator=factset&amp;DYN_ARGS=TRUE&amp;DOC_NAME=FAT:FQL_AUDITING_CLIENT_TEMPLATE.FAT&amp;display_string=Audit&amp;VAR:KEY=CJUTIPYDOV&amp;VAR:QUERY=RkZfRElWX1lMRChBTk4sMTIvMTEvMDIsMTIvMTEvMDIp&amp;WINDOW=FIRST_POPUP&amp;HEIGHT=450&amp;WIDTH=450&amp;","START_MAXIMIZED=FALSE&amp;VAR:CALENDAR=US&amp;VAR:SYMBOL=RAI&amp;VAR:INDEX=0"}</definedName>
    <definedName name="_2531__FDSAUDITLINK__" localSheetId="0"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1__FDSAUDITLINK__" hidden="1">{"fdsup://directions/FAT Viewer?action=UPDATE&amp;creator=factset&amp;DYN_ARGS=TRUE&amp;DOC_NAME=FAT:FQL_AUDITING_CLIENT_TEMPLATE.FAT&amp;display_string=Audit&amp;VAR:KEY=GZWLMJWNKN&amp;VAR:QUERY=RkZfRElWX1lMRChBTk4sMTIvMDQvMDIsMTIvMDQvMDIp&amp;WINDOW=FIRST_POPUP&amp;HEIGHT=450&amp;WIDTH=450&amp;","START_MAXIMIZED=FALSE&amp;VAR:CALENDAR=US&amp;VAR:SYMBOL=RAI&amp;VAR:INDEX=0"}</definedName>
    <definedName name="_2532__FDSAUDITLINK__" localSheetId="0"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2__FDSAUDITLINK__" hidden="1">{"fdsup://directions/FAT Viewer?action=UPDATE&amp;creator=factset&amp;DYN_ARGS=TRUE&amp;DOC_NAME=FAT:FQL_AUDITING_CLIENT_TEMPLATE.FAT&amp;display_string=Audit&amp;VAR:KEY=WLMBMFGNWZ&amp;VAR:QUERY=RkZfRElWX1lMRChBTk4sMTEvMjcvMDIsMTEvMjcvMDIp&amp;WINDOW=FIRST_POPUP&amp;HEIGHT=450&amp;WIDTH=450&amp;","START_MAXIMIZED=FALSE&amp;VAR:CALENDAR=US&amp;VAR:SYMBOL=RAI&amp;VAR:INDEX=0"}</definedName>
    <definedName name="_2533__FDSAUDITLINK__" localSheetId="0"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3__FDSAUDITLINK__" hidden="1">{"fdsup://directions/FAT Viewer?action=UPDATE&amp;creator=factset&amp;DYN_ARGS=TRUE&amp;DOC_NAME=FAT:FQL_AUDITING_CLIENT_TEMPLATE.FAT&amp;display_string=Audit&amp;VAR:KEY=GRMJKVCREX&amp;VAR:QUERY=RkZfRElWX1lMRChBTk4sMTEvMjAvMDIsMTEvMjAvMDIp&amp;WINDOW=FIRST_POPUP&amp;HEIGHT=450&amp;WIDTH=450&amp;","START_MAXIMIZED=FALSE&amp;VAR:CALENDAR=US&amp;VAR:SYMBOL=RAI&amp;VAR:INDEX=0"}</definedName>
    <definedName name="_2534__FDSAUDITLINK__" localSheetId="0"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4__FDSAUDITLINK__" hidden="1">{"fdsup://directions/FAT Viewer?action=UPDATE&amp;creator=factset&amp;DYN_ARGS=TRUE&amp;DOC_NAME=FAT:FQL_AUDITING_CLIENT_TEMPLATE.FAT&amp;display_string=Audit&amp;VAR:KEY=SFCNWJKVEJ&amp;VAR:QUERY=RkZfRElWX1lMRChBTk4sMTEvMTMvMDIsMTEvMTMvMDIp&amp;WINDOW=FIRST_POPUP&amp;HEIGHT=450&amp;WIDTH=450&amp;","START_MAXIMIZED=FALSE&amp;VAR:CALENDAR=US&amp;VAR:SYMBOL=RAI&amp;VAR:INDEX=0"}</definedName>
    <definedName name="_2535__FDSAUDITLINK__" localSheetId="0"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5__FDSAUDITLINK__" hidden="1">{"fdsup://directions/FAT Viewer?action=UPDATE&amp;creator=factset&amp;DYN_ARGS=TRUE&amp;DOC_NAME=FAT:FQL_AUDITING_CLIENT_TEMPLATE.FAT&amp;display_string=Audit&amp;VAR:KEY=GJSVWTQHGF&amp;VAR:QUERY=RkZfRElWX1lMRChBTk4sMTEvMDYvMDIsMTEvMDYvMDIp&amp;WINDOW=FIRST_POPUP&amp;HEIGHT=450&amp;WIDTH=450&amp;","START_MAXIMIZED=FALSE&amp;VAR:CALENDAR=US&amp;VAR:SYMBOL=RAI&amp;VAR:INDEX=0"}</definedName>
    <definedName name="_2536__FDSAUDITLINK__" localSheetId="0"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6__FDSAUDITLINK__" hidden="1">{"fdsup://directions/FAT Viewer?action=UPDATE&amp;creator=factset&amp;DYN_ARGS=TRUE&amp;DOC_NAME=FAT:FQL_AUDITING_CLIENT_TEMPLATE.FAT&amp;display_string=Audit&amp;VAR:KEY=UTAVOTAXMR&amp;VAR:QUERY=RkZfRElWX1lMRChBTk4sMTAvMzAvMDIsMTAvMzAvMDIp&amp;WINDOW=FIRST_POPUP&amp;HEIGHT=450&amp;WIDTH=450&amp;","START_MAXIMIZED=FALSE&amp;VAR:CALENDAR=US&amp;VAR:SYMBOL=RAI&amp;VAR:INDEX=0"}</definedName>
    <definedName name="_2537__FDSAUDITLINK__" localSheetId="0"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7__FDSAUDITLINK__" hidden="1">{"fdsup://directions/FAT Viewer?action=UPDATE&amp;creator=factset&amp;DYN_ARGS=TRUE&amp;DOC_NAME=FAT:FQL_AUDITING_CLIENT_TEMPLATE.FAT&amp;display_string=Audit&amp;VAR:KEY=QVUZATCBAV&amp;VAR:QUERY=RkZfRElWX1lMRChBTk4sMTAvMjMvMDIsMTAvMjMvMDIp&amp;WINDOW=FIRST_POPUP&amp;HEIGHT=450&amp;WIDTH=450&amp;","START_MAXIMIZED=FALSE&amp;VAR:CALENDAR=US&amp;VAR:SYMBOL=RAI&amp;VAR:INDEX=0"}</definedName>
    <definedName name="_2538__FDSAUDITLINK__" localSheetId="0"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8__FDSAUDITLINK__" hidden="1">{"fdsup://directions/FAT Viewer?action=UPDATE&amp;creator=factset&amp;DYN_ARGS=TRUE&amp;DOC_NAME=FAT:FQL_AUDITING_CLIENT_TEMPLATE.FAT&amp;display_string=Audit&amp;VAR:KEY=YRAJSJMLMT&amp;VAR:QUERY=RkZfRElWX1lMRChBTk4sMTAvMTYvMDIsMTAvMTYvMDIp&amp;WINDOW=FIRST_POPUP&amp;HEIGHT=450&amp;WIDTH=450&amp;","START_MAXIMIZED=FALSE&amp;VAR:CALENDAR=US&amp;VAR:SYMBOL=RAI&amp;VAR:INDEX=0"}</definedName>
    <definedName name="_2539__FDSAUDITLINK__" localSheetId="0"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39__FDSAUDITLINK__" hidden="1">{"fdsup://directions/FAT Viewer?action=UPDATE&amp;creator=factset&amp;DYN_ARGS=TRUE&amp;DOC_NAME=FAT:FQL_AUDITING_CLIENT_TEMPLATE.FAT&amp;display_string=Audit&amp;VAR:KEY=MNOLWJELUL&amp;VAR:QUERY=RkZfRElWX1lMRChBTk4sMTAvMDkvMDIsMTAvMDkvMDIp&amp;WINDOW=FIRST_POPUP&amp;HEIGHT=450&amp;WIDTH=450&amp;","START_MAXIMIZED=FALSE&amp;VAR:CALENDAR=US&amp;VAR:SYMBOL=RAI&amp;VAR:INDEX=0"}</definedName>
    <definedName name="_254">#REF!</definedName>
    <definedName name="_254__FDSAUDITLINK__" localSheetId="0"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__FDSAUDITLINK__" hidden="1">{"fdsup://directions/FAT Viewer?action=UPDATE&amp;creator=factset&amp;DYN_ARGS=TRUE&amp;DOC_NAME=FAT:FQL_AUDITING_CLIENT_TEMPLATE.FAT&amp;display_string=Audit&amp;VAR:KEY=HYJKZMJILW&amp;VAR:QUERY=RkZfRElWX1lMRChBTk4sNS8yNS8wNiw1LzI1LzA2KQ==&amp;WINDOW=FIRST_POPUP&amp;HEIGHT=450&amp;WIDTH=450&amp;","START_MAXIMIZED=FALSE&amp;VAR:CALENDAR=US&amp;VAR:SYMBOL=RAI&amp;VAR:INDEX=0"}</definedName>
    <definedName name="_2540__FDSAUDITLINK__" localSheetId="0"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0__FDSAUDITLINK__" hidden="1">{"fdsup://directions/FAT Viewer?action=UPDATE&amp;creator=factset&amp;DYN_ARGS=TRUE&amp;DOC_NAME=FAT:FQL_AUDITING_CLIENT_TEMPLATE.FAT&amp;display_string=Audit&amp;VAR:KEY=QLGJAVKPSH&amp;VAR:QUERY=RkZfRElWX1lMRChBTk4sMTAvMDIvMDIsMTAvMDIvMDIp&amp;WINDOW=FIRST_POPUP&amp;HEIGHT=450&amp;WIDTH=450&amp;","START_MAXIMIZED=FALSE&amp;VAR:CALENDAR=US&amp;VAR:SYMBOL=RAI&amp;VAR:INDEX=0"}</definedName>
    <definedName name="_2541__FDSAUDITLINK__" localSheetId="0"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1__FDSAUDITLINK__" hidden="1">{"fdsup://directions/FAT Viewer?action=UPDATE&amp;creator=factset&amp;DYN_ARGS=TRUE&amp;DOC_NAME=FAT:FQL_AUDITING_CLIENT_TEMPLATE.FAT&amp;display_string=Audit&amp;VAR:KEY=CDUXAFOPEJ&amp;VAR:QUERY=RkZfRElWX1lMRChBTk4sOS8yNS8wMiw5LzI1LzAyKQ==&amp;WINDOW=FIRST_POPUP&amp;HEIGHT=450&amp;WIDTH=450&amp;","START_MAXIMIZED=FALSE&amp;VAR:CALENDAR=US&amp;VAR:SYMBOL=RAI&amp;VAR:INDEX=0"}</definedName>
    <definedName name="_2542__FDSAUDITLINK__" localSheetId="0"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2__FDSAUDITLINK__" hidden="1">{"fdsup://directions/FAT Viewer?action=UPDATE&amp;creator=factset&amp;DYN_ARGS=TRUE&amp;DOC_NAME=FAT:FQL_AUDITING_CLIENT_TEMPLATE.FAT&amp;display_string=Audit&amp;VAR:KEY=AFIFAVIBAV&amp;VAR:QUERY=RkZfRElWX1lMRChBTk4sOS8xOC8wMiw5LzE4LzAyKQ==&amp;WINDOW=FIRST_POPUP&amp;HEIGHT=450&amp;WIDTH=450&amp;","START_MAXIMIZED=FALSE&amp;VAR:CALENDAR=US&amp;VAR:SYMBOL=RAI&amp;VAR:INDEX=0"}</definedName>
    <definedName name="_2543__FDSAUDITLINK__" localSheetId="0"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3__FDSAUDITLINK__" hidden="1">{"fdsup://directions/FAT Viewer?action=UPDATE&amp;creator=factset&amp;DYN_ARGS=TRUE&amp;DOC_NAME=FAT:FQL_AUDITING_CLIENT_TEMPLATE.FAT&amp;display_string=Audit&amp;VAR:KEY=ORSHSRWVYT&amp;VAR:QUERY=RkZfRElWX1lMRChBTk4sOS8xMS8wMiw5LzExLzAyKQ==&amp;WINDOW=FIRST_POPUP&amp;HEIGHT=450&amp;WIDTH=450&amp;","START_MAXIMIZED=FALSE&amp;VAR:CALENDAR=US&amp;VAR:SYMBOL=RAI&amp;VAR:INDEX=0"}</definedName>
    <definedName name="_2544__FDSAUDITLINK__" localSheetId="0"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4__FDSAUDITLINK__" hidden="1">{"fdsup://directions/FAT Viewer?action=UPDATE&amp;creator=factset&amp;DYN_ARGS=TRUE&amp;DOC_NAME=FAT:FQL_AUDITING_CLIENT_TEMPLATE.FAT&amp;display_string=Audit&amp;VAR:KEY=ONIBIRMFKJ&amp;VAR:QUERY=RkZfRElWX1lMRChBTk4sOS8wNC8wMiw5LzA0LzAyKQ==&amp;WINDOW=FIRST_POPUP&amp;HEIGHT=450&amp;WIDTH=450&amp;","START_MAXIMIZED=FALSE&amp;VAR:CALENDAR=US&amp;VAR:SYMBOL=RAI&amp;VAR:INDEX=0"}</definedName>
    <definedName name="_2545__FDSAUDITLINK__" localSheetId="0"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5__FDSAUDITLINK__" hidden="1">{"fdsup://directions/FAT Viewer?action=UPDATE&amp;creator=factset&amp;DYN_ARGS=TRUE&amp;DOC_NAME=FAT:FQL_AUDITING_CLIENT_TEMPLATE.FAT&amp;display_string=Audit&amp;VAR:KEY=SXKPUNKDKZ&amp;VAR:QUERY=RkZfRElWX1lMRChBTk4sOC8yOC8wMiw4LzI4LzAyKQ==&amp;WINDOW=FIRST_POPUP&amp;HEIGHT=450&amp;WIDTH=450&amp;","START_MAXIMIZED=FALSE&amp;VAR:CALENDAR=US&amp;VAR:SYMBOL=RAI&amp;VAR:INDEX=0"}</definedName>
    <definedName name="_2546__FDSAUDITLINK__" localSheetId="0"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6__FDSAUDITLINK__" hidden="1">{"fdsup://directions/FAT Viewer?action=UPDATE&amp;creator=factset&amp;DYN_ARGS=TRUE&amp;DOC_NAME=FAT:FQL_AUDITING_CLIENT_TEMPLATE.FAT&amp;display_string=Audit&amp;VAR:KEY=YHQHOLKPCT&amp;VAR:QUERY=RkZfRElWX1lMRChBTk4sOC8yMS8wMiw4LzIxLzAyKQ==&amp;WINDOW=FIRST_POPUP&amp;HEIGHT=450&amp;WIDTH=450&amp;","START_MAXIMIZED=FALSE&amp;VAR:CALENDAR=US&amp;VAR:SYMBOL=RAI&amp;VAR:INDEX=0"}</definedName>
    <definedName name="_2547__FDSAUDITLINK__" localSheetId="0"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7__FDSAUDITLINK__" hidden="1">{"fdsup://directions/FAT Viewer?action=UPDATE&amp;creator=factset&amp;DYN_ARGS=TRUE&amp;DOC_NAME=FAT:FQL_AUDITING_CLIENT_TEMPLATE.FAT&amp;display_string=Audit&amp;VAR:KEY=IHYLMLWROL&amp;VAR:QUERY=RkZfRElWX1lMRChBTk4sOC8xNC8wMiw4LzE0LzAyKQ==&amp;WINDOW=FIRST_POPUP&amp;HEIGHT=450&amp;WIDTH=450&amp;","START_MAXIMIZED=FALSE&amp;VAR:CALENDAR=US&amp;VAR:SYMBOL=RAI&amp;VAR:INDEX=0"}</definedName>
    <definedName name="_2548__FDSAUDITLINK__" localSheetId="0"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8__FDSAUDITLINK__" hidden="1">{"fdsup://directions/FAT Viewer?action=UPDATE&amp;creator=factset&amp;DYN_ARGS=TRUE&amp;DOC_NAME=FAT:FQL_AUDITING_CLIENT_TEMPLATE.FAT&amp;display_string=Audit&amp;VAR:KEY=UJARYNIZGB&amp;VAR:QUERY=RkZfRElWX1lMRChBTk4sOC8wNy8wMiw4LzA3LzAyKQ==&amp;WINDOW=FIRST_POPUP&amp;HEIGHT=450&amp;WIDTH=450&amp;","START_MAXIMIZED=FALSE&amp;VAR:CALENDAR=US&amp;VAR:SYMBOL=RAI&amp;VAR:INDEX=0"}</definedName>
    <definedName name="_2549__FDSAUDITLINK__" localSheetId="0"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49__FDSAUDITLINK__" hidden="1">{"fdsup://directions/FAT Viewer?action=UPDATE&amp;creator=factset&amp;DYN_ARGS=TRUE&amp;DOC_NAME=FAT:FQL_AUDITING_CLIENT_TEMPLATE.FAT&amp;display_string=Audit&amp;VAR:KEY=OFYVMJALEX&amp;VAR:QUERY=RkZfRElWX1lMRChBTk4sNy8zMS8wMiw3LzMxLzAyKQ==&amp;WINDOW=FIRST_POPUP&amp;HEIGHT=450&amp;WIDTH=450&amp;","START_MAXIMIZED=FALSE&amp;VAR:CALENDAR=US&amp;VAR:SYMBOL=RAI&amp;VAR:INDEX=0"}</definedName>
    <definedName name="_255">#REF!</definedName>
    <definedName name="_255__FDSAUDITLINK__" localSheetId="0"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__FDSAUDITLINK__" hidden="1">{"fdsup://directions/FAT Viewer?action=UPDATE&amp;creator=factset&amp;DYN_ARGS=TRUE&amp;DOC_NAME=FAT:FQL_AUDITING_CLIENT_TEMPLATE.FAT&amp;display_string=Audit&amp;VAR:KEY=LILWHOXWDQ&amp;VAR:QUERY=RkZfRElWX1lMRChBTk4sNS8xOC8wNiw1LzE4LzA2KQ==&amp;WINDOW=FIRST_POPUP&amp;HEIGHT=450&amp;WIDTH=450&amp;","START_MAXIMIZED=FALSE&amp;VAR:CALENDAR=US&amp;VAR:SYMBOL=RAI&amp;VAR:INDEX=0"}</definedName>
    <definedName name="_2550__FDSAUDITLINK__" localSheetId="0"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0__FDSAUDITLINK__" hidden="1">{"fdsup://directions/FAT Viewer?action=UPDATE&amp;creator=factset&amp;DYN_ARGS=TRUE&amp;DOC_NAME=FAT:FQL_AUDITING_CLIENT_TEMPLATE.FAT&amp;display_string=Audit&amp;VAR:KEY=ETCXWPQTSH&amp;VAR:QUERY=RkZfRElWX1lMRChBTk4sNy8yNC8wMiw3LzI0LzAyKQ==&amp;WINDOW=FIRST_POPUP&amp;HEIGHT=450&amp;WIDTH=450&amp;","START_MAXIMIZED=FALSE&amp;VAR:CALENDAR=US&amp;VAR:SYMBOL=RAI&amp;VAR:INDEX=0"}</definedName>
    <definedName name="_2551__FDSAUDITLINK__" localSheetId="0"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1__FDSAUDITLINK__" hidden="1">{"fdsup://directions/FAT Viewer?action=UPDATE&amp;creator=factset&amp;DYN_ARGS=TRUE&amp;DOC_NAME=FAT:FQL_AUDITING_CLIENT_TEMPLATE.FAT&amp;display_string=Audit&amp;VAR:KEY=WNINUXMTOF&amp;VAR:QUERY=RkZfRElWX1lMRChBTk4sNy8xNy8wMiw3LzE3LzAyKQ==&amp;WINDOW=FIRST_POPUP&amp;HEIGHT=450&amp;WIDTH=450&amp;","START_MAXIMIZED=FALSE&amp;VAR:CALENDAR=US&amp;VAR:SYMBOL=RAI&amp;VAR:INDEX=0"}</definedName>
    <definedName name="_2552__FDSAUDITLINK__" localSheetId="0"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2__FDSAUDITLINK__" hidden="1">{"fdsup://directions/FAT Viewer?action=UPDATE&amp;creator=factset&amp;DYN_ARGS=TRUE&amp;DOC_NAME=FAT:FQL_AUDITING_CLIENT_TEMPLATE.FAT&amp;display_string=Audit&amp;VAR:KEY=MNIBGTEVUD&amp;VAR:QUERY=RkZfRElWX1lMRChBTk4sNy8xMC8wMiw3LzEwLzAyKQ==&amp;WINDOW=FIRST_POPUP&amp;HEIGHT=450&amp;WIDTH=450&amp;","START_MAXIMIZED=FALSE&amp;VAR:CALENDAR=US&amp;VAR:SYMBOL=RAI&amp;VAR:INDEX=0"}</definedName>
    <definedName name="_2553__FDSAUDITLINK__" localSheetId="0"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3__FDSAUDITLINK__" hidden="1">{"fdsup://directions/FAT Viewer?action=UPDATE&amp;creator=factset&amp;DYN_ARGS=TRUE&amp;DOC_NAME=FAT:FQL_AUDITING_CLIENT_TEMPLATE.FAT&amp;display_string=Audit&amp;VAR:KEY=KRCNOVOHAR&amp;VAR:QUERY=RkZfRElWX1lMRChBTk4sNy8wMy8wMiw3LzAzLzAyKQ==&amp;WINDOW=FIRST_POPUP&amp;HEIGHT=450&amp;WIDTH=450&amp;","START_MAXIMIZED=FALSE&amp;VAR:CALENDAR=US&amp;VAR:SYMBOL=RAI&amp;VAR:INDEX=0"}</definedName>
    <definedName name="_2554__FDSAUDITLINK__" localSheetId="0"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4__FDSAUDITLINK__" hidden="1">{"fdsup://directions/FAT Viewer?action=UPDATE&amp;creator=factset&amp;DYN_ARGS=TRUE&amp;DOC_NAME=FAT:FQL_AUDITING_CLIENT_TEMPLATE.FAT&amp;display_string=Audit&amp;VAR:KEY=IPMRWJANCF&amp;VAR:QUERY=RkZfRElWX1lMRChBTk4sNi8yNi8wMiw2LzI2LzAyKQ==&amp;WINDOW=FIRST_POPUP&amp;HEIGHT=450&amp;WIDTH=450&amp;","START_MAXIMIZED=FALSE&amp;VAR:CALENDAR=US&amp;VAR:SYMBOL=RAI&amp;VAR:INDEX=0"}</definedName>
    <definedName name="_2555__FDSAUDITLINK__" localSheetId="0"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5__FDSAUDITLINK__" hidden="1">{"fdsup://directions/FAT Viewer?action=UPDATE&amp;creator=factset&amp;DYN_ARGS=TRUE&amp;DOC_NAME=FAT:FQL_AUDITING_CLIENT_TEMPLATE.FAT&amp;display_string=Audit&amp;VAR:KEY=ALGXSTWDEZ&amp;VAR:QUERY=RkZfRElWX1lMRChBTk4sNi8xOS8wMiw2LzE5LzAyKQ==&amp;WINDOW=FIRST_POPUP&amp;HEIGHT=450&amp;WIDTH=450&amp;","START_MAXIMIZED=FALSE&amp;VAR:CALENDAR=US&amp;VAR:SYMBOL=RAI&amp;VAR:INDEX=0"}</definedName>
    <definedName name="_2556__FDSAUDITLINK__" localSheetId="0"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6__FDSAUDITLINK__" hidden="1">{"fdsup://directions/FAT Viewer?action=UPDATE&amp;creator=factset&amp;DYN_ARGS=TRUE&amp;DOC_NAME=FAT:FQL_AUDITING_CLIENT_TEMPLATE.FAT&amp;display_string=Audit&amp;VAR:KEY=QDOVINMFIX&amp;VAR:QUERY=RkZfRElWX1lMRChBTk4sNi8xMi8wMiw2LzEyLzAyKQ==&amp;WINDOW=FIRST_POPUP&amp;HEIGHT=450&amp;WIDTH=450&amp;","START_MAXIMIZED=FALSE&amp;VAR:CALENDAR=US&amp;VAR:SYMBOL=RAI&amp;VAR:INDEX=0"}</definedName>
    <definedName name="_2557__FDSAUDITLINK__" localSheetId="0"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7__FDSAUDITLINK__" hidden="1">{"fdsup://directions/FAT Viewer?action=UPDATE&amp;creator=factset&amp;DYN_ARGS=TRUE&amp;DOC_NAME=FAT:FQL_AUDITING_CLIENT_TEMPLATE.FAT&amp;display_string=Audit&amp;VAR:KEY=IZQHSDCJWN&amp;VAR:QUERY=RkZfRElWX1lMRChBTk4sNi8wNS8wMiw2LzA1LzAyKQ==&amp;WINDOW=FIRST_POPUP&amp;HEIGHT=450&amp;WIDTH=450&amp;","START_MAXIMIZED=FALSE&amp;VAR:CALENDAR=US&amp;VAR:SYMBOL=RAI&amp;VAR:INDEX=0"}</definedName>
    <definedName name="_2558__FDSAUDITLINK__" localSheetId="0"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8__FDSAUDITLINK__" hidden="1">{"fdsup://directions/FAT Viewer?action=UPDATE&amp;creator=factset&amp;DYN_ARGS=TRUE&amp;DOC_NAME=FAT:FQL_AUDITING_CLIENT_TEMPLATE.FAT&amp;display_string=Audit&amp;VAR:KEY=YBITEXMJWJ&amp;VAR:QUERY=RkZfRElWX1lMRChBTk4sNS8yOS8wMiw1LzI5LzAyKQ==&amp;WINDOW=FIRST_POPUP&amp;HEIGHT=450&amp;WIDTH=450&amp;","START_MAXIMIZED=FALSE&amp;VAR:CALENDAR=US&amp;VAR:SYMBOL=RAI&amp;VAR:INDEX=0"}</definedName>
    <definedName name="_2559__FDSAUDITLINK__" localSheetId="0"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59__FDSAUDITLINK__" hidden="1">{"fdsup://directions/FAT Viewer?action=UPDATE&amp;creator=factset&amp;DYN_ARGS=TRUE&amp;DOC_NAME=FAT:FQL_AUDITING_CLIENT_TEMPLATE.FAT&amp;display_string=Audit&amp;VAR:KEY=MNCJKXWXAR&amp;VAR:QUERY=RkZfRElWX1lMRChBTk4sNS8yMi8wMiw1LzIyLzAyKQ==&amp;WINDOW=FIRST_POPUP&amp;HEIGHT=450&amp;WIDTH=450&amp;","START_MAXIMIZED=FALSE&amp;VAR:CALENDAR=US&amp;VAR:SYMBOL=RAI&amp;VAR:INDEX=0"}</definedName>
    <definedName name="_256">#REF!</definedName>
    <definedName name="_256__FDSAUDITLINK__" localSheetId="0"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__FDSAUDITLINK__" hidden="1">{"fdsup://directions/FAT Viewer?action=UPDATE&amp;creator=factset&amp;DYN_ARGS=TRUE&amp;DOC_NAME=FAT:FQL_AUDITING_CLIENT_TEMPLATE.FAT&amp;display_string=Audit&amp;VAR:KEY=NSXWTEZIRO&amp;VAR:QUERY=RkZfRElWX1lMRChBTk4sNS8xMS8wNiw1LzExLzA2KQ==&amp;WINDOW=FIRST_POPUP&amp;HEIGHT=450&amp;WIDTH=450&amp;","START_MAXIMIZED=FALSE&amp;VAR:CALENDAR=US&amp;VAR:SYMBOL=RAI&amp;VAR:INDEX=0"}</definedName>
    <definedName name="_2560__FDSAUDITLINK__" localSheetId="0"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0__FDSAUDITLINK__" hidden="1">{"fdsup://directions/FAT Viewer?action=UPDATE&amp;creator=factset&amp;DYN_ARGS=TRUE&amp;DOC_NAME=FAT:FQL_AUDITING_CLIENT_TEMPLATE.FAT&amp;display_string=Audit&amp;VAR:KEY=ARWLWRENEF&amp;VAR:QUERY=RkZfRElWX1lMRChBTk4sNS8xNS8wMiw1LzE1LzAyKQ==&amp;WINDOW=FIRST_POPUP&amp;HEIGHT=450&amp;WIDTH=450&amp;","START_MAXIMIZED=FALSE&amp;VAR:CALENDAR=US&amp;VAR:SYMBOL=RAI&amp;VAR:INDEX=0"}</definedName>
    <definedName name="_2561__FDSAUDITLINK__" localSheetId="0"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1__FDSAUDITLINK__" hidden="1">{"fdsup://directions/FAT Viewer?action=UPDATE&amp;creator=factset&amp;DYN_ARGS=TRUE&amp;DOC_NAME=FAT:FQL_AUDITING_CLIENT_TEMPLATE.FAT&amp;display_string=Audit&amp;VAR:KEY=OLGRALUZSX&amp;VAR:QUERY=RkZfRElWX1lMRChBTk4sNS8wOC8wMiw1LzA4LzAyKQ==&amp;WINDOW=FIRST_POPUP&amp;HEIGHT=450&amp;WIDTH=450&amp;","START_MAXIMIZED=FALSE&amp;VAR:CALENDAR=US&amp;VAR:SYMBOL=RAI&amp;VAR:INDEX=0"}</definedName>
    <definedName name="_2562__FDSAUDITLINK__" localSheetId="0"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2__FDSAUDITLINK__" hidden="1">{"fdsup://directions/FAT Viewer?action=UPDATE&amp;creator=factset&amp;DYN_ARGS=TRUE&amp;DOC_NAME=FAT:FQL_AUDITING_CLIENT_TEMPLATE.FAT&amp;display_string=Audit&amp;VAR:KEY=OREDANADKR&amp;VAR:QUERY=RkZfRElWX1lMRChBTk4sNS8wMS8wMiw1LzAxLzAyKQ==&amp;WINDOW=FIRST_POPUP&amp;HEIGHT=450&amp;WIDTH=450&amp;","START_MAXIMIZED=FALSE&amp;VAR:CALENDAR=US&amp;VAR:SYMBOL=RAI&amp;VAR:INDEX=0"}</definedName>
    <definedName name="_2563__FDSAUDITLINK__" localSheetId="0"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3__FDSAUDITLINK__" hidden="1">{"fdsup://directions/FAT Viewer?action=UPDATE&amp;creator=factset&amp;DYN_ARGS=TRUE&amp;DOC_NAME=FAT:FQL_AUDITING_CLIENT_TEMPLATE.FAT&amp;display_string=Audit&amp;VAR:KEY=WRWFIPGLEJ&amp;VAR:QUERY=RkZfRElWX1lMRChBTk4sNC8yNC8wMiw0LzI0LzAyKQ==&amp;WINDOW=FIRST_POPUP&amp;HEIGHT=450&amp;WIDTH=450&amp;","START_MAXIMIZED=FALSE&amp;VAR:CALENDAR=US&amp;VAR:SYMBOL=RAI&amp;VAR:INDEX=0"}</definedName>
    <definedName name="_2564__FDSAUDITLINK__" localSheetId="0"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4__FDSAUDITLINK__" hidden="1">{"fdsup://directions/FAT Viewer?action=UPDATE&amp;creator=factset&amp;DYN_ARGS=TRUE&amp;DOC_NAME=FAT:FQL_AUDITING_CLIENT_TEMPLATE.FAT&amp;display_string=Audit&amp;VAR:KEY=SXKDKVMTQD&amp;VAR:QUERY=RkZfRElWX1lMRChBTk4sNC8xNy8wMiw0LzE3LzAyKQ==&amp;WINDOW=FIRST_POPUP&amp;HEIGHT=450&amp;WIDTH=450&amp;","START_MAXIMIZED=FALSE&amp;VAR:CALENDAR=US&amp;VAR:SYMBOL=RAI&amp;VAR:INDEX=0"}</definedName>
    <definedName name="_2565__FDSAUDITLINK__" localSheetId="0"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5__FDSAUDITLINK__" hidden="1">{"fdsup://directions/FAT Viewer?action=UPDATE&amp;creator=factset&amp;DYN_ARGS=TRUE&amp;DOC_NAME=FAT:FQL_AUDITING_CLIENT_TEMPLATE.FAT&amp;display_string=Audit&amp;VAR:KEY=YFYFAXEJUJ&amp;VAR:QUERY=RkZfRElWX1lMRChBTk4sNC8xMC8wMiw0LzEwLzAyKQ==&amp;WINDOW=FIRST_POPUP&amp;HEIGHT=450&amp;WIDTH=450&amp;","START_MAXIMIZED=FALSE&amp;VAR:CALENDAR=US&amp;VAR:SYMBOL=RAI&amp;VAR:INDEX=0"}</definedName>
    <definedName name="_2566__FDSAUDITLINK__" localSheetId="0"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6__FDSAUDITLINK__" hidden="1">{"fdsup://directions/FAT Viewer?action=UPDATE&amp;creator=factset&amp;DYN_ARGS=TRUE&amp;DOC_NAME=FAT:FQL_AUDITING_CLIENT_TEMPLATE.FAT&amp;display_string=Audit&amp;VAR:KEY=UPOHQDIPIF&amp;VAR:QUERY=RkZfRElWX1lMRChBTk4sNC8wMy8wMiw0LzAzLzAyKQ==&amp;WINDOW=FIRST_POPUP&amp;HEIGHT=450&amp;WIDTH=450&amp;","START_MAXIMIZED=FALSE&amp;VAR:CALENDAR=US&amp;VAR:SYMBOL=RAI&amp;VAR:INDEX=0"}</definedName>
    <definedName name="_2567__FDSAUDITLINK__" localSheetId="0"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7__FDSAUDITLINK__" hidden="1">{"fdsup://directions/FAT Viewer?action=UPDATE&amp;creator=factset&amp;DYN_ARGS=TRUE&amp;DOC_NAME=FAT:FQL_AUDITING_CLIENT_TEMPLATE.FAT&amp;display_string=Audit&amp;VAR:KEY=SZSZCFQFKD&amp;VAR:QUERY=RkZfRElWX1lMRChBTk4sMy8yNy8wMiwzLzI3LzAyKQ==&amp;WINDOW=FIRST_POPUP&amp;HEIGHT=450&amp;WIDTH=450&amp;","START_MAXIMIZED=FALSE&amp;VAR:CALENDAR=US&amp;VAR:SYMBOL=RAI&amp;VAR:INDEX=0"}</definedName>
    <definedName name="_2568__FDSAUDITLINK__" localSheetId="0"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8__FDSAUDITLINK__" hidden="1">{"fdsup://directions/FAT Viewer?action=UPDATE&amp;creator=factset&amp;DYN_ARGS=TRUE&amp;DOC_NAME=FAT:FQL_AUDITING_CLIENT_TEMPLATE.FAT&amp;display_string=Audit&amp;VAR:KEY=KLGNGJUBYJ&amp;VAR:QUERY=RkZfRElWX1lMRChBTk4sMy8yMC8wMiwzLzIwLzAyKQ==&amp;WINDOW=FIRST_POPUP&amp;HEIGHT=450&amp;WIDTH=450&amp;","START_MAXIMIZED=FALSE&amp;VAR:CALENDAR=US&amp;VAR:SYMBOL=RAI&amp;VAR:INDEX=0"}</definedName>
    <definedName name="_2569__FDSAUDITLINK__" localSheetId="0"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69__FDSAUDITLINK__" hidden="1">{"fdsup://directions/FAT Viewer?action=UPDATE&amp;creator=factset&amp;DYN_ARGS=TRUE&amp;DOC_NAME=FAT:FQL_AUDITING_CLIENT_TEMPLATE.FAT&amp;display_string=Audit&amp;VAR:KEY=CPUVIPOLGZ&amp;VAR:QUERY=RkZfRElWX1lMRChBTk4sMy8xMy8wMiwzLzEzLzAyKQ==&amp;WINDOW=FIRST_POPUP&amp;HEIGHT=450&amp;WIDTH=450&amp;","START_MAXIMIZED=FALSE&amp;VAR:CALENDAR=US&amp;VAR:SYMBOL=RAI&amp;VAR:INDEX=0"}</definedName>
    <definedName name="_257">#REF!</definedName>
    <definedName name="_257__FDSAUDITLINK__" localSheetId="0"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__FDSAUDITLINK__" hidden="1">{"fdsup://directions/FAT Viewer?action=UPDATE&amp;creator=factset&amp;DYN_ARGS=TRUE&amp;DOC_NAME=FAT:FQL_AUDITING_CLIENT_TEMPLATE.FAT&amp;display_string=Audit&amp;VAR:KEY=VYTOFYFWPY&amp;VAR:QUERY=RkZfRElWX1lMRChBTk4sNS8wNC8wNiw1LzA0LzA2KQ==&amp;WINDOW=FIRST_POPUP&amp;HEIGHT=450&amp;WIDTH=450&amp;","START_MAXIMIZED=FALSE&amp;VAR:CALENDAR=US&amp;VAR:SYMBOL=RAI&amp;VAR:INDEX=0"}</definedName>
    <definedName name="_2570__FDSAUDITLINK__" localSheetId="0"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0__FDSAUDITLINK__" hidden="1">{"fdsup://directions/FAT Viewer?action=UPDATE&amp;creator=factset&amp;DYN_ARGS=TRUE&amp;DOC_NAME=FAT:FQL_AUDITING_CLIENT_TEMPLATE.FAT&amp;display_string=Audit&amp;VAR:KEY=EFKRWRWZSZ&amp;VAR:QUERY=RkZfRElWX1lMRChBTk4sMy8wNi8wMiwzLzA2LzAyKQ==&amp;WINDOW=FIRST_POPUP&amp;HEIGHT=450&amp;WIDTH=450&amp;","START_MAXIMIZED=FALSE&amp;VAR:CALENDAR=US&amp;VAR:SYMBOL=RAI&amp;VAR:INDEX=0"}</definedName>
    <definedName name="_2571__FDSAUDITLINK__" localSheetId="0"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1__FDSAUDITLINK__" hidden="1">{"fdsup://directions/FAT Viewer?action=UPDATE&amp;creator=factset&amp;DYN_ARGS=TRUE&amp;DOC_NAME=FAT:FQL_AUDITING_CLIENT_TEMPLATE.FAT&amp;display_string=Audit&amp;VAR:KEY=GJMXIHMRWX&amp;VAR:QUERY=RkZfRElWX1lMRChBTk4sMi8yNy8wMiwyLzI3LzAyKQ==&amp;WINDOW=FIRST_POPUP&amp;HEIGHT=450&amp;WIDTH=450&amp;","START_MAXIMIZED=FALSE&amp;VAR:CALENDAR=US&amp;VAR:SYMBOL=RAI&amp;VAR:INDEX=0"}</definedName>
    <definedName name="_2572__FDSAUDITLINK__" localSheetId="0"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2__FDSAUDITLINK__" hidden="1">{"fdsup://directions/FAT Viewer?action=UPDATE&amp;creator=factset&amp;DYN_ARGS=TRUE&amp;DOC_NAME=FAT:FQL_AUDITING_CLIENT_TEMPLATE.FAT&amp;display_string=Audit&amp;VAR:KEY=IXIZIHINCD&amp;VAR:QUERY=RkZfRElWX1lMRChBTk4sMi8yMC8wMiwyLzIwLzAyKQ==&amp;WINDOW=FIRST_POPUP&amp;HEIGHT=450&amp;WIDTH=450&amp;","START_MAXIMIZED=FALSE&amp;VAR:CALENDAR=US&amp;VAR:SYMBOL=RAI&amp;VAR:INDEX=0"}</definedName>
    <definedName name="_2573__FDSAUDITLINK__" localSheetId="0"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3__FDSAUDITLINK__" hidden="1">{"fdsup://directions/FAT Viewer?action=UPDATE&amp;creator=factset&amp;DYN_ARGS=TRUE&amp;DOC_NAME=FAT:FQL_AUDITING_CLIENT_TEMPLATE.FAT&amp;display_string=Audit&amp;VAR:KEY=UBCRILIBIZ&amp;VAR:QUERY=RkZfRElWX1lMRChBTk4sMi8xMy8wMiwyLzEzLzAyKQ==&amp;WINDOW=FIRST_POPUP&amp;HEIGHT=450&amp;WIDTH=450&amp;","START_MAXIMIZED=FALSE&amp;VAR:CALENDAR=US&amp;VAR:SYMBOL=RAI&amp;VAR:INDEX=0"}</definedName>
    <definedName name="_2574__FDSAUDITLINK__" localSheetId="0"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4__FDSAUDITLINK__" hidden="1">{"fdsup://directions/FAT Viewer?action=UPDATE&amp;creator=factset&amp;DYN_ARGS=TRUE&amp;DOC_NAME=FAT:FQL_AUDITING_CLIENT_TEMPLATE.FAT&amp;display_string=Audit&amp;VAR:KEY=IFGXCLKROJ&amp;VAR:QUERY=RkZfRElWX1lMRChBTk4sMi8wNi8wMiwyLzA2LzAyKQ==&amp;WINDOW=FIRST_POPUP&amp;HEIGHT=450&amp;WIDTH=450&amp;","START_MAXIMIZED=FALSE&amp;VAR:CALENDAR=US&amp;VAR:SYMBOL=RAI&amp;VAR:INDEX=0"}</definedName>
    <definedName name="_2575__FDSAUDITLINK__" localSheetId="0"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5__FDSAUDITLINK__" hidden="1">{"fdsup://directions/FAT Viewer?action=UPDATE&amp;creator=factset&amp;DYN_ARGS=TRUE&amp;DOC_NAME=FAT:FQL_AUDITING_CLIENT_TEMPLATE.FAT&amp;display_string=Audit&amp;VAR:KEY=YJYLWPOXQX&amp;VAR:QUERY=RkZfRElWX1lMRChBTk4sMS8zMC8wMiwxLzMwLzAyKQ==&amp;WINDOW=FIRST_POPUP&amp;HEIGHT=450&amp;WIDTH=450&amp;","START_MAXIMIZED=FALSE&amp;VAR:CALENDAR=US&amp;VAR:SYMBOL=RAI&amp;VAR:INDEX=0"}</definedName>
    <definedName name="_2576__FDSAUDITLINK__" localSheetId="0"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6__FDSAUDITLINK__" hidden="1">{"fdsup://directions/FAT Viewer?action=UPDATE&amp;creator=factset&amp;DYN_ARGS=TRUE&amp;DOC_NAME=FAT:FQL_AUDITING_CLIENT_TEMPLATE.FAT&amp;display_string=Audit&amp;VAR:KEY=YNMRWPOVIZ&amp;VAR:QUERY=RkZfRElWX1lMRChBTk4sMS8yMy8wMiwxLzIzLzAyKQ==&amp;WINDOW=FIRST_POPUP&amp;HEIGHT=450&amp;WIDTH=450&amp;","START_MAXIMIZED=FALSE&amp;VAR:CALENDAR=US&amp;VAR:SYMBOL=RAI&amp;VAR:INDEX=0"}</definedName>
    <definedName name="_2577__FDSAUDITLINK__" localSheetId="0"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7__FDSAUDITLINK__" hidden="1">{"fdsup://directions/FAT Viewer?action=UPDATE&amp;creator=factset&amp;DYN_ARGS=TRUE&amp;DOC_NAME=FAT:FQL_AUDITING_CLIENT_TEMPLATE.FAT&amp;display_string=Audit&amp;VAR:KEY=EBMNCNGRUR&amp;VAR:QUERY=RkZfRElWX1lMRChBTk4sMS8xNi8wMiwxLzE2LzAyKQ==&amp;WINDOW=FIRST_POPUP&amp;HEIGHT=450&amp;WIDTH=450&amp;","START_MAXIMIZED=FALSE&amp;VAR:CALENDAR=US&amp;VAR:SYMBOL=RAI&amp;VAR:INDEX=0"}</definedName>
    <definedName name="_2578__FDSAUDITLINK__" localSheetId="0"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8__FDSAUDITLINK__" hidden="1">{"fdsup://directions/FAT Viewer?action=UPDATE&amp;creator=factset&amp;DYN_ARGS=TRUE&amp;DOC_NAME=FAT:FQL_AUDITING_CLIENT_TEMPLATE.FAT&amp;display_string=Audit&amp;VAR:KEY=KZIRSJEHSZ&amp;VAR:QUERY=RkZfRElWX1lMRChBTk4sMS8wOS8wMiwxLzA5LzAyKQ==&amp;WINDOW=FIRST_POPUP&amp;HEIGHT=450&amp;WIDTH=450&amp;","START_MAXIMIZED=FALSE&amp;VAR:CALENDAR=US&amp;VAR:SYMBOL=RAI&amp;VAR:INDEX=0"}</definedName>
    <definedName name="_2579__FDSAUDITLINK__" localSheetId="0"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79__FDSAUDITLINK__" hidden="1">{"fdsup://directions/FAT Viewer?action=UPDATE&amp;creator=factset&amp;DYN_ARGS=TRUE&amp;DOC_NAME=FAT:FQL_AUDITING_CLIENT_TEMPLATE.FAT&amp;display_string=Audit&amp;VAR:KEY=KNSXWZUFUH&amp;VAR:QUERY=RkZfRElWX1lMRChBTk4sMS8wMi8wMiwxLzAyLzAyKQ==&amp;WINDOW=FIRST_POPUP&amp;HEIGHT=450&amp;WIDTH=450&amp;","START_MAXIMIZED=FALSE&amp;VAR:CALENDAR=US&amp;VAR:SYMBOL=RAI&amp;VAR:INDEX=0"}</definedName>
    <definedName name="_258">#REF!</definedName>
    <definedName name="_258__FDSAUDITLINK__" localSheetId="0"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__FDSAUDITLINK__" hidden="1">{"fdsup://directions/FAT Viewer?action=UPDATE&amp;creator=factset&amp;DYN_ARGS=TRUE&amp;DOC_NAME=FAT:FQL_AUDITING_CLIENT_TEMPLATE.FAT&amp;display_string=Audit&amp;VAR:KEY=XEPQHUREVI&amp;VAR:QUERY=RkZfRElWX1lMRChBTk4sNC8yNy8wNiw0LzI3LzA2KQ==&amp;WINDOW=FIRST_POPUP&amp;HEIGHT=450&amp;WIDTH=450&amp;","START_MAXIMIZED=FALSE&amp;VAR:CALENDAR=US&amp;VAR:SYMBOL=RAI&amp;VAR:INDEX=0"}</definedName>
    <definedName name="_2580__FDSAUDITLINK__" localSheetId="0"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0__FDSAUDITLINK__" hidden="1">{"fdsup://directions/FAT Viewer?action=UPDATE&amp;creator=factset&amp;DYN_ARGS=TRUE&amp;DOC_NAME=FAT:FQL_AUDITING_CLIENT_TEMPLATE.FAT&amp;display_string=Audit&amp;VAR:KEY=SJQFCFAZYT&amp;VAR:QUERY=RkZfRElWX1lMRChBTk4sMTIvMjYvMDEsMTIvMjYvMDEp&amp;WINDOW=FIRST_POPUP&amp;HEIGHT=450&amp;WIDTH=450&amp;","START_MAXIMIZED=FALSE&amp;VAR:CALENDAR=US&amp;VAR:SYMBOL=RAI&amp;VAR:INDEX=0"}</definedName>
    <definedName name="_2581__FDSAUDITLINK__" localSheetId="0"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1__FDSAUDITLINK__" hidden="1">{"fdsup://directions/FAT Viewer?action=UPDATE&amp;creator=factset&amp;DYN_ARGS=TRUE&amp;DOC_NAME=FAT:FQL_AUDITING_CLIENT_TEMPLATE.FAT&amp;display_string=Audit&amp;VAR:KEY=SDILARGLGN&amp;VAR:QUERY=RkZfRElWX1lMRChBTk4sMTIvMTkvMDEsMTIvMTkvMDEp&amp;WINDOW=FIRST_POPUP&amp;HEIGHT=450&amp;WIDTH=450&amp;","START_MAXIMIZED=FALSE&amp;VAR:CALENDAR=US&amp;VAR:SYMBOL=RAI&amp;VAR:INDEX=0"}</definedName>
    <definedName name="_2582__FDSAUDITLINK__" localSheetId="0"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2__FDSAUDITLINK__" hidden="1">{"fdsup://directions/FAT Viewer?action=UPDATE&amp;creator=factset&amp;DYN_ARGS=TRUE&amp;DOC_NAME=FAT:FQL_AUDITING_CLIENT_TEMPLATE.FAT&amp;display_string=Audit&amp;VAR:KEY=UPKDYPUDWT&amp;VAR:QUERY=RkZfRElWX1lMRChBTk4sMTIvMTIvMDEsMTIvMTIvMDEp&amp;WINDOW=FIRST_POPUP&amp;HEIGHT=450&amp;WIDTH=450&amp;","START_MAXIMIZED=FALSE&amp;VAR:CALENDAR=US&amp;VAR:SYMBOL=RAI&amp;VAR:INDEX=0"}</definedName>
    <definedName name="_2583__FDSAUDITLINK__" localSheetId="0"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3__FDSAUDITLINK__" hidden="1">{"fdsup://directions/FAT Viewer?action=UPDATE&amp;creator=factset&amp;DYN_ARGS=TRUE&amp;DOC_NAME=FAT:FQL_AUDITING_CLIENT_TEMPLATE.FAT&amp;display_string=Audit&amp;VAR:KEY=KLSBMZKFIT&amp;VAR:QUERY=RkZfRElWX1lMRChBTk4sMTIvMDUvMDEsMTIvMDUvMDEp&amp;WINDOW=FIRST_POPUP&amp;HEIGHT=450&amp;WIDTH=450&amp;","START_MAXIMIZED=FALSE&amp;VAR:CALENDAR=US&amp;VAR:SYMBOL=RAI&amp;VAR:INDEX=0"}</definedName>
    <definedName name="_2584__FDSAUDITLINK__" localSheetId="0"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4__FDSAUDITLINK__" hidden="1">{"fdsup://directions/FAT Viewer?action=UPDATE&amp;creator=factset&amp;DYN_ARGS=TRUE&amp;DOC_NAME=FAT:FQL_AUDITING_CLIENT_TEMPLATE.FAT&amp;display_string=Audit&amp;VAR:KEY=MXSFMBCFGT&amp;VAR:QUERY=RkZfRElWX1lMRChBTk4sMTEvMjgvMDEsMTEvMjgvMDEp&amp;WINDOW=FIRST_POPUP&amp;HEIGHT=450&amp;WIDTH=450&amp;","START_MAXIMIZED=FALSE&amp;VAR:CALENDAR=US&amp;VAR:SYMBOL=RAI&amp;VAR:INDEX=0"}</definedName>
    <definedName name="_2585__FDSAUDITLINK__" localSheetId="0"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5__FDSAUDITLINK__" hidden="1">{"fdsup://directions/FAT Viewer?action=UPDATE&amp;creator=factset&amp;DYN_ARGS=TRUE&amp;DOC_NAME=FAT:FQL_AUDITING_CLIENT_TEMPLATE.FAT&amp;display_string=Audit&amp;VAR:KEY=YLKJEFMHGZ&amp;VAR:QUERY=RkZfRElWX1lMRChBTk4sMTEvMjEvMDEsMTEvMjEvMDEp&amp;WINDOW=FIRST_POPUP&amp;HEIGHT=450&amp;WIDTH=450&amp;","START_MAXIMIZED=FALSE&amp;VAR:CALENDAR=US&amp;VAR:SYMBOL=RAI&amp;VAR:INDEX=0"}</definedName>
    <definedName name="_2586__FDSAUDITLINK__" localSheetId="0"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6__FDSAUDITLINK__" hidden="1">{"fdsup://directions/FAT Viewer?action=UPDATE&amp;creator=factset&amp;DYN_ARGS=TRUE&amp;DOC_NAME=FAT:FQL_AUDITING_CLIENT_TEMPLATE.FAT&amp;display_string=Audit&amp;VAR:KEY=KPSPAHCTKR&amp;VAR:QUERY=RkZfRElWX1lMRChBTk4sMTEvMTQvMDEsMTEvMTQvMDEp&amp;WINDOW=FIRST_POPUP&amp;HEIGHT=450&amp;WIDTH=450&amp;","START_MAXIMIZED=FALSE&amp;VAR:CALENDAR=US&amp;VAR:SYMBOL=RAI&amp;VAR:INDEX=0"}</definedName>
    <definedName name="_2587__FDSAUDITLINK__" localSheetId="0"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7__FDSAUDITLINK__" hidden="1">{"fdsup://directions/FAT Viewer?action=UPDATE&amp;creator=factset&amp;DYN_ARGS=TRUE&amp;DOC_NAME=FAT:FQL_AUDITING_CLIENT_TEMPLATE.FAT&amp;display_string=Audit&amp;VAR:KEY=OPMZAPQRWF&amp;VAR:QUERY=RkZfRElWX1lMRChBTk4sMTEvMDcvMDEsMTEvMDcvMDEp&amp;WINDOW=FIRST_POPUP&amp;HEIGHT=450&amp;WIDTH=450&amp;","START_MAXIMIZED=FALSE&amp;VAR:CALENDAR=US&amp;VAR:SYMBOL=RAI&amp;VAR:INDEX=0"}</definedName>
    <definedName name="_2588__FDSAUDITLINK__" localSheetId="0"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8__FDSAUDITLINK__" hidden="1">{"fdsup://directions/FAT Viewer?action=UPDATE&amp;creator=factset&amp;DYN_ARGS=TRUE&amp;DOC_NAME=FAT:FQL_AUDITING_CLIENT_TEMPLATE.FAT&amp;display_string=Audit&amp;VAR:KEY=YPYFKPSVMP&amp;VAR:QUERY=RkZfRElWX1lMRChBTk4sMTAvMzEvMDEsMTAvMzEvMDEp&amp;WINDOW=FIRST_POPUP&amp;HEIGHT=450&amp;WIDTH=450&amp;","START_MAXIMIZED=FALSE&amp;VAR:CALENDAR=US&amp;VAR:SYMBOL=RAI&amp;VAR:INDEX=0"}</definedName>
    <definedName name="_2589__FDSAUDITLINK__" localSheetId="0"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89__FDSAUDITLINK__" hidden="1">{"fdsup://directions/FAT Viewer?action=UPDATE&amp;creator=factset&amp;DYN_ARGS=TRUE&amp;DOC_NAME=FAT:FQL_AUDITING_CLIENT_TEMPLATE.FAT&amp;display_string=Audit&amp;VAR:KEY=GFWFOTYVWR&amp;VAR:QUERY=RkZfRElWX1lMRChBTk4sMTAvMjQvMDEsMTAvMjQvMDEp&amp;WINDOW=FIRST_POPUP&amp;HEIGHT=450&amp;WIDTH=450&amp;","START_MAXIMIZED=FALSE&amp;VAR:CALENDAR=US&amp;VAR:SYMBOL=RAI&amp;VAR:INDEX=0"}</definedName>
    <definedName name="_259">#REF!</definedName>
    <definedName name="_259__FDSAUDITLINK__" localSheetId="0"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__FDSAUDITLINK__" hidden="1">{"fdsup://directions/FAT Viewer?action=UPDATE&amp;creator=factset&amp;DYN_ARGS=TRUE&amp;DOC_NAME=FAT:FQL_AUDITING_CLIENT_TEMPLATE.FAT&amp;display_string=Audit&amp;VAR:KEY=VUBERURSHO&amp;VAR:QUERY=RkZfRElWX1lMRChBTk4sNC8yMC8wNiw0LzIwLzA2KQ==&amp;WINDOW=FIRST_POPUP&amp;HEIGHT=450&amp;WIDTH=450&amp;","START_MAXIMIZED=FALSE&amp;VAR:CALENDAR=US&amp;VAR:SYMBOL=RAI&amp;VAR:INDEX=0"}</definedName>
    <definedName name="_2590__FDSAUDITLINK__" localSheetId="0"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0__FDSAUDITLINK__" hidden="1">{"fdsup://directions/FAT Viewer?action=UPDATE&amp;creator=factset&amp;DYN_ARGS=TRUE&amp;DOC_NAME=FAT:FQL_AUDITING_CLIENT_TEMPLATE.FAT&amp;display_string=Audit&amp;VAR:KEY=KVMFMXKRGH&amp;VAR:QUERY=RkZfRElWX1lMRChBTk4sMTAvMTcvMDEsMTAvMTcvMDEp&amp;WINDOW=FIRST_POPUP&amp;HEIGHT=450&amp;WIDTH=450&amp;","START_MAXIMIZED=FALSE&amp;VAR:CALENDAR=US&amp;VAR:SYMBOL=RAI&amp;VAR:INDEX=0"}</definedName>
    <definedName name="_2591__FDSAUDITLINK__" localSheetId="0"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1__FDSAUDITLINK__" hidden="1">{"fdsup://directions/FAT Viewer?action=UPDATE&amp;creator=factset&amp;DYN_ARGS=TRUE&amp;DOC_NAME=FAT:FQL_AUDITING_CLIENT_TEMPLATE.FAT&amp;display_string=Audit&amp;VAR:KEY=CZSNWFUFAR&amp;VAR:QUERY=RkZfRElWX1lMRChBTk4sMTAvMTAvMDEsMTAvMTAvMDEp&amp;WINDOW=FIRST_POPUP&amp;HEIGHT=450&amp;WIDTH=450&amp;","START_MAXIMIZED=FALSE&amp;VAR:CALENDAR=US&amp;VAR:SYMBOL=RAI&amp;VAR:INDEX=0"}</definedName>
    <definedName name="_2592__FDSAUDITLINK__" localSheetId="0"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2__FDSAUDITLINK__" hidden="1">{"fdsup://directions/FAT Viewer?action=UPDATE&amp;creator=factset&amp;DYN_ARGS=TRUE&amp;DOC_NAME=FAT:FQL_AUDITING_CLIENT_TEMPLATE.FAT&amp;display_string=Audit&amp;VAR:KEY=WJGXWVWTIP&amp;VAR:QUERY=RkZfRElWX1lMRChBTk4sMTAvMDMvMDEsMTAvMDMvMDEp&amp;WINDOW=FIRST_POPUP&amp;HEIGHT=450&amp;WIDTH=450&amp;","START_MAXIMIZED=FALSE&amp;VAR:CALENDAR=US&amp;VAR:SYMBOL=RAI&amp;VAR:INDEX=0"}</definedName>
    <definedName name="_2593__FDSAUDITLINK__" localSheetId="0"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3__FDSAUDITLINK__" hidden="1">{"fdsup://directions/FAT Viewer?action=UPDATE&amp;creator=factset&amp;DYN_ARGS=TRUE&amp;DOC_NAME=FAT:FQL_AUDITING_CLIENT_TEMPLATE.FAT&amp;display_string=Audit&amp;VAR:KEY=SNABULILWD&amp;VAR:QUERY=RkZfRElWX1lMRChBTk4sOS8yNi8wMSw5LzI2LzAxKQ==&amp;WINDOW=FIRST_POPUP&amp;HEIGHT=450&amp;WIDTH=450&amp;","START_MAXIMIZED=FALSE&amp;VAR:CALENDAR=US&amp;VAR:SYMBOL=RAI&amp;VAR:INDEX=0"}</definedName>
    <definedName name="_2594__FDSAUDITLINK__" localSheetId="0"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4__FDSAUDITLINK__" hidden="1">{"fdsup://directions/FAT Viewer?action=UPDATE&amp;creator=factset&amp;DYN_ARGS=TRUE&amp;DOC_NAME=FAT:FQL_AUDITING_CLIENT_TEMPLATE.FAT&amp;display_string=Audit&amp;VAR:KEY=WHSTIPONAP&amp;VAR:QUERY=RkZfRElWX1lMRChBTk4sOS8xOS8wMSw5LzE5LzAxKQ==&amp;WINDOW=FIRST_POPUP&amp;HEIGHT=450&amp;WIDTH=450&amp;","START_MAXIMIZED=FALSE&amp;VAR:CALENDAR=US&amp;VAR:SYMBOL=RAI&amp;VAR:INDEX=0"}</definedName>
    <definedName name="_2595__FDSAUDITLINK__" localSheetId="0"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5__FDSAUDITLINK__" hidden="1">{"fdsup://directions/FAT Viewer?action=UPDATE&amp;creator=factset&amp;DYN_ARGS=TRUE&amp;DOC_NAME=FAT:FQL_AUDITING_CLIENT_TEMPLATE.FAT&amp;display_string=Audit&amp;VAR:KEY=MZEJWRCTWN&amp;VAR:QUERY=RkZfRElWX1lMRChBTk4sOS8xMC8wMSw5LzEwLzAxKQ==&amp;WINDOW=FIRST_POPUP&amp;HEIGHT=450&amp;WIDTH=450&amp;","START_MAXIMIZED=FALSE&amp;VAR:CALENDAR=US&amp;VAR:SYMBOL=RAI&amp;VAR:INDEX=0"}</definedName>
    <definedName name="_2596__FDSAUDITLINK__" localSheetId="0"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6__FDSAUDITLINK__" hidden="1">{"fdsup://directions/FAT Viewer?action=UPDATE&amp;creator=factset&amp;DYN_ARGS=TRUE&amp;DOC_NAME=FAT:FQL_AUDITING_CLIENT_TEMPLATE.FAT&amp;display_string=Audit&amp;VAR:KEY=MHYPINEDGN&amp;VAR:QUERY=RkZfRElWX1lMRChBTk4sOS8wNS8wMSw5LzA1LzAxKQ==&amp;WINDOW=FIRST_POPUP&amp;HEIGHT=450&amp;WIDTH=450&amp;","START_MAXIMIZED=FALSE&amp;VAR:CALENDAR=US&amp;VAR:SYMBOL=RAI&amp;VAR:INDEX=0"}</definedName>
    <definedName name="_2597__FDSAUDITLINK__" localSheetId="0"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7__FDSAUDITLINK__" hidden="1">{"fdsup://directions/FAT Viewer?action=UPDATE&amp;creator=factset&amp;DYN_ARGS=TRUE&amp;DOC_NAME=FAT:FQL_AUDITING_CLIENT_TEMPLATE.FAT&amp;display_string=Audit&amp;VAR:KEY=GHSDOJQTSL&amp;VAR:QUERY=RkZfRElWX1lMRChBTk4sOC8yOS8wMSw4LzI5LzAxKQ==&amp;WINDOW=FIRST_POPUP&amp;HEIGHT=450&amp;WIDTH=450&amp;","START_MAXIMIZED=FALSE&amp;VAR:CALENDAR=US&amp;VAR:SYMBOL=RAI&amp;VAR:INDEX=0"}</definedName>
    <definedName name="_2598__FDSAUDITLINK__" localSheetId="0"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8__FDSAUDITLINK__" hidden="1">{"fdsup://directions/FAT Viewer?action=UPDATE&amp;creator=factset&amp;DYN_ARGS=TRUE&amp;DOC_NAME=FAT:FQL_AUDITING_CLIENT_TEMPLATE.FAT&amp;display_string=Audit&amp;VAR:KEY=MLIFEJQBCD&amp;VAR:QUERY=RkZfRElWX1lMRChBTk4sOC8yMi8wMSw4LzIyLzAxKQ==&amp;WINDOW=FIRST_POPUP&amp;HEIGHT=450&amp;WIDTH=450&amp;","START_MAXIMIZED=FALSE&amp;VAR:CALENDAR=US&amp;VAR:SYMBOL=RAI&amp;VAR:INDEX=0"}</definedName>
    <definedName name="_2599__FDSAUDITLINK__" localSheetId="0"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99__FDSAUDITLINK__" hidden="1">{"fdsup://directions/FAT Viewer?action=UPDATE&amp;creator=factset&amp;DYN_ARGS=TRUE&amp;DOC_NAME=FAT:FQL_AUDITING_CLIENT_TEMPLATE.FAT&amp;display_string=Audit&amp;VAR:KEY=OTQRSVCVKX&amp;VAR:QUERY=RkZfRElWX1lMRChBTk4sOC8xNS8wMSw4LzE1LzAxKQ==&amp;WINDOW=FIRST_POPUP&amp;HEIGHT=450&amp;WIDTH=450&amp;","START_MAXIMIZED=FALSE&amp;VAR:CALENDAR=US&amp;VAR:SYMBOL=RAI&amp;VAR:INDEX=0"}</definedName>
    <definedName name="_25s5_" hidden="1">{#N/A,#N/A,FALSE,"UNIT";#N/A,#N/A,FALSE,"UNIT";#N/A,#N/A,FALSE,"계정"}</definedName>
    <definedName name="_26">#REF!</definedName>
    <definedName name="_26________NOTE10_12">#REF!</definedName>
    <definedName name="_26__123Graph_ATAX_CREDIT">#REF!</definedName>
    <definedName name="_26__123Graph_BCHART_4">#REF!</definedName>
    <definedName name="_26__123Graph_BGROWTH_REVS_B" hidden="1">#REF!</definedName>
    <definedName name="_26__123Graph_BWAGES_BY_B_U">#REF!</definedName>
    <definedName name="_26__123Graph_CChart_19K">#REF!</definedName>
    <definedName name="_26__123Graph_CCONTRACT_BY_B_U">#REF!</definedName>
    <definedName name="_26__123Graph_CSUPPLIES_BY_B_U">#REF!</definedName>
    <definedName name="_26__123Graph_DSUPPLIES_BY_B_U">#REF!</definedName>
    <definedName name="_26__123Graph_DWAGES_BY_B_U">#REF!</definedName>
    <definedName name="_26__123Graph_EQRE_S_BY_CO." hidden="1">#REF!</definedName>
    <definedName name="_26__123Graph_ESUPPLIES_BY_B_U">#REF!</definedName>
    <definedName name="_26__123Graph_EWAGES_BY_B_U">#REF!</definedName>
    <definedName name="_26__123Graph_FCONTRACT_BY_B_U">#REF!</definedName>
    <definedName name="_26__FDSAUDITLINK__" localSheetId="0"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_FDSAUDITLINK__" hidden="1">{"fdsup://directions/FAT Viewer?action=UPDATE&amp;creator=factset&amp;DYN_ARGS=TRUE&amp;DOC_NAME=FAT:FQL_AUDITING_CLIENT_TEMPLATE.FAT&amp;display_string=Audit&amp;VAR:KEY=UFIBSBQHIV&amp;VAR:QUERY=RkZfRU5UUlBSX1ZBTF9EQUlMWSgwLCwsLCwnRElMJyk=&amp;WINDOW=FIRST_POPUP&amp;HEIGHT=450&amp;WIDTH=450&amp;","START_MAXIMIZED=FALSE&amp;VAR:CALENDAR=US&amp;VAR:SYMBOL=TAP&amp;VAR:INDEX=0"}</definedName>
    <definedName name="_26_10_1999">#REF!</definedName>
    <definedName name="_260__FDSAUDITLINK__" localSheetId="0"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__FDSAUDITLINK__" hidden="1">{"fdsup://directions/FAT Viewer?action=UPDATE&amp;creator=factset&amp;DYN_ARGS=TRUE&amp;DOC_NAME=FAT:FQL_AUDITING_CLIENT_TEMPLATE.FAT&amp;display_string=Audit&amp;VAR:KEY=LYTQBIPELC&amp;VAR:QUERY=RkZfRElWX1lMRChBTk4sNC8xMy8wNiw0LzEzLzA2KQ==&amp;WINDOW=FIRST_POPUP&amp;HEIGHT=450&amp;WIDTH=450&amp;","START_MAXIMIZED=FALSE&amp;VAR:CALENDAR=US&amp;VAR:SYMBOL=RAI&amp;VAR:INDEX=0"}</definedName>
    <definedName name="_2600__FDSAUDITLINK__" localSheetId="0"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0__FDSAUDITLINK__" hidden="1">{"fdsup://directions/FAT Viewer?action=UPDATE&amp;creator=factset&amp;DYN_ARGS=TRUE&amp;DOC_NAME=FAT:FQL_AUDITING_CLIENT_TEMPLATE.FAT&amp;display_string=Audit&amp;VAR:KEY=CDSFUVCPKN&amp;VAR:QUERY=RkZfRElWX1lMRChBTk4sOC8wOC8wMSw4LzA4LzAxKQ==&amp;WINDOW=FIRST_POPUP&amp;HEIGHT=450&amp;WIDTH=450&amp;","START_MAXIMIZED=FALSE&amp;VAR:CALENDAR=US&amp;VAR:SYMBOL=RAI&amp;VAR:INDEX=0"}</definedName>
    <definedName name="_2601__FDSAUDITLINK__" localSheetId="0"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1__FDSAUDITLINK__" hidden="1">{"fdsup://directions/FAT Viewer?action=UPDATE&amp;creator=factset&amp;DYN_ARGS=TRUE&amp;DOC_NAME=FAT:FQL_AUDITING_CLIENT_TEMPLATE.FAT&amp;display_string=Audit&amp;VAR:KEY=ITEZYXANEZ&amp;VAR:QUERY=RkZfRElWX1lMRChBTk4sOC8wMS8wMSw4LzAxLzAxKQ==&amp;WINDOW=FIRST_POPUP&amp;HEIGHT=450&amp;WIDTH=450&amp;","START_MAXIMIZED=FALSE&amp;VAR:CALENDAR=US&amp;VAR:SYMBOL=RAI&amp;VAR:INDEX=0"}</definedName>
    <definedName name="_2602__FDSAUDITLINK__" localSheetId="0"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2__FDSAUDITLINK__" hidden="1">{"fdsup://directions/FAT Viewer?action=UPDATE&amp;creator=factset&amp;DYN_ARGS=TRUE&amp;DOC_NAME=FAT:FQL_AUDITING_CLIENT_TEMPLATE.FAT&amp;display_string=Audit&amp;VAR:KEY=YTUTCLWRMJ&amp;VAR:QUERY=RkZfRElWX1lMRChBTk4sNy8yNS8wMSw3LzI1LzAxKQ==&amp;WINDOW=FIRST_POPUP&amp;HEIGHT=450&amp;WIDTH=450&amp;","START_MAXIMIZED=FALSE&amp;VAR:CALENDAR=US&amp;VAR:SYMBOL=RAI&amp;VAR:INDEX=0"}</definedName>
    <definedName name="_2603__FDSAUDITLINK__" localSheetId="0"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3__FDSAUDITLINK__" hidden="1">{"fdsup://directions/FAT Viewer?action=UPDATE&amp;creator=factset&amp;DYN_ARGS=TRUE&amp;DOC_NAME=FAT:FQL_AUDITING_CLIENT_TEMPLATE.FAT&amp;display_string=Audit&amp;VAR:KEY=IRGTEBCDUN&amp;VAR:QUERY=RkZfRElWX1lMRChBTk4sNy8xOC8wMSw3LzE4LzAxKQ==&amp;WINDOW=FIRST_POPUP&amp;HEIGHT=450&amp;WIDTH=450&amp;","START_MAXIMIZED=FALSE&amp;VAR:CALENDAR=US&amp;VAR:SYMBOL=RAI&amp;VAR:INDEX=0"}</definedName>
    <definedName name="_2604__FDSAUDITLINK__" localSheetId="0"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4__FDSAUDITLINK__" hidden="1">{"fdsup://directions/FAT Viewer?action=UPDATE&amp;creator=factset&amp;DYN_ARGS=TRUE&amp;DOC_NAME=FAT:FQL_AUDITING_CLIENT_TEMPLATE.FAT&amp;display_string=Audit&amp;VAR:KEY=KDINOLCVMB&amp;VAR:QUERY=RkZfRElWX1lMRChBTk4sNy8xMS8wMSw3LzExLzAxKQ==&amp;WINDOW=FIRST_POPUP&amp;HEIGHT=450&amp;WIDTH=450&amp;","START_MAXIMIZED=FALSE&amp;VAR:CALENDAR=US&amp;VAR:SYMBOL=RAI&amp;VAR:INDEX=0"}</definedName>
    <definedName name="_2605__FDSAUDITLINK__" localSheetId="0"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5__FDSAUDITLINK__" hidden="1">{"fdsup://directions/FAT Viewer?action=UPDATE&amp;creator=factset&amp;DYN_ARGS=TRUE&amp;DOC_NAME=FAT:FQL_AUDITING_CLIENT_TEMPLATE.FAT&amp;display_string=Audit&amp;VAR:KEY=WHSZORUTST&amp;VAR:QUERY=RkZfRElWX1lMRChBTk4sNy8wMy8wMSw3LzAzLzAxKQ==&amp;WINDOW=FIRST_POPUP&amp;HEIGHT=450&amp;WIDTH=450&amp;","START_MAXIMIZED=FALSE&amp;VAR:CALENDAR=US&amp;VAR:SYMBOL=RAI&amp;VAR:INDEX=0"}</definedName>
    <definedName name="_2606__FDSAUDITLINK__" localSheetId="0"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6__FDSAUDITLINK__" hidden="1">{"fdsup://directions/FAT Viewer?action=UPDATE&amp;creator=factset&amp;DYN_ARGS=TRUE&amp;DOC_NAME=FAT:FQL_AUDITING_CLIENT_TEMPLATE.FAT&amp;display_string=Audit&amp;VAR:KEY=IXAPGXGBGB&amp;VAR:QUERY=RkZfRElWX1lMRChBTk4sNi8yNy8wMSw2LzI3LzAxKQ==&amp;WINDOW=FIRST_POPUP&amp;HEIGHT=450&amp;WIDTH=450&amp;","START_MAXIMIZED=FALSE&amp;VAR:CALENDAR=US&amp;VAR:SYMBOL=RAI&amp;VAR:INDEX=0"}</definedName>
    <definedName name="_2607__FDSAUDITLINK__" localSheetId="0"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7__FDSAUDITLINK__" hidden="1">{"fdsup://directions/FAT Viewer?action=UPDATE&amp;creator=factset&amp;DYN_ARGS=TRUE&amp;DOC_NAME=FAT:FQL_AUDITING_CLIENT_TEMPLATE.FAT&amp;display_string=Audit&amp;VAR:KEY=UJQNKZGRCR&amp;VAR:QUERY=RkZfRElWX1lMRChBTk4sNi8yMC8wMSw2LzIwLzAxKQ==&amp;WINDOW=FIRST_POPUP&amp;HEIGHT=450&amp;WIDTH=450&amp;","START_MAXIMIZED=FALSE&amp;VAR:CALENDAR=US&amp;VAR:SYMBOL=RAI&amp;VAR:INDEX=0"}</definedName>
    <definedName name="_2608__FDSAUDITLINK__" localSheetId="0"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8__FDSAUDITLINK__" hidden="1">{"fdsup://directions/FAT Viewer?action=UPDATE&amp;creator=factset&amp;DYN_ARGS=TRUE&amp;DOC_NAME=FAT:FQL_AUDITING_CLIENT_TEMPLATE.FAT&amp;display_string=Audit&amp;VAR:KEY=ARKBABUBAT&amp;VAR:QUERY=RkZfRElWX1lMRChBTk4sNi8xMy8wMSw2LzEzLzAxKQ==&amp;WINDOW=FIRST_POPUP&amp;HEIGHT=450&amp;WIDTH=450&amp;","START_MAXIMIZED=FALSE&amp;VAR:CALENDAR=US&amp;VAR:SYMBOL=RAI&amp;VAR:INDEX=0"}</definedName>
    <definedName name="_2609">#REF!</definedName>
    <definedName name="_2609__FDSAUDITLINK__" localSheetId="0"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09__FDSAUDITLINK__" hidden="1">{"fdsup://directions/FAT Viewer?action=UPDATE&amp;creator=factset&amp;DYN_ARGS=TRUE&amp;DOC_NAME=FAT:FQL_AUDITING_CLIENT_TEMPLATE.FAT&amp;display_string=Audit&amp;VAR:KEY=SLSDSHANQT&amp;VAR:QUERY=RkZfRElWX1lMRChBTk4sNi8wNi8wMSw2LzA2LzAxKQ==&amp;WINDOW=FIRST_POPUP&amp;HEIGHT=450&amp;WIDTH=450&amp;","START_MAXIMIZED=FALSE&amp;VAR:CALENDAR=US&amp;VAR:SYMBOL=RAI&amp;VAR:INDEX=0"}</definedName>
    <definedName name="_261__FDSAUDITLINK__" localSheetId="0"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__FDSAUDITLINK__" hidden="1">{"fdsup://directions/FAT Viewer?action=UPDATE&amp;creator=factset&amp;DYN_ARGS=TRUE&amp;DOC_NAME=FAT:FQL_AUDITING_CLIENT_TEMPLATE.FAT&amp;display_string=Audit&amp;VAR:KEY=LAVKTSBCNY&amp;VAR:QUERY=RkZfRElWX1lMRChBTk4sNC8wNi8wNiw0LzA2LzA2KQ==&amp;WINDOW=FIRST_POPUP&amp;HEIGHT=450&amp;WIDTH=450&amp;","START_MAXIMIZED=FALSE&amp;VAR:CALENDAR=US&amp;VAR:SYMBOL=RAI&amp;VAR:INDEX=0"}</definedName>
    <definedName name="_2610">#REF!</definedName>
    <definedName name="_2610__FDSAUDITLINK__" localSheetId="0"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0__FDSAUDITLINK__" hidden="1">{"fdsup://directions/FAT Viewer?action=UPDATE&amp;creator=factset&amp;DYN_ARGS=TRUE&amp;DOC_NAME=FAT:FQL_AUDITING_CLIENT_TEMPLATE.FAT&amp;display_string=Audit&amp;VAR:KEY=IDQNSXYXQZ&amp;VAR:QUERY=RkZfRElWX1lMRChBTk4sNS8zMC8wMSw1LzMwLzAxKQ==&amp;WINDOW=FIRST_POPUP&amp;HEIGHT=450&amp;WIDTH=450&amp;","START_MAXIMIZED=FALSE&amp;VAR:CALENDAR=US&amp;VAR:SYMBOL=RAI&amp;VAR:INDEX=0"}</definedName>
    <definedName name="_2611__FDSAUDITLINK__" localSheetId="0"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1__FDSAUDITLINK__" hidden="1">{"fdsup://directions/FAT Viewer?action=UPDATE&amp;creator=factset&amp;DYN_ARGS=TRUE&amp;DOC_NAME=FAT:FQL_AUDITING_CLIENT_TEMPLATE.FAT&amp;display_string=Audit&amp;VAR:KEY=AHGVKLWLIP&amp;VAR:QUERY=RkZfRElWX1lMRChBTk4sNS8yMy8wMSw1LzIzLzAxKQ==&amp;WINDOW=FIRST_POPUP&amp;HEIGHT=450&amp;WIDTH=450&amp;","START_MAXIMIZED=FALSE&amp;VAR:CALENDAR=US&amp;VAR:SYMBOL=RAI&amp;VAR:INDEX=0"}</definedName>
    <definedName name="_2612">#REF!</definedName>
    <definedName name="_2612__FDSAUDITLINK__" localSheetId="0"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2__FDSAUDITLINK__" hidden="1">{"fdsup://directions/FAT Viewer?action=UPDATE&amp;creator=factset&amp;DYN_ARGS=TRUE&amp;DOC_NAME=FAT:FQL_AUDITING_CLIENT_TEMPLATE.FAT&amp;display_string=Audit&amp;VAR:KEY=CDSXCXSZIL&amp;VAR:QUERY=RkZfRElWX1lMRChBTk4sNS8xNi8wMSw1LzE2LzAxKQ==&amp;WINDOW=FIRST_POPUP&amp;HEIGHT=450&amp;WIDTH=450&amp;","START_MAXIMIZED=FALSE&amp;VAR:CALENDAR=US&amp;VAR:SYMBOL=RAI&amp;VAR:INDEX=0"}</definedName>
    <definedName name="_2613">#REF!</definedName>
    <definedName name="_2613__FDSAUDITLINK__" localSheetId="0"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3__FDSAUDITLINK__" hidden="1">{"fdsup://directions/FAT Viewer?action=UPDATE&amp;creator=factset&amp;DYN_ARGS=TRUE&amp;DOC_NAME=FAT:FQL_AUDITING_CLIENT_TEMPLATE.FAT&amp;display_string=Audit&amp;VAR:KEY=IZAPCXWNSX&amp;VAR:QUERY=RkZfRElWX1lMRChBTk4sNS8wOS8wMSw1LzA5LzAxKQ==&amp;WINDOW=FIRST_POPUP&amp;HEIGHT=450&amp;WIDTH=450&amp;","START_MAXIMIZED=FALSE&amp;VAR:CALENDAR=US&amp;VAR:SYMBOL=RAI&amp;VAR:INDEX=0"}</definedName>
    <definedName name="_2614__FDSAUDITLINK__" localSheetId="0"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4__FDSAUDITLINK__" hidden="1">{"fdsup://directions/FAT Viewer?action=UPDATE&amp;creator=factset&amp;DYN_ARGS=TRUE&amp;DOC_NAME=FAT:FQL_AUDITING_CLIENT_TEMPLATE.FAT&amp;display_string=Audit&amp;VAR:KEY=CDSNABOZUB&amp;VAR:QUERY=RkZfRElWX1lMRChBTk4sNS8wMi8wMSw1LzAyLzAxKQ==&amp;WINDOW=FIRST_POPUP&amp;HEIGHT=450&amp;WIDTH=450&amp;","START_MAXIMIZED=FALSE&amp;VAR:CALENDAR=US&amp;VAR:SYMBOL=RAI&amp;VAR:INDEX=0"}</definedName>
    <definedName name="_2615">#REF!</definedName>
    <definedName name="_2615__FDSAUDITLINK__" localSheetId="0"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5__FDSAUDITLINK__" hidden="1">{"fdsup://directions/FAT Viewer?action=UPDATE&amp;creator=factset&amp;DYN_ARGS=TRUE&amp;DOC_NAME=FAT:FQL_AUDITING_CLIENT_TEMPLATE.FAT&amp;display_string=Audit&amp;VAR:KEY=GFKVWTWTMD&amp;VAR:QUERY=RkZfRElWX1lMRChBTk4sNC8yNS8wMSw0LzI1LzAxKQ==&amp;WINDOW=FIRST_POPUP&amp;HEIGHT=450&amp;WIDTH=450&amp;","START_MAXIMIZED=FALSE&amp;VAR:CALENDAR=US&amp;VAR:SYMBOL=RAI&amp;VAR:INDEX=0"}</definedName>
    <definedName name="_2616">#REF!</definedName>
    <definedName name="_2616__FDSAUDITLINK__" localSheetId="0"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6__FDSAUDITLINK__" hidden="1">{"fdsup://directions/FAT Viewer?action=UPDATE&amp;creator=factset&amp;DYN_ARGS=TRUE&amp;DOC_NAME=FAT:FQL_AUDITING_CLIENT_TEMPLATE.FAT&amp;display_string=Audit&amp;VAR:KEY=EPQLAFKRQF&amp;VAR:QUERY=RkZfRElWX1lMRChBTk4sNC8xOC8wMSw0LzE4LzAxKQ==&amp;WINDOW=FIRST_POPUP&amp;HEIGHT=450&amp;WIDTH=450&amp;","START_MAXIMIZED=FALSE&amp;VAR:CALENDAR=US&amp;VAR:SYMBOL=RAI&amp;VAR:INDEX=0"}</definedName>
    <definedName name="_2617__FDSAUDITLINK__" localSheetId="0"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7__FDSAUDITLINK__" hidden="1">{"fdsup://directions/FAT Viewer?action=UPDATE&amp;creator=factset&amp;DYN_ARGS=TRUE&amp;DOC_NAME=FAT:FQL_AUDITING_CLIENT_TEMPLATE.FAT&amp;display_string=Audit&amp;VAR:KEY=WFMDYHMBAV&amp;VAR:QUERY=RkZfRElWX1lMRChBTk4sNC8xMS8wMSw0LzExLzAxKQ==&amp;WINDOW=FIRST_POPUP&amp;HEIGHT=450&amp;WIDTH=450&amp;","START_MAXIMIZED=FALSE&amp;VAR:CALENDAR=US&amp;VAR:SYMBOL=RAI&amp;VAR:INDEX=0"}</definedName>
    <definedName name="_2618__FDSAUDITLINK__" localSheetId="0"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18__FDSAUDITLINK__" hidden="1">{"fdsup://directions/FAT Viewer?action=UPDATE&amp;creator=factset&amp;DYN_ARGS=TRUE&amp;DOC_NAME=FAT:FQL_AUDITING_CLIENT_TEMPLATE.FAT&amp;display_string=Audit&amp;VAR:KEY=SXWBIHQLYB&amp;VAR:QUERY=RkZfRElWX1lMRChBTk4sNC8wNC8wMSw0LzA0LzAxKQ==&amp;WINDOW=FIRST_POPUP&amp;HEIGHT=450&amp;WIDTH=450&amp;","START_MAXIMIZED=FALSE&amp;VAR:CALENDAR=US&amp;VAR:SYMBOL=RAI&amp;VAR:INDEX=0"}</definedName>
    <definedName name="_262">#REF!</definedName>
    <definedName name="_262__FDSAUDITLINK__" localSheetId="0"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2__FDSAUDITLINK__" hidden="1">{"fdsup://directions/FAT Viewer?action=UPDATE&amp;creator=factset&amp;DYN_ARGS=TRUE&amp;DOC_NAME=FAT:FQL_AUDITING_CLIENT_TEMPLATE.FAT&amp;display_string=Audit&amp;VAR:KEY=ZMHEXGHQVS&amp;VAR:QUERY=RkZfRElWX1lMRChBTk4sMy8zMC8wNiwzLzMwLzA2KQ==&amp;WINDOW=FIRST_POPUP&amp;HEIGHT=450&amp;WIDTH=450&amp;","START_MAXIMIZED=FALSE&amp;VAR:CALENDAR=US&amp;VAR:SYMBOL=RAI&amp;VAR:INDEX=0"}</definedName>
    <definedName name="_263">#REF!</definedName>
    <definedName name="_263__FDSAUDITLINK__" localSheetId="0"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__FDSAUDITLINK__" hidden="1">{"fdsup://directions/FAT Viewer?action=UPDATE&amp;creator=factset&amp;DYN_ARGS=TRUE&amp;DOC_NAME=FAT:FQL_AUDITING_CLIENT_TEMPLATE.FAT&amp;display_string=Audit&amp;VAR:KEY=LSRGDSRAXS&amp;VAR:QUERY=RkZfRElWX1lMRChBTk4sMy8yMy8wNiwzLzIzLzA2KQ==&amp;WINDOW=FIRST_POPUP&amp;HEIGHT=450&amp;WIDTH=450&amp;","START_MAXIMIZED=FALSE&amp;VAR:CALENDAR=US&amp;VAR:SYMBOL=RAI&amp;VAR:INDEX=0"}</definedName>
    <definedName name="_263A">#REF!</definedName>
    <definedName name="_264">#REF!</definedName>
    <definedName name="_264__FDSAUDITLINK__" localSheetId="0"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4__FDSAUDITLINK__" hidden="1">{"fdsup://directions/FAT Viewer?action=UPDATE&amp;creator=factset&amp;DYN_ARGS=TRUE&amp;DOC_NAME=FAT:FQL_AUDITING_CLIENT_TEMPLATE.FAT&amp;display_string=Audit&amp;VAR:KEY=ZKHUJSDUBK&amp;VAR:QUERY=RkZfRElWX1lMRChBTk4sMy8xNi8wNiwzLzE2LzA2KQ==&amp;WINDOW=FIRST_POPUP&amp;HEIGHT=450&amp;WIDTH=450&amp;","START_MAXIMIZED=FALSE&amp;VAR:CALENDAR=US&amp;VAR:SYMBOL=RAI&amp;VAR:INDEX=0"}</definedName>
    <definedName name="_265">#REF!</definedName>
    <definedName name="_265__FDSAUDITLINK__" localSheetId="0"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5__FDSAUDITLINK__" hidden="1">{"fdsup://directions/FAT Viewer?action=UPDATE&amp;creator=factset&amp;DYN_ARGS=TRUE&amp;DOC_NAME=FAT:FQL_AUDITING_CLIENT_TEMPLATE.FAT&amp;display_string=Audit&amp;VAR:KEY=NGZSZUZYBI&amp;VAR:QUERY=RkZfRElWX1lMRChBTk4sMy8wOS8wNiwzLzA5LzA2KQ==&amp;WINDOW=FIRST_POPUP&amp;HEIGHT=450&amp;WIDTH=450&amp;","START_MAXIMIZED=FALSE&amp;VAR:CALENDAR=US&amp;VAR:SYMBOL=RAI&amp;VAR:INDEX=0"}</definedName>
    <definedName name="_266__FDSAUDITLINK__" localSheetId="0"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6__FDSAUDITLINK__" hidden="1">{"fdsup://directions/FAT Viewer?action=UPDATE&amp;creator=factset&amp;DYN_ARGS=TRUE&amp;DOC_NAME=FAT:FQL_AUDITING_CLIENT_TEMPLATE.FAT&amp;display_string=Audit&amp;VAR:KEY=VIPWXWRAZO&amp;VAR:QUERY=RkZfRElWX1lMRChBTk4sMy8wMi8wNiwzLzAyLzA2KQ==&amp;WINDOW=FIRST_POPUP&amp;HEIGHT=450&amp;WIDTH=450&amp;","START_MAXIMIZED=FALSE&amp;VAR:CALENDAR=US&amp;VAR:SYMBOL=RAI&amp;VAR:INDEX=0"}</definedName>
    <definedName name="_267">#REF!</definedName>
    <definedName name="_267__FDSAUDITLINK__" localSheetId="0"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7__FDSAUDITLINK__" hidden="1">{"fdsup://directions/FAT Viewer?action=UPDATE&amp;creator=factset&amp;DYN_ARGS=TRUE&amp;DOC_NAME=FAT:FQL_AUDITING_CLIENT_TEMPLATE.FAT&amp;display_string=Audit&amp;VAR:KEY=ZYRMHYHCHO&amp;VAR:QUERY=RkZfRElWX1lMRChBTk4sMi8yMy8wNiwyLzIzLzA2KQ==&amp;WINDOW=FIRST_POPUP&amp;HEIGHT=450&amp;WIDTH=450&amp;","START_MAXIMIZED=FALSE&amp;VAR:CALENDAR=US&amp;VAR:SYMBOL=RAI&amp;VAR:INDEX=0"}</definedName>
    <definedName name="_268">#REF!</definedName>
    <definedName name="_268__FDSAUDITLINK__" localSheetId="0"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8__FDSAUDITLINK__" hidden="1">{"fdsup://directions/FAT Viewer?action=UPDATE&amp;creator=factset&amp;DYN_ARGS=TRUE&amp;DOC_NAME=FAT:FQL_AUDITING_CLIENT_TEMPLATE.FAT&amp;display_string=Audit&amp;VAR:KEY=PANARIXCNM&amp;VAR:QUERY=RkZfRElWX1lMRChBTk4sMi8xNi8wNiwyLzE2LzA2KQ==&amp;WINDOW=FIRST_POPUP&amp;HEIGHT=450&amp;WIDTH=450&amp;","START_MAXIMIZED=FALSE&amp;VAR:CALENDAR=US&amp;VAR:SYMBOL=RAI&amp;VAR:INDEX=0"}</definedName>
    <definedName name="_269">#REF!</definedName>
    <definedName name="_269__FDSAUDITLINK__" localSheetId="0"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9__FDSAUDITLINK__" hidden="1">{"fdsup://directions/FAT Viewer?action=UPDATE&amp;creator=factset&amp;DYN_ARGS=TRUE&amp;DOC_NAME=FAT:FQL_AUDITING_CLIENT_TEMPLATE.FAT&amp;display_string=Audit&amp;VAR:KEY=POPGXANKRE&amp;VAR:QUERY=RkZfRElWX1lMRChBTk4sMi8wOS8wNiwyLzA5LzA2KQ==&amp;WINDOW=FIRST_POPUP&amp;HEIGHT=450&amp;WIDTH=450&amp;","START_MAXIMIZED=FALSE&amp;VAR:CALENDAR=US&amp;VAR:SYMBOL=RAI&amp;VAR:INDEX=0"}</definedName>
    <definedName name="_26main_form_account_grants_list_2_j_id1022">#REF!</definedName>
    <definedName name="_26s6_" hidden="1">{#N/A,#N/A,FALSE,"UNIT";#N/A,#N/A,FALSE,"UNIT";#N/A,#N/A,FALSE,"계정"}</definedName>
    <definedName name="_27">#REF!</definedName>
    <definedName name="_27_????_3">#REF!</definedName>
    <definedName name="_27________NOTE1_3">#REF!</definedName>
    <definedName name="_27__123Graph_AGROWTH_REVS_B" hidden="1">#REF!</definedName>
    <definedName name="_27__123Graph_BSENS_COMPARISON">#REF!</definedName>
    <definedName name="_27__123Graph_CCHART_111" hidden="1">#REF!</definedName>
    <definedName name="_27__123Graph_CChart_2I">#REF!</definedName>
    <definedName name="_27__123Graph_CCONTRACT_BY_B_U">#REF!</definedName>
    <definedName name="_27__123Graph_CWAGES_BY_B_U">#REF!</definedName>
    <definedName name="_27__123Graph_DWAGES_BY_B_U">#REF!</definedName>
    <definedName name="_27__123Graph_ECONTRACT_BY_B_U">#REF!</definedName>
    <definedName name="_27__123Graph_ESUPPLIES_BY_B_U" hidden="1">#REF!</definedName>
    <definedName name="_27__123Graph_EWAGES_BY_B_U">#REF!</definedName>
    <definedName name="_27__123Graph_FCONTRACT_BY_B_U">#REF!</definedName>
    <definedName name="_27__123Graph_FQRE_S_BY_CO.">#REF!</definedName>
    <definedName name="_27__FDSAUDITLINK__" localSheetId="0"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_FDSAUDITLINK__" hidden="1">{"fdsup://directions/FAT Viewer?action=UPDATE&amp;creator=factset&amp;DYN_ARGS=TRUE&amp;DOC_NAME=FAT:FQL_AUDITING_CLIENT_TEMPLATE.FAT&amp;display_string=Audit&amp;VAR:KEY=KVIVSFATCL&amp;VAR:QUERY=RkZfRU5UUlBSX1ZBTF9EQUlMWSgwLCwsLCwnRElMJyk=&amp;WINDOW=FIRST_POPUP&amp;HEIGHT=450&amp;WIDTH=450&amp;","START_MAXIMIZED=FALSE&amp;VAR:CALENDAR=US&amp;VAR:SYMBOL=COKE&amp;VAR:INDEX=0"}</definedName>
    <definedName name="_27_02_1998">#REF!</definedName>
    <definedName name="_270">#REF!</definedName>
    <definedName name="_270__FDSAUDITLINK__" localSheetId="0"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__FDSAUDITLINK__" hidden="1">{"fdsup://directions/FAT Viewer?action=UPDATE&amp;creator=factset&amp;DYN_ARGS=TRUE&amp;DOC_NAME=FAT:FQL_AUDITING_CLIENT_TEMPLATE.FAT&amp;display_string=Audit&amp;VAR:KEY=VWNOLEHIJA&amp;VAR:QUERY=RkZfRElWX1lMRChBTk4sMi8wMi8wNiwyLzAyLzA2KQ==&amp;WINDOW=FIRST_POPUP&amp;HEIGHT=450&amp;WIDTH=450&amp;","START_MAXIMIZED=FALSE&amp;VAR:CALENDAR=US&amp;VAR:SYMBOL=RAI&amp;VAR:INDEX=0"}</definedName>
    <definedName name="_2701">#REF!</definedName>
    <definedName name="_271">#REF!</definedName>
    <definedName name="_271__FDSAUDITLINK__" localSheetId="0"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1__FDSAUDITLINK__" hidden="1">{"fdsup://directions/FAT Viewer?action=UPDATE&amp;creator=factset&amp;DYN_ARGS=TRUE&amp;DOC_NAME=FAT:FQL_AUDITING_CLIENT_TEMPLATE.FAT&amp;display_string=Audit&amp;VAR:KEY=TCBITYRIZY&amp;VAR:QUERY=RkZfRElWX1lMRChBTk4sMS8yNi8wNiwxLzI2LzA2KQ==&amp;WINDOW=FIRST_POPUP&amp;HEIGHT=450&amp;WIDTH=450&amp;","START_MAXIMIZED=FALSE&amp;VAR:CALENDAR=US&amp;VAR:SYMBOL=RAI&amp;VAR:INDEX=0"}</definedName>
    <definedName name="_272">#REF!</definedName>
    <definedName name="_272__FDSAUDITLINK__" localSheetId="0"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2__FDSAUDITLINK__" hidden="1">{"fdsup://directions/FAT Viewer?action=UPDATE&amp;creator=factset&amp;DYN_ARGS=TRUE&amp;DOC_NAME=FAT:FQL_AUDITING_CLIENT_TEMPLATE.FAT&amp;display_string=Audit&amp;VAR:KEY=VEPITUFMDO&amp;VAR:QUERY=RkZfRElWX1lMRChBTk4sMS8xOS8wNiwxLzE5LzA2KQ==&amp;WINDOW=FIRST_POPUP&amp;HEIGHT=450&amp;WIDTH=450&amp;","START_MAXIMIZED=FALSE&amp;VAR:CALENDAR=US&amp;VAR:SYMBOL=RAI&amp;VAR:INDEX=0"}</definedName>
    <definedName name="_273">#REF!</definedName>
    <definedName name="_273__FDSAUDITLINK__" localSheetId="0"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3__FDSAUDITLINK__" hidden="1">{"fdsup://directions/FAT Viewer?action=UPDATE&amp;creator=factset&amp;DYN_ARGS=TRUE&amp;DOC_NAME=FAT:FQL_AUDITING_CLIENT_TEMPLATE.FAT&amp;display_string=Audit&amp;VAR:KEY=NCTQZOBKHS&amp;VAR:QUERY=RkZfRElWX1lMRChBTk4sMS8xMi8wNiwxLzEyLzA2KQ==&amp;WINDOW=FIRST_POPUP&amp;HEIGHT=450&amp;WIDTH=450&amp;","START_MAXIMIZED=FALSE&amp;VAR:CALENDAR=US&amp;VAR:SYMBOL=RAI&amp;VAR:INDEX=0"}</definedName>
    <definedName name="_274">#REF!</definedName>
    <definedName name="_274__FDSAUDITLINK__" localSheetId="0"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4__FDSAUDITLINK__" hidden="1">{"fdsup://directions/FAT Viewer?action=UPDATE&amp;creator=factset&amp;DYN_ARGS=TRUE&amp;DOC_NAME=FAT:FQL_AUDITING_CLIENT_TEMPLATE.FAT&amp;display_string=Audit&amp;VAR:KEY=FEVYLALAJQ&amp;VAR:QUERY=RkZfRElWX1lMRChBTk4sMS8wNS8wNiwxLzA1LzA2KQ==&amp;WINDOW=FIRST_POPUP&amp;HEIGHT=450&amp;WIDTH=450&amp;","START_MAXIMIZED=FALSE&amp;VAR:CALENDAR=US&amp;VAR:SYMBOL=RAI&amp;VAR:INDEX=0"}</definedName>
    <definedName name="_275">#REF!</definedName>
    <definedName name="_275__FDSAUDITLINK__" localSheetId="0"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5__FDSAUDITLINK__" hidden="1">{"fdsup://directions/FAT Viewer?action=UPDATE&amp;creator=factset&amp;DYN_ARGS=TRUE&amp;DOC_NAME=FAT:FQL_AUDITING_CLIENT_TEMPLATE.FAT&amp;display_string=Audit&amp;VAR:KEY=BOHIRUVOVW&amp;VAR:QUERY=RkZfRElWX1lMRChBTk4sMTIvMjkvMDUsMTIvMjkvMDUp&amp;WINDOW=FIRST_POPUP&amp;HEIGHT=450&amp;WIDTH=450&amp;","START_MAXIMIZED=FALSE&amp;VAR:CALENDAR=US&amp;VAR:SYMBOL=RAI&amp;VAR:INDEX=0"}</definedName>
    <definedName name="_276">#REF!</definedName>
    <definedName name="_276__FDSAUDITLINK__" localSheetId="0"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6__FDSAUDITLINK__" hidden="1">{"fdsup://directions/FAT Viewer?action=UPDATE&amp;creator=factset&amp;DYN_ARGS=TRUE&amp;DOC_NAME=FAT:FQL_AUDITING_CLIENT_TEMPLATE.FAT&amp;display_string=Audit&amp;VAR:KEY=JUHAXGPYJG&amp;VAR:QUERY=RkZfRElWX1lMRChBTk4sMTIvMjIvMDUsMTIvMjIvMDUp&amp;WINDOW=FIRST_POPUP&amp;HEIGHT=450&amp;WIDTH=450&amp;","START_MAXIMIZED=FALSE&amp;VAR:CALENDAR=US&amp;VAR:SYMBOL=RAI&amp;VAR:INDEX=0"}</definedName>
    <definedName name="_277">#REF!</definedName>
    <definedName name="_277__FDSAUDITLINK__" localSheetId="0"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7__FDSAUDITLINK__" hidden="1">{"fdsup://directions/FAT Viewer?action=UPDATE&amp;creator=factset&amp;DYN_ARGS=TRUE&amp;DOC_NAME=FAT:FQL_AUDITING_CLIENT_TEMPLATE.FAT&amp;display_string=Audit&amp;VAR:KEY=ZYTIPCZOTA&amp;VAR:QUERY=RkZfRElWX1lMRChBTk4sMTIvMTUvMDUsMTIvMTUvMDUp&amp;WINDOW=FIRST_POPUP&amp;HEIGHT=450&amp;WIDTH=450&amp;","START_MAXIMIZED=FALSE&amp;VAR:CALENDAR=US&amp;VAR:SYMBOL=RAI&amp;VAR:INDEX=0"}</definedName>
    <definedName name="_278">#REF!</definedName>
    <definedName name="_278__FDSAUDITLINK__" localSheetId="0"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8__FDSAUDITLINK__" hidden="1">{"fdsup://directions/FAT Viewer?action=UPDATE&amp;creator=factset&amp;DYN_ARGS=TRUE&amp;DOC_NAME=FAT:FQL_AUDITING_CLIENT_TEMPLATE.FAT&amp;display_string=Audit&amp;VAR:KEY=VOZURYLIFA&amp;VAR:QUERY=RkZfRElWX1lMRChBTk4sMTIvMDgvMDUsMTIvMDgvMDUp&amp;WINDOW=FIRST_POPUP&amp;HEIGHT=450&amp;WIDTH=450&amp;","START_MAXIMIZED=FALSE&amp;VAR:CALENDAR=US&amp;VAR:SYMBOL=RAI&amp;VAR:INDEX=0"}</definedName>
    <definedName name="_279">#REF!</definedName>
    <definedName name="_279__FDSAUDITLINK__" localSheetId="0"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__FDSAUDITLINK__" hidden="1">{"fdsup://directions/FAT Viewer?action=UPDATE&amp;creator=factset&amp;DYN_ARGS=TRUE&amp;DOC_NAME=FAT:FQL_AUDITING_CLIENT_TEMPLATE.FAT&amp;display_string=Audit&amp;VAR:KEY=POFSTIRIHK&amp;VAR:QUERY=RkZfRElWX1lMRChBTk4sMTIvMDEvMDUsMTIvMDEvMDUp&amp;WINDOW=FIRST_POPUP&amp;HEIGHT=450&amp;WIDTH=450&amp;","START_MAXIMIZED=FALSE&amp;VAR:CALENDAR=US&amp;VAR:SYMBOL=RAI&amp;VAR:INDEX=0"}</definedName>
    <definedName name="_2798">#REF!</definedName>
    <definedName name="_2799">#REF!</definedName>
    <definedName name="_27s9_" hidden="1">{#N/A,#N/A,FALSE,"UNIT";#N/A,#N/A,FALSE,"UNIT";#N/A,#N/A,FALSE,"계정"}</definedName>
    <definedName name="_28">#REF!</definedName>
    <definedName name="_28________NOTE5_7">#REF!</definedName>
    <definedName name="_28__123Graph_BCHART_111" hidden="1">#REF!</definedName>
    <definedName name="_28__123Graph_BCHART_3">#REF!</definedName>
    <definedName name="_28__123Graph_BCONTRACT_BY_B_U">#REF!</definedName>
    <definedName name="_28__123Graph_CCHART_112" hidden="1">#REF!</definedName>
    <definedName name="_28__123Graph_CChart_30L">#REF!</definedName>
    <definedName name="_28__123Graph_CCONTRACT_BY_B_U">#REF!</definedName>
    <definedName name="_28__123Graph_CQRE_S_BY_CO.">#REF!</definedName>
    <definedName name="_28__123Graph_DCONTRACT_BY_B_U">#REF!</definedName>
    <definedName name="_28__123Graph_ECONTRACT_BY_B_U">#REF!</definedName>
    <definedName name="_28__123Graph_EQRE_S_BY_CO.">#REF!</definedName>
    <definedName name="_28__123Graph_EWAGES_BY_B_U" hidden="1">#REF!</definedName>
    <definedName name="_28__123Graph_FCONTRACT_BY_B_U">#REF!</definedName>
    <definedName name="_28__123Graph_FQRE_S_BY_CO.">#REF!</definedName>
    <definedName name="_28__123Graph_FSUPPLIES_BY_B_U">#REF!</definedName>
    <definedName name="_28__FDSAUDITLINK__" localSheetId="0"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_FDSAUDITLINK__" hidden="1">{"fdsup://directions/FAT Viewer?action=UPDATE&amp;creator=factset&amp;DYN_ARGS=TRUE&amp;DOC_NAME=FAT:FQL_AUDITING_CLIENT_TEMPLATE.FAT&amp;display_string=Audit&amp;VAR:KEY=EDILUJCXCR&amp;VAR:QUERY=RkZfRU5UUlBSX1ZBTF9EQUlMWSgwLCwsLCwnRElMJyk=&amp;WINDOW=FIRST_POPUP&amp;HEIGHT=450&amp;WIDTH=450&amp;","START_MAXIMIZED=FALSE&amp;VAR:CALENDAR=US&amp;VAR:SYMBOL=COT&amp;VAR:INDEX=0"}</definedName>
    <definedName name="_28_11_1999">#REF!</definedName>
    <definedName name="_280">#REF!</definedName>
    <definedName name="_280__FDSAUDITLINK__" localSheetId="0"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__FDSAUDITLINK__" hidden="1">{"fdsup://directions/FAT Viewer?action=UPDATE&amp;creator=factset&amp;DYN_ARGS=TRUE&amp;DOC_NAME=FAT:FQL_AUDITING_CLIENT_TEMPLATE.FAT&amp;display_string=Audit&amp;VAR:KEY=XAFWJYJAVY&amp;VAR:QUERY=RkZfRElWX1lMRChBTk4sMTEvMjMvMDUsMTEvMjMvMDUp&amp;WINDOW=FIRST_POPUP&amp;HEIGHT=450&amp;WIDTH=450&amp;","START_MAXIMIZED=FALSE&amp;VAR:CALENDAR=US&amp;VAR:SYMBOL=RAI&amp;VAR:INDEX=0"}</definedName>
    <definedName name="_2801">#REF!</definedName>
    <definedName name="_2802">#REF!</definedName>
    <definedName name="_2804">#REF!</definedName>
    <definedName name="_2805">#REF!</definedName>
    <definedName name="_2807">#REF!</definedName>
    <definedName name="_2808">#REF!</definedName>
    <definedName name="_281">#REF!</definedName>
    <definedName name="_281__FDSAUDITLINK__" localSheetId="0"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1__FDSAUDITLINK__" hidden="1">{"fdsup://directions/FAT Viewer?action=UPDATE&amp;creator=factset&amp;DYN_ARGS=TRUE&amp;DOC_NAME=FAT:FQL_AUDITING_CLIENT_TEMPLATE.FAT&amp;display_string=Audit&amp;VAR:KEY=TEXGBUXCZA&amp;VAR:QUERY=RkZfRElWX1lMRChBTk4sMTEvMTcvMDUsMTEvMTcvMDUp&amp;WINDOW=FIRST_POPUP&amp;HEIGHT=450&amp;WIDTH=450&amp;","START_MAXIMIZED=FALSE&amp;VAR:CALENDAR=US&amp;VAR:SYMBOL=RAI&amp;VAR:INDEX=0"}</definedName>
    <definedName name="_282">#REF!</definedName>
    <definedName name="_282__FDSAUDITLINK__" localSheetId="0"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2__FDSAUDITLINK__" hidden="1">{"fdsup://directions/FAT Viewer?action=UPDATE&amp;creator=factset&amp;DYN_ARGS=TRUE&amp;DOC_NAME=FAT:FQL_AUDITING_CLIENT_TEMPLATE.FAT&amp;display_string=Audit&amp;VAR:KEY=XQLIRSBSTY&amp;VAR:QUERY=RkZfRElWX1lMRChBTk4sMTEvMTAvMDUsMTEvMTAvMDUp&amp;WINDOW=FIRST_POPUP&amp;HEIGHT=450&amp;WIDTH=450&amp;","START_MAXIMIZED=FALSE&amp;VAR:CALENDAR=US&amp;VAR:SYMBOL=RAI&amp;VAR:INDEX=0"}</definedName>
    <definedName name="_283">#REF!</definedName>
    <definedName name="_283__FDSAUDITLINK__" localSheetId="0"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3__FDSAUDITLINK__" hidden="1">{"fdsup://directions/FAT Viewer?action=UPDATE&amp;creator=factset&amp;DYN_ARGS=TRUE&amp;DOC_NAME=FAT:FQL_AUDITING_CLIENT_TEMPLATE.FAT&amp;display_string=Audit&amp;VAR:KEY=ZAXAZAFCHK&amp;VAR:QUERY=RkZfRElWX1lMRChBTk4sMTEvMDMvMDUsMTEvMDMvMDUp&amp;WINDOW=FIRST_POPUP&amp;HEIGHT=450&amp;WIDTH=450&amp;","START_MAXIMIZED=FALSE&amp;VAR:CALENDAR=US&amp;VAR:SYMBOL=RAI&amp;VAR:INDEX=0"}</definedName>
    <definedName name="_284">#REF!</definedName>
    <definedName name="_284__FDSAUDITLINK__" localSheetId="0"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4__FDSAUDITLINK__" hidden="1">{"fdsup://directions/FAT Viewer?action=UPDATE&amp;creator=factset&amp;DYN_ARGS=TRUE&amp;DOC_NAME=FAT:FQL_AUDITING_CLIENT_TEMPLATE.FAT&amp;display_string=Audit&amp;VAR:KEY=TAPWFETKNQ&amp;VAR:QUERY=RkZfRElWX1lMRChBTk4sMTAvMjcvMDUsMTAvMjcvMDUp&amp;WINDOW=FIRST_POPUP&amp;HEIGHT=450&amp;WIDTH=450&amp;","START_MAXIMIZED=FALSE&amp;VAR:CALENDAR=US&amp;VAR:SYMBOL=RAI&amp;VAR:INDEX=0"}</definedName>
    <definedName name="_285">#REF!</definedName>
    <definedName name="_285__FDSAUDITLINK__" localSheetId="0"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5__FDSAUDITLINK__" hidden="1">{"fdsup://directions/FAT Viewer?action=UPDATE&amp;creator=factset&amp;DYN_ARGS=TRUE&amp;DOC_NAME=FAT:FQL_AUDITING_CLIENT_TEMPLATE.FAT&amp;display_string=Audit&amp;VAR:KEY=FQXKLWVAFS&amp;VAR:QUERY=RkZfRElWX1lMRChBTk4sMTAvMjAvMDUsMTAvMjAvMDUp&amp;WINDOW=FIRST_POPUP&amp;HEIGHT=450&amp;WIDTH=450&amp;","START_MAXIMIZED=FALSE&amp;VAR:CALENDAR=US&amp;VAR:SYMBOL=RAI&amp;VAR:INDEX=0"}</definedName>
    <definedName name="_286">#REF!</definedName>
    <definedName name="_286__FDSAUDITLINK__" localSheetId="0"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6__FDSAUDITLINK__" hidden="1">{"fdsup://directions/FAT Viewer?action=UPDATE&amp;creator=factset&amp;DYN_ARGS=TRUE&amp;DOC_NAME=FAT:FQL_AUDITING_CLIENT_TEMPLATE.FAT&amp;display_string=Audit&amp;VAR:KEY=FEDMHKNQLG&amp;VAR:QUERY=RkZfRElWX1lMRChBTk4sMTAvMTMvMDUsMTAvMTMvMDUp&amp;WINDOW=FIRST_POPUP&amp;HEIGHT=450&amp;WIDTH=450&amp;","START_MAXIMIZED=FALSE&amp;VAR:CALENDAR=US&amp;VAR:SYMBOL=RAI&amp;VAR:INDEX=0"}</definedName>
    <definedName name="_287__FDSAUDITLINK__" localSheetId="0"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7__FDSAUDITLINK__" hidden="1">{"fdsup://directions/FAT Viewer?action=UPDATE&amp;creator=factset&amp;DYN_ARGS=TRUE&amp;DOC_NAME=FAT:FQL_AUDITING_CLIENT_TEMPLATE.FAT&amp;display_string=Audit&amp;VAR:KEY=NCPGLEFGRG&amp;VAR:QUERY=RkZfRElWX1lMRChBTk4sMTAvMDYvMDUsMTAvMDYvMDUp&amp;WINDOW=FIRST_POPUP&amp;HEIGHT=450&amp;WIDTH=450&amp;","START_MAXIMIZED=FALSE&amp;VAR:CALENDAR=US&amp;VAR:SYMBOL=RAI&amp;VAR:INDEX=0"}</definedName>
    <definedName name="_288__FDSAUDITLINK__" localSheetId="0"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8__FDSAUDITLINK__" hidden="1">{"fdsup://directions/FAT Viewer?action=UPDATE&amp;creator=factset&amp;DYN_ARGS=TRUE&amp;DOC_NAME=FAT:FQL_AUDITING_CLIENT_TEMPLATE.FAT&amp;display_string=Audit&amp;VAR:KEY=ZMTOFMTMXC&amp;VAR:QUERY=RkZfRElWX1lMRChBTk4sOS8yOS8wNSw5LzI5LzA1KQ==&amp;WINDOW=FIRST_POPUP&amp;HEIGHT=450&amp;WIDTH=450&amp;","START_MAXIMIZED=FALSE&amp;VAR:CALENDAR=US&amp;VAR:SYMBOL=RAI&amp;VAR:INDEX=0"}</definedName>
    <definedName name="_289__FDSAUDITLINK__" localSheetId="0"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9__FDSAUDITLINK__" hidden="1">{"fdsup://directions/FAT Viewer?action=UPDATE&amp;creator=factset&amp;DYN_ARGS=TRUE&amp;DOC_NAME=FAT:FQL_AUDITING_CLIENT_TEMPLATE.FAT&amp;display_string=Audit&amp;VAR:KEY=HOBMLYPWBI&amp;VAR:QUERY=RkZfRElWX1lMRChBTk4sOS8yMi8wNSw5LzIyLzA1KQ==&amp;WINDOW=FIRST_POPUP&amp;HEIGHT=450&amp;WIDTH=450&amp;","START_MAXIMIZED=FALSE&amp;VAR:CALENDAR=US&amp;VAR:SYMBOL=RAI&amp;VAR:INDEX=0"}</definedName>
    <definedName name="_28main_form_account_grants_list_20_j_id1022">#REF!</definedName>
    <definedName name="_29">#REF!</definedName>
    <definedName name="_29________NOTE8_9">#REF!</definedName>
    <definedName name="_29__123Graph_BCHART_112" hidden="1">#REF!</definedName>
    <definedName name="_29__123Graph_BCHART_8">#REF!</definedName>
    <definedName name="_29__123Graph_CCHART_26" hidden="1">#REF!</definedName>
    <definedName name="_29__123Graph_CChart_31L">#REF!</definedName>
    <definedName name="_29__123Graph_CQRE_S_BY_CO.">#REF!</definedName>
    <definedName name="_29__123Graph_DQRE_S_BY_CO.">#REF!</definedName>
    <definedName name="_29__123Graph_EQRE_S_BY_CO.">#REF!</definedName>
    <definedName name="_29__123Graph_ESUPPLIES_BY_B_U">#REF!</definedName>
    <definedName name="_29__123Graph_FCONTRACT_BY_B_U" hidden="1">#REF!</definedName>
    <definedName name="_29__123Graph_FQRE_S_BY_CO.">#REF!</definedName>
    <definedName name="_29__123Graph_FSUPPLIES_BY_B_U">#REF!</definedName>
    <definedName name="_29__123Graph_FWAGES_BY_B_U">#REF!</definedName>
    <definedName name="_29__FDSAUDITLINK__" localSheetId="0"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_FDSAUDITLINK__" hidden="1">{"fdsup://directions/FAT Viewer?action=UPDATE&amp;creator=factset&amp;DYN_ARGS=TRUE&amp;DOC_NAME=FAT:FQL_AUDITING_CLIENT_TEMPLATE.FAT&amp;display_string=Audit&amp;VAR:KEY=CHEZWFGXUB&amp;VAR:QUERY=RkZfRU5UUlBSX1ZBTF9EQUlMWSgwLCwsLCwnRElMJyk=&amp;WINDOW=FIRST_POPUP&amp;HEIGHT=450&amp;WIDTH=450&amp;","START_MAXIMIZED=FALSE&amp;VAR:CALENDAR=US&amp;VAR:SYMBOL=STZ&amp;VAR:INDEX=0"}</definedName>
    <definedName name="_29_12_1999">#REF!</definedName>
    <definedName name="_290__FDSAUDITLINK__" localSheetId="0"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0__FDSAUDITLINK__" hidden="1">{"fdsup://directions/FAT Viewer?action=UPDATE&amp;creator=factset&amp;DYN_ARGS=TRUE&amp;DOC_NAME=FAT:FQL_AUDITING_CLIENT_TEMPLATE.FAT&amp;display_string=Audit&amp;VAR:KEY=PYXADKLARQ&amp;VAR:QUERY=RkZfRElWX1lMRChBTk4sOS8xNS8wNSw5LzE1LzA1KQ==&amp;WINDOW=FIRST_POPUP&amp;HEIGHT=450&amp;WIDTH=450&amp;","START_MAXIMIZED=FALSE&amp;VAR:CALENDAR=US&amp;VAR:SYMBOL=RAI&amp;VAR:INDEX=0"}</definedName>
    <definedName name="_291">#REF!</definedName>
    <definedName name="_291__FDSAUDITLINK__" localSheetId="0"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1__FDSAUDITLINK__" hidden="1">{"fdsup://directions/FAT Viewer?action=UPDATE&amp;creator=factset&amp;DYN_ARGS=TRUE&amp;DOC_NAME=FAT:FQL_AUDITING_CLIENT_TEMPLATE.FAT&amp;display_string=Audit&amp;VAR:KEY=HWNKJYDQPW&amp;VAR:QUERY=RkZfRElWX1lMRChBTk4sOS8wOC8wNSw5LzA4LzA1KQ==&amp;WINDOW=FIRST_POPUP&amp;HEIGHT=450&amp;WIDTH=450&amp;","START_MAXIMIZED=FALSE&amp;VAR:CALENDAR=US&amp;VAR:SYMBOL=RAI&amp;VAR:INDEX=0"}</definedName>
    <definedName name="_292">#REF!</definedName>
    <definedName name="_292__FDSAUDITLINK__" localSheetId="0"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2__FDSAUDITLINK__" hidden="1">{"fdsup://directions/FAT Viewer?action=UPDATE&amp;creator=factset&amp;DYN_ARGS=TRUE&amp;DOC_NAME=FAT:FQL_AUDITING_CLIENT_TEMPLATE.FAT&amp;display_string=Audit&amp;VAR:KEY=LCLUFERAZK&amp;VAR:QUERY=RkZfRElWX1lMRChBTk4sOS8wMS8wNSw5LzAxLzA1KQ==&amp;WINDOW=FIRST_POPUP&amp;HEIGHT=450&amp;WIDTH=450&amp;","START_MAXIMIZED=FALSE&amp;VAR:CALENDAR=US&amp;VAR:SYMBOL=RAI&amp;VAR:INDEX=0"}</definedName>
    <definedName name="_293">#REF!</definedName>
    <definedName name="_293__FDSAUDITLINK__" localSheetId="0"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3__FDSAUDITLINK__" hidden="1">{"fdsup://directions/FAT Viewer?action=UPDATE&amp;creator=factset&amp;DYN_ARGS=TRUE&amp;DOC_NAME=FAT:FQL_AUDITING_CLIENT_TEMPLATE.FAT&amp;display_string=Audit&amp;VAR:KEY=NCTGDEFSFW&amp;VAR:QUERY=RkZfRElWX1lMRChBTk4sOC8yNS8wNSw4LzI1LzA1KQ==&amp;WINDOW=FIRST_POPUP&amp;HEIGHT=450&amp;WIDTH=450&amp;","START_MAXIMIZED=FALSE&amp;VAR:CALENDAR=US&amp;VAR:SYMBOL=RAI&amp;VAR:INDEX=0"}</definedName>
    <definedName name="_294">#REF!</definedName>
    <definedName name="_294__FDSAUDITLINK__" localSheetId="0"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4__FDSAUDITLINK__" hidden="1">{"fdsup://directions/FAT Viewer?action=UPDATE&amp;creator=factset&amp;DYN_ARGS=TRUE&amp;DOC_NAME=FAT:FQL_AUDITING_CLIENT_TEMPLATE.FAT&amp;display_string=Audit&amp;VAR:KEY=LWTKZSZWZO&amp;VAR:QUERY=RkZfRElWX1lMRChBTk4sOC8xOC8wNSw4LzE4LzA1KQ==&amp;WINDOW=FIRST_POPUP&amp;HEIGHT=450&amp;WIDTH=450&amp;","START_MAXIMIZED=FALSE&amp;VAR:CALENDAR=US&amp;VAR:SYMBOL=RAI&amp;VAR:INDEX=0"}</definedName>
    <definedName name="_295">#REF!</definedName>
    <definedName name="_295__FDSAUDITLINK__" localSheetId="0"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5__FDSAUDITLINK__" hidden="1">{"fdsup://directions/FAT Viewer?action=UPDATE&amp;creator=factset&amp;DYN_ARGS=TRUE&amp;DOC_NAME=FAT:FQL_AUDITING_CLIENT_TEMPLATE.FAT&amp;display_string=Audit&amp;VAR:KEY=DWBKHKJURO&amp;VAR:QUERY=RkZfRElWX1lMRChBTk4sOC8xMS8wNSw4LzExLzA1KQ==&amp;WINDOW=FIRST_POPUP&amp;HEIGHT=450&amp;WIDTH=450&amp;","START_MAXIMIZED=FALSE&amp;VAR:CALENDAR=US&amp;VAR:SYMBOL=RAI&amp;VAR:INDEX=0"}</definedName>
    <definedName name="_296">#REF!</definedName>
    <definedName name="_296__FDSAUDITLINK__" localSheetId="0"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__FDSAUDITLINK__" hidden="1">{"fdsup://directions/FAT Viewer?action=UPDATE&amp;creator=factset&amp;DYN_ARGS=TRUE&amp;DOC_NAME=FAT:FQL_AUDITING_CLIENT_TEMPLATE.FAT&amp;display_string=Audit&amp;VAR:KEY=RWXINOTANY&amp;VAR:QUERY=RkZfRElWX1lMRChBTk4sOC8wNC8wNSw4LzA0LzA1KQ==&amp;WINDOW=FIRST_POPUP&amp;HEIGHT=450&amp;WIDTH=450&amp;","START_MAXIMIZED=FALSE&amp;VAR:CALENDAR=US&amp;VAR:SYMBOL=RAI&amp;VAR:INDEX=0"}</definedName>
    <definedName name="_2969">#REF!</definedName>
    <definedName name="_297">#REF!</definedName>
    <definedName name="_297__FDSAUDITLINK__" localSheetId="0"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__FDSAUDITLINK__" hidden="1">{"fdsup://directions/FAT Viewer?action=UPDATE&amp;creator=factset&amp;DYN_ARGS=TRUE&amp;DOC_NAME=FAT:FQL_AUDITING_CLIENT_TEMPLATE.FAT&amp;display_string=Audit&amp;VAR:KEY=VWNOPSBALK&amp;VAR:QUERY=RkZfRElWX1lMRChBTk4sNy8yOC8wNSw3LzI4LzA1KQ==&amp;WINDOW=FIRST_POPUP&amp;HEIGHT=450&amp;WIDTH=450&amp;","START_MAXIMIZED=FALSE&amp;VAR:CALENDAR=US&amp;VAR:SYMBOL=RAI&amp;VAR:INDEX=0"}</definedName>
    <definedName name="_2970">#REF!</definedName>
    <definedName name="_2972">#REF!</definedName>
    <definedName name="_2973">#REF!</definedName>
    <definedName name="_2975">#REF!</definedName>
    <definedName name="_2976">#REF!</definedName>
    <definedName name="_298__FDSAUDITLINK__" localSheetId="0"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8__FDSAUDITLINK__" hidden="1">{"fdsup://directions/FAT Viewer?action=UPDATE&amp;creator=factset&amp;DYN_ARGS=TRUE&amp;DOC_NAME=FAT:FQL_AUDITING_CLIENT_TEMPLATE.FAT&amp;display_string=Audit&amp;VAR:KEY=FORWPKJADU&amp;VAR:QUERY=RkZfRElWX1lMRChBTk4sNy8yMS8wNSw3LzIxLzA1KQ==&amp;WINDOW=FIRST_POPUP&amp;HEIGHT=450&amp;WIDTH=450&amp;","START_MAXIMIZED=FALSE&amp;VAR:CALENDAR=US&amp;VAR:SYMBOL=RAI&amp;VAR:INDEX=0"}</definedName>
    <definedName name="_299">#REF!</definedName>
    <definedName name="_299__FDSAUDITLINK__" localSheetId="0"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9__FDSAUDITLINK__" hidden="1">{"fdsup://directions/FAT Viewer?action=UPDATE&amp;creator=factset&amp;DYN_ARGS=TRUE&amp;DOC_NAME=FAT:FQL_AUDITING_CLIENT_TEMPLATE.FAT&amp;display_string=Audit&amp;VAR:KEY=HITEHCHGHA&amp;VAR:QUERY=RkZfRElWX1lMRChBTk4sNy8xNC8wNSw3LzE0LzA1KQ==&amp;WINDOW=FIRST_POPUP&amp;HEIGHT=450&amp;WIDTH=450&amp;","START_MAXIMIZED=FALSE&amp;VAR:CALENDAR=US&amp;VAR:SYMBOL=RAI&amp;VAR:INDEX=0"}</definedName>
    <definedName name="_29번">#REF!</definedName>
    <definedName name="_2A1">#REF!</definedName>
    <definedName name="_2B_9">#REF!</definedName>
    <definedName name="_2C_65536">#NAME?</definedName>
    <definedName name="_2item">#REF!</definedName>
    <definedName name="_2M">#REF!</definedName>
    <definedName name="_2main_form_account_grants_list_0_j_id1022">#REF!</definedName>
    <definedName name="_2O1_">#REF!</definedName>
    <definedName name="_2Table2_">#REF!</definedName>
    <definedName name="_3">#REF!</definedName>
    <definedName name="_3____________NOTE1_3">#REF!</definedName>
    <definedName name="_3__123Graph_AChart_1" hidden="1">#REF!</definedName>
    <definedName name="_3__123Graph_AChart_19K">#REF!</definedName>
    <definedName name="_3__123Graph_ACONTRACT_BY_B_U">#REF!</definedName>
    <definedName name="_3__123Graph_AQRE_S_BY_CO.">#REF!</definedName>
    <definedName name="_3__123Graph_AQRE_S_BY_TYPE">#REF!</definedName>
    <definedName name="_3__123Graph_ASENS_COMPARISON">#REF!</definedName>
    <definedName name="_3__123Graph_BCHART_3" hidden="1">#REF!</definedName>
    <definedName name="_3__123Graph_XCHART_4">#REF!</definedName>
    <definedName name="_3__FDSAUDITLINK__" localSheetId="0"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_FDSAUDITLINK__" hidden="1">{"fdsup://directions/FAT Viewer?action=UPDATE&amp;creator=factset&amp;DYN_ARGS=TRUE&amp;DOC_NAME=FAT:FQL_AUDITING_CLIENT_TEMPLATE.FAT&amp;display_string=Audit&amp;VAR:KEY=IVGDCZUDYZ&amp;VAR:QUERY=Q1NGX0RJVl9ZTEQoUVRSX1IsNi8zMC8yMDEwKQ==&amp;WINDOW=FIRST_POPUP&amp;HEIGHT=450&amp;WIDTH=450&amp;STAR","T_MAXIMIZED=FALSE&amp;VAR:CALENDAR=US&amp;VAR:SYMBOL=MO&amp;VAR:INDEX=0"}</definedName>
    <definedName name="_3_0__123Grap">#REF!</definedName>
    <definedName name="_3_0_0_MatInverse" hidden="1">#REF!</definedName>
    <definedName name="_3_0_0BENEFITS">#REF!</definedName>
    <definedName name="_3_0_Table2_" hidden="1">#REF!</definedName>
    <definedName name="_3_0TAB">#REF!</definedName>
    <definedName name="_3_123Grap" hidden="1">#REF!</definedName>
    <definedName name="_3_123Graph_CEX">#REF!</definedName>
    <definedName name="_3_12500">#NAME?</definedName>
    <definedName name="_30">#REF!</definedName>
    <definedName name="_30_??1???_3">#REF!</definedName>
    <definedName name="_30________P_L">#REF!</definedName>
    <definedName name="_30__123Graph_ACHART_4">#REF!</definedName>
    <definedName name="_30__123Graph_ATAX_CREDIT">#REF!</definedName>
    <definedName name="_30__123Graph_BCHART_26" hidden="1">#REF!</definedName>
    <definedName name="_30__123Graph_BSUPPLIES_BY_B_U">#REF!</definedName>
    <definedName name="_30__123Graph_CCHART_30" hidden="1">#REF!</definedName>
    <definedName name="_30__123Graph_CChart_3I">#REF!</definedName>
    <definedName name="_30__123Graph_CQRE_S_BY_CO.">#REF!</definedName>
    <definedName name="_30__123Graph_CSENS_COMPARISON">#REF!</definedName>
    <definedName name="_30__123Graph_DSUPPLIES_BY_B_U">#REF!</definedName>
    <definedName name="_30__123Graph_ESUPPLIES_BY_B_U">#REF!</definedName>
    <definedName name="_30__123Graph_EWAGES_BY_B_U">#REF!</definedName>
    <definedName name="_30__123Graph_FQRE_S_BY_CO." hidden="1">#REF!</definedName>
    <definedName name="_30__123Graph_FSUPPLIES_BY_B_U">#REF!</definedName>
    <definedName name="_30__123Graph_FWAGES_BY_B_U">#REF!</definedName>
    <definedName name="_30__123Graph_XCONTRACT_BY_B_U">#REF!</definedName>
    <definedName name="_30__FDSAUDITLINK__" localSheetId="0"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_FDSAUDITLINK__" hidden="1">{"fdsup://directions/FAT Viewer?action=UPDATE&amp;creator=factset&amp;DYN_ARGS=TRUE&amp;DOC_NAME=FAT:FQL_AUDITING_CLIENT_TEMPLATE.FAT&amp;display_string=Audit&amp;VAR:KEY=UVWNAPSFMV&amp;VAR:QUERY=RkZfRU5UUlBSX1ZBTF9EQUlMWSgwLCwsLCwnRElMJyk=&amp;WINDOW=FIRST_POPUP&amp;HEIGHT=450&amp;WIDTH=450&amp;","START_MAXIMIZED=FALSE&amp;VAR:CALENDAR=US&amp;VAR:SYMBOL=11563720&amp;VAR:INDEX=0"}</definedName>
    <definedName name="_30_10_2000">#REF!</definedName>
    <definedName name="_300">#REF!</definedName>
    <definedName name="_300__FDSAUDITLINK__" localSheetId="0"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0__FDSAUDITLINK__" hidden="1">{"fdsup://directions/FAT Viewer?action=UPDATE&amp;creator=factset&amp;DYN_ARGS=TRUE&amp;DOC_NAME=FAT:FQL_AUDITING_CLIENT_TEMPLATE.FAT&amp;display_string=Audit&amp;VAR:KEY=NAHQPAVSPS&amp;VAR:QUERY=RkZfRElWX1lMRChBTk4sNy8wNy8wNSw3LzA3LzA1KQ==&amp;WINDOW=FIRST_POPUP&amp;HEIGHT=450&amp;WIDTH=450&amp;","START_MAXIMIZED=FALSE&amp;VAR:CALENDAR=US&amp;VAR:SYMBOL=RAI&amp;VAR:INDEX=0"}</definedName>
    <definedName name="_301">#REF!</definedName>
    <definedName name="_301__FDSAUDITLINK__" localSheetId="0"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1__FDSAUDITLINK__" hidden="1">{"fdsup://directions/FAT Viewer?action=UPDATE&amp;creator=factset&amp;DYN_ARGS=TRUE&amp;DOC_NAME=FAT:FQL_AUDITING_CLIENT_TEMPLATE.FAT&amp;display_string=Audit&amp;VAR:KEY=TYRSDUHQBK&amp;VAR:QUERY=RkZfRElWX1lMRChBTk4sNi8zMC8wNSw2LzMwLzA1KQ==&amp;WINDOW=FIRST_POPUP&amp;HEIGHT=450&amp;WIDTH=450&amp;","START_MAXIMIZED=FALSE&amp;VAR:CALENDAR=US&amp;VAR:SYMBOL=RAI&amp;VAR:INDEX=0"}</definedName>
    <definedName name="_302">#REF!</definedName>
    <definedName name="_302__FDSAUDITLINK__" localSheetId="0"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2__FDSAUDITLINK__" hidden="1">{"fdsup://directions/FAT Viewer?action=UPDATE&amp;creator=factset&amp;DYN_ARGS=TRUE&amp;DOC_NAME=FAT:FQL_AUDITING_CLIENT_TEMPLATE.FAT&amp;display_string=Audit&amp;VAR:KEY=XYRQZOTCRW&amp;VAR:QUERY=RkZfRElWX1lMRChBTk4sNi8yMy8wNSw2LzIzLzA1KQ==&amp;WINDOW=FIRST_POPUP&amp;HEIGHT=450&amp;WIDTH=450&amp;","START_MAXIMIZED=FALSE&amp;VAR:CALENDAR=US&amp;VAR:SYMBOL=RAI&amp;VAR:INDEX=0"}</definedName>
    <definedName name="_303__FDSAUDITLINK__" localSheetId="0"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__FDSAUDITLINK__" hidden="1">{"fdsup://directions/FAT Viewer?action=UPDATE&amp;creator=factset&amp;DYN_ARGS=TRUE&amp;DOC_NAME=FAT:FQL_AUDITING_CLIENT_TEMPLATE.FAT&amp;display_string=Audit&amp;VAR:KEY=XOFQFAXCFI&amp;VAR:QUERY=RkZfRElWX1lMRChBTk4sNi8xNi8wNSw2LzE2LzA1KQ==&amp;WINDOW=FIRST_POPUP&amp;HEIGHT=450&amp;WIDTH=450&amp;","START_MAXIMIZED=FALSE&amp;VAR:CALENDAR=US&amp;VAR:SYMBOL=RAI&amp;VAR:INDEX=0"}</definedName>
    <definedName name="_30360">2</definedName>
    <definedName name="_304__FDSAUDITLINK__" localSheetId="0"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4__FDSAUDITLINK__" hidden="1">{"fdsup://directions/FAT Viewer?action=UPDATE&amp;creator=factset&amp;DYN_ARGS=TRUE&amp;DOC_NAME=FAT:FQL_AUDITING_CLIENT_TEMPLATE.FAT&amp;display_string=Audit&amp;VAR:KEY=FOJKZAHWFY&amp;VAR:QUERY=RkZfRElWX1lMRChBTk4sNi8wOS8wNSw2LzA5LzA1KQ==&amp;WINDOW=FIRST_POPUP&amp;HEIGHT=450&amp;WIDTH=450&amp;","START_MAXIMIZED=FALSE&amp;VAR:CALENDAR=US&amp;VAR:SYMBOL=RAI&amp;VAR:INDEX=0"}</definedName>
    <definedName name="_305__FDSAUDITLINK__" localSheetId="0"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__FDSAUDITLINK__" hidden="1">{"fdsup://directions/FAT Viewer?action=UPDATE&amp;creator=factset&amp;DYN_ARGS=TRUE&amp;DOC_NAME=FAT:FQL_AUDITING_CLIENT_TEMPLATE.FAT&amp;display_string=Audit&amp;VAR:KEY=HEXIXEVUHC&amp;VAR:QUERY=RkZfRElWX1lMRChBTk4sNi8wMi8wNSw2LzAyLzA1KQ==&amp;WINDOW=FIRST_POPUP&amp;HEIGHT=450&amp;WIDTH=450&amp;","START_MAXIMIZED=FALSE&amp;VAR:CALENDAR=US&amp;VAR:SYMBOL=RAI&amp;VAR:INDEX=0"}</definedName>
    <definedName name="_3054">#REF!</definedName>
    <definedName name="_3055">#REF!</definedName>
    <definedName name="_3057">#REF!</definedName>
    <definedName name="_3058">#REF!</definedName>
    <definedName name="_306__FDSAUDITLINK__" localSheetId="0"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__FDSAUDITLINK__" hidden="1">{"fdsup://directions/FAT Viewer?action=UPDATE&amp;creator=factset&amp;DYN_ARGS=TRUE&amp;DOC_NAME=FAT:FQL_AUDITING_CLIENT_TEMPLATE.FAT&amp;display_string=Audit&amp;VAR:KEY=XYXEHEJURQ&amp;VAR:QUERY=RkZfRElWX1lMRChBTk4sNS8yNi8wNSw1LzI2LzA1KQ==&amp;WINDOW=FIRST_POPUP&amp;HEIGHT=450&amp;WIDTH=450&amp;","START_MAXIMIZED=FALSE&amp;VAR:CALENDAR=US&amp;VAR:SYMBOL=RAI&amp;VAR:INDEX=0"}</definedName>
    <definedName name="_3060">#REF!</definedName>
    <definedName name="_3061">#REF!</definedName>
    <definedName name="_3063">#REF!</definedName>
    <definedName name="_3064">#REF!</definedName>
    <definedName name="_307">#REF!</definedName>
    <definedName name="_307__FDSAUDITLINK__" localSheetId="0"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7__FDSAUDITLINK__" hidden="1">{"fdsup://directions/FAT Viewer?action=UPDATE&amp;creator=factset&amp;DYN_ARGS=TRUE&amp;DOC_NAME=FAT:FQL_AUDITING_CLIENT_TEMPLATE.FAT&amp;display_string=Audit&amp;VAR:KEY=ZSRMVQVMZC&amp;VAR:QUERY=RkZfRElWX1lMRChBTk4sNS8xOS8wNSw1LzE5LzA1KQ==&amp;WINDOW=FIRST_POPUP&amp;HEIGHT=450&amp;WIDTH=450&amp;","START_MAXIMIZED=FALSE&amp;VAR:CALENDAR=US&amp;VAR:SYMBOL=RAI&amp;VAR:INDEX=0"}</definedName>
    <definedName name="_308">#REF!</definedName>
    <definedName name="_308__FDSAUDITLINK__" localSheetId="0"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8__FDSAUDITLINK__" hidden="1">{"fdsup://directions/FAT Viewer?action=UPDATE&amp;creator=factset&amp;DYN_ARGS=TRUE&amp;DOC_NAME=FAT:FQL_AUDITING_CLIENT_TEMPLATE.FAT&amp;display_string=Audit&amp;VAR:KEY=NWLQXARGPC&amp;VAR:QUERY=RkZfRElWX1lMRChBTk4sNS8xMi8wNSw1LzEyLzA1KQ==&amp;WINDOW=FIRST_POPUP&amp;HEIGHT=450&amp;WIDTH=450&amp;","START_MAXIMIZED=FALSE&amp;VAR:CALENDAR=US&amp;VAR:SYMBOL=RAI&amp;VAR:INDEX=0"}</definedName>
    <definedName name="_309">#REF!</definedName>
    <definedName name="_309__FDSAUDITLINK__" localSheetId="0"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9__FDSAUDITLINK__" hidden="1">{"fdsup://directions/FAT Viewer?action=UPDATE&amp;creator=factset&amp;DYN_ARGS=TRUE&amp;DOC_NAME=FAT:FQL_AUDITING_CLIENT_TEMPLATE.FAT&amp;display_string=Audit&amp;VAR:KEY=DEZIXKBAFK&amp;VAR:QUERY=RkZfRElWX1lMRChBTk4sNS8wNS8wNSw1LzA1LzA1KQ==&amp;WINDOW=FIRST_POPUP&amp;HEIGHT=450&amp;WIDTH=450&amp;","START_MAXIMIZED=FALSE&amp;VAR:CALENDAR=US&amp;VAR:SYMBOL=RAI&amp;VAR:INDEX=0"}</definedName>
    <definedName name="_30main_form_account_grants_list_21_j_id1022">#REF!</definedName>
    <definedName name="_30번">#REF!</definedName>
    <definedName name="_31_????_3">#REF!</definedName>
    <definedName name="_31_______B_S">#REF!</definedName>
    <definedName name="_31__123Graph_ATAX_CREDIT">#REF!</definedName>
    <definedName name="_31__123Graph_AWAGES_BY_B_U">#REF!</definedName>
    <definedName name="_31__123Graph_CChart_6J">#REF!</definedName>
    <definedName name="_31__123Graph_CGROWTH_REVS_A" hidden="1">#REF!</definedName>
    <definedName name="_31__123Graph_CQRE_S_BY_TYPE">#REF!</definedName>
    <definedName name="_31__123Graph_CSENS_COMPARISON">#REF!</definedName>
    <definedName name="_31__123Graph_DWAGES_BY_B_U">#REF!</definedName>
    <definedName name="_31__123Graph_EWAGES_BY_B_U">#REF!</definedName>
    <definedName name="_31__123Graph_FCONTRACT_BY_B_U">#REF!</definedName>
    <definedName name="_31__123Graph_FSUPPLIES_BY_B_U" hidden="1">#REF!</definedName>
    <definedName name="_31__123Graph_FWAGES_BY_B_U">#REF!</definedName>
    <definedName name="_31__123Graph_XCONTRACT_BY_B_U">#REF!</definedName>
    <definedName name="_31__123Graph_XQRE_S_BY_CO.">#REF!</definedName>
    <definedName name="_31__FDSAUDITLINK__" localSheetId="0"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_FDSAUDITLINK__" hidden="1">{"fdsup://directions/FAT Viewer?action=UPDATE&amp;creator=factset&amp;DYN_ARGS=TRUE&amp;DOC_NAME=FAT:FQL_AUDITING_CLIENT_TEMPLATE.FAT&amp;display_string=Audit&amp;VAR:KEY=MPKHATGHUF&amp;VAR:QUERY=RkZfREVCVChBTk4sMCk=&amp;WINDOW=FIRST_POPUP&amp;HEIGHT=450&amp;WIDTH=450&amp;START_MAXIMIZED=FALSE&amp;VA","R:CALENDAR=US&amp;VAR:SYMBOL=PEET&amp;VAR:INDEX=0"}</definedName>
    <definedName name="_31_01_2000">#REF!</definedName>
    <definedName name="_310">#REF!</definedName>
    <definedName name="_310__FDSAUDITLINK__" localSheetId="0"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0__FDSAUDITLINK__" hidden="1">{"fdsup://directions/FAT Viewer?action=UPDATE&amp;creator=factset&amp;DYN_ARGS=TRUE&amp;DOC_NAME=FAT:FQL_AUDITING_CLIENT_TEMPLATE.FAT&amp;display_string=Audit&amp;VAR:KEY=HSZCFUFCVG&amp;VAR:QUERY=RkZfRElWX1lMRChBTk4sNC8yOC8wNSw0LzI4LzA1KQ==&amp;WINDOW=FIRST_POPUP&amp;HEIGHT=450&amp;WIDTH=450&amp;","START_MAXIMIZED=FALSE&amp;VAR:CALENDAR=US&amp;VAR:SYMBOL=RAI&amp;VAR:INDEX=0"}</definedName>
    <definedName name="_311">#REF!</definedName>
    <definedName name="_311__FDSAUDITLINK__" localSheetId="0"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1__FDSAUDITLINK__" hidden="1">{"fdsup://directions/FAT Viewer?action=UPDATE&amp;creator=factset&amp;DYN_ARGS=TRUE&amp;DOC_NAME=FAT:FQL_AUDITING_CLIENT_TEMPLATE.FAT&amp;display_string=Audit&amp;VAR:KEY=BCPKFSTQFE&amp;VAR:QUERY=RkZfRElWX1lMRChBTk4sNC8yMS8wNSw0LzIxLzA1KQ==&amp;WINDOW=FIRST_POPUP&amp;HEIGHT=450&amp;WIDTH=450&amp;","START_MAXIMIZED=FALSE&amp;VAR:CALENDAR=US&amp;VAR:SYMBOL=RAI&amp;VAR:INDEX=0"}</definedName>
    <definedName name="_312">#REF!</definedName>
    <definedName name="_312__FDSAUDITLINK__" localSheetId="0"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2__FDSAUDITLINK__" hidden="1">{"fdsup://directions/FAT Viewer?action=UPDATE&amp;creator=factset&amp;DYN_ARGS=TRUE&amp;DOC_NAME=FAT:FQL_AUDITING_CLIENT_TEMPLATE.FAT&amp;display_string=Audit&amp;VAR:KEY=JQZCFCJERO&amp;VAR:QUERY=RkZfRElWX1lMRChBTk4sNC8xNC8wNSw0LzE0LzA1KQ==&amp;WINDOW=FIRST_POPUP&amp;HEIGHT=450&amp;WIDTH=450&amp;","START_MAXIMIZED=FALSE&amp;VAR:CALENDAR=US&amp;VAR:SYMBOL=RAI&amp;VAR:INDEX=0"}</definedName>
    <definedName name="_313">#REF!</definedName>
    <definedName name="_313__FDSAUDITLINK__" localSheetId="0"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3__FDSAUDITLINK__" hidden="1">{"fdsup://directions/FAT Viewer?action=UPDATE&amp;creator=factset&amp;DYN_ARGS=TRUE&amp;DOC_NAME=FAT:FQL_AUDITING_CLIENT_TEMPLATE.FAT&amp;display_string=Audit&amp;VAR:KEY=RMLODMVQHS&amp;VAR:QUERY=RkZfRElWX1lMRChBTk4sNC8wNy8wNSw0LzA3LzA1KQ==&amp;WINDOW=FIRST_POPUP&amp;HEIGHT=450&amp;WIDTH=450&amp;","START_MAXIMIZED=FALSE&amp;VAR:CALENDAR=US&amp;VAR:SYMBOL=RAI&amp;VAR:INDEX=0"}</definedName>
    <definedName name="_314">#REF!</definedName>
    <definedName name="_314__FDSAUDITLINK__" localSheetId="0"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4__FDSAUDITLINK__" hidden="1">{"fdsup://directions/FAT Viewer?action=UPDATE&amp;creator=factset&amp;DYN_ARGS=TRUE&amp;DOC_NAME=FAT:FQL_AUDITING_CLIENT_TEMPLATE.FAT&amp;display_string=Audit&amp;VAR:KEY=XYPWXQLGFI&amp;VAR:QUERY=RkZfRElWX1lMRChBTk4sMy8zMS8wNSwzLzMxLzA1KQ==&amp;WINDOW=FIRST_POPUP&amp;HEIGHT=450&amp;WIDTH=450&amp;","START_MAXIMIZED=FALSE&amp;VAR:CALENDAR=US&amp;VAR:SYMBOL=RAI&amp;VAR:INDEX=0"}</definedName>
    <definedName name="_315">#REF!</definedName>
    <definedName name="_315__FDSAUDITLINK__" localSheetId="0"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5__FDSAUDITLINK__" hidden="1">{"fdsup://directions/FAT Viewer?action=UPDATE&amp;creator=factset&amp;DYN_ARGS=TRUE&amp;DOC_NAME=FAT:FQL_AUDITING_CLIENT_TEMPLATE.FAT&amp;display_string=Audit&amp;VAR:KEY=VUHIDMXCNK&amp;VAR:QUERY=RkZfRElWX1lMRChBTk4sMy8yNC8wNSwzLzI0LzA1KQ==&amp;WINDOW=FIRST_POPUP&amp;HEIGHT=450&amp;WIDTH=450&amp;","START_MAXIMIZED=FALSE&amp;VAR:CALENDAR=US&amp;VAR:SYMBOL=RAI&amp;VAR:INDEX=0"}</definedName>
    <definedName name="_316">#REF!</definedName>
    <definedName name="_316__FDSAUDITLINK__" localSheetId="0"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6__FDSAUDITLINK__" hidden="1">{"fdsup://directions/FAT Viewer?action=UPDATE&amp;creator=factset&amp;DYN_ARGS=TRUE&amp;DOC_NAME=FAT:FQL_AUDITING_CLIENT_TEMPLATE.FAT&amp;display_string=Audit&amp;VAR:KEY=ZGRORWXMVC&amp;VAR:QUERY=RkZfRElWX1lMRChBTk4sMy8xNy8wNSwzLzE3LzA1KQ==&amp;WINDOW=FIRST_POPUP&amp;HEIGHT=450&amp;WIDTH=450&amp;","START_MAXIMIZED=FALSE&amp;VAR:CALENDAR=US&amp;VAR:SYMBOL=RAI&amp;VAR:INDEX=0"}</definedName>
    <definedName name="_317">#REF!</definedName>
    <definedName name="_317__FDSAUDITLINK__" localSheetId="0"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7__FDSAUDITLINK__" hidden="1">{"fdsup://directions/FAT Viewer?action=UPDATE&amp;creator=factset&amp;DYN_ARGS=TRUE&amp;DOC_NAME=FAT:FQL_AUDITING_CLIENT_TEMPLATE.FAT&amp;display_string=Audit&amp;VAR:KEY=NUHILADODG&amp;VAR:QUERY=RkZfRElWX1lMRChBTk4sMy8xMC8wNSwzLzEwLzA1KQ==&amp;WINDOW=FIRST_POPUP&amp;HEIGHT=450&amp;WIDTH=450&amp;","START_MAXIMIZED=FALSE&amp;VAR:CALENDAR=US&amp;VAR:SYMBOL=RAI&amp;VAR:INDEX=0"}</definedName>
    <definedName name="_318">#REF!</definedName>
    <definedName name="_318__FDSAUDITLINK__" localSheetId="0"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8__FDSAUDITLINK__" hidden="1">{"fdsup://directions/FAT Viewer?action=UPDATE&amp;creator=factset&amp;DYN_ARGS=TRUE&amp;DOC_NAME=FAT:FQL_AUDITING_CLIENT_TEMPLATE.FAT&amp;display_string=Audit&amp;VAR:KEY=RQJSRQBWFK&amp;VAR:QUERY=RkZfRElWX1lMRChBTk4sMy8wMy8wNSwzLzAzLzA1KQ==&amp;WINDOW=FIRST_POPUP&amp;HEIGHT=450&amp;WIDTH=450&amp;","START_MAXIMIZED=FALSE&amp;VAR:CALENDAR=US&amp;VAR:SYMBOL=RAI&amp;VAR:INDEX=0"}</definedName>
    <definedName name="_319">#REF!</definedName>
    <definedName name="_319__FDSAUDITLINK__" localSheetId="0"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19__FDSAUDITLINK__" hidden="1">{"fdsup://directions/FAT Viewer?action=UPDATE&amp;creator=factset&amp;DYN_ARGS=TRUE&amp;DOC_NAME=FAT:FQL_AUDITING_CLIENT_TEMPLATE.FAT&amp;display_string=Audit&amp;VAR:KEY=POBGJUJWNE&amp;VAR:QUERY=RkZfRElWX1lMRChBTk4sMi8yNC8wNSwyLzI0LzA1KQ==&amp;WINDOW=FIRST_POPUP&amp;HEIGHT=450&amp;WIDTH=450&amp;","START_MAXIMIZED=FALSE&amp;VAR:CALENDAR=US&amp;VAR:SYMBOL=RAI&amp;VAR:INDEX=0"}</definedName>
    <definedName name="_32" hidden="1">{#N/A,#N/A,FALSE,"Title";#N/A,#N/A,FALSE,"Index";#N/A,#N/A,FALSE,"1";#N/A,#N/A,FALSE,"2";#N/A,#N/A,FALSE,"3";#N/A,#N/A,FALSE,"4";#N/A,#N/A,FALSE,"5";#N/A,#N/A,FALSE,"6";#N/A,#N/A,FALSE,"7";#N/A,#N/A,FALSE,"8"}</definedName>
    <definedName name="_32_????8_3">#REF!</definedName>
    <definedName name="_32_______NOTE10_12">#REF!</definedName>
    <definedName name="_32__123Graph_BQRE_S_BY_CO.">#REF!</definedName>
    <definedName name="_32__123Graph_CCHART_1">#REF!</definedName>
    <definedName name="_32__123Graph_CChart_7J">#REF!</definedName>
    <definedName name="_32__123Graph_CGROWTH_REVS_B" hidden="1">#REF!</definedName>
    <definedName name="_32__123Graph_CSUPPLIES_BY_B_U">#REF!</definedName>
    <definedName name="_32__123Graph_ECONTRACT_BY_B_U">#REF!</definedName>
    <definedName name="_32__123Graph_FCONTRACT_BY_B_U">#REF!</definedName>
    <definedName name="_32__123Graph_FQRE_S_BY_CO.">#REF!</definedName>
    <definedName name="_32__123Graph_FWAGES_BY_B_U" hidden="1">#REF!</definedName>
    <definedName name="_32__123Graph_XCONTRACT_BY_B_U">#REF!</definedName>
    <definedName name="_32__123Graph_XQRE_S_BY_CO.">#REF!</definedName>
    <definedName name="_32__123Graph_XQRE_S_BY_TYPE">#REF!</definedName>
    <definedName name="_32__FDSAUDITLINK__" localSheetId="0" hidden="1">{"fdsup://Directions/FactSet Auditing Viewer?action=AUDIT_VALUE&amp;DB=129&amp;ID1=61174010&amp;VALUEID=02001&amp;SDATE=2011&amp;PERIODTYPE=ANN_STD&amp;SCFT=3&amp;window=popup_no_bar&amp;width=385&amp;height=120&amp;START_MAXIMIZED=FALSE&amp;creator=factset&amp;display_string=Audit"}</definedName>
    <definedName name="_32__FDSAUDITLINK__" hidden="1">{"fdsup://Directions/FactSet Auditing Viewer?action=AUDIT_VALUE&amp;DB=129&amp;ID1=61174010&amp;VALUEID=02001&amp;SDATE=2011&amp;PERIODTYPE=ANN_STD&amp;SCFT=3&amp;window=popup_no_bar&amp;width=385&amp;height=120&amp;START_MAXIMIZED=FALSE&amp;creator=factset&amp;display_string=Audit"}</definedName>
    <definedName name="_320">#REF!</definedName>
    <definedName name="_320__FDSAUDITLINK__" localSheetId="0"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0__FDSAUDITLINK__" hidden="1">{"fdsup://directions/FAT Viewer?action=UPDATE&amp;creator=factset&amp;DYN_ARGS=TRUE&amp;DOC_NAME=FAT:FQL_AUDITING_CLIENT_TEMPLATE.FAT&amp;display_string=Audit&amp;VAR:KEY=JYXGZMHYTO&amp;VAR:QUERY=RkZfRElWX1lMRChBTk4sMi8xNy8wNSwyLzE3LzA1KQ==&amp;WINDOW=FIRST_POPUP&amp;HEIGHT=450&amp;WIDTH=450&amp;","START_MAXIMIZED=FALSE&amp;VAR:CALENDAR=US&amp;VAR:SYMBOL=RAI&amp;VAR:INDEX=0"}</definedName>
    <definedName name="_321">#REF!</definedName>
    <definedName name="_321__FDSAUDITLINK__" localSheetId="0"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1__FDSAUDITLINK__" hidden="1">{"fdsup://directions/FAT Viewer?action=UPDATE&amp;creator=factset&amp;DYN_ARGS=TRUE&amp;DOC_NAME=FAT:FQL_AUDITING_CLIENT_TEMPLATE.FAT&amp;display_string=Audit&amp;VAR:KEY=BEPMNALMBC&amp;VAR:QUERY=RkZfRElWX1lMRChBTk4sMi8xMC8wNSwyLzEwLzA1KQ==&amp;WINDOW=FIRST_POPUP&amp;HEIGHT=450&amp;WIDTH=450&amp;","START_MAXIMIZED=FALSE&amp;VAR:CALENDAR=US&amp;VAR:SYMBOL=RAI&amp;VAR:INDEX=0"}</definedName>
    <definedName name="_322">#REF!</definedName>
    <definedName name="_322__FDSAUDITLINK__" localSheetId="0"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__FDSAUDITLINK__" hidden="1">{"fdsup://directions/FAT Viewer?action=UPDATE&amp;creator=factset&amp;DYN_ARGS=TRUE&amp;DOC_NAME=FAT:FQL_AUDITING_CLIENT_TEMPLATE.FAT&amp;display_string=Audit&amp;VAR:KEY=TWNARKFENA&amp;VAR:QUERY=RkZfRElWX1lMRChBTk4sMi8wMy8wNSwyLzAzLzA1KQ==&amp;WINDOW=FIRST_POPUP&amp;HEIGHT=450&amp;WIDTH=450&amp;","START_MAXIMIZED=FALSE&amp;VAR:CALENDAR=US&amp;VAR:SYMBOL=RAI&amp;VAR:INDEX=0"}</definedName>
    <definedName name="_3225">#REF!</definedName>
    <definedName name="_3226">#REF!</definedName>
    <definedName name="_3228">#REF!</definedName>
    <definedName name="_3229">#REF!</definedName>
    <definedName name="_323">#REF!</definedName>
    <definedName name="_323__FDSAUDITLINK__" localSheetId="0"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__FDSAUDITLINK__" hidden="1">{"fdsup://directions/FAT Viewer?action=UPDATE&amp;creator=factset&amp;DYN_ARGS=TRUE&amp;DOC_NAME=FAT:FQL_AUDITING_CLIENT_TEMPLATE.FAT&amp;display_string=Audit&amp;VAR:KEY=PCJOBYNWZC&amp;VAR:QUERY=RkZfRElWX1lMRChBTk4sMS8yNy8wNSwxLzI3LzA1KQ==&amp;WINDOW=FIRST_POPUP&amp;HEIGHT=450&amp;WIDTH=450&amp;","START_MAXIMIZED=FALSE&amp;VAR:CALENDAR=US&amp;VAR:SYMBOL=RAI&amp;VAR:INDEX=0"}</definedName>
    <definedName name="_3231">#REF!</definedName>
    <definedName name="_3232">#REF!</definedName>
    <definedName name="_324">#REF!</definedName>
    <definedName name="_324__FDSAUDITLINK__" localSheetId="0"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4__FDSAUDITLINK__" hidden="1">{"fdsup://directions/FAT Viewer?action=UPDATE&amp;creator=factset&amp;DYN_ARGS=TRUE&amp;DOC_NAME=FAT:FQL_AUDITING_CLIENT_TEMPLATE.FAT&amp;display_string=Audit&amp;VAR:KEY=XSLKVQNSHQ&amp;VAR:QUERY=RkZfRElWX1lMRChBTk4sMS8yMC8wNSwxLzIwLzA1KQ==&amp;WINDOW=FIRST_POPUP&amp;HEIGHT=450&amp;WIDTH=450&amp;","START_MAXIMIZED=FALSE&amp;VAR:CALENDAR=US&amp;VAR:SYMBOL=RAI&amp;VAR:INDEX=0"}</definedName>
    <definedName name="_325">#REF!</definedName>
    <definedName name="_325__FDSAUDITLINK__" localSheetId="0"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__FDSAUDITLINK__" hidden="1">{"fdsup://directions/FAT Viewer?action=UPDATE&amp;creator=factset&amp;DYN_ARGS=TRUE&amp;DOC_NAME=FAT:FQL_AUDITING_CLIENT_TEMPLATE.FAT&amp;display_string=Audit&amp;VAR:KEY=LCVSLINKHC&amp;VAR:QUERY=RkZfRElWX1lMRChBTk4sMS8xMy8wNSwxLzEzLzA1KQ==&amp;WINDOW=FIRST_POPUP&amp;HEIGHT=450&amp;WIDTH=450&amp;","START_MAXIMIZED=FALSE&amp;VAR:CALENDAR=US&amp;VAR:SYMBOL=RAI&amp;VAR:INDEX=0"}</definedName>
    <definedName name="_3258">#REF!</definedName>
    <definedName name="_3259">#REF!</definedName>
    <definedName name="_326">#REF!</definedName>
    <definedName name="_326__FDSAUDITLINK__" localSheetId="0"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__FDSAUDITLINK__" hidden="1">{"fdsup://directions/FAT Viewer?action=UPDATE&amp;creator=factset&amp;DYN_ARGS=TRUE&amp;DOC_NAME=FAT:FQL_AUDITING_CLIENT_TEMPLATE.FAT&amp;display_string=Audit&amp;VAR:KEY=DURABCBQHC&amp;VAR:QUERY=RkZfRElWX1lMRChBTk4sMS8wNi8wNSwxLzA2LzA1KQ==&amp;WINDOW=FIRST_POPUP&amp;HEIGHT=450&amp;WIDTH=450&amp;","START_MAXIMIZED=FALSE&amp;VAR:CALENDAR=US&amp;VAR:SYMBOL=RAI&amp;VAR:INDEX=0"}</definedName>
    <definedName name="_3261">#REF!</definedName>
    <definedName name="_3262">#REF!</definedName>
    <definedName name="_3264">#REF!</definedName>
    <definedName name="_3265">#REF!</definedName>
    <definedName name="_3267">#REF!</definedName>
    <definedName name="_3268">#REF!</definedName>
    <definedName name="_327">#REF!</definedName>
    <definedName name="_327__FDSAUDITLINK__" localSheetId="0"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7__FDSAUDITLINK__" hidden="1">{"fdsup://directions/FAT Viewer?action=UPDATE&amp;creator=factset&amp;DYN_ARGS=TRUE&amp;DOC_NAME=FAT:FQL_AUDITING_CLIENT_TEMPLATE.FAT&amp;display_string=Audit&amp;VAR:KEY=BWJKLWBGJY&amp;VAR:QUERY=RkZfRElWX1lMRChBTk4sMTIvMzAvMDQsMTIvMzAvMDQp&amp;WINDOW=FIRST_POPUP&amp;HEIGHT=450&amp;WIDTH=450&amp;","START_MAXIMIZED=FALSE&amp;VAR:CALENDAR=US&amp;VAR:SYMBOL=RAI&amp;VAR:INDEX=0"}</definedName>
    <definedName name="_328">#REF!</definedName>
    <definedName name="_328__FDSAUDITLINK__" localSheetId="0"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8__FDSAUDITLINK__" hidden="1">{"fdsup://directions/FAT Viewer?action=UPDATE&amp;creator=factset&amp;DYN_ARGS=TRUE&amp;DOC_NAME=FAT:FQL_AUDITING_CLIENT_TEMPLATE.FAT&amp;display_string=Audit&amp;VAR:KEY=RUNSZGFUHO&amp;VAR:QUERY=RkZfRElWX1lMRChBTk4sMTIvMjMvMDQsMTIvMjMvMDQp&amp;WINDOW=FIRST_POPUP&amp;HEIGHT=450&amp;WIDTH=450&amp;","START_MAXIMIZED=FALSE&amp;VAR:CALENDAR=US&amp;VAR:SYMBOL=RAI&amp;VAR:INDEX=0"}</definedName>
    <definedName name="_329">#REF!</definedName>
    <definedName name="_329__FDSAUDITLINK__" localSheetId="0"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9__FDSAUDITLINK__" hidden="1">{"fdsup://directions/FAT Viewer?action=UPDATE&amp;creator=factset&amp;DYN_ARGS=TRUE&amp;DOC_NAME=FAT:FQL_AUDITING_CLIENT_TEMPLATE.FAT&amp;display_string=Audit&amp;VAR:KEY=NKVAHADONO&amp;VAR:QUERY=RkZfRElWX1lMRChBTk4sMTIvMTYvMDQsMTIvMTYvMDQp&amp;WINDOW=FIRST_POPUP&amp;HEIGHT=450&amp;WIDTH=450&amp;","START_MAXIMIZED=FALSE&amp;VAR:CALENDAR=US&amp;VAR:SYMBOL=RAI&amp;VAR:INDEX=0"}</definedName>
    <definedName name="_32main_form_account_grants_list_22_j_id1022">#REF!</definedName>
    <definedName name="_33_______NOTE1_3">#REF!</definedName>
    <definedName name="_33__123Graph_BCHART_29" hidden="1">#REF!</definedName>
    <definedName name="_33__123Graph_BTAX_CREDIT">#REF!</definedName>
    <definedName name="_33__123Graph_CSENS_COMPARISON">#REF!</definedName>
    <definedName name="_33__123Graph_CSUPPLIES_BY_B_U">#REF!</definedName>
    <definedName name="_33__123Graph_DCHART_112" hidden="1">#REF!</definedName>
    <definedName name="_33__123Graph_EQRE_S_BY_CO.">#REF!</definedName>
    <definedName name="_33__123Graph_FQRE_S_BY_CO.">#REF!</definedName>
    <definedName name="_33__123Graph_FSUPPLIES_BY_B_U">#REF!</definedName>
    <definedName name="_33__123Graph_XChart_17K">#REF!</definedName>
    <definedName name="_33__123Graph_XCONTRACT_BY_B_U" hidden="1">#REF!</definedName>
    <definedName name="_33__123Graph_XQRE_S_BY_CO.">#REF!</definedName>
    <definedName name="_33__123Graph_XQRE_S_BY_TYPE">#REF!</definedName>
    <definedName name="_33__123Graph_XSUPPLIES_BY_B_U">#REF!</definedName>
    <definedName name="_33__FDSAUDITLINK__" localSheetId="0"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__FDSAUDITLINK__" hidden="1">{"fdsup://directions/FAT Viewer?action=UPDATE&amp;creator=factset&amp;DYN_ARGS=TRUE&amp;DOC_NAME=FAT:FQL_AUDITING_CLIENT_TEMPLATE.FAT&amp;display_string=Audit&amp;VAR:KEY=EXYLEDYFGV&amp;VAR:QUERY=RkZfREVCVChBTk4sMCk=&amp;WINDOW=FIRST_POPUP&amp;HEIGHT=450&amp;WIDTH=450&amp;START_MAXIMIZED=FALSE&amp;VA","R:CALENDAR=US&amp;VAR:SYMBOL=MNST&amp;VAR:INDEX=0"}</definedName>
    <definedName name="_330">#REF!</definedName>
    <definedName name="_330__FDSAUDITLINK__" localSheetId="0"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0__FDSAUDITLINK__" hidden="1">{"fdsup://directions/FAT Viewer?action=UPDATE&amp;creator=factset&amp;DYN_ARGS=TRUE&amp;DOC_NAME=FAT:FQL_AUDITING_CLIENT_TEMPLATE.FAT&amp;display_string=Audit&amp;VAR:KEY=LCNWJSNYZG&amp;VAR:QUERY=RkZfRElWX1lMRChBTk4sMTIvMDkvMDQsMTIvMDkvMDQp&amp;WINDOW=FIRST_POPUP&amp;HEIGHT=450&amp;WIDTH=450&amp;","START_MAXIMIZED=FALSE&amp;VAR:CALENDAR=US&amp;VAR:SYMBOL=RAI&amp;VAR:INDEX=0"}</definedName>
    <definedName name="_331">#REF!</definedName>
    <definedName name="_331__FDSAUDITLINK__" localSheetId="0"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1__FDSAUDITLINK__" hidden="1">{"fdsup://directions/FAT Viewer?action=UPDATE&amp;creator=factset&amp;DYN_ARGS=TRUE&amp;DOC_NAME=FAT:FQL_AUDITING_CLIENT_TEMPLATE.FAT&amp;display_string=Audit&amp;VAR:KEY=NKJSZYPODK&amp;VAR:QUERY=RkZfRElWX1lMRChBTk4sMTIvMDIvMDQsMTIvMDIvMDQp&amp;WINDOW=FIRST_POPUP&amp;HEIGHT=450&amp;WIDTH=450&amp;","START_MAXIMIZED=FALSE&amp;VAR:CALENDAR=US&amp;VAR:SYMBOL=RAI&amp;VAR:INDEX=0"}</definedName>
    <definedName name="_332__FDSAUDITLINK__" localSheetId="0"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2__FDSAUDITLINK__" hidden="1">{"fdsup://directions/FAT Viewer?action=UPDATE&amp;creator=factset&amp;DYN_ARGS=TRUE&amp;DOC_NAME=FAT:FQL_AUDITING_CLIENT_TEMPLATE.FAT&amp;display_string=Audit&amp;VAR:KEY=XUHKFSTEFC&amp;VAR:QUERY=RkZfRElWX1lMRChBTk4sMTEvMjQvMDQsMTEvMjQvMDQp&amp;WINDOW=FIRST_POPUP&amp;HEIGHT=450&amp;WIDTH=450&amp;","START_MAXIMIZED=FALSE&amp;VAR:CALENDAR=US&amp;VAR:SYMBOL=RAI&amp;VAR:INDEX=0"}</definedName>
    <definedName name="_333__FDSAUDITLINK__" localSheetId="0"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3__FDSAUDITLINK__" hidden="1">{"fdsup://directions/FAT Viewer?action=UPDATE&amp;creator=factset&amp;DYN_ARGS=TRUE&amp;DOC_NAME=FAT:FQL_AUDITING_CLIENT_TEMPLATE.FAT&amp;display_string=Audit&amp;VAR:KEY=DYXUTIXSRA&amp;VAR:QUERY=RkZfRElWX1lMRChBTk4sMTEvMTgvMDQsMTEvMTgvMDQp&amp;WINDOW=FIRST_POPUP&amp;HEIGHT=450&amp;WIDTH=450&amp;","START_MAXIMIZED=FALSE&amp;VAR:CALENDAR=US&amp;VAR:SYMBOL=RAI&amp;VAR:INDEX=0"}</definedName>
    <definedName name="_334__FDSAUDITLINK__" localSheetId="0"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4__FDSAUDITLINK__" hidden="1">{"fdsup://directions/FAT Viewer?action=UPDATE&amp;creator=factset&amp;DYN_ARGS=TRUE&amp;DOC_NAME=FAT:FQL_AUDITING_CLIENT_TEMPLATE.FAT&amp;display_string=Audit&amp;VAR:KEY=DCDEVKXSJO&amp;VAR:QUERY=RkZfRElWX1lMRChBTk4sMTEvMTEvMDQsMTEvMTEvMDQp&amp;WINDOW=FIRST_POPUP&amp;HEIGHT=450&amp;WIDTH=450&amp;","START_MAXIMIZED=FALSE&amp;VAR:CALENDAR=US&amp;VAR:SYMBOL=RAI&amp;VAR:INDEX=0"}</definedName>
    <definedName name="_335__FDSAUDITLINK__" localSheetId="0"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5__FDSAUDITLINK__" hidden="1">{"fdsup://directions/FAT Viewer?action=UPDATE&amp;creator=factset&amp;DYN_ARGS=TRUE&amp;DOC_NAME=FAT:FQL_AUDITING_CLIENT_TEMPLATE.FAT&amp;display_string=Audit&amp;VAR:KEY=LCNSJEHKBM&amp;VAR:QUERY=RkZfRElWX1lMRChBTk4sMTEvMDQvMDQsMTEvMDQvMDQp&amp;WINDOW=FIRST_POPUP&amp;HEIGHT=450&amp;WIDTH=450&amp;","START_MAXIMIZED=FALSE&amp;VAR:CALENDAR=US&amp;VAR:SYMBOL=RAI&amp;VAR:INDEX=0"}</definedName>
    <definedName name="_336">#REF!</definedName>
    <definedName name="_336__FDSAUDITLINK__" localSheetId="0"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6__FDSAUDITLINK__" hidden="1">{"fdsup://directions/FAT Viewer?action=UPDATE&amp;creator=factset&amp;DYN_ARGS=TRUE&amp;DOC_NAME=FAT:FQL_AUDITING_CLIENT_TEMPLATE.FAT&amp;display_string=Audit&amp;VAR:KEY=XADUJGDYXG&amp;VAR:QUERY=RkZfRElWX1lMRChBTk4sMTAvMjgvMDQsMTAvMjgvMDQp&amp;WINDOW=FIRST_POPUP&amp;HEIGHT=450&amp;WIDTH=450&amp;","START_MAXIMIZED=FALSE&amp;VAR:CALENDAR=US&amp;VAR:SYMBOL=RAI&amp;VAR:INDEX=0"}</definedName>
    <definedName name="_337">#REF!</definedName>
    <definedName name="_337__FDSAUDITLINK__" localSheetId="0"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7__FDSAUDITLINK__" hidden="1">{"fdsup://directions/FAT Viewer?action=UPDATE&amp;creator=factset&amp;DYN_ARGS=TRUE&amp;DOC_NAME=FAT:FQL_AUDITING_CLIENT_TEMPLATE.FAT&amp;display_string=Audit&amp;VAR:KEY=PIRMFKRAJQ&amp;VAR:QUERY=RkZfRElWX1lMRChBTk4sMTAvMjEvMDQsMTAvMjEvMDQp&amp;WINDOW=FIRST_POPUP&amp;HEIGHT=450&amp;WIDTH=450&amp;","START_MAXIMIZED=FALSE&amp;VAR:CALENDAR=US&amp;VAR:SYMBOL=RAI&amp;VAR:INDEX=0"}</definedName>
    <definedName name="_338">#REF!</definedName>
    <definedName name="_338__FDSAUDITLINK__" localSheetId="0"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8__FDSAUDITLINK__" hidden="1">{"fdsup://directions/FAT Viewer?action=UPDATE&amp;creator=factset&amp;DYN_ARGS=TRUE&amp;DOC_NAME=FAT:FQL_AUDITING_CLIENT_TEMPLATE.FAT&amp;display_string=Audit&amp;VAR:KEY=BOHUHALOJM&amp;VAR:QUERY=RkZfRElWX1lMRChBTk4sMTAvMTQvMDQsMTAvMTQvMDQp&amp;WINDOW=FIRST_POPUP&amp;HEIGHT=450&amp;WIDTH=450&amp;","START_MAXIMIZED=FALSE&amp;VAR:CALENDAR=US&amp;VAR:SYMBOL=RAI&amp;VAR:INDEX=0"}</definedName>
    <definedName name="_339">#REF!</definedName>
    <definedName name="_339__FDSAUDITLINK__" localSheetId="0"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39__FDSAUDITLINK__" hidden="1">{"fdsup://directions/FAT Viewer?action=UPDATE&amp;creator=factset&amp;DYN_ARGS=TRUE&amp;DOC_NAME=FAT:FQL_AUDITING_CLIENT_TEMPLATE.FAT&amp;display_string=Audit&amp;VAR:KEY=NWNCRGTURE&amp;VAR:QUERY=RkZfRElWX1lMRChBTk4sMTAvMDcvMDQsMTAvMDcvMDQp&amp;WINDOW=FIRST_POPUP&amp;HEIGHT=450&amp;WIDTH=450&amp;","START_MAXIMIZED=FALSE&amp;VAR:CALENDAR=US&amp;VAR:SYMBOL=RAI&amp;VAR:INDEX=0"}</definedName>
    <definedName name="_34_______NOTE5_7">#REF!</definedName>
    <definedName name="_34__123Graph_ACONTRACT_BY_B_U">#REF!</definedName>
    <definedName name="_34__123Graph_CWAGES_BY_B_U">#REF!</definedName>
    <definedName name="_34__123Graph_DGROWTH_REVS_A" hidden="1">#REF!</definedName>
    <definedName name="_34__123Graph_ESUPPLIES_BY_B_U">#REF!</definedName>
    <definedName name="_34__123Graph_FSUPPLIES_BY_B_U">#REF!</definedName>
    <definedName name="_34__123Graph_FWAGES_BY_B_U">#REF!</definedName>
    <definedName name="_34__123Graph_XChart_18K">#REF!</definedName>
    <definedName name="_34__123Graph_XQRE_S_BY_CO." hidden="1">#REF!</definedName>
    <definedName name="_34__123Graph_XQRE_S_BY_TYPE">#REF!</definedName>
    <definedName name="_34__123Graph_XSUPPLIES_BY_B_U">#REF!</definedName>
    <definedName name="_34__123Graph_XTAX_CREDIT">#REF!</definedName>
    <definedName name="_34__FDSAUDITLINK__" localSheetId="0"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__FDSAUDITLINK__" hidden="1">{"fdsup://directions/FAT Viewer?action=UPDATE&amp;creator=factset&amp;DYN_ARGS=TRUE&amp;DOC_NAME=FAT:FQL_AUDITING_CLIENT_TEMPLATE.FAT&amp;display_string=Audit&amp;VAR:KEY=DGXSHAFOHQ&amp;VAR:QUERY=RkZfRU5UUlBSX1ZBTF9EQUlMWSgwLCwsLCwnRElMJyk=&amp;WINDOW=FIRST_POPUP&amp;HEIGHT=450&amp;WIDTH=450&amp;","START_MAXIMIZED=FALSE&amp;VAR:CALENDAR=US&amp;VAR:SYMBOL=BEAM&amp;VAR:INDEX=0"}</definedName>
    <definedName name="_340">#REF!</definedName>
    <definedName name="_340__FDSAUDITLINK__" localSheetId="0"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0__FDSAUDITLINK__" hidden="1">{"fdsup://directions/FAT Viewer?action=UPDATE&amp;creator=factset&amp;DYN_ARGS=TRUE&amp;DOC_NAME=FAT:FQL_AUDITING_CLIENT_TEMPLATE.FAT&amp;display_string=Audit&amp;VAR:KEY=RYFSVKVITC&amp;VAR:QUERY=RkZfRElWX1lMRChBTk4sOS8zMC8wNCw5LzMwLzA0KQ==&amp;WINDOW=FIRST_POPUP&amp;HEIGHT=450&amp;WIDTH=450&amp;","START_MAXIMIZED=FALSE&amp;VAR:CALENDAR=US&amp;VAR:SYMBOL=RAI&amp;VAR:INDEX=0"}</definedName>
    <definedName name="_341">#REF!</definedName>
    <definedName name="_341__FDSAUDITLINK__" localSheetId="0"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1__FDSAUDITLINK__" hidden="1">{"fdsup://directions/FAT Viewer?action=UPDATE&amp;creator=factset&amp;DYN_ARGS=TRUE&amp;DOC_NAME=FAT:FQL_AUDITING_CLIENT_TEMPLATE.FAT&amp;display_string=Audit&amp;VAR:KEY=HMLCZKBUHU&amp;VAR:QUERY=RkZfRElWX1lMRChBTk4sOS8yMy8wNCw5LzIzLzA0KQ==&amp;WINDOW=FIRST_POPUP&amp;HEIGHT=450&amp;WIDTH=450&amp;","START_MAXIMIZED=FALSE&amp;VAR:CALENDAR=US&amp;VAR:SYMBOL=RAI&amp;VAR:INDEX=0"}</definedName>
    <definedName name="_342">#REF!</definedName>
    <definedName name="_342__FDSAUDITLINK__" localSheetId="0"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__FDSAUDITLINK__" hidden="1">{"fdsup://directions/FAT Viewer?action=UPDATE&amp;creator=factset&amp;DYN_ARGS=TRUE&amp;DOC_NAME=FAT:FQL_AUDITING_CLIENT_TEMPLATE.FAT&amp;display_string=Audit&amp;VAR:KEY=TWVAZELIFO&amp;VAR:QUERY=RkZfRElWX1lMRChBTk4sOS8xNi8wNCw5LzE2LzA0KQ==&amp;WINDOW=FIRST_POPUP&amp;HEIGHT=450&amp;WIDTH=450&amp;","START_MAXIMIZED=FALSE&amp;VAR:CALENDAR=US&amp;VAR:SYMBOL=RAI&amp;VAR:INDEX=0"}</definedName>
    <definedName name="_3429">#REF!</definedName>
    <definedName name="_343">#REF!</definedName>
    <definedName name="_343__FDSAUDITLINK__" localSheetId="0"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__FDSAUDITLINK__" hidden="1">{"fdsup://directions/FAT Viewer?action=UPDATE&amp;creator=factset&amp;DYN_ARGS=TRUE&amp;DOC_NAME=FAT:FQL_AUDITING_CLIENT_TEMPLATE.FAT&amp;display_string=Audit&amp;VAR:KEY=VUXQHWHKBU&amp;VAR:QUERY=RkZfRElWX1lMRChBTk4sOS8wOS8wNCw5LzA5LzA0KQ==&amp;WINDOW=FIRST_POPUP&amp;HEIGHT=450&amp;WIDTH=450&amp;","START_MAXIMIZED=FALSE&amp;VAR:CALENDAR=US&amp;VAR:SYMBOL=RAI&amp;VAR:INDEX=0"}</definedName>
    <definedName name="_3430">#REF!</definedName>
    <definedName name="_3432">#REF!</definedName>
    <definedName name="_3433">#REF!</definedName>
    <definedName name="_3435">#REF!</definedName>
    <definedName name="_3436">#REF!</definedName>
    <definedName name="_344">#REF!</definedName>
    <definedName name="_344__FDSAUDITLINK__" localSheetId="0"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4__FDSAUDITLINK__" hidden="1">{"fdsup://directions/FAT Viewer?action=UPDATE&amp;creator=factset&amp;DYN_ARGS=TRUE&amp;DOC_NAME=FAT:FQL_AUDITING_CLIENT_TEMPLATE.FAT&amp;display_string=Audit&amp;VAR:KEY=VMXEJUXEZS&amp;VAR:QUERY=RkZfRElWX1lMRChBTk4sOS8wMi8wNCw5LzAyLzA0KQ==&amp;WINDOW=FIRST_POPUP&amp;HEIGHT=450&amp;WIDTH=450&amp;","START_MAXIMIZED=FALSE&amp;VAR:CALENDAR=US&amp;VAR:SYMBOL=RAI&amp;VAR:INDEX=0"}</definedName>
    <definedName name="_345__FDSAUDITLINK__" localSheetId="0"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5__FDSAUDITLINK__" hidden="1">{"fdsup://directions/FAT Viewer?action=UPDATE&amp;creator=factset&amp;DYN_ARGS=TRUE&amp;DOC_NAME=FAT:FQL_AUDITING_CLIENT_TEMPLATE.FAT&amp;display_string=Audit&amp;VAR:KEY=VUPINCPELC&amp;VAR:QUERY=RkZfRElWX1lMRChBTk4sOC8yNi8wNCw4LzI2LzA0KQ==&amp;WINDOW=FIRST_POPUP&amp;HEIGHT=450&amp;WIDTH=450&amp;","START_MAXIMIZED=FALSE&amp;VAR:CALENDAR=US&amp;VAR:SYMBOL=RAI&amp;VAR:INDEX=0"}</definedName>
    <definedName name="_346">#REF!</definedName>
    <definedName name="_346__FDSAUDITLINK__" localSheetId="0"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__FDSAUDITLINK__" hidden="1">{"fdsup://directions/FAT Viewer?action=UPDATE&amp;creator=factset&amp;DYN_ARGS=TRUE&amp;DOC_NAME=FAT:FQL_AUDITING_CLIENT_TEMPLATE.FAT&amp;display_string=Audit&amp;VAR:KEY=DOLCPYDKRI&amp;VAR:QUERY=RkZfRElWX1lMRChBTk4sOC8xOS8wNCw4LzE5LzA0KQ==&amp;WINDOW=FIRST_POPUP&amp;HEIGHT=450&amp;WIDTH=450&amp;","START_MAXIMIZED=FALSE&amp;VAR:CALENDAR=US&amp;VAR:SYMBOL=RAI&amp;VAR:INDEX=0"}</definedName>
    <definedName name="_3462">#REF!</definedName>
    <definedName name="_3463">#REF!</definedName>
    <definedName name="_3465">#REF!</definedName>
    <definedName name="_3466">#REF!</definedName>
    <definedName name="_3468">#REF!</definedName>
    <definedName name="_3469">#REF!</definedName>
    <definedName name="_347">#REF!</definedName>
    <definedName name="_347__FDSAUDITLINK__" localSheetId="0"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__FDSAUDITLINK__" hidden="1">{"fdsup://directions/FAT Viewer?action=UPDATE&amp;creator=factset&amp;DYN_ARGS=TRUE&amp;DOC_NAME=FAT:FQL_AUDITING_CLIENT_TEMPLATE.FAT&amp;display_string=Audit&amp;VAR:KEY=ZAHINOZSZY&amp;VAR:QUERY=RkZfRElWX1lMRChBTk4sOC8xMi8wNCw4LzEyLzA0KQ==&amp;WINDOW=FIRST_POPUP&amp;HEIGHT=450&amp;WIDTH=450&amp;","START_MAXIMIZED=FALSE&amp;VAR:CALENDAR=US&amp;VAR:SYMBOL=RAI&amp;VAR:INDEX=0"}</definedName>
    <definedName name="_3471">#REF!</definedName>
    <definedName name="_3472">#REF!</definedName>
    <definedName name="_348__FDSAUDITLINK__" localSheetId="0"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8__FDSAUDITLINK__" hidden="1">{"fdsup://directions/FAT Viewer?action=UPDATE&amp;creator=factset&amp;DYN_ARGS=TRUE&amp;DOC_NAME=FAT:FQL_AUDITING_CLIENT_TEMPLATE.FAT&amp;display_string=Audit&amp;VAR:KEY=LKBMHAXIDO&amp;VAR:QUERY=RkZfRElWX1lMRChBTk4sOC8wNS8wNCw4LzA1LzA0KQ==&amp;WINDOW=FIRST_POPUP&amp;HEIGHT=450&amp;WIDTH=450&amp;","START_MAXIMIZED=FALSE&amp;VAR:CALENDAR=US&amp;VAR:SYMBOL=RAI&amp;VAR:INDEX=0"}</definedName>
    <definedName name="_349">#REF!</definedName>
    <definedName name="_349__FDSAUDITLINK__" localSheetId="0"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9__FDSAUDITLINK__" hidden="1">{"fdsup://directions/FAT Viewer?action=UPDATE&amp;creator=factset&amp;DYN_ARGS=TRUE&amp;DOC_NAME=FAT:FQL_AUDITING_CLIENT_TEMPLATE.FAT&amp;display_string=Audit&amp;VAR:KEY=TUBQJWBWJU&amp;VAR:QUERY=RkZfRElWX1lMRChBTk4sNy8yOS8wNCw3LzI5LzA0KQ==&amp;WINDOW=FIRST_POPUP&amp;HEIGHT=450&amp;WIDTH=450&amp;","START_MAXIMIZED=FALSE&amp;VAR:CALENDAR=US&amp;VAR:SYMBOL=RAI&amp;VAR:INDEX=0"}</definedName>
    <definedName name="_34main_form_account_grants_list_23_j_id1022">#REF!</definedName>
    <definedName name="_35_______NOTE8_9">#REF!</definedName>
    <definedName name="_35__123Graph_ACHART_8">#REF!</definedName>
    <definedName name="_35__123Graph_AQRE_S_BY_CO.">#REF!</definedName>
    <definedName name="_35__123Graph_CCHART_3">#REF!</definedName>
    <definedName name="_35__123Graph_CSUPPLIES_BY_B_U">#REF!</definedName>
    <definedName name="_35__123Graph_CWAGES_BY_B_U">#REF!</definedName>
    <definedName name="_35__123Graph_DGROWTH_REVS_B" hidden="1">#REF!</definedName>
    <definedName name="_35__123Graph_EWAGES_BY_B_U">#REF!</definedName>
    <definedName name="_35__123Graph_FWAGES_BY_B_U">#REF!</definedName>
    <definedName name="_35__123Graph_XChart_19K">#REF!</definedName>
    <definedName name="_35__123Graph_XCONTRACT_BY_B_U">#REF!</definedName>
    <definedName name="_35__123Graph_XQRE_S_BY_TYPE" hidden="1">#REF!</definedName>
    <definedName name="_35__123Graph_XSUPPLIES_BY_B_U">#REF!</definedName>
    <definedName name="_35__123Graph_XTAX_CREDIT">#REF!</definedName>
    <definedName name="_35__FDSAUDITLINK__" localSheetId="0"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__FDSAUDITLINK__" hidden="1">{"fdsup://directions/FAT Viewer?action=UPDATE&amp;creator=factset&amp;DYN_ARGS=TRUE&amp;DOC_NAME=FAT:FQL_AUDITING_CLIENT_TEMPLATE.FAT&amp;display_string=Audit&amp;VAR:KEY=WVMBYPAXSN&amp;VAR:QUERY=RkZfREVCVChBTk4sMCk=&amp;WINDOW=FIRST_POPUP&amp;HEIGHT=450&amp;WIDTH=450&amp;START_MAXIMIZED=FALSE&amp;VA","R:CALENDAR=US&amp;VAR:SYMBOL=TAP&amp;VAR:INDEX=0"}</definedName>
    <definedName name="_350">#REF!</definedName>
    <definedName name="_350__FDSAUDITLINK__" localSheetId="0"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0__FDSAUDITLINK__" hidden="1">{"fdsup://directions/FAT Viewer?action=UPDATE&amp;creator=factset&amp;DYN_ARGS=TRUE&amp;DOC_NAME=FAT:FQL_AUDITING_CLIENT_TEMPLATE.FAT&amp;display_string=Audit&amp;VAR:KEY=DCXOVGBSLI&amp;VAR:QUERY=RkZfRElWX1lMRChBTk4sNy8yMi8wNCw3LzIyLzA0KQ==&amp;WINDOW=FIRST_POPUP&amp;HEIGHT=450&amp;WIDTH=450&amp;","START_MAXIMIZED=FALSE&amp;VAR:CALENDAR=US&amp;VAR:SYMBOL=RAI&amp;VAR:INDEX=0"}</definedName>
    <definedName name="_351">#REF!</definedName>
    <definedName name="_351__FDSAUDITLINK__" localSheetId="0"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1__FDSAUDITLINK__" hidden="1">{"fdsup://directions/FAT Viewer?action=UPDATE&amp;creator=factset&amp;DYN_ARGS=TRUE&amp;DOC_NAME=FAT:FQL_AUDITING_CLIENT_TEMPLATE.FAT&amp;display_string=Audit&amp;VAR:KEY=VIVEFIHALA&amp;VAR:QUERY=RkZfRElWX1lMRChBTk4sNy8xNS8wNCw3LzE1LzA0KQ==&amp;WINDOW=FIRST_POPUP&amp;HEIGHT=450&amp;WIDTH=450&amp;","START_MAXIMIZED=FALSE&amp;VAR:CALENDAR=US&amp;VAR:SYMBOL=RAI&amp;VAR:INDEX=0"}</definedName>
    <definedName name="_352__FDSAUDITLINK__" localSheetId="0"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2__FDSAUDITLINK__" hidden="1">{"fdsup://directions/FAT Viewer?action=UPDATE&amp;creator=factset&amp;DYN_ARGS=TRUE&amp;DOC_NAME=FAT:FQL_AUDITING_CLIENT_TEMPLATE.FAT&amp;display_string=Audit&amp;VAR:KEY=ZSZEHUXKPW&amp;VAR:QUERY=RkZfRElWX1lMRChBTk4sNy8wOC8wNCw3LzA4LzA0KQ==&amp;WINDOW=FIRST_POPUP&amp;HEIGHT=450&amp;WIDTH=450&amp;","START_MAXIMIZED=FALSE&amp;VAR:CALENDAR=US&amp;VAR:SYMBOL=RAI&amp;VAR:INDEX=0"}</definedName>
    <definedName name="_353__FDSAUDITLINK__" localSheetId="0"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3__FDSAUDITLINK__" hidden="1">{"fdsup://directions/FAT Viewer?action=UPDATE&amp;creator=factset&amp;DYN_ARGS=TRUE&amp;DOC_NAME=FAT:FQL_AUDITING_CLIENT_TEMPLATE.FAT&amp;display_string=Audit&amp;VAR:KEY=BARGTGLCZQ&amp;VAR:QUERY=RkZfRElWX1lMRChBTk4sNy8wMS8wNCw3LzAxLzA0KQ==&amp;WINDOW=FIRST_POPUP&amp;HEIGHT=450&amp;WIDTH=450&amp;","START_MAXIMIZED=FALSE&amp;VAR:CALENDAR=US&amp;VAR:SYMBOL=RAI&amp;VAR:INDEX=0"}</definedName>
    <definedName name="_354">#REF!</definedName>
    <definedName name="_354__FDSAUDITLINK__" localSheetId="0"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4__FDSAUDITLINK__" hidden="1">{"fdsup://directions/FAT Viewer?action=UPDATE&amp;creator=factset&amp;DYN_ARGS=TRUE&amp;DOC_NAME=FAT:FQL_AUDITING_CLIENT_TEMPLATE.FAT&amp;display_string=Audit&amp;VAR:KEY=XAVYZKTAHY&amp;VAR:QUERY=RkZfRElWX1lMRChBTk4sNi8yNC8wNCw2LzI0LzA0KQ==&amp;WINDOW=FIRST_POPUP&amp;HEIGHT=450&amp;WIDTH=450&amp;","START_MAXIMIZED=FALSE&amp;VAR:CALENDAR=US&amp;VAR:SYMBOL=RAI&amp;VAR:INDEX=0"}</definedName>
    <definedName name="_355">#REF!</definedName>
    <definedName name="_355__FDSAUDITLINK__" localSheetId="0"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5__FDSAUDITLINK__" hidden="1">{"fdsup://directions/FAT Viewer?action=UPDATE&amp;creator=factset&amp;DYN_ARGS=TRUE&amp;DOC_NAME=FAT:FQL_AUDITING_CLIENT_TEMPLATE.FAT&amp;display_string=Audit&amp;VAR:KEY=TCVKPQBGXU&amp;VAR:QUERY=RkZfRElWX1lMRChBTk4sNi8xNy8wNCw2LzE3LzA0KQ==&amp;WINDOW=FIRST_POPUP&amp;HEIGHT=450&amp;WIDTH=450&amp;","START_MAXIMIZED=FALSE&amp;VAR:CALENDAR=US&amp;VAR:SYMBOL=RAI&amp;VAR:INDEX=0"}</definedName>
    <definedName name="_356">#REF!</definedName>
    <definedName name="_356__FDSAUDITLINK__" localSheetId="0"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6__FDSAUDITLINK__" hidden="1">{"fdsup://directions/FAT Viewer?action=UPDATE&amp;creator=factset&amp;DYN_ARGS=TRUE&amp;DOC_NAME=FAT:FQL_AUDITING_CLIENT_TEMPLATE.FAT&amp;display_string=Audit&amp;VAR:KEY=HSVOBSZCDE&amp;VAR:QUERY=RkZfRElWX1lMRChBTk4sNi8xMC8wNCw2LzEwLzA0KQ==&amp;WINDOW=FIRST_POPUP&amp;HEIGHT=450&amp;WIDTH=450&amp;","START_MAXIMIZED=FALSE&amp;VAR:CALENDAR=US&amp;VAR:SYMBOL=RAI&amp;VAR:INDEX=0"}</definedName>
    <definedName name="_357">#REF!</definedName>
    <definedName name="_357__FDSAUDITLINK__" localSheetId="0"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7__FDSAUDITLINK__" hidden="1">{"fdsup://directions/FAT Viewer?action=UPDATE&amp;creator=factset&amp;DYN_ARGS=TRUE&amp;DOC_NAME=FAT:FQL_AUDITING_CLIENT_TEMPLATE.FAT&amp;display_string=Audit&amp;VAR:KEY=VGNEREVURW&amp;VAR:QUERY=RkZfRElWX1lMRChBTk4sNi8wMy8wNCw2LzAzLzA0KQ==&amp;WINDOW=FIRST_POPUP&amp;HEIGHT=450&amp;WIDTH=450&amp;","START_MAXIMIZED=FALSE&amp;VAR:CALENDAR=US&amp;VAR:SYMBOL=RAI&amp;VAR:INDEX=0"}</definedName>
    <definedName name="_358">#REF!</definedName>
    <definedName name="_358__FDSAUDITLINK__" localSheetId="0"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8__FDSAUDITLINK__" hidden="1">{"fdsup://directions/FAT Viewer?action=UPDATE&amp;creator=factset&amp;DYN_ARGS=TRUE&amp;DOC_NAME=FAT:FQL_AUDITING_CLIENT_TEMPLATE.FAT&amp;display_string=Audit&amp;VAR:KEY=XYFEBKZOPG&amp;VAR:QUERY=RkZfRElWX1lMRChBTk4sNS8yNy8wNCw1LzI3LzA0KQ==&amp;WINDOW=FIRST_POPUP&amp;HEIGHT=450&amp;WIDTH=450&amp;","START_MAXIMIZED=FALSE&amp;VAR:CALENDAR=US&amp;VAR:SYMBOL=RAI&amp;VAR:INDEX=0"}</definedName>
    <definedName name="_359">#REF!</definedName>
    <definedName name="_359__FDSAUDITLINK__" localSheetId="0"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59__FDSAUDITLINK__" hidden="1">{"fdsup://directions/FAT Viewer?action=UPDATE&amp;creator=factset&amp;DYN_ARGS=TRUE&amp;DOC_NAME=FAT:FQL_AUDITING_CLIENT_TEMPLATE.FAT&amp;display_string=Audit&amp;VAR:KEY=VKBIHAXSHK&amp;VAR:QUERY=RkZfRElWX1lMRChBTk4sNS8yMC8wNCw1LzIwLzA0KQ==&amp;WINDOW=FIRST_POPUP&amp;HEIGHT=450&amp;WIDTH=450&amp;","START_MAXIMIZED=FALSE&amp;VAR:CALENDAR=US&amp;VAR:SYMBOL=RAI&amp;VAR:INDEX=0"}</definedName>
    <definedName name="_36_______P_L">#REF!</definedName>
    <definedName name="_36__123Graph_ASENS_COMPARISON">#REF!</definedName>
    <definedName name="_36__123Graph_AWAGES_BY_B_U">#REF!</definedName>
    <definedName name="_36__123Graph_BCONTRACT_BY_B_U">#REF!</definedName>
    <definedName name="_36__123Graph_BGROSS_MARGINS" hidden="1">#REF!</definedName>
    <definedName name="_36__123Graph_BSENS_COMPARISON">#REF!</definedName>
    <definedName name="_36__123Graph_BWAGES_BY_B_U">#REF!</definedName>
    <definedName name="_36__123Graph_DCONTRACT_BY_B_U">#REF!</definedName>
    <definedName name="_36__123Graph_FCONTRACT_BY_B_U">#REF!</definedName>
    <definedName name="_36__123Graph_XCHART_112" hidden="1">#REF!</definedName>
    <definedName name="_36__123Graph_XChart_20K">#REF!</definedName>
    <definedName name="_36__123Graph_XCONTRACT_BY_B_U">#REF!</definedName>
    <definedName name="_36__123Graph_XQRE_S_BY_CO.">#REF!</definedName>
    <definedName name="_36__123Graph_XSUPPLIES_BY_B_U" hidden="1">#REF!</definedName>
    <definedName name="_36__123Graph_XTAX_CREDIT">#REF!</definedName>
    <definedName name="_36__FDSAUDITLINK__" localSheetId="0" hidden="1">{"fdsup://Directions/FactSet Auditing Viewer?action=AUDIT_VALUE&amp;DB=129&amp;ID1=39312210&amp;VALUEID=02001&amp;SDATE=2011&amp;PERIODTYPE=ANN_STD&amp;SCFT=3&amp;window=popup_no_bar&amp;width=385&amp;height=120&amp;START_MAXIMIZED=FALSE&amp;creator=factset&amp;display_string=Audit"}</definedName>
    <definedName name="_36__FDSAUDITLINK__" hidden="1">{"fdsup://Directions/FactSet Auditing Viewer?action=AUDIT_VALUE&amp;DB=129&amp;ID1=39312210&amp;VALUEID=02001&amp;SDATE=2011&amp;PERIODTYPE=ANN_STD&amp;SCFT=3&amp;window=popup_no_bar&amp;width=385&amp;height=120&amp;START_MAXIMIZED=FALSE&amp;creator=factset&amp;display_string=Audit"}</definedName>
    <definedName name="_360">2</definedName>
    <definedName name="_360__FDSAUDITLINK__" localSheetId="0"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0__FDSAUDITLINK__" hidden="1">{"fdsup://directions/FAT Viewer?action=UPDATE&amp;creator=factset&amp;DYN_ARGS=TRUE&amp;DOC_NAME=FAT:FQL_AUDITING_CLIENT_TEMPLATE.FAT&amp;display_string=Audit&amp;VAR:KEY=RSZADAZSDE&amp;VAR:QUERY=RkZfRElWX1lMRChBTk4sNS8xMy8wNCw1LzEzLzA0KQ==&amp;WINDOW=FIRST_POPUP&amp;HEIGHT=450&amp;WIDTH=450&amp;","START_MAXIMIZED=FALSE&amp;VAR:CALENDAR=US&amp;VAR:SYMBOL=RAI&amp;VAR:INDEX=0"}</definedName>
    <definedName name="_361">#REF!</definedName>
    <definedName name="_361__FDSAUDITLINK__" localSheetId="0"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1__FDSAUDITLINK__" hidden="1">{"fdsup://directions/FAT Viewer?action=UPDATE&amp;creator=factset&amp;DYN_ARGS=TRUE&amp;DOC_NAME=FAT:FQL_AUDITING_CLIENT_TEMPLATE.FAT&amp;display_string=Audit&amp;VAR:KEY=PAVWZOJQXY&amp;VAR:QUERY=RkZfRElWX1lMRChBTk4sNS8wNi8wNCw1LzA2LzA0KQ==&amp;WINDOW=FIRST_POPUP&amp;HEIGHT=450&amp;WIDTH=450&amp;","START_MAXIMIZED=FALSE&amp;VAR:CALENDAR=US&amp;VAR:SYMBOL=RAI&amp;VAR:INDEX=0"}</definedName>
    <definedName name="_362">#REF!</definedName>
    <definedName name="_362__FDSAUDITLINK__" localSheetId="0"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2__FDSAUDITLINK__" hidden="1">{"fdsup://directions/FAT Viewer?action=UPDATE&amp;creator=factset&amp;DYN_ARGS=TRUE&amp;DOC_NAME=FAT:FQL_AUDITING_CLIENT_TEMPLATE.FAT&amp;display_string=Audit&amp;VAR:KEY=PAFCPCFGNM&amp;VAR:QUERY=RkZfRElWX1lMRChBTk4sNC8yOS8wNCw0LzI5LzA0KQ==&amp;WINDOW=FIRST_POPUP&amp;HEIGHT=450&amp;WIDTH=450&amp;","START_MAXIMIZED=FALSE&amp;VAR:CALENDAR=US&amp;VAR:SYMBOL=RAI&amp;VAR:INDEX=0"}</definedName>
    <definedName name="_363">#REF!</definedName>
    <definedName name="_363__FDSAUDITLINK__" localSheetId="0"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3__FDSAUDITLINK__" hidden="1">{"fdsup://directions/FAT Viewer?action=UPDATE&amp;creator=factset&amp;DYN_ARGS=TRUE&amp;DOC_NAME=FAT:FQL_AUDITING_CLIENT_TEMPLATE.FAT&amp;display_string=Audit&amp;VAR:KEY=TODSRATUVA&amp;VAR:QUERY=RkZfRElWX1lMRChBTk4sNC8yMi8wNCw0LzIyLzA0KQ==&amp;WINDOW=FIRST_POPUP&amp;HEIGHT=450&amp;WIDTH=450&amp;","START_MAXIMIZED=FALSE&amp;VAR:CALENDAR=US&amp;VAR:SYMBOL=RAI&amp;VAR:INDEX=0"}</definedName>
    <definedName name="_364">#REF!</definedName>
    <definedName name="_364__FDSAUDITLINK__" localSheetId="0"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4__FDSAUDITLINK__" hidden="1">{"fdsup://directions/FAT Viewer?action=UPDATE&amp;creator=factset&amp;DYN_ARGS=TRUE&amp;DOC_NAME=FAT:FQL_AUDITING_CLIENT_TEMPLATE.FAT&amp;display_string=Audit&amp;VAR:KEY=NKDKZITENA&amp;VAR:QUERY=RkZfRElWX1lMRChBTk4sNC8xNS8wNCw0LzE1LzA0KQ==&amp;WINDOW=FIRST_POPUP&amp;HEIGHT=450&amp;WIDTH=450&amp;","START_MAXIMIZED=FALSE&amp;VAR:CALENDAR=US&amp;VAR:SYMBOL=RAI&amp;VAR:INDEX=0"}</definedName>
    <definedName name="_365">#REF!</definedName>
    <definedName name="_365__FDSAUDITLINK__" localSheetId="0"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5__FDSAUDITLINK__" hidden="1">{"fdsup://directions/FAT Viewer?action=UPDATE&amp;creator=factset&amp;DYN_ARGS=TRUE&amp;DOC_NAME=FAT:FQL_AUDITING_CLIENT_TEMPLATE.FAT&amp;display_string=Audit&amp;VAR:KEY=RYFSFMNGBE&amp;VAR:QUERY=RkZfRElWX1lMRChBTk4sNC8wOC8wNCw0LzA4LzA0KQ==&amp;WINDOW=FIRST_POPUP&amp;HEIGHT=450&amp;WIDTH=450&amp;","START_MAXIMIZED=FALSE&amp;VAR:CALENDAR=US&amp;VAR:SYMBOL=RAI&amp;VAR:INDEX=0"}</definedName>
    <definedName name="_366">#REF!</definedName>
    <definedName name="_366__FDSAUDITLINK__" localSheetId="0"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6__FDSAUDITLINK__" hidden="1">{"fdsup://directions/FAT Viewer?action=UPDATE&amp;creator=factset&amp;DYN_ARGS=TRUE&amp;DOC_NAME=FAT:FQL_AUDITING_CLIENT_TEMPLATE.FAT&amp;display_string=Audit&amp;VAR:KEY=NULINKRMXW&amp;VAR:QUERY=RkZfRElWX1lMRChBTk4sNC8wMS8wNCw0LzAxLzA0KQ==&amp;WINDOW=FIRST_POPUP&amp;HEIGHT=450&amp;WIDTH=450&amp;","START_MAXIMIZED=FALSE&amp;VAR:CALENDAR=US&amp;VAR:SYMBOL=RAI&amp;VAR:INDEX=0"}</definedName>
    <definedName name="_367">#REF!</definedName>
    <definedName name="_367__FDSAUDITLINK__" localSheetId="0"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7__FDSAUDITLINK__" hidden="1">{"fdsup://directions/FAT Viewer?action=UPDATE&amp;creator=factset&amp;DYN_ARGS=TRUE&amp;DOC_NAME=FAT:FQL_AUDITING_CLIENT_TEMPLATE.FAT&amp;display_string=Audit&amp;VAR:KEY=HETQDAJGZQ&amp;VAR:QUERY=RkZfRElWX1lMRChBTk4sMy8yNS8wNCwzLzI1LzA0KQ==&amp;WINDOW=FIRST_POPUP&amp;HEIGHT=450&amp;WIDTH=450&amp;","START_MAXIMIZED=FALSE&amp;VAR:CALENDAR=US&amp;VAR:SYMBOL=RAI&amp;VAR:INDEX=0"}</definedName>
    <definedName name="_368">#REF!</definedName>
    <definedName name="_368__FDSAUDITLINK__" localSheetId="0"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8__FDSAUDITLINK__" hidden="1">{"fdsup://directions/FAT Viewer?action=UPDATE&amp;creator=factset&amp;DYN_ARGS=TRUE&amp;DOC_NAME=FAT:FQL_AUDITING_CLIENT_TEMPLATE.FAT&amp;display_string=Audit&amp;VAR:KEY=DWBEXWPKLG&amp;VAR:QUERY=RkZfRElWX1lMRChBTk4sMy8xOC8wNCwzLzE4LzA0KQ==&amp;WINDOW=FIRST_POPUP&amp;HEIGHT=450&amp;WIDTH=450&amp;","START_MAXIMIZED=FALSE&amp;VAR:CALENDAR=US&amp;VAR:SYMBOL=RAI&amp;VAR:INDEX=0"}</definedName>
    <definedName name="_369">#REF!</definedName>
    <definedName name="_369__FDSAUDITLINK__" localSheetId="0"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9__FDSAUDITLINK__" hidden="1">{"fdsup://directions/FAT Viewer?action=UPDATE&amp;creator=factset&amp;DYN_ARGS=TRUE&amp;DOC_NAME=FAT:FQL_AUDITING_CLIENT_TEMPLATE.FAT&amp;display_string=Audit&amp;VAR:KEY=ZYFSXEFGRK&amp;VAR:QUERY=RkZfRElWX1lMRChBTk4sMy8xMS8wNCwzLzExLzA0KQ==&amp;WINDOW=FIRST_POPUP&amp;HEIGHT=450&amp;WIDTH=450&amp;","START_MAXIMIZED=FALSE&amp;VAR:CALENDAR=US&amp;VAR:SYMBOL=RAI&amp;VAR:INDEX=0"}</definedName>
    <definedName name="_36main_form_account_grants_list_24_j_id1022">#REF!</definedName>
    <definedName name="_37______B_S">#REF!</definedName>
    <definedName name="_37__123Graph_ASUPPLIES_BY_B_U">#REF!</definedName>
    <definedName name="_37__123Graph_AWAGES_BY_B_U">#REF!</definedName>
    <definedName name="_37__123Graph_CWAGES_BY_B_U">#REF!</definedName>
    <definedName name="_37__123Graph_DCONTRACT_BY_B_U">#REF!</definedName>
    <definedName name="_37__123Graph_FQRE_S_BY_CO.">#REF!</definedName>
    <definedName name="_37__123Graph_XChart_1A" hidden="1">#REF!</definedName>
    <definedName name="_37__123Graph_XQRE_S_BY_CO.">#REF!</definedName>
    <definedName name="_37__123Graph_XQRE_S_BY_TYPE">#REF!</definedName>
    <definedName name="_37__123Graph_XTAX_CREDIT" hidden="1">#REF!</definedName>
    <definedName name="_37__FDSAUDITLINK__" localSheetId="0"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__FDSAUDITLINK__" hidden="1">{"fdsup://directions/FAT Viewer?action=UPDATE&amp;creator=factset&amp;DYN_ARGS=TRUE&amp;DOC_NAME=FAT:FQL_AUDITING_CLIENT_TEMPLATE.FAT&amp;display_string=Audit&amp;VAR:KEY=DIBQVEXIXW&amp;VAR:QUERY=RkZfRU5UUlBSX1ZBTF9EQUlMWSgwLCwsLCwnRElMJyk=&amp;WINDOW=FIRST_POPUP&amp;HEIGHT=450&amp;WIDTH=450&amp;","START_MAXIMIZED=FALSE&amp;VAR:CALENDAR=US&amp;VAR:SYMBOL=BUD&amp;VAR:INDEX=0"}</definedName>
    <definedName name="_370">#REF!</definedName>
    <definedName name="_370__FDSAUDITLINK__" localSheetId="0"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0__FDSAUDITLINK__" hidden="1">{"fdsup://directions/FAT Viewer?action=UPDATE&amp;creator=factset&amp;DYN_ARGS=TRUE&amp;DOC_NAME=FAT:FQL_AUDITING_CLIENT_TEMPLATE.FAT&amp;display_string=Audit&amp;VAR:KEY=DSJWBWDUTM&amp;VAR:QUERY=RkZfRElWX1lMRChBTk4sMy8wNC8wNCwzLzA0LzA0KQ==&amp;WINDOW=FIRST_POPUP&amp;HEIGHT=450&amp;WIDTH=450&amp;","START_MAXIMIZED=FALSE&amp;VAR:CALENDAR=US&amp;VAR:SYMBOL=RAI&amp;VAR:INDEX=0"}</definedName>
    <definedName name="_371">#REF!</definedName>
    <definedName name="_371__FDSAUDITLINK__" localSheetId="0"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__FDSAUDITLINK__" hidden="1">{"fdsup://directions/FAT Viewer?action=UPDATE&amp;creator=factset&amp;DYN_ARGS=TRUE&amp;DOC_NAME=FAT:FQL_AUDITING_CLIENT_TEMPLATE.FAT&amp;display_string=Audit&amp;VAR:KEY=HMPQBKHWJG&amp;VAR:QUERY=RkZfRElWX1lMRChBTk4sMi8yNi8wNCwyLzI2LzA0KQ==&amp;WINDOW=FIRST_POPUP&amp;HEIGHT=450&amp;WIDTH=450&amp;","START_MAXIMIZED=FALSE&amp;VAR:CALENDAR=US&amp;VAR:SYMBOL=RAI&amp;VAR:INDEX=0"}</definedName>
    <definedName name="_3718">#REF!</definedName>
    <definedName name="_3719">#REF!</definedName>
    <definedName name="_372">#REF!</definedName>
    <definedName name="_372__FDSAUDITLINK__" localSheetId="0"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__FDSAUDITLINK__" hidden="1">{"fdsup://directions/FAT Viewer?action=UPDATE&amp;creator=factset&amp;DYN_ARGS=TRUE&amp;DOC_NAME=FAT:FQL_AUDITING_CLIENT_TEMPLATE.FAT&amp;display_string=Audit&amp;VAR:KEY=ZWRGRELUHM&amp;VAR:QUERY=RkZfRElWX1lMRChBTk4sMi8xOS8wNCwyLzE5LzA0KQ==&amp;WINDOW=FIRST_POPUP&amp;HEIGHT=450&amp;WIDTH=450&amp;","START_MAXIMIZED=FALSE&amp;VAR:CALENDAR=US&amp;VAR:SYMBOL=RAI&amp;VAR:INDEX=0"}</definedName>
    <definedName name="_3721">#REF!</definedName>
    <definedName name="_3722">#REF!</definedName>
    <definedName name="_3724">#REF!</definedName>
    <definedName name="_3725">#REF!</definedName>
    <definedName name="_3727">#REF!</definedName>
    <definedName name="_3728">#REF!</definedName>
    <definedName name="_373">#REF!</definedName>
    <definedName name="_373__FDSAUDITLINK__" localSheetId="0"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__FDSAUDITLINK__" hidden="1">{"fdsup://directions/FAT Viewer?action=UPDATE&amp;creator=factset&amp;DYN_ARGS=TRUE&amp;DOC_NAME=FAT:FQL_AUDITING_CLIENT_TEMPLATE.FAT&amp;display_string=Audit&amp;VAR:KEY=PWNUNYPOXE&amp;VAR:QUERY=RkZfRElWX1lMRChBTk4sMi8xMi8wNCwyLzEyLzA0KQ==&amp;WINDOW=FIRST_POPUP&amp;HEIGHT=450&amp;WIDTH=450&amp;","START_MAXIMIZED=FALSE&amp;VAR:CALENDAR=US&amp;VAR:SYMBOL=RAI&amp;VAR:INDEX=0"}</definedName>
    <definedName name="_3737">#REF!</definedName>
    <definedName name="_3738">#REF!</definedName>
    <definedName name="_374__FDSAUDITLINK__" localSheetId="0"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__FDSAUDITLINK__" hidden="1">{"fdsup://directions/FAT Viewer?action=UPDATE&amp;creator=factset&amp;DYN_ARGS=TRUE&amp;DOC_NAME=FAT:FQL_AUDITING_CLIENT_TEMPLATE.FAT&amp;display_string=Audit&amp;VAR:KEY=RENMXUHGHW&amp;VAR:QUERY=RkZfRElWX1lMRChBTk4sMi8wNS8wNCwyLzA1LzA0KQ==&amp;WINDOW=FIRST_POPUP&amp;HEIGHT=450&amp;WIDTH=450&amp;","START_MAXIMIZED=FALSE&amp;VAR:CALENDAR=US&amp;VAR:SYMBOL=RAI&amp;VAR:INDEX=0"}</definedName>
    <definedName name="_3740">#REF!</definedName>
    <definedName name="_3741">#REF!</definedName>
    <definedName name="_3743">#REF!</definedName>
    <definedName name="_3744">#REF!</definedName>
    <definedName name="_375__FDSAUDITLINK__" localSheetId="0"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5__FDSAUDITLINK__" hidden="1">{"fdsup://directions/FAT Viewer?action=UPDATE&amp;creator=factset&amp;DYN_ARGS=TRUE&amp;DOC_NAME=FAT:FQL_AUDITING_CLIENT_TEMPLATE.FAT&amp;display_string=Audit&amp;VAR:KEY=HCJILGFMTM&amp;VAR:QUERY=RkZfRElWX1lMRChBTk4sMS8yOS8wNCwxLzI5LzA0KQ==&amp;WINDOW=FIRST_POPUP&amp;HEIGHT=450&amp;WIDTH=450&amp;","START_MAXIMIZED=FALSE&amp;VAR:CALENDAR=US&amp;VAR:SYMBOL=RAI&amp;VAR:INDEX=0"}</definedName>
    <definedName name="_376__FDSAUDITLINK__" localSheetId="0"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6__FDSAUDITLINK__" hidden="1">{"fdsup://directions/FAT Viewer?action=UPDATE&amp;creator=factset&amp;DYN_ARGS=TRUE&amp;DOC_NAME=FAT:FQL_AUDITING_CLIENT_TEMPLATE.FAT&amp;display_string=Audit&amp;VAR:KEY=RYTABGBQLC&amp;VAR:QUERY=RkZfRElWX1lMRChBTk4sMS8yMi8wNCwxLzIyLzA0KQ==&amp;WINDOW=FIRST_POPUP&amp;HEIGHT=450&amp;WIDTH=450&amp;","START_MAXIMIZED=FALSE&amp;VAR:CALENDAR=US&amp;VAR:SYMBOL=RAI&amp;VAR:INDEX=0"}</definedName>
    <definedName name="_377">#REF!</definedName>
    <definedName name="_377__FDSAUDITLINK__" localSheetId="0"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7__FDSAUDITLINK__" hidden="1">{"fdsup://directions/FAT Viewer?action=UPDATE&amp;creator=factset&amp;DYN_ARGS=TRUE&amp;DOC_NAME=FAT:FQL_AUDITING_CLIENT_TEMPLATE.FAT&amp;display_string=Audit&amp;VAR:KEY=BETETGDUZE&amp;VAR:QUERY=RkZfRElWX1lMRChBTk4sMS8xNS8wNCwxLzE1LzA0KQ==&amp;WINDOW=FIRST_POPUP&amp;HEIGHT=450&amp;WIDTH=450&amp;","START_MAXIMIZED=FALSE&amp;VAR:CALENDAR=US&amp;VAR:SYMBOL=RAI&amp;VAR:INDEX=0"}</definedName>
    <definedName name="_378__FDSAUDITLINK__" localSheetId="0"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8__FDSAUDITLINK__" hidden="1">{"fdsup://directions/FAT Viewer?action=UPDATE&amp;creator=factset&amp;DYN_ARGS=TRUE&amp;DOC_NAME=FAT:FQL_AUDITING_CLIENT_TEMPLATE.FAT&amp;display_string=Audit&amp;VAR:KEY=JIPCBWXMBA&amp;VAR:QUERY=RkZfRElWX1lMRChBTk4sMS8wOC8wNCwxLzA4LzA0KQ==&amp;WINDOW=FIRST_POPUP&amp;HEIGHT=450&amp;WIDTH=450&amp;","START_MAXIMIZED=FALSE&amp;VAR:CALENDAR=US&amp;VAR:SYMBOL=RAI&amp;VAR:INDEX=0"}</definedName>
    <definedName name="_379__FDSAUDITLINK__" localSheetId="0"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79__FDSAUDITLINK__" hidden="1">{"fdsup://directions/FAT Viewer?action=UPDATE&amp;creator=factset&amp;DYN_ARGS=TRUE&amp;DOC_NAME=FAT:FQL_AUDITING_CLIENT_TEMPLATE.FAT&amp;display_string=Audit&amp;VAR:KEY=HWJKBOTIFI&amp;VAR:QUERY=RkZfRElWX1lMRChBTk4sMTIvMzEvMDMsMTIvMzEvMDMp&amp;WINDOW=FIRST_POPUP&amp;HEIGHT=450&amp;WIDTH=450&amp;","START_MAXIMIZED=FALSE&amp;VAR:CALENDAR=US&amp;VAR:SYMBOL=RAI&amp;VAR:INDEX=0"}</definedName>
    <definedName name="_38_????1_3">#REF!</definedName>
    <definedName name="_38______NOTE10_12">#REF!</definedName>
    <definedName name="_38__123Graph_ATAX_CREDIT">#REF!</definedName>
    <definedName name="_38__123Graph_CCHART_8">#REF!</definedName>
    <definedName name="_38__123Graph_DQRE_S_BY_CO.">#REF!</definedName>
    <definedName name="_38__123Graph_FSUPPLIES_BY_B_U">#REF!</definedName>
    <definedName name="_38__123Graph_XChart_2A" hidden="1">#REF!</definedName>
    <definedName name="_38__123Graph_XQRE_S_BY_TYPE">#REF!</definedName>
    <definedName name="_38__123Graph_XSUPPLIES_BY_B_U">#REF!</definedName>
    <definedName name="_38__FDSAUDITLINK__" localSheetId="0"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__FDSAUDITLINK__" hidden="1">{"fdsup://directions/FAT Viewer?action=UPDATE&amp;creator=factset&amp;DYN_ARGS=TRUE&amp;DOC_NAME=FAT:FQL_AUDITING_CLIENT_TEMPLATE.FAT&amp;display_string=Audit&amp;VAR:KEY=BAJQNGFQJQ&amp;VAR:QUERY=RkZfREVCVChBTk4sMCk=&amp;WINDOW=FIRST_POPUP&amp;HEIGHT=450&amp;WIDTH=450&amp;START_MAXIMIZED=FALSE&amp;VA","R:CALENDAR=US&amp;VAR:SYMBOL=BUD&amp;VAR:INDEX=0"}</definedName>
    <definedName name="_380__FDSAUDITLINK__" localSheetId="0"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0__FDSAUDITLINK__" hidden="1">{"fdsup://directions/FAT Viewer?action=UPDATE&amp;creator=factset&amp;DYN_ARGS=TRUE&amp;DOC_NAME=FAT:FQL_AUDITING_CLIENT_TEMPLATE.FAT&amp;display_string=Audit&amp;VAR:KEY=PYDKPIPIDY&amp;VAR:QUERY=RkZfRElWX1lMRChBTk4sMTIvMjQvMDMsMTIvMjQvMDMp&amp;WINDOW=FIRST_POPUP&amp;HEIGHT=450&amp;WIDTH=450&amp;","START_MAXIMIZED=FALSE&amp;VAR:CALENDAR=US&amp;VAR:SYMBOL=RAI&amp;VAR:INDEX=0"}</definedName>
    <definedName name="_381">#REF!</definedName>
    <definedName name="_381__FDSAUDITLINK__" localSheetId="0"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1__FDSAUDITLINK__" hidden="1">{"fdsup://directions/FAT Viewer?action=UPDATE&amp;creator=factset&amp;DYN_ARGS=TRUE&amp;DOC_NAME=FAT:FQL_AUDITING_CLIENT_TEMPLATE.FAT&amp;display_string=Audit&amp;VAR:KEY=NQZAJETEFI&amp;VAR:QUERY=RkZfRElWX1lMRChBTk4sMTIvMTgvMDMsMTIvMTgvMDMp&amp;WINDOW=FIRST_POPUP&amp;HEIGHT=450&amp;WIDTH=450&amp;","START_MAXIMIZED=FALSE&amp;VAR:CALENDAR=US&amp;VAR:SYMBOL=RAI&amp;VAR:INDEX=0"}</definedName>
    <definedName name="_382">#REF!</definedName>
    <definedName name="_382__FDSAUDITLINK__" localSheetId="0"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2__FDSAUDITLINK__" hidden="1">{"fdsup://directions/FAT Viewer?action=UPDATE&amp;creator=factset&amp;DYN_ARGS=TRUE&amp;DOC_NAME=FAT:FQL_AUDITING_CLIENT_TEMPLATE.FAT&amp;display_string=Audit&amp;VAR:KEY=LOFYFUBEFQ&amp;VAR:QUERY=RkZfRElWX1lMRChBTk4sMTIvMTEvMDMsMTIvMTEvMDMp&amp;WINDOW=FIRST_POPUP&amp;HEIGHT=450&amp;WIDTH=450&amp;","START_MAXIMIZED=FALSE&amp;VAR:CALENDAR=US&amp;VAR:SYMBOL=RAI&amp;VAR:INDEX=0"}</definedName>
    <definedName name="_383">#REF!</definedName>
    <definedName name="_383__FDSAUDITLINK__" localSheetId="0"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3__FDSAUDITLINK__" hidden="1">{"fdsup://directions/FAT Viewer?action=UPDATE&amp;creator=factset&amp;DYN_ARGS=TRUE&amp;DOC_NAME=FAT:FQL_AUDITING_CLIENT_TEMPLATE.FAT&amp;display_string=Audit&amp;VAR:KEY=XQNUVGJQXY&amp;VAR:QUERY=RkZfRElWX1lMRChBTk4sMTIvMDQvMDMsMTIvMDQvMDMp&amp;WINDOW=FIRST_POPUP&amp;HEIGHT=450&amp;WIDTH=450&amp;","START_MAXIMIZED=FALSE&amp;VAR:CALENDAR=US&amp;VAR:SYMBOL=RAI&amp;VAR:INDEX=0"}</definedName>
    <definedName name="_384">#REF!</definedName>
    <definedName name="_384__FDSAUDITLINK__" localSheetId="0"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4__FDSAUDITLINK__" hidden="1">{"fdsup://directions/FAT Viewer?action=UPDATE&amp;creator=factset&amp;DYN_ARGS=TRUE&amp;DOC_NAME=FAT:FQL_AUDITING_CLIENT_TEMPLATE.FAT&amp;display_string=Audit&amp;VAR:KEY=PYZYPMBILS&amp;VAR:QUERY=RkZfRElWX1lMRChBTk4sMTEvMjYvMDMsMTEvMjYvMDMp&amp;WINDOW=FIRST_POPUP&amp;HEIGHT=450&amp;WIDTH=450&amp;","START_MAXIMIZED=FALSE&amp;VAR:CALENDAR=US&amp;VAR:SYMBOL=RAI&amp;VAR:INDEX=0"}</definedName>
    <definedName name="_385">#REF!</definedName>
    <definedName name="_385__FDSAUDITLINK__" localSheetId="0"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5__FDSAUDITLINK__" hidden="1">{"fdsup://directions/FAT Viewer?action=UPDATE&amp;creator=factset&amp;DYN_ARGS=TRUE&amp;DOC_NAME=FAT:FQL_AUDITING_CLIENT_TEMPLATE.FAT&amp;display_string=Audit&amp;VAR:KEY=JEDCBCXOTU&amp;VAR:QUERY=RkZfRElWX1lMRChBTk4sMTEvMjAvMDMsMTEvMjAvMDMp&amp;WINDOW=FIRST_POPUP&amp;HEIGHT=450&amp;WIDTH=450&amp;","START_MAXIMIZED=FALSE&amp;VAR:CALENDAR=US&amp;VAR:SYMBOL=RAI&amp;VAR:INDEX=0"}</definedName>
    <definedName name="_386">#REF!</definedName>
    <definedName name="_386__FDSAUDITLINK__" localSheetId="0"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6__FDSAUDITLINK__" hidden="1">{"fdsup://directions/FAT Viewer?action=UPDATE&amp;creator=factset&amp;DYN_ARGS=TRUE&amp;DOC_NAME=FAT:FQL_AUDITING_CLIENT_TEMPLATE.FAT&amp;display_string=Audit&amp;VAR:KEY=DABULIDUFK&amp;VAR:QUERY=RkZfRElWX1lMRChBTk4sMTEvMTMvMDMsMTEvMTMvMDMp&amp;WINDOW=FIRST_POPUP&amp;HEIGHT=450&amp;WIDTH=450&amp;","START_MAXIMIZED=FALSE&amp;VAR:CALENDAR=US&amp;VAR:SYMBOL=RAI&amp;VAR:INDEX=0"}</definedName>
    <definedName name="_387">#REF!</definedName>
    <definedName name="_387__FDSAUDITLINK__" localSheetId="0"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7__FDSAUDITLINK__" hidden="1">{"fdsup://directions/FAT Viewer?action=UPDATE&amp;creator=factset&amp;DYN_ARGS=TRUE&amp;DOC_NAME=FAT:FQL_AUDITING_CLIENT_TEMPLATE.FAT&amp;display_string=Audit&amp;VAR:KEY=ZYRKNKHALY&amp;VAR:QUERY=RkZfRElWX1lMRChBTk4sMTEvMDYvMDMsMTEvMDYvMDMp&amp;WINDOW=FIRST_POPUP&amp;HEIGHT=450&amp;WIDTH=450&amp;","START_MAXIMIZED=FALSE&amp;VAR:CALENDAR=US&amp;VAR:SYMBOL=RAI&amp;VAR:INDEX=0"}</definedName>
    <definedName name="_388__FDSAUDITLINK__" localSheetId="0"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8__FDSAUDITLINK__" hidden="1">{"fdsup://directions/FAT Viewer?action=UPDATE&amp;creator=factset&amp;DYN_ARGS=TRUE&amp;DOC_NAME=FAT:FQL_AUDITING_CLIENT_TEMPLATE.FAT&amp;display_string=Audit&amp;VAR:KEY=NSJSVUHKRC&amp;VAR:QUERY=RkZfRElWX1lMRChBTk4sMTAvMzAvMDMsMTAvMzAvMDMp&amp;WINDOW=FIRST_POPUP&amp;HEIGHT=450&amp;WIDTH=450&amp;","START_MAXIMIZED=FALSE&amp;VAR:CALENDAR=US&amp;VAR:SYMBOL=RAI&amp;VAR:INDEX=0"}</definedName>
    <definedName name="_389__FDSAUDITLINK__" localSheetId="0"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9__FDSAUDITLINK__" hidden="1">{"fdsup://directions/FAT Viewer?action=UPDATE&amp;creator=factset&amp;DYN_ARGS=TRUE&amp;DOC_NAME=FAT:FQL_AUDITING_CLIENT_TEMPLATE.FAT&amp;display_string=Audit&amp;VAR:KEY=LIZGJGRCBA&amp;VAR:QUERY=RkZfRElWX1lMRChBTk4sMTAvMjMvMDMsMTAvMjMvMDMp&amp;WINDOW=FIRST_POPUP&amp;HEIGHT=450&amp;WIDTH=450&amp;","START_MAXIMIZED=FALSE&amp;VAR:CALENDAR=US&amp;VAR:SYMBOL=RAI&amp;VAR:INDEX=0"}</definedName>
    <definedName name="_38main_form_account_grants_list_25_j_id1022">#REF!</definedName>
    <definedName name="_39______NOTE1_3">#REF!</definedName>
    <definedName name="_39__123Graph_AWAGES_BY_B_U">#REF!</definedName>
    <definedName name="_39__123Graph_BGROWTH_REVS_A" hidden="1">#REF!</definedName>
    <definedName name="_39__123Graph_CCONTRACT_BY_B_U">#REF!</definedName>
    <definedName name="_39__123Graph_DCONTRACT_BY_B_U">#REF!</definedName>
    <definedName name="_39__123Graph_DQRE_S_BY_CO.">#REF!</definedName>
    <definedName name="_39__123Graph_FWAGES_BY_B_U">#REF!</definedName>
    <definedName name="_39__123Graph_XCHART_30" hidden="1">#REF!</definedName>
    <definedName name="_39__123Graph_XSUPPLIES_BY_B_U">#REF!</definedName>
    <definedName name="_39__123Graph_XTAX_CREDIT">#REF!</definedName>
    <definedName name="_39__FDSAUDITLINK__" localSheetId="0"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__FDSAUDITLINK__"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390">#REF!</definedName>
    <definedName name="_390__FDSAUDITLINK__" localSheetId="0"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0__FDSAUDITLINK__" hidden="1">{"fdsup://directions/FAT Viewer?action=UPDATE&amp;creator=factset&amp;DYN_ARGS=TRUE&amp;DOC_NAME=FAT:FQL_AUDITING_CLIENT_TEMPLATE.FAT&amp;display_string=Audit&amp;VAR:KEY=BCFUTCPSLK&amp;VAR:QUERY=RkZfRElWX1lMRChBTk4sMTAvMTYvMDMsMTAvMTYvMDMp&amp;WINDOW=FIRST_POPUP&amp;HEIGHT=450&amp;WIDTH=450&amp;","START_MAXIMIZED=FALSE&amp;VAR:CALENDAR=US&amp;VAR:SYMBOL=RAI&amp;VAR:INDEX=0"}</definedName>
    <definedName name="_391">#REF!</definedName>
    <definedName name="_391__FDSAUDITLINK__" localSheetId="0"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1__FDSAUDITLINK__" hidden="1">{"fdsup://directions/FAT Viewer?action=UPDATE&amp;creator=factset&amp;DYN_ARGS=TRUE&amp;DOC_NAME=FAT:FQL_AUDITING_CLIENT_TEMPLATE.FAT&amp;display_string=Audit&amp;VAR:KEY=LIXCXYRWDU&amp;VAR:QUERY=RkZfRElWX1lMRChBTk4sMTAvMDkvMDMsMTAvMDkvMDMp&amp;WINDOW=FIRST_POPUP&amp;HEIGHT=450&amp;WIDTH=450&amp;","START_MAXIMIZED=FALSE&amp;VAR:CALENDAR=US&amp;VAR:SYMBOL=RAI&amp;VAR:INDEX=0"}</definedName>
    <definedName name="_392">#REF!</definedName>
    <definedName name="_392__FDSAUDITLINK__" localSheetId="0"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2__FDSAUDITLINK__" hidden="1">{"fdsup://directions/FAT Viewer?action=UPDATE&amp;creator=factset&amp;DYN_ARGS=TRUE&amp;DOC_NAME=FAT:FQL_AUDITING_CLIENT_TEMPLATE.FAT&amp;display_string=Audit&amp;VAR:KEY=XQRSZAFELE&amp;VAR:QUERY=RkZfRElWX1lMRChBTk4sMTAvMDIvMDMsMTAvMDIvMDMp&amp;WINDOW=FIRST_POPUP&amp;HEIGHT=450&amp;WIDTH=450&amp;","START_MAXIMIZED=FALSE&amp;VAR:CALENDAR=US&amp;VAR:SYMBOL=RAI&amp;VAR:INDEX=0"}</definedName>
    <definedName name="_393">#REF!</definedName>
    <definedName name="_393__FDSAUDITLINK__" localSheetId="0"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3__FDSAUDITLINK__" hidden="1">{"fdsup://directions/FAT Viewer?action=UPDATE&amp;creator=factset&amp;DYN_ARGS=TRUE&amp;DOC_NAME=FAT:FQL_AUDITING_CLIENT_TEMPLATE.FAT&amp;display_string=Audit&amp;VAR:KEY=TMRCTYFABG&amp;VAR:QUERY=RkZfRElWX1lMRChBTk4sOS8yNS8wMyw5LzI1LzAzKQ==&amp;WINDOW=FIRST_POPUP&amp;HEIGHT=450&amp;WIDTH=450&amp;","START_MAXIMIZED=FALSE&amp;VAR:CALENDAR=US&amp;VAR:SYMBOL=RAI&amp;VAR:INDEX=0"}</definedName>
    <definedName name="_394">#REF!</definedName>
    <definedName name="_394__FDSAUDITLINK__" localSheetId="0"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4__FDSAUDITLINK__" hidden="1">{"fdsup://directions/FAT Viewer?action=UPDATE&amp;creator=factset&amp;DYN_ARGS=TRUE&amp;DOC_NAME=FAT:FQL_AUDITING_CLIENT_TEMPLATE.FAT&amp;display_string=Audit&amp;VAR:KEY=DQFKDOZUPI&amp;VAR:QUERY=RkZfRElWX1lMRChBTk4sOS8xOC8wMyw5LzE4LzAzKQ==&amp;WINDOW=FIRST_POPUP&amp;HEIGHT=450&amp;WIDTH=450&amp;","START_MAXIMIZED=FALSE&amp;VAR:CALENDAR=US&amp;VAR:SYMBOL=RAI&amp;VAR:INDEX=0"}</definedName>
    <definedName name="_395">#REF!</definedName>
    <definedName name="_395__FDSAUDITLINK__" localSheetId="0"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5__FDSAUDITLINK__" hidden="1">{"fdsup://directions/FAT Viewer?action=UPDATE&amp;creator=factset&amp;DYN_ARGS=TRUE&amp;DOC_NAME=FAT:FQL_AUDITING_CLIENT_TEMPLATE.FAT&amp;display_string=Audit&amp;VAR:KEY=VSDKFQTYRU&amp;VAR:QUERY=RkZfRElWX1lMRChBTk4sOS8xMS8wMyw5LzExLzAzKQ==&amp;WINDOW=FIRST_POPUP&amp;HEIGHT=450&amp;WIDTH=450&amp;","START_MAXIMIZED=FALSE&amp;VAR:CALENDAR=US&amp;VAR:SYMBOL=RAI&amp;VAR:INDEX=0"}</definedName>
    <definedName name="_396">#REF!</definedName>
    <definedName name="_396__FDSAUDITLINK__" localSheetId="0"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6__FDSAUDITLINK__" hidden="1">{"fdsup://directions/FAT Viewer?action=UPDATE&amp;creator=factset&amp;DYN_ARGS=TRUE&amp;DOC_NAME=FAT:FQL_AUDITING_CLIENT_TEMPLATE.FAT&amp;display_string=Audit&amp;VAR:KEY=TCZAHCPYBK&amp;VAR:QUERY=RkZfRElWX1lMRChBTk4sOS8wNC8wMyw5LzA0LzAzKQ==&amp;WINDOW=FIRST_POPUP&amp;HEIGHT=450&amp;WIDTH=450&amp;","START_MAXIMIZED=FALSE&amp;VAR:CALENDAR=US&amp;VAR:SYMBOL=RAI&amp;VAR:INDEX=0"}</definedName>
    <definedName name="_397__FDSAUDITLINK__" localSheetId="0"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7__FDSAUDITLINK__" hidden="1">{"fdsup://directions/FAT Viewer?action=UPDATE&amp;creator=factset&amp;DYN_ARGS=TRUE&amp;DOC_NAME=FAT:FQL_AUDITING_CLIENT_TEMPLATE.FAT&amp;display_string=Audit&amp;VAR:KEY=NOZYLSXIHO&amp;VAR:QUERY=RkZfRElWX1lMRChBTk4sOC8yOC8wMyw4LzI4LzAzKQ==&amp;WINDOW=FIRST_POPUP&amp;HEIGHT=450&amp;WIDTH=450&amp;","START_MAXIMIZED=FALSE&amp;VAR:CALENDAR=US&amp;VAR:SYMBOL=RAI&amp;VAR:INDEX=0"}</definedName>
    <definedName name="_398__FDSAUDITLINK__" localSheetId="0"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8__FDSAUDITLINK__" hidden="1">{"fdsup://directions/FAT Viewer?action=UPDATE&amp;creator=factset&amp;DYN_ARGS=TRUE&amp;DOC_NAME=FAT:FQL_AUDITING_CLIENT_TEMPLATE.FAT&amp;display_string=Audit&amp;VAR:KEY=XYTUXYFIBE&amp;VAR:QUERY=RkZfRElWX1lMRChBTk4sOC8yMS8wMyw4LzIxLzAzKQ==&amp;WINDOW=FIRST_POPUP&amp;HEIGHT=450&amp;WIDTH=450&amp;","START_MAXIMIZED=FALSE&amp;VAR:CALENDAR=US&amp;VAR:SYMBOL=RAI&amp;VAR:INDEX=0"}</definedName>
    <definedName name="_399">#REF!</definedName>
    <definedName name="_399__FDSAUDITLINK__" localSheetId="0"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99__FDSAUDITLINK__" hidden="1">{"fdsup://directions/FAT Viewer?action=UPDATE&amp;creator=factset&amp;DYN_ARGS=TRUE&amp;DOC_NAME=FAT:FQL_AUDITING_CLIENT_TEMPLATE.FAT&amp;display_string=Audit&amp;VAR:KEY=VQDADQJEFS&amp;VAR:QUERY=RkZfRElWX1lMRChBTk4sOC8xNC8wMyw4LzE0LzAzKQ==&amp;WINDOW=FIRST_POPUP&amp;HEIGHT=450&amp;WIDTH=450&amp;","START_MAXIMIZED=FALSE&amp;VAR:CALENDAR=US&amp;VAR:SYMBOL=RAI&amp;VAR:INDEX=0"}</definedName>
    <definedName name="_3item">#REF!</definedName>
    <definedName name="_3M">#REF!</definedName>
    <definedName name="_3MatInverse" hidden="1">#REF!</definedName>
    <definedName name="_3O2_">#REF!</definedName>
    <definedName name="_3S">#REF!</definedName>
    <definedName name="_3Table2_" hidden="1">#REF!</definedName>
    <definedName name="_4">#REF!</definedName>
    <definedName name="_4_????_3">#REF!</definedName>
    <definedName name="_4_??_3">#REF!</definedName>
    <definedName name="_4____________NOTE5_7">#REF!</definedName>
    <definedName name="_4__123Graph_AChart_1I">#REF!</definedName>
    <definedName name="_4__123Graph_ACHART_3">#REF!</definedName>
    <definedName name="_4__123Graph_ACONTRACT_BY_B_U">#REF!</definedName>
    <definedName name="_4__123Graph_AQRE_S_BY_CO.">#REF!</definedName>
    <definedName name="_4__123Graph_ASENS_COMPARISON">#REF!</definedName>
    <definedName name="_4__123Graph_ASUPPLIES_BY_B_U">#REF!</definedName>
    <definedName name="_4__123Graph_BCHART_3">#REF!</definedName>
    <definedName name="_4__123Graph_BQRE_S_BY_TYPE" hidden="1">#REF!</definedName>
    <definedName name="_4__FDSAUDITLINK__" localSheetId="0"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_FDSAUDITLINK__" hidden="1">{"fdsup://directions/FAT Viewer?action=UPDATE&amp;creator=factset&amp;DYN_ARGS=TRUE&amp;DOC_NAME=FAT:FQL_AUDITING_CLIENT_TEMPLATE.FAT&amp;display_string=Audit&amp;VAR:KEY=CBOVYBQVYB&amp;VAR:QUERY=Q1NGX0RJVl9ZTEQoUVRSX1IsMy8zMS8yMDEwKQ==&amp;WINDOW=FIRST_POPUP&amp;HEIGHT=450&amp;WIDTH=450&amp;STAR","T_MAXIMIZED=FALSE&amp;VAR:CALENDAR=US&amp;VAR:SYMBOL=MO&amp;VAR:INDEX=0"}</definedName>
    <definedName name="_4_0__123Grap" hidden="1">#REF!</definedName>
    <definedName name="_4_0_0_MatInverse" hidden="1">#REF!</definedName>
    <definedName name="_4_0_0Chargeba">#REF!</definedName>
    <definedName name="_4_0_Table2_">#REF!</definedName>
    <definedName name="_4_0TAB">#REF!</definedName>
    <definedName name="_4_0translation_">#REF!</definedName>
    <definedName name="_4_123Graph_FEX">#REF!</definedName>
    <definedName name="_4_15000">#NAME?</definedName>
    <definedName name="_40_??1???_3">#REF!</definedName>
    <definedName name="_40______NOTE5_7">#REF!</definedName>
    <definedName name="_40__123Graph_BCHART_1">#REF!</definedName>
    <definedName name="_40__123Graph_BCONTRACT_BY_B_U">#REF!</definedName>
    <definedName name="_40__123Graph_BSUPPLIES_BY_B_U">#REF!</definedName>
    <definedName name="_40__123Graph_DSUPPLIES_BY_B_U">#REF!</definedName>
    <definedName name="_40__123Graph_XCONTRACT_BY_B_U">#REF!</definedName>
    <definedName name="_40__123Graph_XTAX_CREDIT">#REF!</definedName>
    <definedName name="_40__FDSAUDITLINK__" localSheetId="0"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__FDSAUDITLINK__" hidden="1">{"fdsup://directions/FAT Viewer?action=UPDATE&amp;creator=factset&amp;DYN_ARGS=TRUE&amp;DOC_NAME=FAT:FQL_AUDITING_CLIENT_TEMPLATE.FAT&amp;display_string=Audit&amp;VAR:KEY=XABCVUPAFK&amp;VAR:QUERY=RkZfRU5UUlBSX1ZBTF9EQUlMWSgwLCwsLCwnRElMJyk=&amp;WINDOW=FIRST_POPUP&amp;HEIGHT=450&amp;WIDTH=450&amp;","START_MAXIMIZED=FALSE&amp;VAR:CALENDAR=US&amp;VAR:SYMBOL=BEAM&amp;VAR:INDEX=0"}</definedName>
    <definedName name="_400">#REF!</definedName>
    <definedName name="_400__FDSAUDITLINK__" localSheetId="0"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0__FDSAUDITLINK__" hidden="1">{"fdsup://directions/FAT Viewer?action=UPDATE&amp;creator=factset&amp;DYN_ARGS=TRUE&amp;DOC_NAME=FAT:FQL_AUDITING_CLIENT_TEMPLATE.FAT&amp;display_string=Audit&amp;VAR:KEY=FAXAXSZILK&amp;VAR:QUERY=RkZfRElWX1lMRChBTk4sOC8wNy8wMyw4LzA3LzAzKQ==&amp;WINDOW=FIRST_POPUP&amp;HEIGHT=450&amp;WIDTH=450&amp;","START_MAXIMIZED=FALSE&amp;VAR:CALENDAR=US&amp;VAR:SYMBOL=RAI&amp;VAR:INDEX=0"}</definedName>
    <definedName name="_401">#REF!</definedName>
    <definedName name="_401__FDSAUDITLINK__" localSheetId="0"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1__FDSAUDITLINK__" hidden="1">{"fdsup://directions/FAT Viewer?action=UPDATE&amp;creator=factset&amp;DYN_ARGS=TRUE&amp;DOC_NAME=FAT:FQL_AUDITING_CLIENT_TEMPLATE.FAT&amp;display_string=Audit&amp;VAR:KEY=LMFARSFYVA&amp;VAR:QUERY=RkZfRElWX1lMRChBTk4sNy8zMS8wMyw3LzMxLzAzKQ==&amp;WINDOW=FIRST_POPUP&amp;HEIGHT=450&amp;WIDTH=450&amp;","START_MAXIMIZED=FALSE&amp;VAR:CALENDAR=US&amp;VAR:SYMBOL=RAI&amp;VAR:INDEX=0"}</definedName>
    <definedName name="_402">#REF!</definedName>
    <definedName name="_402__FDSAUDITLINK__" localSheetId="0"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2__FDSAUDITLINK__" hidden="1">{"fdsup://directions/FAT Viewer?action=UPDATE&amp;creator=factset&amp;DYN_ARGS=TRUE&amp;DOC_NAME=FAT:FQL_AUDITING_CLIENT_TEMPLATE.FAT&amp;display_string=Audit&amp;VAR:KEY=ZUXCTMLGDG&amp;VAR:QUERY=RkZfRElWX1lMRChBTk4sNy8yNC8wMyw3LzI0LzAzKQ==&amp;WINDOW=FIRST_POPUP&amp;HEIGHT=450&amp;WIDTH=450&amp;","START_MAXIMIZED=FALSE&amp;VAR:CALENDAR=US&amp;VAR:SYMBOL=RAI&amp;VAR:INDEX=0"}</definedName>
    <definedName name="_403">#REF!</definedName>
    <definedName name="_403__FDSAUDITLINK__" localSheetId="0"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3__FDSAUDITLINK__" hidden="1">{"fdsup://directions/FAT Viewer?action=UPDATE&amp;creator=factset&amp;DYN_ARGS=TRUE&amp;DOC_NAME=FAT:FQL_AUDITING_CLIENT_TEMPLATE.FAT&amp;display_string=Audit&amp;VAR:KEY=JILEZYXSRG&amp;VAR:QUERY=RkZfRElWX1lMRChBTk4sNy8xNy8wMyw3LzE3LzAzKQ==&amp;WINDOW=FIRST_POPUP&amp;HEIGHT=450&amp;WIDTH=450&amp;","START_MAXIMIZED=FALSE&amp;VAR:CALENDAR=US&amp;VAR:SYMBOL=RAI&amp;VAR:INDEX=0"}</definedName>
    <definedName name="_404">#REF!</definedName>
    <definedName name="_404__FDSAUDITLINK__" localSheetId="0"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4__FDSAUDITLINK__" hidden="1">{"fdsup://directions/FAT Viewer?action=UPDATE&amp;creator=factset&amp;DYN_ARGS=TRUE&amp;DOC_NAME=FAT:FQL_AUDITING_CLIENT_TEMPLATE.FAT&amp;display_string=Audit&amp;VAR:KEY=HSDKXQRQFA&amp;VAR:QUERY=RkZfRElWX1lMRChBTk4sNy8xMC8wMyw3LzEwLzAzKQ==&amp;WINDOW=FIRST_POPUP&amp;HEIGHT=450&amp;WIDTH=450&amp;","START_MAXIMIZED=FALSE&amp;VAR:CALENDAR=US&amp;VAR:SYMBOL=RAI&amp;VAR:INDEX=0"}</definedName>
    <definedName name="_405">#REF!</definedName>
    <definedName name="_405__FDSAUDITLINK__" localSheetId="0"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5__FDSAUDITLINK__" hidden="1">{"fdsup://directions/FAT Viewer?action=UPDATE&amp;creator=factset&amp;DYN_ARGS=TRUE&amp;DOC_NAME=FAT:FQL_AUDITING_CLIENT_TEMPLATE.FAT&amp;display_string=Audit&amp;VAR:KEY=RAVWXIXCLC&amp;VAR:QUERY=RkZfRElWX1lMRChBTk4sNy8wMy8wMyw3LzAzLzAzKQ==&amp;WINDOW=FIRST_POPUP&amp;HEIGHT=450&amp;WIDTH=450&amp;","START_MAXIMIZED=FALSE&amp;VAR:CALENDAR=US&amp;VAR:SYMBOL=RAI&amp;VAR:INDEX=0"}</definedName>
    <definedName name="_406">#REF!</definedName>
    <definedName name="_406__FDSAUDITLINK__" localSheetId="0"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6__FDSAUDITLINK__" hidden="1">{"fdsup://directions/FAT Viewer?action=UPDATE&amp;creator=factset&amp;DYN_ARGS=TRUE&amp;DOC_NAME=FAT:FQL_AUDITING_CLIENT_TEMPLATE.FAT&amp;display_string=Audit&amp;VAR:KEY=FKRCJWJQFE&amp;VAR:QUERY=RkZfRElWX1lMRChBTk4sNi8yNi8wMyw2LzI2LzAzKQ==&amp;WINDOW=FIRST_POPUP&amp;HEIGHT=450&amp;WIDTH=450&amp;","START_MAXIMIZED=FALSE&amp;VAR:CALENDAR=US&amp;VAR:SYMBOL=RAI&amp;VAR:INDEX=0"}</definedName>
    <definedName name="_407">#REF!</definedName>
    <definedName name="_407__FDSAUDITLINK__" localSheetId="0"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7__FDSAUDITLINK__" hidden="1">{"fdsup://directions/FAT Viewer?action=UPDATE&amp;creator=factset&amp;DYN_ARGS=TRUE&amp;DOC_NAME=FAT:FQL_AUDITING_CLIENT_TEMPLATE.FAT&amp;display_string=Audit&amp;VAR:KEY=FQNYLYZKXY&amp;VAR:QUERY=RkZfRElWX1lMRChBTk4sNi8xOS8wMyw2LzE5LzAzKQ==&amp;WINDOW=FIRST_POPUP&amp;HEIGHT=450&amp;WIDTH=450&amp;","START_MAXIMIZED=FALSE&amp;VAR:CALENDAR=US&amp;VAR:SYMBOL=RAI&amp;VAR:INDEX=0"}</definedName>
    <definedName name="_408">#REF!</definedName>
    <definedName name="_408__FDSAUDITLINK__" localSheetId="0"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8__FDSAUDITLINK__" hidden="1">{"fdsup://directions/FAT Viewer?action=UPDATE&amp;creator=factset&amp;DYN_ARGS=TRUE&amp;DOC_NAME=FAT:FQL_AUDITING_CLIENT_TEMPLATE.FAT&amp;display_string=Audit&amp;VAR:KEY=XSNWZCPMDY&amp;VAR:QUERY=RkZfRElWX1lMRChBTk4sNi8xMi8wMyw2LzEyLzAzKQ==&amp;WINDOW=FIRST_POPUP&amp;HEIGHT=450&amp;WIDTH=450&amp;","START_MAXIMIZED=FALSE&amp;VAR:CALENDAR=US&amp;VAR:SYMBOL=RAI&amp;VAR:INDEX=0"}</definedName>
    <definedName name="_409">#REF!</definedName>
    <definedName name="_409__FDSAUDITLINK__" localSheetId="0"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9__FDSAUDITLINK__" hidden="1">{"fdsup://directions/FAT Viewer?action=UPDATE&amp;creator=factset&amp;DYN_ARGS=TRUE&amp;DOC_NAME=FAT:FQL_AUDITING_CLIENT_TEMPLATE.FAT&amp;display_string=Audit&amp;VAR:KEY=RCXWTGRUZI&amp;VAR:QUERY=RkZfRElWX1lMRChBTk4sNi8wNS8wMyw2LzA1LzAzKQ==&amp;WINDOW=FIRST_POPUP&amp;HEIGHT=450&amp;WIDTH=450&amp;","START_MAXIMIZED=FALSE&amp;VAR:CALENDAR=US&amp;VAR:SYMBOL=RAI&amp;VAR:INDEX=0"}</definedName>
    <definedName name="_40main_form_account_grants_list_26_j_id1022">#REF!</definedName>
    <definedName name="_40T1">#REF!</definedName>
    <definedName name="_40T2">#REF!</definedName>
    <definedName name="_41______NOTE8_9">#REF!</definedName>
    <definedName name="_41__123Graph_BQRE_S_BY_CO.">#REF!</definedName>
    <definedName name="_41__123Graph_DCHART_1">#REF!</definedName>
    <definedName name="_41__123Graph_DQRE_S_BY_CO.">#REF!</definedName>
    <definedName name="_41__123Graph_DSUPPLIES_BY_B_U">#REF!</definedName>
    <definedName name="_41__123Graph_XQRE_S_BY_CO.">#REF!</definedName>
    <definedName name="_41__FDSAUDITLINK__" localSheetId="0"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__FDSAUDITLINK__"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410">#REF!</definedName>
    <definedName name="_410__FDSAUDITLINK__" localSheetId="0"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0__FDSAUDITLINK__" hidden="1">{"fdsup://directions/FAT Viewer?action=UPDATE&amp;creator=factset&amp;DYN_ARGS=TRUE&amp;DOC_NAME=FAT:FQL_AUDITING_CLIENT_TEMPLATE.FAT&amp;display_string=Audit&amp;VAR:KEY=TIJGTEDETC&amp;VAR:QUERY=RkZfRElWX1lMRChBTk4sNS8yOS8wMyw1LzI5LzAzKQ==&amp;WINDOW=FIRST_POPUP&amp;HEIGHT=450&amp;WIDTH=450&amp;","START_MAXIMIZED=FALSE&amp;VAR:CALENDAR=US&amp;VAR:SYMBOL=RAI&amp;VAR:INDEX=0"}</definedName>
    <definedName name="_411">#REF!</definedName>
    <definedName name="_411__FDSAUDITLINK__" localSheetId="0"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1__FDSAUDITLINK__" hidden="1">{"fdsup://directions/FAT Viewer?action=UPDATE&amp;creator=factset&amp;DYN_ARGS=TRUE&amp;DOC_NAME=FAT:FQL_AUDITING_CLIENT_TEMPLATE.FAT&amp;display_string=Audit&amp;VAR:KEY=JCHOJMTSNE&amp;VAR:QUERY=RkZfRElWX1lMRChBTk4sNS8yMi8wMyw1LzIyLzAzKQ==&amp;WINDOW=FIRST_POPUP&amp;HEIGHT=450&amp;WIDTH=450&amp;","START_MAXIMIZED=FALSE&amp;VAR:CALENDAR=US&amp;VAR:SYMBOL=RAI&amp;VAR:INDEX=0"}</definedName>
    <definedName name="_412">#REF!</definedName>
    <definedName name="_412__FDSAUDITLINK__" localSheetId="0"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2__FDSAUDITLINK__" hidden="1">{"fdsup://directions/FAT Viewer?action=UPDATE&amp;creator=factset&amp;DYN_ARGS=TRUE&amp;DOC_NAME=FAT:FQL_AUDITING_CLIENT_TEMPLATE.FAT&amp;display_string=Audit&amp;VAR:KEY=PGVMLWNKDA&amp;VAR:QUERY=RkZfRElWX1lMRChBTk4sNS8xNS8wMyw1LzE1LzAzKQ==&amp;WINDOW=FIRST_POPUP&amp;HEIGHT=450&amp;WIDTH=450&amp;","START_MAXIMIZED=FALSE&amp;VAR:CALENDAR=US&amp;VAR:SYMBOL=RAI&amp;VAR:INDEX=0"}</definedName>
    <definedName name="_413">#REF!</definedName>
    <definedName name="_413__FDSAUDITLINK__" localSheetId="0"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__FDSAUDITLINK__" hidden="1">{"fdsup://directions/FAT Viewer?action=UPDATE&amp;creator=factset&amp;DYN_ARGS=TRUE&amp;DOC_NAME=FAT:FQL_AUDITING_CLIENT_TEMPLATE.FAT&amp;display_string=Audit&amp;VAR:KEY=ZUDYBARKJC&amp;VAR:QUERY=RkZfRElWX1lMRChBTk4sNS8wOC8wMyw1LzA4LzAzKQ==&amp;WINDOW=FIRST_POPUP&amp;HEIGHT=450&amp;WIDTH=450&amp;","START_MAXIMIZED=FALSE&amp;VAR:CALENDAR=US&amp;VAR:SYMBOL=RAI&amp;VAR:INDEX=0"}</definedName>
    <definedName name="_4130">#REF!</definedName>
    <definedName name="_4131">#REF!</definedName>
    <definedName name="_4133">#REF!</definedName>
    <definedName name="_4134">#REF!</definedName>
    <definedName name="_4136">#REF!</definedName>
    <definedName name="_4137">#REF!</definedName>
    <definedName name="_4139">#REF!</definedName>
    <definedName name="_414">#REF!</definedName>
    <definedName name="_414__FDSAUDITLINK__" localSheetId="0"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__FDSAUDITLINK__" hidden="1">{"fdsup://directions/FAT Viewer?action=UPDATE&amp;creator=factset&amp;DYN_ARGS=TRUE&amp;DOC_NAME=FAT:FQL_AUDITING_CLIENT_TEMPLATE.FAT&amp;display_string=Audit&amp;VAR:KEY=DQFIJIBADI&amp;VAR:QUERY=RkZfRElWX1lMRChBTk4sNS8wMS8wMyw1LzAxLzAzKQ==&amp;WINDOW=FIRST_POPUP&amp;HEIGHT=450&amp;WIDTH=450&amp;","START_MAXIMIZED=FALSE&amp;VAR:CALENDAR=US&amp;VAR:SYMBOL=RAI&amp;VAR:INDEX=0"}</definedName>
    <definedName name="_4140">#REF!</definedName>
    <definedName name="_4149">#REF!</definedName>
    <definedName name="_415">#REF!</definedName>
    <definedName name="_415__FDSAUDITLINK__" localSheetId="0"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__FDSAUDITLINK__" hidden="1">{"fdsup://directions/FAT Viewer?action=UPDATE&amp;creator=factset&amp;DYN_ARGS=TRUE&amp;DOC_NAME=FAT:FQL_AUDITING_CLIENT_TEMPLATE.FAT&amp;display_string=Audit&amp;VAR:KEY=ZEDMLIJARO&amp;VAR:QUERY=RkZfRElWX1lMRChBTk4sNC8yNC8wMyw0LzI0LzAzKQ==&amp;WINDOW=FIRST_POPUP&amp;HEIGHT=450&amp;WIDTH=450&amp;","START_MAXIMIZED=FALSE&amp;VAR:CALENDAR=US&amp;VAR:SYMBOL=RAI&amp;VAR:INDEX=0"}</definedName>
    <definedName name="_4150">#REF!</definedName>
    <definedName name="_4152">#REF!</definedName>
    <definedName name="_4153">#REF!</definedName>
    <definedName name="_4155">#REF!</definedName>
    <definedName name="_4156">#REF!</definedName>
    <definedName name="_416">#REF!</definedName>
    <definedName name="_416__FDSAUDITLINK__" localSheetId="0"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6__FDSAUDITLINK__" hidden="1">{"fdsup://directions/FAT Viewer?action=UPDATE&amp;creator=factset&amp;DYN_ARGS=TRUE&amp;DOC_NAME=FAT:FQL_AUDITING_CLIENT_TEMPLATE.FAT&amp;display_string=Audit&amp;VAR:KEY=LCHQDYXOTA&amp;VAR:QUERY=RkZfRElWX1lMRChBTk4sNC8xNy8wMyw0LzE3LzAzKQ==&amp;WINDOW=FIRST_POPUP&amp;HEIGHT=450&amp;WIDTH=450&amp;","START_MAXIMIZED=FALSE&amp;VAR:CALENDAR=US&amp;VAR:SYMBOL=RAI&amp;VAR:INDEX=0"}</definedName>
    <definedName name="_417">#REF!</definedName>
    <definedName name="_417__FDSAUDITLINK__" localSheetId="0"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7__FDSAUDITLINK__" hidden="1">{"fdsup://directions/FAT Viewer?action=UPDATE&amp;creator=factset&amp;DYN_ARGS=TRUE&amp;DOC_NAME=FAT:FQL_AUDITING_CLIENT_TEMPLATE.FAT&amp;display_string=Audit&amp;VAR:KEY=VYJYVULAXU&amp;VAR:QUERY=RkZfRElWX1lMRChBTk4sNC8xMC8wMyw0LzEwLzAzKQ==&amp;WINDOW=FIRST_POPUP&amp;HEIGHT=450&amp;WIDTH=450&amp;","START_MAXIMIZED=FALSE&amp;VAR:CALENDAR=US&amp;VAR:SYMBOL=RAI&amp;VAR:INDEX=0"}</definedName>
    <definedName name="_418__FDSAUDITLINK__" localSheetId="0"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8__FDSAUDITLINK__" hidden="1">{"fdsup://directions/FAT Viewer?action=UPDATE&amp;creator=factset&amp;DYN_ARGS=TRUE&amp;DOC_NAME=FAT:FQL_AUDITING_CLIENT_TEMPLATE.FAT&amp;display_string=Audit&amp;VAR:KEY=DWVWBSFYBY&amp;VAR:QUERY=RkZfRElWX1lMRChBTk4sNC8wMy8wMyw0LzAzLzAzKQ==&amp;WINDOW=FIRST_POPUP&amp;HEIGHT=450&amp;WIDTH=450&amp;","START_MAXIMIZED=FALSE&amp;VAR:CALENDAR=US&amp;VAR:SYMBOL=RAI&amp;VAR:INDEX=0"}</definedName>
    <definedName name="_419">#REF!</definedName>
    <definedName name="_419__FDSAUDITLINK__" localSheetId="0"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19__FDSAUDITLINK__" hidden="1">{"fdsup://directions/FAT Viewer?action=UPDATE&amp;creator=factset&amp;DYN_ARGS=TRUE&amp;DOC_NAME=FAT:FQL_AUDITING_CLIENT_TEMPLATE.FAT&amp;display_string=Audit&amp;VAR:KEY=DIZCTYDYDG&amp;VAR:QUERY=RkZfRElWX1lMRChBTk4sMy8yNy8wMywzLzI3LzAzKQ==&amp;WINDOW=FIRST_POPUP&amp;HEIGHT=450&amp;WIDTH=450&amp;","START_MAXIMIZED=FALSE&amp;VAR:CALENDAR=US&amp;VAR:SYMBOL=RAI&amp;VAR:INDEX=0"}</definedName>
    <definedName name="_42">#REF!</definedName>
    <definedName name="_42_????1_3">#REF!</definedName>
    <definedName name="_42______P_L">#REF!</definedName>
    <definedName name="_42__123Graph_BCONTRACT_BY_B_U">#REF!</definedName>
    <definedName name="_42__123Graph_BGROWTH_REVS_B" hidden="1">#REF!</definedName>
    <definedName name="_42__123Graph_BSENS_COMPARISON">#REF!</definedName>
    <definedName name="_42__123Graph_CQRE_S_BY_CO.">#REF!</definedName>
    <definedName name="_42__123Graph_DWAGES_BY_B_U">#REF!</definedName>
    <definedName name="_42__123Graph_XQRE_S_BY_TYPE">#REF!</definedName>
    <definedName name="_42__FDSAUDITLINK__" localSheetId="0"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__FDSAUDITLINK__" hidden="1">{"fdsup://directions/FAT Viewer?action=UPDATE&amp;creator=factset&amp;DYN_ARGS=TRUE&amp;DOC_NAME=FAT:FQL_AUDITING_CLIENT_TEMPLATE.FAT&amp;display_string=Audit&amp;VAR:KEY=PYXQXKXIHE&amp;VAR:QUERY=RkZfRU5UUlBSX1ZBTF9EQUlMWSgwLCwsLFVTRCwnRElMJyk=&amp;WINDOW=FIRST_POPUP&amp;HEIGHT=450&amp;WIDTH=","450&amp;START_MAXIMIZED=FALSE&amp;VAR:CALENDAR=US&amp;VAR:SYMBOL=504856&amp;VAR:INDEX=0"}</definedName>
    <definedName name="_420">#REF!</definedName>
    <definedName name="_420__FDSAUDITLINK__" localSheetId="0"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0__FDSAUDITLINK__" hidden="1">{"fdsup://directions/FAT Viewer?action=UPDATE&amp;creator=factset&amp;DYN_ARGS=TRUE&amp;DOC_NAME=FAT:FQL_AUDITING_CLIENT_TEMPLATE.FAT&amp;display_string=Audit&amp;VAR:KEY=DSHALAHKLW&amp;VAR:QUERY=RkZfRElWX1lMRChBTk4sMy8yMC8wMywzLzIwLzAzKQ==&amp;WINDOW=FIRST_POPUP&amp;HEIGHT=450&amp;WIDTH=450&amp;","START_MAXIMIZED=FALSE&amp;VAR:CALENDAR=US&amp;VAR:SYMBOL=RAI&amp;VAR:INDEX=0"}</definedName>
    <definedName name="_421">#REF!</definedName>
    <definedName name="_421__FDSAUDITLINK__" localSheetId="0"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1__FDSAUDITLINK__" hidden="1">{"fdsup://directions/FAT Viewer?action=UPDATE&amp;creator=factset&amp;DYN_ARGS=TRUE&amp;DOC_NAME=FAT:FQL_AUDITING_CLIENT_TEMPLATE.FAT&amp;display_string=Audit&amp;VAR:KEY=XUVGPQXAPS&amp;VAR:QUERY=RkZfRElWX1lMRChBTk4sMy8xMy8wMywzLzEzLzAzKQ==&amp;WINDOW=FIRST_POPUP&amp;HEIGHT=450&amp;WIDTH=450&amp;","START_MAXIMIZED=FALSE&amp;VAR:CALENDAR=US&amp;VAR:SYMBOL=RAI&amp;VAR:INDEX=0"}</definedName>
    <definedName name="_422">#REF!</definedName>
    <definedName name="_422__FDSAUDITLINK__" localSheetId="0"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2__FDSAUDITLINK__" hidden="1">{"fdsup://directions/FAT Viewer?action=UPDATE&amp;creator=factset&amp;DYN_ARGS=TRUE&amp;DOC_NAME=FAT:FQL_AUDITING_CLIENT_TEMPLATE.FAT&amp;display_string=Audit&amp;VAR:KEY=JYBEFEHMXQ&amp;VAR:QUERY=RkZfRElWX1lMRChBTk4sMy8wNi8wMywzLzA2LzAzKQ==&amp;WINDOW=FIRST_POPUP&amp;HEIGHT=450&amp;WIDTH=450&amp;","START_MAXIMIZED=FALSE&amp;VAR:CALENDAR=US&amp;VAR:SYMBOL=RAI&amp;VAR:INDEX=0"}</definedName>
    <definedName name="_423">#REF!</definedName>
    <definedName name="_423__FDSAUDITLINK__" localSheetId="0"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3__FDSAUDITLINK__" hidden="1">{"fdsup://directions/FAT Viewer?action=UPDATE&amp;creator=factset&amp;DYN_ARGS=TRUE&amp;DOC_NAME=FAT:FQL_AUDITING_CLIENT_TEMPLATE.FAT&amp;display_string=Audit&amp;VAR:KEY=LKJUZMRWFQ&amp;VAR:QUERY=RkZfRElWX1lMRChBTk4sMi8yNy8wMywyLzI3LzAzKQ==&amp;WINDOW=FIRST_POPUP&amp;HEIGHT=450&amp;WIDTH=450&amp;","START_MAXIMIZED=FALSE&amp;VAR:CALENDAR=US&amp;VAR:SYMBOL=RAI&amp;VAR:INDEX=0"}</definedName>
    <definedName name="_424__FDSAUDITLINK__" localSheetId="0"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4__FDSAUDITLINK__" hidden="1">{"fdsup://directions/FAT Viewer?action=UPDATE&amp;creator=factset&amp;DYN_ARGS=TRUE&amp;DOC_NAME=FAT:FQL_AUDITING_CLIENT_TEMPLATE.FAT&amp;display_string=Audit&amp;VAR:KEY=XYLWBOFSBM&amp;VAR:QUERY=RkZfRElWX1lMRChBTk4sMi8yMC8wMywyLzIwLzAzKQ==&amp;WINDOW=FIRST_POPUP&amp;HEIGHT=450&amp;WIDTH=450&amp;","START_MAXIMIZED=FALSE&amp;VAR:CALENDAR=US&amp;VAR:SYMBOL=RAI&amp;VAR:INDEX=0"}</definedName>
    <definedName name="_425__FDSAUDITLINK__" localSheetId="0"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5__FDSAUDITLINK__" hidden="1">{"fdsup://directions/FAT Viewer?action=UPDATE&amp;creator=factset&amp;DYN_ARGS=TRUE&amp;DOC_NAME=FAT:FQL_AUDITING_CLIENT_TEMPLATE.FAT&amp;display_string=Audit&amp;VAR:KEY=DCBQJAXWVU&amp;VAR:QUERY=RkZfRElWX1lMRChBTk4sMi8xMy8wMywyLzEzLzAzKQ==&amp;WINDOW=FIRST_POPUP&amp;HEIGHT=450&amp;WIDTH=450&amp;","START_MAXIMIZED=FALSE&amp;VAR:CALENDAR=US&amp;VAR:SYMBOL=RAI&amp;VAR:INDEX=0"}</definedName>
    <definedName name="_426__FDSAUDITLINK__" localSheetId="0"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6__FDSAUDITLINK__" hidden="1">{"fdsup://directions/FAT Viewer?action=UPDATE&amp;creator=factset&amp;DYN_ARGS=TRUE&amp;DOC_NAME=FAT:FQL_AUDITING_CLIENT_TEMPLATE.FAT&amp;display_string=Audit&amp;VAR:KEY=BYJWHKVCHE&amp;VAR:QUERY=RkZfRElWX1lMRChBTk4sMi8wNi8wMywyLzA2LzAzKQ==&amp;WINDOW=FIRST_POPUP&amp;HEIGHT=450&amp;WIDTH=450&amp;","START_MAXIMIZED=FALSE&amp;VAR:CALENDAR=US&amp;VAR:SYMBOL=RAI&amp;VAR:INDEX=0"}</definedName>
    <definedName name="_427__FDSAUDITLINK__" localSheetId="0"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7__FDSAUDITLINK__" hidden="1">{"fdsup://directions/FAT Viewer?action=UPDATE&amp;creator=factset&amp;DYN_ARGS=TRUE&amp;DOC_NAME=FAT:FQL_AUDITING_CLIENT_TEMPLATE.FAT&amp;display_string=Audit&amp;VAR:KEY=XOBKXOXUTG&amp;VAR:QUERY=RkZfRElWX1lMRChBTk4sMS8zMC8wMywxLzMwLzAzKQ==&amp;WINDOW=FIRST_POPUP&amp;HEIGHT=450&amp;WIDTH=450&amp;","START_MAXIMIZED=FALSE&amp;VAR:CALENDAR=US&amp;VAR:SYMBOL=RAI&amp;VAR:INDEX=0"}</definedName>
    <definedName name="_428">#REF!</definedName>
    <definedName name="_428__FDSAUDITLINK__" localSheetId="0"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8__FDSAUDITLINK__" hidden="1">{"fdsup://directions/FAT Viewer?action=UPDATE&amp;creator=factset&amp;DYN_ARGS=TRUE&amp;DOC_NAME=FAT:FQL_AUDITING_CLIENT_TEMPLATE.FAT&amp;display_string=Audit&amp;VAR:KEY=LUHGRAHYTK&amp;VAR:QUERY=RkZfRElWX1lMRChBTk4sMS8yMy8wMywxLzIzLzAzKQ==&amp;WINDOW=FIRST_POPUP&amp;HEIGHT=450&amp;WIDTH=450&amp;","START_MAXIMIZED=FALSE&amp;VAR:CALENDAR=US&amp;VAR:SYMBOL=RAI&amp;VAR:INDEX=0"}</definedName>
    <definedName name="_429__FDSAUDITLINK__" localSheetId="0"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9__FDSAUDITLINK__" hidden="1">{"fdsup://directions/FAT Viewer?action=UPDATE&amp;creator=factset&amp;DYN_ARGS=TRUE&amp;DOC_NAME=FAT:FQL_AUDITING_CLIENT_TEMPLATE.FAT&amp;display_string=Audit&amp;VAR:KEY=RYFSTYJOTI&amp;VAR:QUERY=RkZfRElWX1lMRChBTk4sMS8xNi8wMywxLzE2LzAzKQ==&amp;WINDOW=FIRST_POPUP&amp;HEIGHT=450&amp;WIDTH=450&amp;","START_MAXIMIZED=FALSE&amp;VAR:CALENDAR=US&amp;VAR:SYMBOL=RAI&amp;VAR:INDEX=0"}</definedName>
    <definedName name="_42main_form_account_grants_list_27_j_id1022">#REF!</definedName>
    <definedName name="_43">#REF!</definedName>
    <definedName name="_43_____B_S">#REF!</definedName>
    <definedName name="_43__123Graph_BCONTRACT_BY_B_U">#REF!</definedName>
    <definedName name="_43__123Graph_BSUPPLIES_BY_B_U">#REF!</definedName>
    <definedName name="_43__123Graph_CCHART_111" hidden="1">#REF!</definedName>
    <definedName name="_43__123Graph_DSUPPLIES_BY_B_U">#REF!</definedName>
    <definedName name="_43__123Graph_DWAGES_BY_B_U">#REF!</definedName>
    <definedName name="_43__123Graph_XSUPPLIES_BY_B_U">#REF!</definedName>
    <definedName name="_43__FDSAUDITLINK__" localSheetId="0"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__FDSAUDITLINK__" hidden="1">{"fdsup://directions/FAT Viewer?action=UPDATE&amp;creator=factset&amp;DYN_ARGS=TRUE&amp;DOC_NAME=FAT:FQL_AUDITING_CLIENT_TEMPLATE.FAT&amp;display_string=Audit&amp;VAR:KEY=JCTWDIJABK&amp;VAR:QUERY=RkZfRU5UUlBSX1ZBTF9EQUlMWSgwLCwsLFVTRCwnRElMJyk=&amp;WINDOW=FIRST_POPUP&amp;HEIGHT=450&amp;WIDTH=","450&amp;START_MAXIMIZED=FALSE&amp;VAR:CALENDAR=US&amp;VAR:SYMBOL=SWM&amp;VAR:INDEX=0"}</definedName>
    <definedName name="_430">#REF!</definedName>
    <definedName name="_430__FDSAUDITLINK__" localSheetId="0"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0__FDSAUDITLINK__" hidden="1">{"fdsup://directions/FAT Viewer?action=UPDATE&amp;creator=factset&amp;DYN_ARGS=TRUE&amp;DOC_NAME=FAT:FQL_AUDITING_CLIENT_TEMPLATE.FAT&amp;display_string=Audit&amp;VAR:KEY=JUTSRYHSFE&amp;VAR:QUERY=RkZfRElWX1lMRChBTk4sMS8wOS8wMywxLzA5LzAzKQ==&amp;WINDOW=FIRST_POPUP&amp;HEIGHT=450&amp;WIDTH=450&amp;","START_MAXIMIZED=FALSE&amp;VAR:CALENDAR=US&amp;VAR:SYMBOL=RAI&amp;VAR:INDEX=0"}</definedName>
    <definedName name="_431">#REF!</definedName>
    <definedName name="_431__FDSAUDITLINK__" localSheetId="0"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1__FDSAUDITLINK__" hidden="1">{"fdsup://directions/FAT Viewer?action=UPDATE&amp;creator=factset&amp;DYN_ARGS=TRUE&amp;DOC_NAME=FAT:FQL_AUDITING_CLIENT_TEMPLATE.FAT&amp;display_string=Audit&amp;VAR:KEY=BANAJUTIFA&amp;VAR:QUERY=RkZfRElWX1lMRChBTk4sMS8wMi8wMywxLzAyLzAzKQ==&amp;WINDOW=FIRST_POPUP&amp;HEIGHT=450&amp;WIDTH=450&amp;","START_MAXIMIZED=FALSE&amp;VAR:CALENDAR=US&amp;VAR:SYMBOL=RAI&amp;VAR:INDEX=0"}</definedName>
    <definedName name="_432">#REF!</definedName>
    <definedName name="_432__FDSAUDITLINK__" localSheetId="0"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2__FDSAUDITLINK__" hidden="1">{"fdsup://directions/FAT Viewer?action=UPDATE&amp;creator=factset&amp;DYN_ARGS=TRUE&amp;DOC_NAME=FAT:FQL_AUDITING_CLIENT_TEMPLATE.FAT&amp;display_string=Audit&amp;VAR:KEY=HSZGDYFEFI&amp;VAR:QUERY=RkZfRElWX1lMRChBTk4sMTIvMjYvMDIsMTIvMjYvMDIp&amp;WINDOW=FIRST_POPUP&amp;HEIGHT=450&amp;WIDTH=450&amp;","START_MAXIMIZED=FALSE&amp;VAR:CALENDAR=US&amp;VAR:SYMBOL=RAI&amp;VAR:INDEX=0"}</definedName>
    <definedName name="_433">#REF!</definedName>
    <definedName name="_433__FDSAUDITLINK__" localSheetId="0"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3__FDSAUDITLINK__" hidden="1">{"fdsup://directions/FAT Viewer?action=UPDATE&amp;creator=factset&amp;DYN_ARGS=TRUE&amp;DOC_NAME=FAT:FQL_AUDITING_CLIENT_TEMPLATE.FAT&amp;display_string=Audit&amp;VAR:KEY=NCRYNYHCDK&amp;VAR:QUERY=RkZfRElWX1lMRChBTk4sMTIvMTkvMDIsMTIvMTkvMDIp&amp;WINDOW=FIRST_POPUP&amp;HEIGHT=450&amp;WIDTH=450&amp;","START_MAXIMIZED=FALSE&amp;VAR:CALENDAR=US&amp;VAR:SYMBOL=RAI&amp;VAR:INDEX=0"}</definedName>
    <definedName name="_434">#REF!</definedName>
    <definedName name="_434__FDSAUDITLINK__" localSheetId="0"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4__FDSAUDITLINK__" hidden="1">{"fdsup://directions/FAT Viewer?action=UPDATE&amp;creator=factset&amp;DYN_ARGS=TRUE&amp;DOC_NAME=FAT:FQL_AUDITING_CLIENT_TEMPLATE.FAT&amp;display_string=Audit&amp;VAR:KEY=XMJMDEVEVG&amp;VAR:QUERY=RkZfRElWX1lMRChBTk4sMTIvMTIvMDIsMTIvMTIvMDIp&amp;WINDOW=FIRST_POPUP&amp;HEIGHT=450&amp;WIDTH=450&amp;","START_MAXIMIZED=FALSE&amp;VAR:CALENDAR=US&amp;VAR:SYMBOL=RAI&amp;VAR:INDEX=0"}</definedName>
    <definedName name="_435">#REF!</definedName>
    <definedName name="_435__FDSAUDITLINK__" localSheetId="0"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5__FDSAUDITLINK__" hidden="1">{"fdsup://directions/FAT Viewer?action=UPDATE&amp;creator=factset&amp;DYN_ARGS=TRUE&amp;DOC_NAME=FAT:FQL_AUDITING_CLIENT_TEMPLATE.FAT&amp;display_string=Audit&amp;VAR:KEY=LUZEHQFYZI&amp;VAR:QUERY=RkZfRElWX1lMRChBTk4sMTIvMDUvMDIsMTIvMDUvMDIp&amp;WINDOW=FIRST_POPUP&amp;HEIGHT=450&amp;WIDTH=450&amp;","START_MAXIMIZED=FALSE&amp;VAR:CALENDAR=US&amp;VAR:SYMBOL=RAI&amp;VAR:INDEX=0"}</definedName>
    <definedName name="_436__FDSAUDITLINK__" localSheetId="0"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6__FDSAUDITLINK__" hidden="1">{"fdsup://directions/FAT Viewer?action=UPDATE&amp;creator=factset&amp;DYN_ARGS=TRUE&amp;DOC_NAME=FAT:FQL_AUDITING_CLIENT_TEMPLATE.FAT&amp;display_string=Audit&amp;VAR:KEY=RKPATMXMRY&amp;VAR:QUERY=RkZfRElWX1lMRChBTk4sMTEvMjcvMDIsMTEvMjcvMDIp&amp;WINDOW=FIRST_POPUP&amp;HEIGHT=450&amp;WIDTH=450&amp;","START_MAXIMIZED=FALSE&amp;VAR:CALENDAR=US&amp;VAR:SYMBOL=RAI&amp;VAR:INDEX=0"}</definedName>
    <definedName name="_437__FDSAUDITLINK__" localSheetId="0"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7__FDSAUDITLINK__" hidden="1">{"fdsup://directions/FAT Viewer?action=UPDATE&amp;creator=factset&amp;DYN_ARGS=TRUE&amp;DOC_NAME=FAT:FQL_AUDITING_CLIENT_TEMPLATE.FAT&amp;display_string=Audit&amp;VAR:KEY=XYVGVKPYRO&amp;VAR:QUERY=RkZfRElWX1lMRChBTk4sMTEvMjEvMDIsMTEvMjEvMDIp&amp;WINDOW=FIRST_POPUP&amp;HEIGHT=450&amp;WIDTH=450&amp;","START_MAXIMIZED=FALSE&amp;VAR:CALENDAR=US&amp;VAR:SYMBOL=RAI&amp;VAR:INDEX=0"}</definedName>
    <definedName name="_438__FDSAUDITLINK__" localSheetId="0"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8__FDSAUDITLINK__" hidden="1">{"fdsup://directions/FAT Viewer?action=UPDATE&amp;creator=factset&amp;DYN_ARGS=TRUE&amp;DOC_NAME=FAT:FQL_AUDITING_CLIENT_TEMPLATE.FAT&amp;display_string=Audit&amp;VAR:KEY=VWJYHCTUTI&amp;VAR:QUERY=RkZfRElWX1lMRChBTk4sMTEvMTQvMDIsMTEvMTQvMDIp&amp;WINDOW=FIRST_POPUP&amp;HEIGHT=450&amp;WIDTH=450&amp;","START_MAXIMIZED=FALSE&amp;VAR:CALENDAR=US&amp;VAR:SYMBOL=RAI&amp;VAR:INDEX=0"}</definedName>
    <definedName name="_439__FDSAUDITLINK__" localSheetId="0"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39__FDSAUDITLINK__" hidden="1">{"fdsup://directions/FAT Viewer?action=UPDATE&amp;creator=factset&amp;DYN_ARGS=TRUE&amp;DOC_NAME=FAT:FQL_AUDITING_CLIENT_TEMPLATE.FAT&amp;display_string=Audit&amp;VAR:KEY=VWNKTKRCHK&amp;VAR:QUERY=RkZfRElWX1lMRChBTk4sMTEvMDcvMDIsMTEvMDcvMDIp&amp;WINDOW=FIRST_POPUP&amp;HEIGHT=450&amp;WIDTH=450&amp;","START_MAXIMIZED=FALSE&amp;VAR:CALENDAR=US&amp;VAR:SYMBOL=RAI&amp;VAR:INDEX=0"}</definedName>
    <definedName name="_44">#REF!</definedName>
    <definedName name="_44_____NOTE10_12">#REF!</definedName>
    <definedName name="_44__123Graph_BTAX_CREDIT">#REF!</definedName>
    <definedName name="_44__123Graph_CCHART_112" hidden="1">#REF!</definedName>
    <definedName name="_44__123Graph_DCHART_8">#REF!</definedName>
    <definedName name="_44__123Graph_ECONTRACT_BY_B_U">#REF!</definedName>
    <definedName name="_44__123Graph_XChart_5J">#REF!</definedName>
    <definedName name="_44__123Graph_XTAX_CREDIT">#REF!</definedName>
    <definedName name="_44__FDSAUDITLINK__" localSheetId="0"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__FDSAUDITLINK__" hidden="1">{"fdsup://directions/FAT Viewer?action=UPDATE&amp;creator=factset&amp;DYN_ARGS=TRUE&amp;DOC_NAME=FAT:FQL_AUDITING_CLIENT_TEMPLATE.FAT&amp;display_string=Audit&amp;VAR:KEY=ZUZERMVAZY&amp;VAR:QUERY=RkZfRU5UUlBSX1ZBTF9EQUlMWSgwLCwsLFVTRCwnRElMJyk=&amp;WINDOW=FIRST_POPUP&amp;HEIGHT=450&amp;WIDTH=","450&amp;START_MAXIMIZED=FALSE&amp;VAR:CALENDAR=US&amp;VAR:SYMBOL=647453&amp;VAR:INDEX=0"}</definedName>
    <definedName name="_440">#REF!</definedName>
    <definedName name="_440__FDSAUDITLINK__" localSheetId="0"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0__FDSAUDITLINK__" hidden="1">{"fdsup://directions/FAT Viewer?action=UPDATE&amp;creator=factset&amp;DYN_ARGS=TRUE&amp;DOC_NAME=FAT:FQL_AUDITING_CLIENT_TEMPLATE.FAT&amp;display_string=Audit&amp;VAR:KEY=TWZMLOTCNU&amp;VAR:QUERY=RkZfRElWX1lMRChBTk4sMTAvMzEvMDIsMTAvMzEvMDIp&amp;WINDOW=FIRST_POPUP&amp;HEIGHT=450&amp;WIDTH=450&amp;","START_MAXIMIZED=FALSE&amp;VAR:CALENDAR=US&amp;VAR:SYMBOL=RAI&amp;VAR:INDEX=0"}</definedName>
    <definedName name="_441">#REF!</definedName>
    <definedName name="_441__FDSAUDITLINK__" localSheetId="0"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1__FDSAUDITLINK__" hidden="1">{"fdsup://directions/FAT Viewer?action=UPDATE&amp;creator=factset&amp;DYN_ARGS=TRUE&amp;DOC_NAME=FAT:FQL_AUDITING_CLIENT_TEMPLATE.FAT&amp;display_string=Audit&amp;VAR:KEY=RORWZWBAZO&amp;VAR:QUERY=RkZfRElWX1lMRChBTk4sMTAvMjQvMDIsMTAvMjQvMDIp&amp;WINDOW=FIRST_POPUP&amp;HEIGHT=450&amp;WIDTH=450&amp;","START_MAXIMIZED=FALSE&amp;VAR:CALENDAR=US&amp;VAR:SYMBOL=RAI&amp;VAR:INDEX=0"}</definedName>
    <definedName name="_442__FDSAUDITLINK__" localSheetId="0"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2__FDSAUDITLINK__" hidden="1">{"fdsup://directions/FAT Viewer?action=UPDATE&amp;creator=factset&amp;DYN_ARGS=TRUE&amp;DOC_NAME=FAT:FQL_AUDITING_CLIENT_TEMPLATE.FAT&amp;display_string=Audit&amp;VAR:KEY=BIJMVURQVQ&amp;VAR:QUERY=RkZfRElWX1lMRChBTk4sMTAvMTcvMDIsMTAvMTcvMDIp&amp;WINDOW=FIRST_POPUP&amp;HEIGHT=450&amp;WIDTH=450&amp;","START_MAXIMIZED=FALSE&amp;VAR:CALENDAR=US&amp;VAR:SYMBOL=RAI&amp;VAR:INDEX=0"}</definedName>
    <definedName name="_443">#REF!</definedName>
    <definedName name="_443__FDSAUDITLINK__" localSheetId="0"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3__FDSAUDITLINK__" hidden="1">{"fdsup://directions/FAT Viewer?action=UPDATE&amp;creator=factset&amp;DYN_ARGS=TRUE&amp;DOC_NAME=FAT:FQL_AUDITING_CLIENT_TEMPLATE.FAT&amp;display_string=Audit&amp;VAR:KEY=FYJEPWHKLS&amp;VAR:QUERY=RkZfRElWX1lMRChBTk4sMTAvMTAvMDIsMTAvMTAvMDIp&amp;WINDOW=FIRST_POPUP&amp;HEIGHT=450&amp;WIDTH=450&amp;","START_MAXIMIZED=FALSE&amp;VAR:CALENDAR=US&amp;VAR:SYMBOL=RAI&amp;VAR:INDEX=0"}</definedName>
    <definedName name="_444">#REF!</definedName>
    <definedName name="_444__FDSAUDITLINK__" localSheetId="0"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4__FDSAUDITLINK__" hidden="1">{"fdsup://directions/FAT Viewer?action=UPDATE&amp;creator=factset&amp;DYN_ARGS=TRUE&amp;DOC_NAME=FAT:FQL_AUDITING_CLIENT_TEMPLATE.FAT&amp;display_string=Audit&amp;VAR:KEY=BUHMJINYVU&amp;VAR:QUERY=RkZfRElWX1lMRChBTk4sMTAvMDMvMDIsMTAvMDMvMDIp&amp;WINDOW=FIRST_POPUP&amp;HEIGHT=450&amp;WIDTH=450&amp;","START_MAXIMIZED=FALSE&amp;VAR:CALENDAR=US&amp;VAR:SYMBOL=RAI&amp;VAR:INDEX=0"}</definedName>
    <definedName name="_445">#REF!</definedName>
    <definedName name="_445__FDSAUDITLINK__" localSheetId="0"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5__FDSAUDITLINK__" hidden="1">{"fdsup://directions/FAT Viewer?action=UPDATE&amp;creator=factset&amp;DYN_ARGS=TRUE&amp;DOC_NAME=FAT:FQL_AUDITING_CLIENT_TEMPLATE.FAT&amp;display_string=Audit&amp;VAR:KEY=PCHGTEXUDE&amp;VAR:QUERY=RkZfRElWX1lMRChBTk4sOS8yNi8wMiw5LzI2LzAyKQ==&amp;WINDOW=FIRST_POPUP&amp;HEIGHT=450&amp;WIDTH=450&amp;","START_MAXIMIZED=FALSE&amp;VAR:CALENDAR=US&amp;VAR:SYMBOL=RAI&amp;VAR:INDEX=0"}</definedName>
    <definedName name="_446">#REF!</definedName>
    <definedName name="_446__FDSAUDITLINK__" localSheetId="0"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6__FDSAUDITLINK__" hidden="1">{"fdsup://directions/FAT Viewer?action=UPDATE&amp;creator=factset&amp;DYN_ARGS=TRUE&amp;DOC_NAME=FAT:FQL_AUDITING_CLIENT_TEMPLATE.FAT&amp;display_string=Audit&amp;VAR:KEY=ZOHMROPIHA&amp;VAR:QUERY=RkZfRElWX1lMRChBTk4sOS8xOS8wMiw5LzE5LzAyKQ==&amp;WINDOW=FIRST_POPUP&amp;HEIGHT=450&amp;WIDTH=450&amp;","START_MAXIMIZED=FALSE&amp;VAR:CALENDAR=US&amp;VAR:SYMBOL=RAI&amp;VAR:INDEX=0"}</definedName>
    <definedName name="_447">#REF!</definedName>
    <definedName name="_447__FDSAUDITLINK__" localSheetId="0"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7__FDSAUDITLINK__" hidden="1">{"fdsup://directions/FAT Viewer?action=UPDATE&amp;creator=factset&amp;DYN_ARGS=TRUE&amp;DOC_NAME=FAT:FQL_AUDITING_CLIENT_TEMPLATE.FAT&amp;display_string=Audit&amp;VAR:KEY=RABCVCTWFW&amp;VAR:QUERY=RkZfRElWX1lMRChBTk4sOS8xMi8wMiw5LzEyLzAyKQ==&amp;WINDOW=FIRST_POPUP&amp;HEIGHT=450&amp;WIDTH=450&amp;","START_MAXIMIZED=FALSE&amp;VAR:CALENDAR=US&amp;VAR:SYMBOL=RAI&amp;VAR:INDEX=0"}</definedName>
    <definedName name="_448">#REF!</definedName>
    <definedName name="_448__FDSAUDITLINK__" localSheetId="0"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8__FDSAUDITLINK__" hidden="1">{"fdsup://directions/FAT Viewer?action=UPDATE&amp;creator=factset&amp;DYN_ARGS=TRUE&amp;DOC_NAME=FAT:FQL_AUDITING_CLIENT_TEMPLATE.FAT&amp;display_string=Audit&amp;VAR:KEY=HIBANKBKLK&amp;VAR:QUERY=RkZfRElWX1lMRChBTk4sOS8wNS8wMiw5LzA1LzAyKQ==&amp;WINDOW=FIRST_POPUP&amp;HEIGHT=450&amp;WIDTH=450&amp;","START_MAXIMIZED=FALSE&amp;VAR:CALENDAR=US&amp;VAR:SYMBOL=RAI&amp;VAR:INDEX=0"}</definedName>
    <definedName name="_449">#REF!</definedName>
    <definedName name="_449__FDSAUDITLINK__" localSheetId="0"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9__FDSAUDITLINK__" hidden="1">{"fdsup://directions/FAT Viewer?action=UPDATE&amp;creator=factset&amp;DYN_ARGS=TRUE&amp;DOC_NAME=FAT:FQL_AUDITING_CLIENT_TEMPLATE.FAT&amp;display_string=Audit&amp;VAR:KEY=TEHATYHIHO&amp;VAR:QUERY=RkZfRElWX1lMRChBTk4sOC8yOS8wMiw4LzI5LzAyKQ==&amp;WINDOW=FIRST_POPUP&amp;HEIGHT=450&amp;WIDTH=450&amp;","START_MAXIMIZED=FALSE&amp;VAR:CALENDAR=US&amp;VAR:SYMBOL=RAI&amp;VAR:INDEX=0"}</definedName>
    <definedName name="_44main_form_account_grants_list_28_j_id1022">#REF!</definedName>
    <definedName name="_45">#REF!</definedName>
    <definedName name="_45_____NOTE1_3">#REF!</definedName>
    <definedName name="_45__123Graph_BCHART_3">#REF!</definedName>
    <definedName name="_45__123Graph_BWAGES_BY_B_U">#REF!</definedName>
    <definedName name="_45__123Graph_CCHART_26" hidden="1">#REF!</definedName>
    <definedName name="_45__123Graph_CSENS_COMPARISON">#REF!</definedName>
    <definedName name="_45__123Graph_DWAGES_BY_B_U">#REF!</definedName>
    <definedName name="_45__123Graph_ECONTRACT_BY_B_U">#REF!</definedName>
    <definedName name="_45__123Graph_XChart_6J">#REF!</definedName>
    <definedName name="_45__FDSAUDITLINK__" localSheetId="0"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__FDSAUDITLINK__" hidden="1">{"fdsup://directions/FAT Viewer?action=UPDATE&amp;creator=factset&amp;DYN_ARGS=TRUE&amp;DOC_NAME=FAT:FQL_AUDITING_CLIENT_TEMPLATE.FAT&amp;display_string=Audit&amp;VAR:KEY=VEROLOXQDI&amp;VAR:QUERY=RkZfRU5UUlBSX1ZBTF9EQUlMWSgwLCwsLFVTRCwnRElMJyk=&amp;WINDOW=FIRST_POPUP&amp;HEIGHT=450&amp;WIDTH=","450&amp;START_MAXIMIZED=FALSE&amp;VAR:CALENDAR=US&amp;VAR:SYMBOL=028758&amp;VAR:INDEX=0"}</definedName>
    <definedName name="_450">#REF!</definedName>
    <definedName name="_450__FDSAUDITLINK__" localSheetId="0"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0__FDSAUDITLINK__" hidden="1">{"fdsup://directions/FAT Viewer?action=UPDATE&amp;creator=factset&amp;DYN_ARGS=TRUE&amp;DOC_NAME=FAT:FQL_AUDITING_CLIENT_TEMPLATE.FAT&amp;display_string=Audit&amp;VAR:KEY=XCDAHSBQFM&amp;VAR:QUERY=RkZfRElWX1lMRChBTk4sOC8yMi8wMiw4LzIyLzAyKQ==&amp;WINDOW=FIRST_POPUP&amp;HEIGHT=450&amp;WIDTH=450&amp;","START_MAXIMIZED=FALSE&amp;VAR:CALENDAR=US&amp;VAR:SYMBOL=RAI&amp;VAR:INDEX=0"}</definedName>
    <definedName name="_451">#REF!</definedName>
    <definedName name="_451__FDSAUDITLINK__" localSheetId="0"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1__FDSAUDITLINK__" hidden="1">{"fdsup://directions/FAT Viewer?action=UPDATE&amp;creator=factset&amp;DYN_ARGS=TRUE&amp;DOC_NAME=FAT:FQL_AUDITING_CLIENT_TEMPLATE.FAT&amp;display_string=Audit&amp;VAR:KEY=PIRYRUHGZQ&amp;VAR:QUERY=RkZfRElWX1lMRChBTk4sOC8xNS8wMiw4LzE1LzAyKQ==&amp;WINDOW=FIRST_POPUP&amp;HEIGHT=450&amp;WIDTH=450&amp;","START_MAXIMIZED=FALSE&amp;VAR:CALENDAR=US&amp;VAR:SYMBOL=RAI&amp;VAR:INDEX=0"}</definedName>
    <definedName name="_452">#REF!</definedName>
    <definedName name="_452__FDSAUDITLINK__" localSheetId="0"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2__FDSAUDITLINK__" hidden="1">{"fdsup://directions/FAT Viewer?action=UPDATE&amp;creator=factset&amp;DYN_ARGS=TRUE&amp;DOC_NAME=FAT:FQL_AUDITING_CLIENT_TEMPLATE.FAT&amp;display_string=Audit&amp;VAR:KEY=BGDCPUDORI&amp;VAR:QUERY=RkZfRElWX1lMRChBTk4sOC8wOC8wMiw4LzA4LzAyKQ==&amp;WINDOW=FIRST_POPUP&amp;HEIGHT=450&amp;WIDTH=450&amp;","START_MAXIMIZED=FALSE&amp;VAR:CALENDAR=US&amp;VAR:SYMBOL=RAI&amp;VAR:INDEX=0"}</definedName>
    <definedName name="_453">#REF!</definedName>
    <definedName name="_453__FDSAUDITLINK__" localSheetId="0"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3__FDSAUDITLINK__" hidden="1">{"fdsup://directions/FAT Viewer?action=UPDATE&amp;creator=factset&amp;DYN_ARGS=TRUE&amp;DOC_NAME=FAT:FQL_AUDITING_CLIENT_TEMPLATE.FAT&amp;display_string=Audit&amp;VAR:KEY=ZIXWXWVWZU&amp;VAR:QUERY=RkZfRElWX1lMRChBTk4sOC8wMS8wMiw4LzAxLzAyKQ==&amp;WINDOW=FIRST_POPUP&amp;HEIGHT=450&amp;WIDTH=450&amp;","START_MAXIMIZED=FALSE&amp;VAR:CALENDAR=US&amp;VAR:SYMBOL=RAI&amp;VAR:INDEX=0"}</definedName>
    <definedName name="_454">#REF!</definedName>
    <definedName name="_454__FDSAUDITLINK__" localSheetId="0"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4__FDSAUDITLINK__" hidden="1">{"fdsup://directions/FAT Viewer?action=UPDATE&amp;creator=factset&amp;DYN_ARGS=TRUE&amp;DOC_NAME=FAT:FQL_AUDITING_CLIENT_TEMPLATE.FAT&amp;display_string=Audit&amp;VAR:KEY=DKJCDCBYHE&amp;VAR:QUERY=RkZfRElWX1lMRChBTk4sNy8yNS8wMiw3LzI1LzAyKQ==&amp;WINDOW=FIRST_POPUP&amp;HEIGHT=450&amp;WIDTH=450&amp;","START_MAXIMIZED=FALSE&amp;VAR:CALENDAR=US&amp;VAR:SYMBOL=RAI&amp;VAR:INDEX=0"}</definedName>
    <definedName name="_455">#REF!</definedName>
    <definedName name="_455__FDSAUDITLINK__" localSheetId="0"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5__FDSAUDITLINK__" hidden="1">{"fdsup://directions/FAT Viewer?action=UPDATE&amp;creator=factset&amp;DYN_ARGS=TRUE&amp;DOC_NAME=FAT:FQL_AUDITING_CLIENT_TEMPLATE.FAT&amp;display_string=Audit&amp;VAR:KEY=VMLEPYPIDY&amp;VAR:QUERY=RkZfRElWX1lMRChBTk4sNy8xOC8wMiw3LzE4LzAyKQ==&amp;WINDOW=FIRST_POPUP&amp;HEIGHT=450&amp;WIDTH=450&amp;","START_MAXIMIZED=FALSE&amp;VAR:CALENDAR=US&amp;VAR:SYMBOL=RAI&amp;VAR:INDEX=0"}</definedName>
    <definedName name="_456">#REF!</definedName>
    <definedName name="_456__FDSAUDITLINK__" localSheetId="0"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__FDSAUDITLINK__" hidden="1">{"fdsup://directions/FAT Viewer?action=UPDATE&amp;creator=factset&amp;DYN_ARGS=TRUE&amp;DOC_NAME=FAT:FQL_AUDITING_CLIENT_TEMPLATE.FAT&amp;display_string=Audit&amp;VAR:KEY=VSTAHQZSHM&amp;VAR:QUERY=RkZfRElWX1lMRChBTk4sNy8xMS8wMiw3LzExLzAyKQ==&amp;WINDOW=FIRST_POPUP&amp;HEIGHT=450&amp;WIDTH=450&amp;","START_MAXIMIZED=FALSE&amp;VAR:CALENDAR=US&amp;VAR:SYMBOL=RAI&amp;VAR:INDEX=0"}</definedName>
    <definedName name="_4561">#REF!</definedName>
    <definedName name="_4562">#REF!</definedName>
    <definedName name="_4564">#REF!</definedName>
    <definedName name="_4565">#REF!</definedName>
    <definedName name="_4567">#REF!</definedName>
    <definedName name="_4568">#REF!</definedName>
    <definedName name="_457">#REF!</definedName>
    <definedName name="_457__FDSAUDITLINK__" localSheetId="0"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7__FDSAUDITLINK__" hidden="1">{"fdsup://directions/FAT Viewer?action=UPDATE&amp;creator=factset&amp;DYN_ARGS=TRUE&amp;DOC_NAME=FAT:FQL_AUDITING_CLIENT_TEMPLATE.FAT&amp;display_string=Audit&amp;VAR:KEY=HQJKZKXSJC&amp;VAR:QUERY=RkZfRElWX1lMRChBTk4sNy8wMy8wMiw3LzAzLzAyKQ==&amp;WINDOW=FIRST_POPUP&amp;HEIGHT=450&amp;WIDTH=450&amp;","START_MAXIMIZED=FALSE&amp;VAR:CALENDAR=US&amp;VAR:SYMBOL=RAI&amp;VAR:INDEX=0"}</definedName>
    <definedName name="_458">#REF!</definedName>
    <definedName name="_458__FDSAUDITLINK__" localSheetId="0"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8__FDSAUDITLINK__" hidden="1">{"fdsup://directions/FAT Viewer?action=UPDATE&amp;creator=factset&amp;DYN_ARGS=TRUE&amp;DOC_NAME=FAT:FQL_AUDITING_CLIENT_TEMPLATE.FAT&amp;display_string=Audit&amp;VAR:KEY=VKHIXONEHU&amp;VAR:QUERY=RkZfRElWX1lMRChBTk4sNi8yNy8wMiw2LzI3LzAyKQ==&amp;WINDOW=FIRST_POPUP&amp;HEIGHT=450&amp;WIDTH=450&amp;","START_MAXIMIZED=FALSE&amp;VAR:CALENDAR=US&amp;VAR:SYMBOL=RAI&amp;VAR:INDEX=0"}</definedName>
    <definedName name="_459">#REF!</definedName>
    <definedName name="_459__FDSAUDITLINK__" localSheetId="0"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59__FDSAUDITLINK__" hidden="1">{"fdsup://directions/FAT Viewer?action=UPDATE&amp;creator=factset&amp;DYN_ARGS=TRUE&amp;DOC_NAME=FAT:FQL_AUDITING_CLIENT_TEMPLATE.FAT&amp;display_string=Audit&amp;VAR:KEY=TWVUNWDIJG&amp;VAR:QUERY=RkZfRElWX1lMRChBTk4sNi8yMC8wMiw2LzIwLzAyKQ==&amp;WINDOW=FIRST_POPUP&amp;HEIGHT=450&amp;WIDTH=450&amp;","START_MAXIMIZED=FALSE&amp;VAR:CALENDAR=US&amp;VAR:SYMBOL=RAI&amp;VAR:INDEX=0"}</definedName>
    <definedName name="_46_____NOTE5_7">#REF!</definedName>
    <definedName name="_46__123Graph_BSENS_COMPARISON">#REF!</definedName>
    <definedName name="_46__123Graph_CCHART_30" hidden="1">#REF!</definedName>
    <definedName name="_46__123Graph_CCONTRACT_BY_B_U">#REF!</definedName>
    <definedName name="_46__123Graph_EQRE_S_BY_CO.">#REF!</definedName>
    <definedName name="_46__123Graph_XChart_7J">#REF!</definedName>
    <definedName name="_46__FDSAUDITLINK__" localSheetId="0"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_FDSAUDITLINK__" hidden="1">{"fdsup://directions/FAT Viewer?action=UPDATE&amp;creator=factset&amp;DYN_ARGS=TRUE&amp;DOC_NAME=FAT:FQL_AUDITING_CLIENT_TEMPLATE.FAT&amp;display_string=Audit&amp;VAR:KEY=XQTELYJUVI&amp;VAR:QUERY=RkZfREVCVChBTk4sMCk=&amp;WINDOW=FIRST_POPUP&amp;HEIGHT=450&amp;WIDTH=450&amp;START_MAXIMIZED=FALSE&amp;VA","R:CALENDAR=US&amp;VAR:SYMBOL=214189&amp;VAR:INDEX=0"}</definedName>
    <definedName name="_46_0_S" hidden="1">#REF!</definedName>
    <definedName name="_460">#REF!</definedName>
    <definedName name="_460__FDSAUDITLINK__" localSheetId="0"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0__FDSAUDITLINK__" hidden="1">{"fdsup://directions/FAT Viewer?action=UPDATE&amp;creator=factset&amp;DYN_ARGS=TRUE&amp;DOC_NAME=FAT:FQL_AUDITING_CLIENT_TEMPLATE.FAT&amp;display_string=Audit&amp;VAR:KEY=XADOJMRODA&amp;VAR:QUERY=RkZfRElWX1lMRChBTk4sNi8xMy8wMiw2LzEzLzAyKQ==&amp;WINDOW=FIRST_POPUP&amp;HEIGHT=450&amp;WIDTH=450&amp;","START_MAXIMIZED=FALSE&amp;VAR:CALENDAR=US&amp;VAR:SYMBOL=RAI&amp;VAR:INDEX=0"}</definedName>
    <definedName name="_461">#REF!</definedName>
    <definedName name="_461__FDSAUDITLINK__" localSheetId="0"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1__FDSAUDITLINK__" hidden="1">{"fdsup://directions/FAT Viewer?action=UPDATE&amp;creator=factset&amp;DYN_ARGS=TRUE&amp;DOC_NAME=FAT:FQL_AUDITING_CLIENT_TEMPLATE.FAT&amp;display_string=Audit&amp;VAR:KEY=HWHSDORYNA&amp;VAR:QUERY=RkZfRElWX1lMRChBTk4sNi8wNi8wMiw2LzA2LzAyKQ==&amp;WINDOW=FIRST_POPUP&amp;HEIGHT=450&amp;WIDTH=450&amp;","START_MAXIMIZED=FALSE&amp;VAR:CALENDAR=US&amp;VAR:SYMBOL=RAI&amp;VAR:INDEX=0"}</definedName>
    <definedName name="_462">#REF!</definedName>
    <definedName name="_462__FDSAUDITLINK__" localSheetId="0"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2__FDSAUDITLINK__" hidden="1">{"fdsup://directions/FAT Viewer?action=UPDATE&amp;creator=factset&amp;DYN_ARGS=TRUE&amp;DOC_NAME=FAT:FQL_AUDITING_CLIENT_TEMPLATE.FAT&amp;display_string=Audit&amp;VAR:KEY=PKRWVSDKHI&amp;VAR:QUERY=RkZfRElWX1lMRChBTk4sNS8zMC8wMiw1LzMwLzAyKQ==&amp;WINDOW=FIRST_POPUP&amp;HEIGHT=450&amp;WIDTH=450&amp;","START_MAXIMIZED=FALSE&amp;VAR:CALENDAR=US&amp;VAR:SYMBOL=RAI&amp;VAR:INDEX=0"}</definedName>
    <definedName name="_463">#REF!</definedName>
    <definedName name="_463__FDSAUDITLINK__" localSheetId="0"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3__FDSAUDITLINK__" hidden="1">{"fdsup://directions/FAT Viewer?action=UPDATE&amp;creator=factset&amp;DYN_ARGS=TRUE&amp;DOC_NAME=FAT:FQL_AUDITING_CLIENT_TEMPLATE.FAT&amp;display_string=Audit&amp;VAR:KEY=HCBCFOVGDM&amp;VAR:QUERY=RkZfRElWX1lMRChBTk4sNS8yMy8wMiw1LzIzLzAyKQ==&amp;WINDOW=FIRST_POPUP&amp;HEIGHT=450&amp;WIDTH=450&amp;","START_MAXIMIZED=FALSE&amp;VAR:CALENDAR=US&amp;VAR:SYMBOL=RAI&amp;VAR:INDEX=0"}</definedName>
    <definedName name="_464">#REF!</definedName>
    <definedName name="_464__FDSAUDITLINK__" localSheetId="0"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4__FDSAUDITLINK__" hidden="1">{"fdsup://directions/FAT Viewer?action=UPDATE&amp;creator=factset&amp;DYN_ARGS=TRUE&amp;DOC_NAME=FAT:FQL_AUDITING_CLIENT_TEMPLATE.FAT&amp;display_string=Audit&amp;VAR:KEY=TWZGDMNGLI&amp;VAR:QUERY=RkZfRElWX1lMRChBTk4sNS8xNi8wMiw1LzE2LzAyKQ==&amp;WINDOW=FIRST_POPUP&amp;HEIGHT=450&amp;WIDTH=450&amp;","START_MAXIMIZED=FALSE&amp;VAR:CALENDAR=US&amp;VAR:SYMBOL=RAI&amp;VAR:INDEX=0"}</definedName>
    <definedName name="_465__FDSAUDITLINK__" localSheetId="0"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5__FDSAUDITLINK__" hidden="1">{"fdsup://directions/FAT Viewer?action=UPDATE&amp;creator=factset&amp;DYN_ARGS=TRUE&amp;DOC_NAME=FAT:FQL_AUDITING_CLIENT_TEMPLATE.FAT&amp;display_string=Audit&amp;VAR:KEY=FOJOFGJIHI&amp;VAR:QUERY=RkZfRElWX1lMRChBTk4sNS8wOS8wMiw1LzA5LzAyKQ==&amp;WINDOW=FIRST_POPUP&amp;HEIGHT=450&amp;WIDTH=450&amp;","START_MAXIMIZED=FALSE&amp;VAR:CALENDAR=US&amp;VAR:SYMBOL=RAI&amp;VAR:INDEX=0"}</definedName>
    <definedName name="_466__FDSAUDITLINK__" localSheetId="0"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6__FDSAUDITLINK__" hidden="1">{"fdsup://directions/FAT Viewer?action=UPDATE&amp;creator=factset&amp;DYN_ARGS=TRUE&amp;DOC_NAME=FAT:FQL_AUDITING_CLIENT_TEMPLATE.FAT&amp;display_string=Audit&amp;VAR:KEY=VGLSLSDOBA&amp;VAR:QUERY=RkZfRElWX1lMRChBTk4sNS8wMi8wMiw1LzAyLzAyKQ==&amp;WINDOW=FIRST_POPUP&amp;HEIGHT=450&amp;WIDTH=450&amp;","START_MAXIMIZED=FALSE&amp;VAR:CALENDAR=US&amp;VAR:SYMBOL=RAI&amp;VAR:INDEX=0"}</definedName>
    <definedName name="_467__FDSAUDITLINK__" localSheetId="0"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7__FDSAUDITLINK__" hidden="1">{"fdsup://directions/FAT Viewer?action=UPDATE&amp;creator=factset&amp;DYN_ARGS=TRUE&amp;DOC_NAME=FAT:FQL_AUDITING_CLIENT_TEMPLATE.FAT&amp;display_string=Audit&amp;VAR:KEY=PSTSDMRMBI&amp;VAR:QUERY=RkZfRElWX1lMRChBTk4sNC8yNS8wMiw0LzI1LzAyKQ==&amp;WINDOW=FIRST_POPUP&amp;HEIGHT=450&amp;WIDTH=450&amp;","START_MAXIMIZED=FALSE&amp;VAR:CALENDAR=US&amp;VAR:SYMBOL=RAI&amp;VAR:INDEX=0"}</definedName>
    <definedName name="_468">#REF!</definedName>
    <definedName name="_468__FDSAUDITLINK__" localSheetId="0"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8__FDSAUDITLINK__" hidden="1">{"fdsup://directions/FAT Viewer?action=UPDATE&amp;creator=factset&amp;DYN_ARGS=TRUE&amp;DOC_NAME=FAT:FQL_AUDITING_CLIENT_TEMPLATE.FAT&amp;display_string=Audit&amp;VAR:KEY=ZGLMRYJIVW&amp;VAR:QUERY=RkZfRElWX1lMRChBTk4sNC8xOC8wMiw0LzE4LzAyKQ==&amp;WINDOW=FIRST_POPUP&amp;HEIGHT=450&amp;WIDTH=450&amp;","START_MAXIMIZED=FALSE&amp;VAR:CALENDAR=US&amp;VAR:SYMBOL=RAI&amp;VAR:INDEX=0"}</definedName>
    <definedName name="_469__FDSAUDITLINK__" localSheetId="0"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9__FDSAUDITLINK__" hidden="1">{"fdsup://directions/FAT Viewer?action=UPDATE&amp;creator=factset&amp;DYN_ARGS=TRUE&amp;DOC_NAME=FAT:FQL_AUDITING_CLIENT_TEMPLATE.FAT&amp;display_string=Audit&amp;VAR:KEY=TGHMTIVEDA&amp;VAR:QUERY=RkZfRElWX1lMRChBTk4sNC8xMS8wMiw0LzExLzAyKQ==&amp;WINDOW=FIRST_POPUP&amp;HEIGHT=450&amp;WIDTH=450&amp;","START_MAXIMIZED=FALSE&amp;VAR:CALENDAR=US&amp;VAR:SYMBOL=RAI&amp;VAR:INDEX=0"}</definedName>
    <definedName name="_46main_form_account_grants_list_29_j_id1022">#REF!</definedName>
    <definedName name="_47">#REF!</definedName>
    <definedName name="_47_____NOTE8_9">#REF!</definedName>
    <definedName name="_47__123Graph_CQRE_S_BY_CO.">#REF!</definedName>
    <definedName name="_47__123Graph_ECONTRACT_BY_B_U">#REF!</definedName>
    <definedName name="_47__123Graph_EQRE_S_BY_CO.">#REF!</definedName>
    <definedName name="_47__123Graph_LBL_ACHART_3">#REF!</definedName>
    <definedName name="_47__123Graph_XChart_8J">#REF!</definedName>
    <definedName name="_47__FDSAUDITLINK__" localSheetId="0"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_FDSAUDITLINK__" hidden="1">{"fdsup://directions/FAT Viewer?action=UPDATE&amp;creator=factset&amp;DYN_ARGS=TRUE&amp;DOC_NAME=FAT:FQL_AUDITING_CLIENT_TEMPLATE.FAT&amp;display_string=Audit&amp;VAR:KEY=NIPAJQRYHA&amp;VAR:QUERY=QVZHKEZGX0RJVl9ZTEQoQU5OLDQwOTk0LC0xQVkpKQ==&amp;WINDOW=FIRST_POPUP&amp;HEIGHT=450&amp;WIDTH=450&amp;","START_MAXIMIZED=FALSE&amp;VAR:CALENDAR=US&amp;VAR:SYMBOL=MO"}</definedName>
    <definedName name="_47_0_S" hidden="1">#REF!</definedName>
    <definedName name="_470__FDSAUDITLINK__" localSheetId="0"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0__FDSAUDITLINK__" hidden="1">{"fdsup://directions/FAT Viewer?action=UPDATE&amp;creator=factset&amp;DYN_ARGS=TRUE&amp;DOC_NAME=FAT:FQL_AUDITING_CLIENT_TEMPLATE.FAT&amp;display_string=Audit&amp;VAR:KEY=REZMBQBMDI&amp;VAR:QUERY=RkZfRElWX1lMRChBTk4sNC8wNC8wMiw0LzA0LzAyKQ==&amp;WINDOW=FIRST_POPUP&amp;HEIGHT=450&amp;WIDTH=450&amp;","START_MAXIMIZED=FALSE&amp;VAR:CALENDAR=US&amp;VAR:SYMBOL=RAI&amp;VAR:INDEX=0"}</definedName>
    <definedName name="_471__FDSAUDITLINK__" localSheetId="0"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1__FDSAUDITLINK__" hidden="1">{"fdsup://directions/FAT Viewer?action=UPDATE&amp;creator=factset&amp;DYN_ARGS=TRUE&amp;DOC_NAME=FAT:FQL_AUDITING_CLIENT_TEMPLATE.FAT&amp;display_string=Audit&amp;VAR:KEY=XMDEHSRYNS&amp;VAR:QUERY=RkZfRElWX1lMRChBTk4sMy8yOC8wMiwzLzI4LzAyKQ==&amp;WINDOW=FIRST_POPUP&amp;HEIGHT=450&amp;WIDTH=450&amp;","START_MAXIMIZED=FALSE&amp;VAR:CALENDAR=US&amp;VAR:SYMBOL=RAI&amp;VAR:INDEX=0"}</definedName>
    <definedName name="_472">#REF!</definedName>
    <definedName name="_472__FDSAUDITLINK__" localSheetId="0"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2__FDSAUDITLINK__" hidden="1">{"fdsup://directions/FAT Viewer?action=UPDATE&amp;creator=factset&amp;DYN_ARGS=TRUE&amp;DOC_NAME=FAT:FQL_AUDITING_CLIENT_TEMPLATE.FAT&amp;display_string=Audit&amp;VAR:KEY=FIDCDIHQVW&amp;VAR:QUERY=RkZfRElWX1lMRChBTk4sMy8yMS8wMiwzLzIxLzAyKQ==&amp;WINDOW=FIRST_POPUP&amp;HEIGHT=450&amp;WIDTH=450&amp;","START_MAXIMIZED=FALSE&amp;VAR:CALENDAR=US&amp;VAR:SYMBOL=RAI&amp;VAR:INDEX=0"}</definedName>
    <definedName name="_473">#REF!</definedName>
    <definedName name="_473__FDSAUDITLINK__" localSheetId="0"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3__FDSAUDITLINK__" hidden="1">{"fdsup://directions/FAT Viewer?action=UPDATE&amp;creator=factset&amp;DYN_ARGS=TRUE&amp;DOC_NAME=FAT:FQL_AUDITING_CLIENT_TEMPLATE.FAT&amp;display_string=Audit&amp;VAR:KEY=HEXENGRCDI&amp;VAR:QUERY=RkZfRElWX1lMRChBTk4sMy8xNC8wMiwzLzE0LzAyKQ==&amp;WINDOW=FIRST_POPUP&amp;HEIGHT=450&amp;WIDTH=450&amp;","START_MAXIMIZED=FALSE&amp;VAR:CALENDAR=US&amp;VAR:SYMBOL=RAI&amp;VAR:INDEX=0"}</definedName>
    <definedName name="_474">#REF!</definedName>
    <definedName name="_474__FDSAUDITLINK__" localSheetId="0"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4__FDSAUDITLINK__" hidden="1">{"fdsup://directions/FAT Viewer?action=UPDATE&amp;creator=factset&amp;DYN_ARGS=TRUE&amp;DOC_NAME=FAT:FQL_AUDITING_CLIENT_TEMPLATE.FAT&amp;display_string=Audit&amp;VAR:KEY=NKZKTOROPE&amp;VAR:QUERY=RkZfRElWX1lMRChBTk4sMy8wNy8wMiwzLzA3LzAyKQ==&amp;WINDOW=FIRST_POPUP&amp;HEIGHT=450&amp;WIDTH=450&amp;","START_MAXIMIZED=FALSE&amp;VAR:CALENDAR=US&amp;VAR:SYMBOL=RAI&amp;VAR:INDEX=0"}</definedName>
    <definedName name="_475">#REF!</definedName>
    <definedName name="_475__FDSAUDITLINK__" localSheetId="0"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5__FDSAUDITLINK__" hidden="1">{"fdsup://directions/FAT Viewer?action=UPDATE&amp;creator=factset&amp;DYN_ARGS=TRUE&amp;DOC_NAME=FAT:FQL_AUDITING_CLIENT_TEMPLATE.FAT&amp;display_string=Audit&amp;VAR:KEY=DCNCFOXGDM&amp;VAR:QUERY=RkZfRElWX1lMRChBTk4sMi8yOC8wMiwyLzI4LzAyKQ==&amp;WINDOW=FIRST_POPUP&amp;HEIGHT=450&amp;WIDTH=450&amp;","START_MAXIMIZED=FALSE&amp;VAR:CALENDAR=US&amp;VAR:SYMBOL=RAI&amp;VAR:INDEX=0"}</definedName>
    <definedName name="_476">#REF!</definedName>
    <definedName name="_476__FDSAUDITLINK__" localSheetId="0"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6__FDSAUDITLINK__" hidden="1">{"fdsup://directions/FAT Viewer?action=UPDATE&amp;creator=factset&amp;DYN_ARGS=TRUE&amp;DOC_NAME=FAT:FQL_AUDITING_CLIENT_TEMPLATE.FAT&amp;display_string=Audit&amp;VAR:KEY=ZWLMHSBYRU&amp;VAR:QUERY=RkZfRElWX1lMRChBTk4sMi8yMS8wMiwyLzIxLzAyKQ==&amp;WINDOW=FIRST_POPUP&amp;HEIGHT=450&amp;WIDTH=450&amp;","START_MAXIMIZED=FALSE&amp;VAR:CALENDAR=US&amp;VAR:SYMBOL=RAI&amp;VAR:INDEX=0"}</definedName>
    <definedName name="_477">#REF!</definedName>
    <definedName name="_477__FDSAUDITLINK__" localSheetId="0"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7__FDSAUDITLINK__" hidden="1">{"fdsup://directions/FAT Viewer?action=UPDATE&amp;creator=factset&amp;DYN_ARGS=TRUE&amp;DOC_NAME=FAT:FQL_AUDITING_CLIENT_TEMPLATE.FAT&amp;display_string=Audit&amp;VAR:KEY=NENIXSXIHU&amp;VAR:QUERY=RkZfRElWX1lMRChBTk4sMi8xNC8wMiwyLzE0LzAyKQ==&amp;WINDOW=FIRST_POPUP&amp;HEIGHT=450&amp;WIDTH=450&amp;","START_MAXIMIZED=FALSE&amp;VAR:CALENDAR=US&amp;VAR:SYMBOL=RAI&amp;VAR:INDEX=0"}</definedName>
    <definedName name="_478">#REF!</definedName>
    <definedName name="_478__FDSAUDITLINK__" localSheetId="0"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8__FDSAUDITLINK__" hidden="1">{"fdsup://directions/FAT Viewer?action=UPDATE&amp;creator=factset&amp;DYN_ARGS=TRUE&amp;DOC_NAME=FAT:FQL_AUDITING_CLIENT_TEMPLATE.FAT&amp;display_string=Audit&amp;VAR:KEY=PWLAZONSJS&amp;VAR:QUERY=RkZfRElWX1lMRChBTk4sMi8wNy8wMiwyLzA3LzAyKQ==&amp;WINDOW=FIRST_POPUP&amp;HEIGHT=450&amp;WIDTH=450&amp;","START_MAXIMIZED=FALSE&amp;VAR:CALENDAR=US&amp;VAR:SYMBOL=RAI&amp;VAR:INDEX=0"}</definedName>
    <definedName name="_479__FDSAUDITLINK__" localSheetId="0"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9__FDSAUDITLINK__" hidden="1">{"fdsup://directions/FAT Viewer?action=UPDATE&amp;creator=factset&amp;DYN_ARGS=TRUE&amp;DOC_NAME=FAT:FQL_AUDITING_CLIENT_TEMPLATE.FAT&amp;display_string=Audit&amp;VAR:KEY=DYLAFGJOFO&amp;VAR:QUERY=RkZfRElWX1lMRChBTk4sMS8zMS8wMiwxLzMxLzAyKQ==&amp;WINDOW=FIRST_POPUP&amp;HEIGHT=450&amp;WIDTH=450&amp;","START_MAXIMIZED=FALSE&amp;VAR:CALENDAR=US&amp;VAR:SYMBOL=RAI&amp;VAR:INDEX=0"}</definedName>
    <definedName name="_47J_0_K" hidden="1">#REF!</definedName>
    <definedName name="_48">#REF!</definedName>
    <definedName name="_48_____P_L">#REF!</definedName>
    <definedName name="_48__123Graph_BQRE_S_BY_CO.">#REF!</definedName>
    <definedName name="_48__123Graph_BWAGES_BY_B_U">#REF!</definedName>
    <definedName name="_48__123Graph_CSENS_COMPARISON">#REF!</definedName>
    <definedName name="_48__123Graph_CSUPPLIES_BY_B_U">#REF!</definedName>
    <definedName name="_48__123Graph_ESUPPLIES_BY_B_U">#REF!</definedName>
    <definedName name="_48__FDSAUDITLINK__" localSheetId="0"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_FDSAUDITLINK__" hidden="1">{"fdsup://directions/FAT Viewer?action=UPDATE&amp;creator=factset&amp;DYN_ARGS=TRUE&amp;DOC_NAME=FAT:FQL_AUDITING_CLIENT_TEMPLATE.FAT&amp;display_string=Audit&amp;VAR:KEY=ALERAFMLYH&amp;VAR:QUERY=RkZfREVCVChBTk4sMCk=&amp;WINDOW=FIRST_POPUP&amp;HEIGHT=450&amp;WIDTH=450&amp;START_MAXIMIZED=FALSE&amp;VA","R:CALENDAR=US&amp;VAR:SYMBOL=COKE&amp;VAR:INDEX=0"}</definedName>
    <definedName name="_48_0_S" hidden="1">#REF!</definedName>
    <definedName name="_480__FDSAUDITLINK__" localSheetId="0"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0__FDSAUDITLINK__" hidden="1">{"fdsup://directions/FAT Viewer?action=UPDATE&amp;creator=factset&amp;DYN_ARGS=TRUE&amp;DOC_NAME=FAT:FQL_AUDITING_CLIENT_TEMPLATE.FAT&amp;display_string=Audit&amp;VAR:KEY=NERCVKPUZU&amp;VAR:QUERY=RkZfRElWX1lMRChBTk4sMS8yNC8wMiwxLzI0LzAyKQ==&amp;WINDOW=FIRST_POPUP&amp;HEIGHT=450&amp;WIDTH=450&amp;","START_MAXIMIZED=FALSE&amp;VAR:CALENDAR=US&amp;VAR:SYMBOL=RAI&amp;VAR:INDEX=0"}</definedName>
    <definedName name="_481__FDSAUDITLINK__" localSheetId="0"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1__FDSAUDITLINK__" hidden="1">{"fdsup://directions/FAT Viewer?action=UPDATE&amp;creator=factset&amp;DYN_ARGS=TRUE&amp;DOC_NAME=FAT:FQL_AUDITING_CLIENT_TEMPLATE.FAT&amp;display_string=Audit&amp;VAR:KEY=VGFEJODSLK&amp;VAR:QUERY=RkZfRElWX1lMRChBTk4sMS8xNy8wMiwxLzE3LzAyKQ==&amp;WINDOW=FIRST_POPUP&amp;HEIGHT=450&amp;WIDTH=450&amp;","START_MAXIMIZED=FALSE&amp;VAR:CALENDAR=US&amp;VAR:SYMBOL=RAI&amp;VAR:INDEX=0"}</definedName>
    <definedName name="_482">#REF!</definedName>
    <definedName name="_482__FDSAUDITLINK__" localSheetId="0"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2__FDSAUDITLINK__" hidden="1">{"fdsup://directions/FAT Viewer?action=UPDATE&amp;creator=factset&amp;DYN_ARGS=TRUE&amp;DOC_NAME=FAT:FQL_AUDITING_CLIENT_TEMPLATE.FAT&amp;display_string=Audit&amp;VAR:KEY=FUPQBQLMJO&amp;VAR:QUERY=RkZfRElWX1lMRChBTk4sMS8xMC8wMiwxLzEwLzAyKQ==&amp;WINDOW=FIRST_POPUP&amp;HEIGHT=450&amp;WIDTH=450&amp;","START_MAXIMIZED=FALSE&amp;VAR:CALENDAR=US&amp;VAR:SYMBOL=RAI&amp;VAR:INDEX=0"}</definedName>
    <definedName name="_483">#REF!</definedName>
    <definedName name="_483__FDSAUDITLINK__" localSheetId="0"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3__FDSAUDITLINK__" hidden="1">{"fdsup://directions/FAT Viewer?action=UPDATE&amp;creator=factset&amp;DYN_ARGS=TRUE&amp;DOC_NAME=FAT:FQL_AUDITING_CLIENT_TEMPLATE.FAT&amp;display_string=Audit&amp;VAR:KEY=FOTQHOTQPQ&amp;VAR:QUERY=RkZfRElWX1lMRChBTk4sMS8wMy8wMiwxLzAzLzAyKQ==&amp;WINDOW=FIRST_POPUP&amp;HEIGHT=450&amp;WIDTH=450&amp;","START_MAXIMIZED=FALSE&amp;VAR:CALENDAR=US&amp;VAR:SYMBOL=RAI&amp;VAR:INDEX=0"}</definedName>
    <definedName name="_484">#REF!</definedName>
    <definedName name="_484__FDSAUDITLINK__" localSheetId="0"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4__FDSAUDITLINK__" hidden="1">{"fdsup://directions/FAT Viewer?action=UPDATE&amp;creator=factset&amp;DYN_ARGS=TRUE&amp;DOC_NAME=FAT:FQL_AUDITING_CLIENT_TEMPLATE.FAT&amp;display_string=Audit&amp;VAR:KEY=RIHYTETMZC&amp;VAR:QUERY=RkZfRElWX1lMRChBTk4sMTIvMjcvMDEsMTIvMjcvMDEp&amp;WINDOW=FIRST_POPUP&amp;HEIGHT=450&amp;WIDTH=450&amp;","START_MAXIMIZED=FALSE&amp;VAR:CALENDAR=US&amp;VAR:SYMBOL=RAI&amp;VAR:INDEX=0"}</definedName>
    <definedName name="_485">#REF!</definedName>
    <definedName name="_485__FDSAUDITLINK__" localSheetId="0"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5__FDSAUDITLINK__" hidden="1">{"fdsup://directions/FAT Viewer?action=UPDATE&amp;creator=factset&amp;DYN_ARGS=TRUE&amp;DOC_NAME=FAT:FQL_AUDITING_CLIENT_TEMPLATE.FAT&amp;display_string=Audit&amp;VAR:KEY=FKZMHALGFM&amp;VAR:QUERY=RkZfRElWX1lMRChBTk4sMTIvMjAvMDEsMTIvMjAvMDEp&amp;WINDOW=FIRST_POPUP&amp;HEIGHT=450&amp;WIDTH=450&amp;","START_MAXIMIZED=FALSE&amp;VAR:CALENDAR=US&amp;VAR:SYMBOL=RAI&amp;VAR:INDEX=0"}</definedName>
    <definedName name="_486">#REF!</definedName>
    <definedName name="_486__FDSAUDITLINK__" localSheetId="0"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6__FDSAUDITLINK__" hidden="1">{"fdsup://directions/FAT Viewer?action=UPDATE&amp;creator=factset&amp;DYN_ARGS=TRUE&amp;DOC_NAME=FAT:FQL_AUDITING_CLIENT_TEMPLATE.FAT&amp;display_string=Audit&amp;VAR:KEY=DYPURUDOTC&amp;VAR:QUERY=RkZfRElWX1lMRChBTk4sMTIvMTMvMDEsMTIvMTMvMDEp&amp;WINDOW=FIRST_POPUP&amp;HEIGHT=450&amp;WIDTH=450&amp;","START_MAXIMIZED=FALSE&amp;VAR:CALENDAR=US&amp;VAR:SYMBOL=RAI&amp;VAR:INDEX=0"}</definedName>
    <definedName name="_487">#REF!</definedName>
    <definedName name="_487__FDSAUDITLINK__" localSheetId="0"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7__FDSAUDITLINK__" hidden="1">{"fdsup://directions/FAT Viewer?action=UPDATE&amp;creator=factset&amp;DYN_ARGS=TRUE&amp;DOC_NAME=FAT:FQL_AUDITING_CLIENT_TEMPLATE.FAT&amp;display_string=Audit&amp;VAR:KEY=FEJKJATODE&amp;VAR:QUERY=RkZfRElWX1lMRChBTk4sMTIvMDYvMDEsMTIvMDYvMDEp&amp;WINDOW=FIRST_POPUP&amp;HEIGHT=450&amp;WIDTH=450&amp;","START_MAXIMIZED=FALSE&amp;VAR:CALENDAR=US&amp;VAR:SYMBOL=RAI&amp;VAR:INDEX=0"}</definedName>
    <definedName name="_488">#REF!</definedName>
    <definedName name="_488__FDSAUDITLINK__" localSheetId="0"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8__FDSAUDITLINK__" hidden="1">{"fdsup://directions/FAT Viewer?action=UPDATE&amp;creator=factset&amp;DYN_ARGS=TRUE&amp;DOC_NAME=FAT:FQL_AUDITING_CLIENT_TEMPLATE.FAT&amp;display_string=Audit&amp;VAR:KEY=LINAHQZWZC&amp;VAR:QUERY=RkZfRElWX1lMRChBTk4sMTEvMjkvMDEsMTEvMjkvMDEp&amp;WINDOW=FIRST_POPUP&amp;HEIGHT=450&amp;WIDTH=450&amp;","START_MAXIMIZED=FALSE&amp;VAR:CALENDAR=US&amp;VAR:SYMBOL=RAI&amp;VAR:INDEX=0"}</definedName>
    <definedName name="_489">#REF!</definedName>
    <definedName name="_489__FDSAUDITLINK__" localSheetId="0"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9__FDSAUDITLINK__" hidden="1">{"fdsup://directions/FAT Viewer?action=UPDATE&amp;creator=factset&amp;DYN_ARGS=TRUE&amp;DOC_NAME=FAT:FQL_AUDITING_CLIENT_TEMPLATE.FAT&amp;display_string=Audit&amp;VAR:KEY=LIFINAJWRO&amp;VAR:QUERY=RkZfRElWX1lMRChBTk4sMTEvMjEvMDEsMTEvMjEvMDEp&amp;WINDOW=FIRST_POPUP&amp;HEIGHT=450&amp;WIDTH=450&amp;","START_MAXIMIZED=FALSE&amp;VAR:CALENDAR=US&amp;VAR:SYMBOL=RAI&amp;VAR:INDEX=0"}</definedName>
    <definedName name="_48M_0_S" hidden="1">#REF!</definedName>
    <definedName name="_48main_form_account_grants_list_3_j_id1022">#REF!</definedName>
    <definedName name="_49">#REF!</definedName>
    <definedName name="_49_????8_3">#REF!</definedName>
    <definedName name="_49____B_S">#REF!</definedName>
    <definedName name="_49__123Graph_BQRE_S_BY_CO.">#REF!</definedName>
    <definedName name="_49__123Graph_CGROWTH_REVS_A" hidden="1">#REF!</definedName>
    <definedName name="_49__123Graph_CSUPPLIES_BY_B_U">#REF!</definedName>
    <definedName name="_49__123Graph_EQRE_S_BY_CO.">#REF!</definedName>
    <definedName name="_49__123Graph_ESUPPLIES_BY_B_U">#REF!</definedName>
    <definedName name="_49__FDSAUDITLINK__" localSheetId="0" hidden="1">{"fdsup://Directions/FactSet Auditing Viewer?action=AUDIT_VALUE&amp;DB=129&amp;ID1=11563720&amp;VALUEID=02001&amp;SDATE=2011&amp;PERIODTYPE=ANN_STD&amp;SCFT=3&amp;window=popup_no_bar&amp;width=385&amp;height=120&amp;START_MAXIMIZED=FALSE&amp;creator=factset&amp;display_string=Audit"}</definedName>
    <definedName name="_49__FDSAUDITLINK__" hidden="1">{"fdsup://Directions/FactSet Auditing Viewer?action=AUDIT_VALUE&amp;DB=129&amp;ID1=11563720&amp;VALUEID=02001&amp;SDATE=2011&amp;PERIODTYPE=ANN_STD&amp;SCFT=3&amp;window=popup_no_bar&amp;width=385&amp;height=120&amp;START_MAXIMIZED=FALSE&amp;creator=factset&amp;display_string=Audit"}</definedName>
    <definedName name="_490">#REF!</definedName>
    <definedName name="_490__FDSAUDITLINK__" localSheetId="0"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0__FDSAUDITLINK__" hidden="1">{"fdsup://directions/FAT Viewer?action=UPDATE&amp;creator=factset&amp;DYN_ARGS=TRUE&amp;DOC_NAME=FAT:FQL_AUDITING_CLIENT_TEMPLATE.FAT&amp;display_string=Audit&amp;VAR:KEY=LUZYHMXIVQ&amp;VAR:QUERY=RkZfRElWX1lMRChBTk4sMTEvMTUvMDEsMTEvMTUvMDEp&amp;WINDOW=FIRST_POPUP&amp;HEIGHT=450&amp;WIDTH=450&amp;","START_MAXIMIZED=FALSE&amp;VAR:CALENDAR=US&amp;VAR:SYMBOL=RAI&amp;VAR:INDEX=0"}</definedName>
    <definedName name="_491">#REF!</definedName>
    <definedName name="_491__FDSAUDITLINK__" localSheetId="0"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1__FDSAUDITLINK__" hidden="1">{"fdsup://directions/FAT Viewer?action=UPDATE&amp;creator=factset&amp;DYN_ARGS=TRUE&amp;DOC_NAME=FAT:FQL_AUDITING_CLIENT_TEMPLATE.FAT&amp;display_string=Audit&amp;VAR:KEY=PGDIJIZELE&amp;VAR:QUERY=RkZfRElWX1lMRChBTk4sMTEvMDgvMDEsMTEvMDgvMDEp&amp;WINDOW=FIRST_POPUP&amp;HEIGHT=450&amp;WIDTH=450&amp;","START_MAXIMIZED=FALSE&amp;VAR:CALENDAR=US&amp;VAR:SYMBOL=RAI&amp;VAR:INDEX=0"}</definedName>
    <definedName name="_492">#REF!</definedName>
    <definedName name="_492__FDSAUDITLINK__" localSheetId="0"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2__FDSAUDITLINK__" hidden="1">{"fdsup://directions/FAT Viewer?action=UPDATE&amp;creator=factset&amp;DYN_ARGS=TRUE&amp;DOC_NAME=FAT:FQL_AUDITING_CLIENT_TEMPLATE.FAT&amp;display_string=Audit&amp;VAR:KEY=ZODUZIVIFM&amp;VAR:QUERY=RkZfRElWX1lMRChBTk4sMTEvMDEvMDEsMTEvMDEvMDEp&amp;WINDOW=FIRST_POPUP&amp;HEIGHT=450&amp;WIDTH=450&amp;","START_MAXIMIZED=FALSE&amp;VAR:CALENDAR=US&amp;VAR:SYMBOL=RAI&amp;VAR:INDEX=0"}</definedName>
    <definedName name="_493">#REF!</definedName>
    <definedName name="_493__FDSAUDITLINK__" localSheetId="0"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3__FDSAUDITLINK__" hidden="1">{"fdsup://directions/FAT Viewer?action=UPDATE&amp;creator=factset&amp;DYN_ARGS=TRUE&amp;DOC_NAME=FAT:FQL_AUDITING_CLIENT_TEMPLATE.FAT&amp;display_string=Audit&amp;VAR:KEY=JMDWXMDEBU&amp;VAR:QUERY=RkZfRElWX1lMRChBTk4sMTAvMjUvMDEsMTAvMjUvMDEp&amp;WINDOW=FIRST_POPUP&amp;HEIGHT=450&amp;WIDTH=450&amp;","START_MAXIMIZED=FALSE&amp;VAR:CALENDAR=US&amp;VAR:SYMBOL=RAI&amp;VAR:INDEX=0"}</definedName>
    <definedName name="_494">#REF!</definedName>
    <definedName name="_494__FDSAUDITLINK__" localSheetId="0"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4__FDSAUDITLINK__" hidden="1">{"fdsup://directions/FAT Viewer?action=UPDATE&amp;creator=factset&amp;DYN_ARGS=TRUE&amp;DOC_NAME=FAT:FQL_AUDITING_CLIENT_TEMPLATE.FAT&amp;display_string=Audit&amp;VAR:KEY=TYBGTAPURG&amp;VAR:QUERY=RkZfRElWX1lMRChBTk4sMTAvMTgvMDEsMTAvMTgvMDEp&amp;WINDOW=FIRST_POPUP&amp;HEIGHT=450&amp;WIDTH=450&amp;","START_MAXIMIZED=FALSE&amp;VAR:CALENDAR=US&amp;VAR:SYMBOL=RAI&amp;VAR:INDEX=0"}</definedName>
    <definedName name="_495">#REF!</definedName>
    <definedName name="_495__FDSAUDITLINK__" localSheetId="0"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5__FDSAUDITLINK__" hidden="1">{"fdsup://directions/FAT Viewer?action=UPDATE&amp;creator=factset&amp;DYN_ARGS=TRUE&amp;DOC_NAME=FAT:FQL_AUDITING_CLIENT_TEMPLATE.FAT&amp;display_string=Audit&amp;VAR:KEY=LIRMTQBYPM&amp;VAR:QUERY=RkZfRElWX1lMRChBTk4sMTAvMTEvMDEsMTAvMTEvMDEp&amp;WINDOW=FIRST_POPUP&amp;HEIGHT=450&amp;WIDTH=450&amp;","START_MAXIMIZED=FALSE&amp;VAR:CALENDAR=US&amp;VAR:SYMBOL=RAI&amp;VAR:INDEX=0"}</definedName>
    <definedName name="_496">#REF!</definedName>
    <definedName name="_496__FDSAUDITLINK__" localSheetId="0"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6__FDSAUDITLINK__" hidden="1">{"fdsup://directions/FAT Viewer?action=UPDATE&amp;creator=factset&amp;DYN_ARGS=TRUE&amp;DOC_NAME=FAT:FQL_AUDITING_CLIENT_TEMPLATE.FAT&amp;display_string=Audit&amp;VAR:KEY=VUFWPQXCJG&amp;VAR:QUERY=RkZfRElWX1lMRChBTk4sMTAvMDQvMDEsMTAvMDQvMDEp&amp;WINDOW=FIRST_POPUP&amp;HEIGHT=450&amp;WIDTH=450&amp;","START_MAXIMIZED=FALSE&amp;VAR:CALENDAR=US&amp;VAR:SYMBOL=RAI&amp;VAR:INDEX=0"}</definedName>
    <definedName name="_497">#REF!</definedName>
    <definedName name="_497__FDSAUDITLINK__" localSheetId="0"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7__FDSAUDITLINK__" hidden="1">{"fdsup://directions/FAT Viewer?action=UPDATE&amp;creator=factset&amp;DYN_ARGS=TRUE&amp;DOC_NAME=FAT:FQL_AUDITING_CLIENT_TEMPLATE.FAT&amp;display_string=Audit&amp;VAR:KEY=ZWFORMVQJU&amp;VAR:QUERY=RkZfRElWX1lMRChBTk4sOS8yNy8wMSw5LzI3LzAxKQ==&amp;WINDOW=FIRST_POPUP&amp;HEIGHT=450&amp;WIDTH=450&amp;","START_MAXIMIZED=FALSE&amp;VAR:CALENDAR=US&amp;VAR:SYMBOL=RAI&amp;VAR:INDEX=0"}</definedName>
    <definedName name="_498">#REF!</definedName>
    <definedName name="_498__FDSAUDITLINK__" localSheetId="0"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8__FDSAUDITLINK__" hidden="1">{"fdsup://directions/FAT Viewer?action=UPDATE&amp;creator=factset&amp;DYN_ARGS=TRUE&amp;DOC_NAME=FAT:FQL_AUDITING_CLIENT_TEMPLATE.FAT&amp;display_string=Audit&amp;VAR:KEY=BWPWHKXOHY&amp;VAR:QUERY=RkZfRElWX1lMRChBTk4sOS8yMC8wMSw5LzIwLzAxKQ==&amp;WINDOW=FIRST_POPUP&amp;HEIGHT=450&amp;WIDTH=450&amp;","START_MAXIMIZED=FALSE&amp;VAR:CALENDAR=US&amp;VAR:SYMBOL=RAI&amp;VAR:INDEX=0"}</definedName>
    <definedName name="_499">#REF!</definedName>
    <definedName name="_499__FDSAUDITLINK__" localSheetId="0"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99__FDSAUDITLINK__" hidden="1">{"fdsup://directions/FAT Viewer?action=UPDATE&amp;creator=factset&amp;DYN_ARGS=TRUE&amp;DOC_NAME=FAT:FQL_AUDITING_CLIENT_TEMPLATE.FAT&amp;display_string=Audit&amp;VAR:KEY=HKRKDCZUDQ&amp;VAR:QUERY=RkZfRElWX1lMRChBTk4sOS8xMC8wMSw5LzEwLzAxKQ==&amp;WINDOW=FIRST_POPUP&amp;HEIGHT=450&amp;WIDTH=450&amp;","START_MAXIMIZED=FALSE&amp;VAR:CALENDAR=US&amp;VAR:SYMBOL=RAI&amp;VAR:INDEX=0"}</definedName>
    <definedName name="_4a01_" hidden="1">{#N/A,#N/A,FALSE,"Aging Summary";#N/A,#N/A,FALSE,"Ratio Analysis";#N/A,#N/A,FALSE,"Test 120 Day Accts";#N/A,#N/A,FALSE,"Tickmarks"}</definedName>
    <definedName name="_4item">#REF!</definedName>
    <definedName name="_4main_form_account_grants_list_1_j_id1022">#REF!</definedName>
    <definedName name="_4s1_" hidden="1">{#N/A,#N/A,FALSE,"UNIT";#N/A,#N/A,FALSE,"UNIT";#N/A,#N/A,FALSE,"계정"}</definedName>
    <definedName name="_4Table2_">#REF!</definedName>
    <definedName name="_5">#REF!</definedName>
    <definedName name="_5____________NOTE8_9">#REF!</definedName>
    <definedName name="_5__123Graph_AChart_20K">#REF!</definedName>
    <definedName name="_5__123Graph_ACHART_3">#REF!</definedName>
    <definedName name="_5__123Graph_ACONTRACT_BY_B_U">#REF!</definedName>
    <definedName name="_5__123Graph_AQRE_S_BY_CO.">#REF!</definedName>
    <definedName name="_5__123Graph_AQRE_S_BY_TYPE">#REF!</definedName>
    <definedName name="_5__123Graph_ASENS_COMPARISON" hidden="1">#REF!</definedName>
    <definedName name="_5__123Graph_ASUPPLIES_BY_B_U">#REF!</definedName>
    <definedName name="_5__123Graph_ATAX_CREDIT">#REF!</definedName>
    <definedName name="_5__123Graph_BCHART_3">#REF!</definedName>
    <definedName name="_5__123Graph_CQRE_S_BY_TYPE" hidden="1">#REF!</definedName>
    <definedName name="_5__FDSAUDITLINK__" localSheetId="0"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_FDSAUDITLINK__" hidden="1">{"fdsup://directions/FAT Viewer?action=UPDATE&amp;creator=factset&amp;DYN_ARGS=TRUE&amp;DOC_NAME=FAT:FQL_AUDITING_CLIENT_TEMPLATE.FAT&amp;display_string=Audit&amp;VAR:KEY=CNKVOBAVMR&amp;VAR:QUERY=Q1NGX0RJVl9ZTEQoUVRSX1IsMTIvMzEvMjAwOSk=&amp;WINDOW=FIRST_POPUP&amp;HEIGHT=450&amp;WIDTH=450&amp;STAR","T_MAXIMIZED=FALSE&amp;VAR:CALENDAR=US&amp;VAR:SYMBOL=MO&amp;VAR:INDEX=0"}</definedName>
    <definedName name="_5_0_0CO">#REF!</definedName>
    <definedName name="_5_0_Table2_" hidden="1">#REF!</definedName>
    <definedName name="_5_0TAB">#REF!</definedName>
    <definedName name="_5_25000">#NAME?</definedName>
    <definedName name="_50">#REF!</definedName>
    <definedName name="_50____NOTE10_12">#REF!</definedName>
    <definedName name="_50__123Graph_BCHART_4">#REF!</definedName>
    <definedName name="_50__123Graph_CWAGES_BY_B_U">#REF!</definedName>
    <definedName name="_50__123Graph_EWAGES_BY_B_U">#REF!</definedName>
    <definedName name="_50__123Graph_LBL_ACHART_4">#REF!</definedName>
    <definedName name="_50__FDSAUDITLINK__" localSheetId="0"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__FDSAUDITLINK__" hidden="1">{"fdsup://directions/FAT Viewer?action=UPDATE&amp;creator=factset&amp;DYN_ARGS=TRUE&amp;DOC_NAME=FAT:FQL_AUDITING_CLIENT_TEMPLATE.FAT&amp;display_string=Audit&amp;VAR:KEY=TCTUVSTIDM&amp;VAR:QUERY=RkZfREVCVChBTk4sMCk=&amp;WINDOW=FIRST_POPUP&amp;HEIGHT=450&amp;WIDTH=450&amp;START_MAXIMIZED=FALSE&amp;VA","R:CALENDAR=US&amp;VAR:SYMBOL=11563720&amp;VAR:INDEX=0"}</definedName>
    <definedName name="_500">#REF!</definedName>
    <definedName name="_500__FDSAUDITLINK__" localSheetId="0"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0__FDSAUDITLINK__" hidden="1">{"fdsup://directions/FAT Viewer?action=UPDATE&amp;creator=factset&amp;DYN_ARGS=TRUE&amp;DOC_NAME=FAT:FQL_AUDITING_CLIENT_TEMPLATE.FAT&amp;display_string=Audit&amp;VAR:KEY=FYTQTWNQXC&amp;VAR:QUERY=RkZfRElWX1lMRChBTk4sOS8wNi8wMSw5LzA2LzAxKQ==&amp;WINDOW=FIRST_POPUP&amp;HEIGHT=450&amp;WIDTH=450&amp;","START_MAXIMIZED=FALSE&amp;VAR:CALENDAR=US&amp;VAR:SYMBOL=RAI&amp;VAR:INDEX=0"}</definedName>
    <definedName name="_501">#REF!</definedName>
    <definedName name="_501__FDSAUDITLINK__" localSheetId="0"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1__FDSAUDITLINK__" hidden="1">{"fdsup://directions/FAT Viewer?action=UPDATE&amp;creator=factset&amp;DYN_ARGS=TRUE&amp;DOC_NAME=FAT:FQL_AUDITING_CLIENT_TEMPLATE.FAT&amp;display_string=Audit&amp;VAR:KEY=PYLOFAFCPQ&amp;VAR:QUERY=RkZfRElWX1lMRChBTk4sOC8zMC8wMSw4LzMwLzAxKQ==&amp;WINDOW=FIRST_POPUP&amp;HEIGHT=450&amp;WIDTH=450&amp;","START_MAXIMIZED=FALSE&amp;VAR:CALENDAR=US&amp;VAR:SYMBOL=RAI&amp;VAR:INDEX=0"}</definedName>
    <definedName name="_502">#REF!</definedName>
    <definedName name="_502__FDSAUDITLINK__" localSheetId="0"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2__FDSAUDITLINK__" hidden="1">{"fdsup://directions/FAT Viewer?action=UPDATE&amp;creator=factset&amp;DYN_ARGS=TRUE&amp;DOC_NAME=FAT:FQL_AUDITING_CLIENT_TEMPLATE.FAT&amp;display_string=Audit&amp;VAR:KEY=FSRUNIPWBA&amp;VAR:QUERY=RkZfRElWX1lMRChBTk4sOC8yMy8wMSw4LzIzLzAxKQ==&amp;WINDOW=FIRST_POPUP&amp;HEIGHT=450&amp;WIDTH=450&amp;","START_MAXIMIZED=FALSE&amp;VAR:CALENDAR=US&amp;VAR:SYMBOL=RAI&amp;VAR:INDEX=0"}</definedName>
    <definedName name="_503">#REF!</definedName>
    <definedName name="_503__FDSAUDITLINK__" localSheetId="0"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3__FDSAUDITLINK__" hidden="1">{"fdsup://directions/FAT Viewer?action=UPDATE&amp;creator=factset&amp;DYN_ARGS=TRUE&amp;DOC_NAME=FAT:FQL_AUDITING_CLIENT_TEMPLATE.FAT&amp;display_string=Audit&amp;VAR:KEY=VUJIJKZYNY&amp;VAR:QUERY=RkZfRElWX1lMRChBTk4sOC8xNi8wMSw4LzE2LzAxKQ==&amp;WINDOW=FIRST_POPUP&amp;HEIGHT=450&amp;WIDTH=450&amp;","START_MAXIMIZED=FALSE&amp;VAR:CALENDAR=US&amp;VAR:SYMBOL=RAI&amp;VAR:INDEX=0"}</definedName>
    <definedName name="_504">#REF!</definedName>
    <definedName name="_504__FDSAUDITLINK__" localSheetId="0"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4__FDSAUDITLINK__" hidden="1">{"fdsup://directions/FAT Viewer?action=UPDATE&amp;creator=factset&amp;DYN_ARGS=TRUE&amp;DOC_NAME=FAT:FQL_AUDITING_CLIENT_TEMPLATE.FAT&amp;display_string=Audit&amp;VAR:KEY=RCRMHOJMNW&amp;VAR:QUERY=RkZfRElWX1lMRChBTk4sOC8wOS8wMSw4LzA5LzAxKQ==&amp;WINDOW=FIRST_POPUP&amp;HEIGHT=450&amp;WIDTH=450&amp;","START_MAXIMIZED=FALSE&amp;VAR:CALENDAR=US&amp;VAR:SYMBOL=RAI&amp;VAR:INDEX=0"}</definedName>
    <definedName name="_505__FDSAUDITLINK__" localSheetId="0"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5__FDSAUDITLINK__" hidden="1">{"fdsup://directions/FAT Viewer?action=UPDATE&amp;creator=factset&amp;DYN_ARGS=TRUE&amp;DOC_NAME=FAT:FQL_AUDITING_CLIENT_TEMPLATE.FAT&amp;display_string=Audit&amp;VAR:KEY=PUFGTEJSVO&amp;VAR:QUERY=RkZfRElWX1lMRChBTk4sOC8wMi8wMSw4LzAyLzAxKQ==&amp;WINDOW=FIRST_POPUP&amp;HEIGHT=450&amp;WIDTH=450&amp;","START_MAXIMIZED=FALSE&amp;VAR:CALENDAR=US&amp;VAR:SYMBOL=RAI&amp;VAR:INDEX=0"}</definedName>
    <definedName name="_506__FDSAUDITLINK__" localSheetId="0"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6__FDSAUDITLINK__" hidden="1">{"fdsup://directions/FAT Viewer?action=UPDATE&amp;creator=factset&amp;DYN_ARGS=TRUE&amp;DOC_NAME=FAT:FQL_AUDITING_CLIENT_TEMPLATE.FAT&amp;display_string=Audit&amp;VAR:KEY=XITATQDGBA&amp;VAR:QUERY=RkZfRElWX1lMRChBTk4sNy8yNi8wMSw3LzI2LzAxKQ==&amp;WINDOW=FIRST_POPUP&amp;HEIGHT=450&amp;WIDTH=450&amp;","START_MAXIMIZED=FALSE&amp;VAR:CALENDAR=US&amp;VAR:SYMBOL=RAI&amp;VAR:INDEX=0"}</definedName>
    <definedName name="_507__FDSAUDITLINK__" localSheetId="0"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7__FDSAUDITLINK__" hidden="1">{"fdsup://directions/FAT Viewer?action=UPDATE&amp;creator=factset&amp;DYN_ARGS=TRUE&amp;DOC_NAME=FAT:FQL_AUDITING_CLIENT_TEMPLATE.FAT&amp;display_string=Audit&amp;VAR:KEY=HWZUHCXMJU&amp;VAR:QUERY=RkZfRElWX1lMRChBTk4sNy8xOS8wMSw3LzE5LzAxKQ==&amp;WINDOW=FIRST_POPUP&amp;HEIGHT=450&amp;WIDTH=450&amp;","START_MAXIMIZED=FALSE&amp;VAR:CALENDAR=US&amp;VAR:SYMBOL=RAI&amp;VAR:INDEX=0"}</definedName>
    <definedName name="_508__FDSAUDITLINK__" localSheetId="0"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8__FDSAUDITLINK__" hidden="1">{"fdsup://directions/FAT Viewer?action=UPDATE&amp;creator=factset&amp;DYN_ARGS=TRUE&amp;DOC_NAME=FAT:FQL_AUDITING_CLIENT_TEMPLATE.FAT&amp;display_string=Audit&amp;VAR:KEY=ZANINUBUFE&amp;VAR:QUERY=RkZfRElWX1lMRChBTk4sNy8xMi8wMSw3LzEyLzAxKQ==&amp;WINDOW=FIRST_POPUP&amp;HEIGHT=450&amp;WIDTH=450&amp;","START_MAXIMIZED=FALSE&amp;VAR:CALENDAR=US&amp;VAR:SYMBOL=RAI&amp;VAR:INDEX=0"}</definedName>
    <definedName name="_509__FDSAUDITLINK__" localSheetId="0"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9__FDSAUDITLINK__" hidden="1">{"fdsup://directions/FAT Viewer?action=UPDATE&amp;creator=factset&amp;DYN_ARGS=TRUE&amp;DOC_NAME=FAT:FQL_AUDITING_CLIENT_TEMPLATE.FAT&amp;display_string=Audit&amp;VAR:KEY=FWPCVKRGBW&amp;VAR:QUERY=RkZfRElWX1lMRChBTk4sNy8wNS8wMSw3LzA1LzAxKQ==&amp;WINDOW=FIRST_POPUP&amp;HEIGHT=450&amp;WIDTH=450&amp;","START_MAXIMIZED=FALSE&amp;VAR:CALENDAR=US&amp;VAR:SYMBOL=RAI&amp;VAR:INDEX=0"}</definedName>
    <definedName name="_50main_form_account_grants_list_30_j_id1022">#REF!</definedName>
    <definedName name="_50T1">#REF!</definedName>
    <definedName name="_50T2">#REF!</definedName>
    <definedName name="_51">#REF!</definedName>
    <definedName name="_51____NOTE1_3">#REF!</definedName>
    <definedName name="_51__123Graph_BSUPPLIES_BY_B_U">#REF!</definedName>
    <definedName name="_51__123Graph_CWAGES_BY_B_U">#REF!</definedName>
    <definedName name="_51__123Graph_DCONTRACT_BY_B_U">#REF!</definedName>
    <definedName name="_51__123Graph_ESUPPLIES_BY_B_U">#REF!</definedName>
    <definedName name="_51__123Graph_EWAGES_BY_B_U">#REF!</definedName>
    <definedName name="_51__FDSAUDITLINK__" localSheetId="0"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__FDSAUDITLINK__" hidden="1">{"fdsup://directions/FAT Viewer?action=UPDATE&amp;creator=factset&amp;DYN_ARGS=TRUE&amp;DOC_NAME=FAT:FQL_AUDITING_CLIENT_TEMPLATE.FAT&amp;display_string=Audit&amp;VAR:KEY=MVGBCFKFSB&amp;VAR:QUERY=RkZfREVCVChBTk4sMCk=&amp;WINDOW=FIRST_POPUP&amp;HEIGHT=450&amp;WIDTH=450&amp;START_MAXIMIZED=FALSE&amp;VA","R:CALENDAR=US&amp;VAR:SYMBOL=BEAM&amp;VAR:INDEX=0"}</definedName>
    <definedName name="_510__FDSAUDITLINK__" localSheetId="0"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0__FDSAUDITLINK__" hidden="1">{"fdsup://directions/FAT Viewer?action=UPDATE&amp;creator=factset&amp;DYN_ARGS=TRUE&amp;DOC_NAME=FAT:FQL_AUDITING_CLIENT_TEMPLATE.FAT&amp;display_string=Audit&amp;VAR:KEY=VSXSLUNKLA&amp;VAR:QUERY=RkZfRElWX1lMRChBTk4sNi8yOC8wMSw2LzI4LzAxKQ==&amp;WINDOW=FIRST_POPUP&amp;HEIGHT=450&amp;WIDTH=450&amp;","START_MAXIMIZED=FALSE&amp;VAR:CALENDAR=US&amp;VAR:SYMBOL=RAI&amp;VAR:INDEX=0"}</definedName>
    <definedName name="_511">#REF!</definedName>
    <definedName name="_511__FDSAUDITLINK__" localSheetId="0"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1__FDSAUDITLINK__" hidden="1">{"fdsup://directions/FAT Viewer?action=UPDATE&amp;creator=factset&amp;DYN_ARGS=TRUE&amp;DOC_NAME=FAT:FQL_AUDITING_CLIENT_TEMPLATE.FAT&amp;display_string=Audit&amp;VAR:KEY=DATAHKPWDS&amp;VAR:QUERY=RkZfRElWX1lMRChBTk4sNi8yMS8wMSw2LzIxLzAxKQ==&amp;WINDOW=FIRST_POPUP&amp;HEIGHT=450&amp;WIDTH=450&amp;","START_MAXIMIZED=FALSE&amp;VAR:CALENDAR=US&amp;VAR:SYMBOL=RAI&amp;VAR:INDEX=0"}</definedName>
    <definedName name="_512">#REF!</definedName>
    <definedName name="_512__FDSAUDITLINK__" localSheetId="0"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2__FDSAUDITLINK__" hidden="1">{"fdsup://directions/FAT Viewer?action=UPDATE&amp;creator=factset&amp;DYN_ARGS=TRUE&amp;DOC_NAME=FAT:FQL_AUDITING_CLIENT_TEMPLATE.FAT&amp;display_string=Audit&amp;VAR:KEY=TWFOPYBAJU&amp;VAR:QUERY=RkZfRElWX1lMRChBTk4sNi8xNC8wMSw2LzE0LzAxKQ==&amp;WINDOW=FIRST_POPUP&amp;HEIGHT=450&amp;WIDTH=450&amp;","START_MAXIMIZED=FALSE&amp;VAR:CALENDAR=US&amp;VAR:SYMBOL=RAI&amp;VAR:INDEX=0"}</definedName>
    <definedName name="_513">#REF!</definedName>
    <definedName name="_513__FDSAUDITLINK__" localSheetId="0"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3__FDSAUDITLINK__" hidden="1">{"fdsup://directions/FAT Viewer?action=UPDATE&amp;creator=factset&amp;DYN_ARGS=TRUE&amp;DOC_NAME=FAT:FQL_AUDITING_CLIENT_TEMPLATE.FAT&amp;display_string=Audit&amp;VAR:KEY=HEZQJKFAFA&amp;VAR:QUERY=RkZfRElWX1lMRChBTk4sNi8wNy8wMSw2LzA3LzAxKQ==&amp;WINDOW=FIRST_POPUP&amp;HEIGHT=450&amp;WIDTH=450&amp;","START_MAXIMIZED=FALSE&amp;VAR:CALENDAR=US&amp;VAR:SYMBOL=RAI&amp;VAR:INDEX=0"}</definedName>
    <definedName name="_514">#REF!</definedName>
    <definedName name="_514__FDSAUDITLINK__" localSheetId="0"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4__FDSAUDITLINK__" hidden="1">{"fdsup://directions/FAT Viewer?action=UPDATE&amp;creator=factset&amp;DYN_ARGS=TRUE&amp;DOC_NAME=FAT:FQL_AUDITING_CLIENT_TEMPLATE.FAT&amp;display_string=Audit&amp;VAR:KEY=DOJMXSNKZG&amp;VAR:QUERY=RkZfRElWX1lMRChBTk4sNS8zMS8wMSw1LzMxLzAxKQ==&amp;WINDOW=FIRST_POPUP&amp;HEIGHT=450&amp;WIDTH=450&amp;","START_MAXIMIZED=FALSE&amp;VAR:CALENDAR=US&amp;VAR:SYMBOL=RAI&amp;VAR:INDEX=0"}</definedName>
    <definedName name="_515__FDSAUDITLINK__" localSheetId="0"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5__FDSAUDITLINK__" hidden="1">{"fdsup://directions/FAT Viewer?action=UPDATE&amp;creator=factset&amp;DYN_ARGS=TRUE&amp;DOC_NAME=FAT:FQL_AUDITING_CLIENT_TEMPLATE.FAT&amp;display_string=Audit&amp;VAR:KEY=JABMBQBKZK&amp;VAR:QUERY=RkZfRElWX1lMRChBTk4sNS8yNC8wMSw1LzI0LzAxKQ==&amp;WINDOW=FIRST_POPUP&amp;HEIGHT=450&amp;WIDTH=450&amp;","START_MAXIMIZED=FALSE&amp;VAR:CALENDAR=US&amp;VAR:SYMBOL=RAI&amp;VAR:INDEX=0"}</definedName>
    <definedName name="_516">#REF!</definedName>
    <definedName name="_516__FDSAUDITLINK__" localSheetId="0"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__FDSAUDITLINK__" hidden="1">{"fdsup://directions/FAT Viewer?action=UPDATE&amp;creator=factset&amp;DYN_ARGS=TRUE&amp;DOC_NAME=FAT:FQL_AUDITING_CLIENT_TEMPLATE.FAT&amp;display_string=Audit&amp;VAR:KEY=BMJEPQJMPA&amp;VAR:QUERY=RkZfRElWX1lMRChBTk4sNS8xNy8wMSw1LzE3LzAxKQ==&amp;WINDOW=FIRST_POPUP&amp;HEIGHT=450&amp;WIDTH=450&amp;","START_MAXIMIZED=FALSE&amp;VAR:CALENDAR=US&amp;VAR:SYMBOL=RAI&amp;VAR:INDEX=0"}</definedName>
    <definedName name="_5166">#REF!</definedName>
    <definedName name="_5167">#REF!</definedName>
    <definedName name="_5169">#REF!</definedName>
    <definedName name="_517__FDSAUDITLINK__" localSheetId="0"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__FDSAUDITLINK__" hidden="1">{"fdsup://directions/FAT Viewer?action=UPDATE&amp;creator=factset&amp;DYN_ARGS=TRUE&amp;DOC_NAME=FAT:FQL_AUDITING_CLIENT_TEMPLATE.FAT&amp;display_string=Audit&amp;VAR:KEY=NSZQHODKZO&amp;VAR:QUERY=RkZfRElWX1lMRChBTk4sNS8xMC8wMSw1LzEwLzAxKQ==&amp;WINDOW=FIRST_POPUP&amp;HEIGHT=450&amp;WIDTH=450&amp;","START_MAXIMIZED=FALSE&amp;VAR:CALENDAR=US&amp;VAR:SYMBOL=RAI&amp;VAR:INDEX=0"}</definedName>
    <definedName name="_5170">#REF!</definedName>
    <definedName name="_5172">#REF!</definedName>
    <definedName name="_5173">#REF!</definedName>
    <definedName name="_5175">#REF!</definedName>
    <definedName name="_5176">#REF!</definedName>
    <definedName name="_518__FDSAUDITLINK__" localSheetId="0"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8__FDSAUDITLINK__" hidden="1">{"fdsup://directions/FAT Viewer?action=UPDATE&amp;creator=factset&amp;DYN_ARGS=TRUE&amp;DOC_NAME=FAT:FQL_AUDITING_CLIENT_TEMPLATE.FAT&amp;display_string=Audit&amp;VAR:KEY=TQLCLUJKTW&amp;VAR:QUERY=RkZfRElWX1lMRChBTk4sNS8wMy8wMSw1LzAzLzAxKQ==&amp;WINDOW=FIRST_POPUP&amp;HEIGHT=450&amp;WIDTH=450&amp;","START_MAXIMIZED=FALSE&amp;VAR:CALENDAR=US&amp;VAR:SYMBOL=RAI&amp;VAR:INDEX=0"}</definedName>
    <definedName name="_519">#REF!</definedName>
    <definedName name="_519__FDSAUDITLINK__" localSheetId="0"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19__FDSAUDITLINK__" hidden="1">{"fdsup://directions/FAT Viewer?action=UPDATE&amp;creator=factset&amp;DYN_ARGS=TRUE&amp;DOC_NAME=FAT:FQL_AUDITING_CLIENT_TEMPLATE.FAT&amp;display_string=Audit&amp;VAR:KEY=POBILATEBI&amp;VAR:QUERY=RkZfRElWX1lMRChBTk4sNC8yNi8wMSw0LzI2LzAxKQ==&amp;WINDOW=FIRST_POPUP&amp;HEIGHT=450&amp;WIDTH=450&amp;","START_MAXIMIZED=FALSE&amp;VAR:CALENDAR=US&amp;VAR:SYMBOL=RAI&amp;VAR:INDEX=0"}</definedName>
    <definedName name="_52">#REF!</definedName>
    <definedName name="_52____NOTE5_7">#REF!</definedName>
    <definedName name="_52__123Graph_CCONTRACT_BY_B_U">#REF!</definedName>
    <definedName name="_52__123Graph_CGROWTH_REVS_B" hidden="1">#REF!</definedName>
    <definedName name="_52__123Graph_DQRE_S_BY_CO.">#REF!</definedName>
    <definedName name="_52__123Graph_FCONTRACT_BY_B_U">#REF!</definedName>
    <definedName name="_52__FDSAUDITLINK__" localSheetId="0"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__FDSAUDITLINK__" hidden="1">{"fdsup://directions/FAT Viewer?action=UPDATE&amp;creator=factset&amp;DYN_ARGS=TRUE&amp;DOC_NAME=FAT:FQL_AUDITING_CLIENT_TEMPLATE.FAT&amp;display_string=Audit&amp;VAR:KEY=KBGVMVUPGJ&amp;VAR:QUERY=RkZfREVCVChBTk4sMCk=&amp;WINDOW=FIRST_POPUP&amp;HEIGHT=450&amp;WIDTH=450&amp;START_MAXIMIZED=FALSE&amp;VA","R:CALENDAR=US&amp;VAR:SYMBOL=SAM&amp;VAR:INDEX=0"}</definedName>
    <definedName name="_520">#REF!</definedName>
    <definedName name="_520__FDSAUDITLINK__" localSheetId="0"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0__FDSAUDITLINK__" hidden="1">{"fdsup://directions/FAT Viewer?action=UPDATE&amp;creator=factset&amp;DYN_ARGS=TRUE&amp;DOC_NAME=FAT:FQL_AUDITING_CLIENT_TEMPLATE.FAT&amp;display_string=Audit&amp;VAR:KEY=TSZOXOHKNS&amp;VAR:QUERY=RkZfRElWX1lMRChBTk4sNC8xOS8wMSw0LzE5LzAxKQ==&amp;WINDOW=FIRST_POPUP&amp;HEIGHT=450&amp;WIDTH=450&amp;","START_MAXIMIZED=FALSE&amp;VAR:CALENDAR=US&amp;VAR:SYMBOL=RAI&amp;VAR:INDEX=0"}</definedName>
    <definedName name="_521">#REF!</definedName>
    <definedName name="_521__FDSAUDITLINK__" localSheetId="0"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1__FDSAUDITLINK__" hidden="1">{"fdsup://directions/FAT Viewer?action=UPDATE&amp;creator=factset&amp;DYN_ARGS=TRUE&amp;DOC_NAME=FAT:FQL_AUDITING_CLIENT_TEMPLATE.FAT&amp;display_string=Audit&amp;VAR:KEY=DWXMZIVWXS&amp;VAR:QUERY=RkZfRElWX1lMRChBTk4sNC8xMi8wMSw0LzEyLzAxKQ==&amp;WINDOW=FIRST_POPUP&amp;HEIGHT=450&amp;WIDTH=450&amp;","START_MAXIMIZED=FALSE&amp;VAR:CALENDAR=US&amp;VAR:SYMBOL=RAI&amp;VAR:INDEX=0"}</definedName>
    <definedName name="_522">#REF!</definedName>
    <definedName name="_522__FDSAUDITLINK__" localSheetId="0"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2__FDSAUDITLINK__" hidden="1">{"fdsup://directions/FAT Viewer?action=UPDATE&amp;creator=factset&amp;DYN_ARGS=TRUE&amp;DOC_NAME=FAT:FQL_AUDITING_CLIENT_TEMPLATE.FAT&amp;display_string=Audit&amp;VAR:KEY=JUTOFARQNO&amp;VAR:QUERY=RkZfRElWX1lMRChBTk4sNC8wNS8wMSw0LzA1LzAxKQ==&amp;WINDOW=FIRST_POPUP&amp;HEIGHT=450&amp;WIDTH=450&amp;","START_MAXIMIZED=FALSE&amp;VAR:CALENDAR=US&amp;VAR:SYMBOL=RAI&amp;VAR:INDEX=0"}</definedName>
    <definedName name="_523__FDSAUDITLINK__" localSheetId="0"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3__FDSAUDITLINK__" hidden="1">{"fdsup://directions/FAT Viewer?action=UPDATE&amp;creator=factset&amp;DYN_ARGS=TRUE&amp;DOC_NAME=FAT:FQL_AUDITING_CLIENT_TEMPLATE.FAT&amp;display_string=Audit&amp;VAR:KEY=DQBEJCHOJY&amp;VAR:QUERY=RkZfRElWX1lMRChBTk4sMy8zMS8xMSwzLzMxLzExKQ==&amp;WINDOW=FIRST_POPUP&amp;HEIGHT=450&amp;WIDTH=450&amp;","START_MAXIMIZED=FALSE&amp;VAR:CALENDAR=US&amp;VAR:SYMBOL=MO&amp;VAR:INDEX=0"}</definedName>
    <definedName name="_524__FDSAUDITLINK__" localSheetId="0"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4__FDSAUDITLINK__" hidden="1">{"fdsup://directions/FAT Viewer?action=UPDATE&amp;creator=factset&amp;DYN_ARGS=TRUE&amp;DOC_NAME=FAT:FQL_AUDITING_CLIENT_TEMPLATE.FAT&amp;display_string=Audit&amp;VAR:KEY=ZWHMVWLMPS&amp;VAR:QUERY=RkZfRElWX1lMRChBTk4sMy8yNC8xMSwzLzI0LzExKQ==&amp;WINDOW=FIRST_POPUP&amp;HEIGHT=450&amp;WIDTH=450&amp;","START_MAXIMIZED=FALSE&amp;VAR:CALENDAR=US&amp;VAR:SYMBOL=MO&amp;VAR:INDEX=0"}</definedName>
    <definedName name="_525__FDSAUDITLINK__" localSheetId="0"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5__FDSAUDITLINK__" hidden="1">{"fdsup://directions/FAT Viewer?action=UPDATE&amp;creator=factset&amp;DYN_ARGS=TRUE&amp;DOC_NAME=FAT:FQL_AUDITING_CLIENT_TEMPLATE.FAT&amp;display_string=Audit&amp;VAR:KEY=BOFYDCLGLI&amp;VAR:QUERY=RkZfRElWX1lMRChBTk4sMy8xNy8xMSwzLzE3LzExKQ==&amp;WINDOW=FIRST_POPUP&amp;HEIGHT=450&amp;WIDTH=450&amp;","START_MAXIMIZED=FALSE&amp;VAR:CALENDAR=US&amp;VAR:SYMBOL=MO&amp;VAR:INDEX=0"}</definedName>
    <definedName name="_526">#REF!</definedName>
    <definedName name="_526__FDSAUDITLINK__" localSheetId="0"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6__FDSAUDITLINK__" hidden="1">{"fdsup://directions/FAT Viewer?action=UPDATE&amp;creator=factset&amp;DYN_ARGS=TRUE&amp;DOC_NAME=FAT:FQL_AUDITING_CLIENT_TEMPLATE.FAT&amp;display_string=Audit&amp;VAR:KEY=PMDQRGXWBM&amp;VAR:QUERY=RkZfRElWX1lMRChBTk4sMy8xMC8xMSwzLzEwLzExKQ==&amp;WINDOW=FIRST_POPUP&amp;HEIGHT=450&amp;WIDTH=450&amp;","START_MAXIMIZED=FALSE&amp;VAR:CALENDAR=US&amp;VAR:SYMBOL=MO&amp;VAR:INDEX=0"}</definedName>
    <definedName name="_527__FDSAUDITLINK__" localSheetId="0"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7__FDSAUDITLINK__" hidden="1">{"fdsup://directions/FAT Viewer?action=UPDATE&amp;creator=factset&amp;DYN_ARGS=TRUE&amp;DOC_NAME=FAT:FQL_AUDITING_CLIENT_TEMPLATE.FAT&amp;display_string=Audit&amp;VAR:KEY=ZSNSNARARS&amp;VAR:QUERY=RkZfRElWX1lMRChBTk4sMy8wMy8xMSwzLzAzLzExKQ==&amp;WINDOW=FIRST_POPUP&amp;HEIGHT=450&amp;WIDTH=450&amp;","START_MAXIMIZED=FALSE&amp;VAR:CALENDAR=US&amp;VAR:SYMBOL=MO&amp;VAR:INDEX=0"}</definedName>
    <definedName name="_528__FDSAUDITLINK__" localSheetId="0"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8__FDSAUDITLINK__" hidden="1">{"fdsup://directions/FAT Viewer?action=UPDATE&amp;creator=factset&amp;DYN_ARGS=TRUE&amp;DOC_NAME=FAT:FQL_AUDITING_CLIENT_TEMPLATE.FAT&amp;display_string=Audit&amp;VAR:KEY=XILOBGNSPG&amp;VAR:QUERY=RkZfRElWX1lMRChBTk4sMi8yNC8xMSwyLzI0LzExKQ==&amp;WINDOW=FIRST_POPUP&amp;HEIGHT=450&amp;WIDTH=450&amp;","START_MAXIMIZED=FALSE&amp;VAR:CALENDAR=US&amp;VAR:SYMBOL=MO&amp;VAR:INDEX=0"}</definedName>
    <definedName name="_529">#REF!</definedName>
    <definedName name="_529__FDSAUDITLINK__" localSheetId="0"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9__FDSAUDITLINK__" hidden="1">{"fdsup://directions/FAT Viewer?action=UPDATE&amp;creator=factset&amp;DYN_ARGS=TRUE&amp;DOC_NAME=FAT:FQL_AUDITING_CLIENT_TEMPLATE.FAT&amp;display_string=Audit&amp;VAR:KEY=VSZUNWROFI&amp;VAR:QUERY=RkZfRElWX1lMRChBTk4sMi8xNy8xMSwyLzE3LzExKQ==&amp;WINDOW=FIRST_POPUP&amp;HEIGHT=450&amp;WIDTH=450&amp;","START_MAXIMIZED=FALSE&amp;VAR:CALENDAR=US&amp;VAR:SYMBOL=MO&amp;VAR:INDEX=0"}</definedName>
    <definedName name="_52main_form_account_grants_list_31_j_id1022">#REF!</definedName>
    <definedName name="_53">#REF!</definedName>
    <definedName name="_53_????8_3">#REF!</definedName>
    <definedName name="_53____NOTE8_9">#REF!</definedName>
    <definedName name="_53__123Graph_DCHART_112" hidden="1">#REF!</definedName>
    <definedName name="_53__123Graph_DSUPPLIES_BY_B_U">#REF!</definedName>
    <definedName name="_53__123Graph_EWAGES_BY_B_U">#REF!</definedName>
    <definedName name="_53__123Graph_FCONTRACT_BY_B_U">#REF!</definedName>
    <definedName name="_53__123Graph_LBL_BCHART_3">#REF!</definedName>
    <definedName name="_53__FDSAUDITLINK__" localSheetId="0" hidden="1">{"fdsup://Directions/FactSet Auditing Viewer?action=AUDIT_VALUE&amp;DB=129&amp;ID1=07373010&amp;VALUEID=02001&amp;SDATE=2011&amp;PERIODTYPE=ANN_STD&amp;SCFT=3&amp;window=popup_no_bar&amp;width=385&amp;height=120&amp;START_MAXIMIZED=FALSE&amp;creator=factset&amp;display_string=Audit"}</definedName>
    <definedName name="_53__FDSAUDITLINK__" hidden="1">{"fdsup://Directions/FactSet Auditing Viewer?action=AUDIT_VALUE&amp;DB=129&amp;ID1=07373010&amp;VALUEID=02001&amp;SDATE=2011&amp;PERIODTYPE=ANN_STD&amp;SCFT=3&amp;window=popup_no_bar&amp;width=385&amp;height=120&amp;START_MAXIMIZED=FALSE&amp;creator=factset&amp;display_string=Audit"}</definedName>
    <definedName name="_530">#REF!</definedName>
    <definedName name="_530__FDSAUDITLINK__" localSheetId="0"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0__FDSAUDITLINK__" hidden="1">{"fdsup://directions/FAT Viewer?action=UPDATE&amp;creator=factset&amp;DYN_ARGS=TRUE&amp;DOC_NAME=FAT:FQL_AUDITING_CLIENT_TEMPLATE.FAT&amp;display_string=Audit&amp;VAR:KEY=LOROZAZCRS&amp;VAR:QUERY=RkZfRElWX1lMRChBTk4sMi8xMC8xMSwyLzEwLzExKQ==&amp;WINDOW=FIRST_POPUP&amp;HEIGHT=450&amp;WIDTH=450&amp;","START_MAXIMIZED=FALSE&amp;VAR:CALENDAR=US&amp;VAR:SYMBOL=MO&amp;VAR:INDEX=0"}</definedName>
    <definedName name="_531">#REF!</definedName>
    <definedName name="_531__FDSAUDITLINK__" localSheetId="0"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1__FDSAUDITLINK__" hidden="1">{"fdsup://directions/FAT Viewer?action=UPDATE&amp;creator=factset&amp;DYN_ARGS=TRUE&amp;DOC_NAME=FAT:FQL_AUDITING_CLIENT_TEMPLATE.FAT&amp;display_string=Audit&amp;VAR:KEY=VWDCPKNYDY&amp;VAR:QUERY=RkZfRElWX1lMRChBTk4sMi8wMy8xMSwyLzAzLzExKQ==&amp;WINDOW=FIRST_POPUP&amp;HEIGHT=450&amp;WIDTH=450&amp;","START_MAXIMIZED=FALSE&amp;VAR:CALENDAR=US&amp;VAR:SYMBOL=MO&amp;VAR:INDEX=0"}</definedName>
    <definedName name="_532">#REF!</definedName>
    <definedName name="_532__FDSAUDITLINK__" localSheetId="0"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2__FDSAUDITLINK__" hidden="1">{"fdsup://directions/FAT Viewer?action=UPDATE&amp;creator=factset&amp;DYN_ARGS=TRUE&amp;DOC_NAME=FAT:FQL_AUDITING_CLIENT_TEMPLATE.FAT&amp;display_string=Audit&amp;VAR:KEY=HUXSLIHQVK&amp;VAR:QUERY=RkZfRElWX1lMRChBTk4sMS8yNy8xMSwxLzI3LzExKQ==&amp;WINDOW=FIRST_POPUP&amp;HEIGHT=450&amp;WIDTH=450&amp;","START_MAXIMIZED=FALSE&amp;VAR:CALENDAR=US&amp;VAR:SYMBOL=MO&amp;VAR:INDEX=0"}</definedName>
    <definedName name="_533">#REF!</definedName>
    <definedName name="_533__FDSAUDITLINK__" localSheetId="0"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3__FDSAUDITLINK__" hidden="1">{"fdsup://directions/FAT Viewer?action=UPDATE&amp;creator=factset&amp;DYN_ARGS=TRUE&amp;DOC_NAME=FAT:FQL_AUDITING_CLIENT_TEMPLATE.FAT&amp;display_string=Audit&amp;VAR:KEY=BSDYTSVSLU&amp;VAR:QUERY=RkZfRElWX1lMRChBTk4sMS8yMC8xMSwxLzIwLzExKQ==&amp;WINDOW=FIRST_POPUP&amp;HEIGHT=450&amp;WIDTH=450&amp;","START_MAXIMIZED=FALSE&amp;VAR:CALENDAR=US&amp;VAR:SYMBOL=MO&amp;VAR:INDEX=0"}</definedName>
    <definedName name="_534">#REF!</definedName>
    <definedName name="_534__FDSAUDITLINK__" localSheetId="0"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4__FDSAUDITLINK__" hidden="1">{"fdsup://directions/FAT Viewer?action=UPDATE&amp;creator=factset&amp;DYN_ARGS=TRUE&amp;DOC_NAME=FAT:FQL_AUDITING_CLIENT_TEMPLATE.FAT&amp;display_string=Audit&amp;VAR:KEY=PCXKDKVUVM&amp;VAR:QUERY=RkZfRElWX1lMRChBTk4sMS8xMy8xMSwxLzEzLzExKQ==&amp;WINDOW=FIRST_POPUP&amp;HEIGHT=450&amp;WIDTH=450&amp;","START_MAXIMIZED=FALSE&amp;VAR:CALENDAR=US&amp;VAR:SYMBOL=MO&amp;VAR:INDEX=0"}</definedName>
    <definedName name="_535">#REF!</definedName>
    <definedName name="_535__FDSAUDITLINK__" localSheetId="0"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5__FDSAUDITLINK__" hidden="1">{"fdsup://directions/FAT Viewer?action=UPDATE&amp;creator=factset&amp;DYN_ARGS=TRUE&amp;DOC_NAME=FAT:FQL_AUDITING_CLIENT_TEMPLATE.FAT&amp;display_string=Audit&amp;VAR:KEY=HQXGXKFMVW&amp;VAR:QUERY=RkZfRElWX1lMRChBTk4sMS8wNi8xMSwxLzA2LzExKQ==&amp;WINDOW=FIRST_POPUP&amp;HEIGHT=450&amp;WIDTH=450&amp;","START_MAXIMIZED=FALSE&amp;VAR:CALENDAR=US&amp;VAR:SYMBOL=MO&amp;VAR:INDEX=0"}</definedName>
    <definedName name="_536">#REF!</definedName>
    <definedName name="_536__FDSAUDITLINK__" localSheetId="0"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6__FDSAUDITLINK__" hidden="1">{"fdsup://directions/FAT Viewer?action=UPDATE&amp;creator=factset&amp;DYN_ARGS=TRUE&amp;DOC_NAME=FAT:FQL_AUDITING_CLIENT_TEMPLATE.FAT&amp;display_string=Audit&amp;VAR:KEY=BATYTATQTU&amp;VAR:QUERY=RkZfRElWX1lMRChBTk4sMTIvMzAvMTAsMTIvMzAvMTAp&amp;WINDOW=FIRST_POPUP&amp;HEIGHT=450&amp;WIDTH=450&amp;","START_MAXIMIZED=FALSE&amp;VAR:CALENDAR=US&amp;VAR:SYMBOL=MO&amp;VAR:INDEX=0"}</definedName>
    <definedName name="_537">#REF!</definedName>
    <definedName name="_537__FDSAUDITLINK__" localSheetId="0"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__FDSAUDITLINK__" hidden="1">{"fdsup://directions/FAT Viewer?action=UPDATE&amp;creator=factset&amp;DYN_ARGS=TRUE&amp;DOC_NAME=FAT:FQL_AUDITING_CLIENT_TEMPLATE.FAT&amp;display_string=Audit&amp;VAR:KEY=VCLYRWJIJS&amp;VAR:QUERY=RkZfRElWX1lMRChBTk4sMTIvMjMvMTAsMTIvMjMvMTAp&amp;WINDOW=FIRST_POPUP&amp;HEIGHT=450&amp;WIDTH=450&amp;","START_MAXIMIZED=FALSE&amp;VAR:CALENDAR=US&amp;VAR:SYMBOL=MO&amp;VAR:INDEX=0"}</definedName>
    <definedName name="_5370">#REF!</definedName>
    <definedName name="_5371">#REF!</definedName>
    <definedName name="_5373">#REF!</definedName>
    <definedName name="_5374">#REF!</definedName>
    <definedName name="_5376">#REF!</definedName>
    <definedName name="_5377">#REF!</definedName>
    <definedName name="_5379">#REF!</definedName>
    <definedName name="_538">#REF!</definedName>
    <definedName name="_538__FDSAUDITLINK__" localSheetId="0"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__FDSAUDITLINK__" hidden="1">{"fdsup://directions/FAT Viewer?action=UPDATE&amp;creator=factset&amp;DYN_ARGS=TRUE&amp;DOC_NAME=FAT:FQL_AUDITING_CLIENT_TEMPLATE.FAT&amp;display_string=Audit&amp;VAR:KEY=LGBQHOHINQ&amp;VAR:QUERY=RkZfRElWX1lMRChBTk4sMTIvMTYvMTAsMTIvMTYvMTAp&amp;WINDOW=FIRST_POPUP&amp;HEIGHT=450&amp;WIDTH=450&amp;","START_MAXIMIZED=FALSE&amp;VAR:CALENDAR=US&amp;VAR:SYMBOL=MO&amp;VAR:INDEX=0"}</definedName>
    <definedName name="_5380">#REF!</definedName>
    <definedName name="_539">#REF!</definedName>
    <definedName name="_539__FDSAUDITLINK__" localSheetId="0"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39__FDSAUDITLINK__" hidden="1">{"fdsup://directions/FAT Viewer?action=UPDATE&amp;creator=factset&amp;DYN_ARGS=TRUE&amp;DOC_NAME=FAT:FQL_AUDITING_CLIENT_TEMPLATE.FAT&amp;display_string=Audit&amp;VAR:KEY=ZARCNIXCHG&amp;VAR:QUERY=RkZfRElWX1lMRChBTk4sMTIvMDkvMTAsMTIvMDkvMTAp&amp;WINDOW=FIRST_POPUP&amp;HEIGHT=450&amp;WIDTH=450&amp;","START_MAXIMIZED=FALSE&amp;VAR:CALENDAR=US&amp;VAR:SYMBOL=MO&amp;VAR:INDEX=0"}</definedName>
    <definedName name="_54">#REF!</definedName>
    <definedName name="_54____P_L">#REF!</definedName>
    <definedName name="_54__123Graph_BSENS_COMPARISON">#REF!</definedName>
    <definedName name="_54__123Graph_DCONTRACT_BY_B_U">#REF!</definedName>
    <definedName name="_54__123Graph_DWAGES_BY_B_U">#REF!</definedName>
    <definedName name="_54__123Graph_FQRE_S_BY_CO.">#REF!</definedName>
    <definedName name="_54__FDSAUDITLINK__" localSheetId="0"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__FDSAUDITLINK__" hidden="1">{"fdsup://directions/FAT Viewer?action=UPDATE&amp;creator=factset&amp;DYN_ARGS=TRUE&amp;DOC_NAME=FAT:FQL_AUDITING_CLIENT_TEMPLATE.FAT&amp;display_string=Audit&amp;VAR:KEY=DEVEBAXYJU&amp;VAR:QUERY=QVZHKEZGX0RJVl9ZTEQoQU5OLDQwOTk0LC01QVkpKQ==&amp;WINDOW=FIRST_POPUP&amp;HEIGHT=450&amp;WIDTH=450&amp;","START_MAXIMIZED=FALSE&amp;VAR:CALENDAR=US&amp;VAR:SYMBOL=PM"}</definedName>
    <definedName name="_540">#REF!</definedName>
    <definedName name="_540__FDSAUDITLINK__" localSheetId="0"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0__FDSAUDITLINK__" hidden="1">{"fdsup://directions/FAT Viewer?action=UPDATE&amp;creator=factset&amp;DYN_ARGS=TRUE&amp;DOC_NAME=FAT:FQL_AUDITING_CLIENT_TEMPLATE.FAT&amp;display_string=Audit&amp;VAR:KEY=FMLCBOVMXQ&amp;VAR:QUERY=RkZfRElWX1lMRChBTk4sMTIvMDIvMTAsMTIvMDIvMTAp&amp;WINDOW=FIRST_POPUP&amp;HEIGHT=450&amp;WIDTH=450&amp;","START_MAXIMIZED=FALSE&amp;VAR:CALENDAR=US&amp;VAR:SYMBOL=MO&amp;VAR:INDEX=0"}</definedName>
    <definedName name="_541">#REF!</definedName>
    <definedName name="_541__FDSAUDITLINK__" localSheetId="0"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1__FDSAUDITLINK__" hidden="1">{"fdsup://directions/FAT Viewer?action=UPDATE&amp;creator=factset&amp;DYN_ARGS=TRUE&amp;DOC_NAME=FAT:FQL_AUDITING_CLIENT_TEMPLATE.FAT&amp;display_string=Audit&amp;VAR:KEY=XOPUDIVMDW&amp;VAR:QUERY=RkZfRElWX1lMRChBTk4sMTEvMjQvMTAsMTEvMjQvMTAp&amp;WINDOW=FIRST_POPUP&amp;HEIGHT=450&amp;WIDTH=450&amp;","START_MAXIMIZED=FALSE&amp;VAR:CALENDAR=US&amp;VAR:SYMBOL=MO&amp;VAR:INDEX=0"}</definedName>
    <definedName name="_542">#REF!</definedName>
    <definedName name="_542__FDSAUDITLINK__" localSheetId="0"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2__FDSAUDITLINK__" hidden="1">{"fdsup://directions/FAT Viewer?action=UPDATE&amp;creator=factset&amp;DYN_ARGS=TRUE&amp;DOC_NAME=FAT:FQL_AUDITING_CLIENT_TEMPLATE.FAT&amp;display_string=Audit&amp;VAR:KEY=BSTAVMNYDA&amp;VAR:QUERY=RkZfRElWX1lMRChBTk4sMTEvMTgvMTAsMTEvMTgvMTAp&amp;WINDOW=FIRST_POPUP&amp;HEIGHT=450&amp;WIDTH=450&amp;","START_MAXIMIZED=FALSE&amp;VAR:CALENDAR=US&amp;VAR:SYMBOL=MO&amp;VAR:INDEX=0"}</definedName>
    <definedName name="_543">#REF!</definedName>
    <definedName name="_543__FDSAUDITLINK__" localSheetId="0"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3__FDSAUDITLINK__" hidden="1">{"fdsup://directions/FAT Viewer?action=UPDATE&amp;creator=factset&amp;DYN_ARGS=TRUE&amp;DOC_NAME=FAT:FQL_AUDITING_CLIENT_TEMPLATE.FAT&amp;display_string=Audit&amp;VAR:KEY=TABMNGFEVY&amp;VAR:QUERY=RkZfRElWX1lMRChBTk4sMTEvMTEvMTAsMTEvMTEvMTAp&amp;WINDOW=FIRST_POPUP&amp;HEIGHT=450&amp;WIDTH=450&amp;","START_MAXIMIZED=FALSE&amp;VAR:CALENDAR=US&amp;VAR:SYMBOL=MO&amp;VAR:INDEX=0"}</definedName>
    <definedName name="_544">#REF!</definedName>
    <definedName name="_544__FDSAUDITLINK__" localSheetId="0"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4__FDSAUDITLINK__" hidden="1">{"fdsup://directions/FAT Viewer?action=UPDATE&amp;creator=factset&amp;DYN_ARGS=TRUE&amp;DOC_NAME=FAT:FQL_AUDITING_CLIENT_TEMPLATE.FAT&amp;display_string=Audit&amp;VAR:KEY=JWDQDQPAZI&amp;VAR:QUERY=RkZfRElWX1lMRChBTk4sMTEvMDQvMTAsMTEvMDQvMTAp&amp;WINDOW=FIRST_POPUP&amp;HEIGHT=450&amp;WIDTH=450&amp;","START_MAXIMIZED=FALSE&amp;VAR:CALENDAR=US&amp;VAR:SYMBOL=MO&amp;VAR:INDEX=0"}</definedName>
    <definedName name="_545">#REF!</definedName>
    <definedName name="_545__FDSAUDITLINK__" localSheetId="0"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5__FDSAUDITLINK__" hidden="1">{"fdsup://directions/FAT Viewer?action=UPDATE&amp;creator=factset&amp;DYN_ARGS=TRUE&amp;DOC_NAME=FAT:FQL_AUDITING_CLIENT_TEMPLATE.FAT&amp;display_string=Audit&amp;VAR:KEY=XGZIDMHMBY&amp;VAR:QUERY=RkZfRElWX1lMRChBTk4sMTAvMjgvMTAsMTAvMjgvMTAp&amp;WINDOW=FIRST_POPUP&amp;HEIGHT=450&amp;WIDTH=450&amp;","START_MAXIMIZED=FALSE&amp;VAR:CALENDAR=US&amp;VAR:SYMBOL=MO&amp;VAR:INDEX=0"}</definedName>
    <definedName name="_546">#REF!</definedName>
    <definedName name="_546__FDSAUDITLINK__" localSheetId="0"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6__FDSAUDITLINK__" hidden="1">{"fdsup://directions/FAT Viewer?action=UPDATE&amp;creator=factset&amp;DYN_ARGS=TRUE&amp;DOC_NAME=FAT:FQL_AUDITING_CLIENT_TEMPLATE.FAT&amp;display_string=Audit&amp;VAR:KEY=FMBARKBCRW&amp;VAR:QUERY=RkZfRElWX1lMRChBTk4sMTAvMjEvMTAsMTAvMjEvMTAp&amp;WINDOW=FIRST_POPUP&amp;HEIGHT=450&amp;WIDTH=450&amp;","START_MAXIMIZED=FALSE&amp;VAR:CALENDAR=US&amp;VAR:SYMBOL=MO&amp;VAR:INDEX=0"}</definedName>
    <definedName name="_547">#REF!</definedName>
    <definedName name="_547__FDSAUDITLINK__" localSheetId="0"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7__FDSAUDITLINK__" hidden="1">{"fdsup://directions/FAT Viewer?action=UPDATE&amp;creator=factset&amp;DYN_ARGS=TRUE&amp;DOC_NAME=FAT:FQL_AUDITING_CLIENT_TEMPLATE.FAT&amp;display_string=Audit&amp;VAR:KEY=XMTGVYFGPI&amp;VAR:QUERY=RkZfRElWX1lMRChBTk4sMTAvMTQvMTAsMTAvMTQvMTAp&amp;WINDOW=FIRST_POPUP&amp;HEIGHT=450&amp;WIDTH=450&amp;","START_MAXIMIZED=FALSE&amp;VAR:CALENDAR=US&amp;VAR:SYMBOL=MO&amp;VAR:INDEX=0"}</definedName>
    <definedName name="_548">#REF!</definedName>
    <definedName name="_548__FDSAUDITLINK__" localSheetId="0"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8__FDSAUDITLINK__" hidden="1">{"fdsup://directions/FAT Viewer?action=UPDATE&amp;creator=factset&amp;DYN_ARGS=TRUE&amp;DOC_NAME=FAT:FQL_AUDITING_CLIENT_TEMPLATE.FAT&amp;display_string=Audit&amp;VAR:KEY=PSNULCVMZQ&amp;VAR:QUERY=RkZfRElWX1lMRChBTk4sMTAvMDcvMTAsMTAvMDcvMTAp&amp;WINDOW=FIRST_POPUP&amp;HEIGHT=450&amp;WIDTH=450&amp;","START_MAXIMIZED=FALSE&amp;VAR:CALENDAR=US&amp;VAR:SYMBOL=MO&amp;VAR:INDEX=0"}</definedName>
    <definedName name="_549__FDSAUDITLINK__" localSheetId="0"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9__FDSAUDITLINK__" hidden="1">{"fdsup://directions/FAT Viewer?action=UPDATE&amp;creator=factset&amp;DYN_ARGS=TRUE&amp;DOC_NAME=FAT:FQL_AUDITING_CLIENT_TEMPLATE.FAT&amp;display_string=Audit&amp;VAR:KEY=JQNUXQRCLG&amp;VAR:QUERY=RkZfRElWX1lMRChBTk4sOS8zMC8xMCw5LzMwLzEwKQ==&amp;WINDOW=FIRST_POPUP&amp;HEIGHT=450&amp;WIDTH=450&amp;","START_MAXIMIZED=FALSE&amp;VAR:CALENDAR=US&amp;VAR:SYMBOL=MO&amp;VAR:INDEX=0"}</definedName>
    <definedName name="_54main_form_account_grants_list_32_j_id1022">#REF!</definedName>
    <definedName name="_55">#REF!</definedName>
    <definedName name="_55___B_S">#REF!</definedName>
    <definedName name="_55__123Graph_BCHART_8">#REF!</definedName>
    <definedName name="_55__123Graph_BSENS_COMPARISON">#REF!</definedName>
    <definedName name="_55__123Graph_ECONTRACT_BY_B_U">#REF!</definedName>
    <definedName name="_55__123Graph_FCONTRACT_BY_B_U">#REF!</definedName>
    <definedName name="_55__123Graph_FQRE_S_BY_CO.">#REF!</definedName>
    <definedName name="_55__FDSAUDITLINK__" localSheetId="0"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_FDSAUDITLINK__" hidden="1">{"fdsup://directions/FAT Viewer?action=UPDATE&amp;creator=factset&amp;DYN_ARGS=TRUE&amp;DOC_NAME=FAT:FQL_AUDITING_CLIENT_TEMPLATE.FAT&amp;display_string=Audit&amp;VAR:KEY=LMFWZIFAVY&amp;VAR:QUERY=QVZHKEZGX0RJVl9ZTEQoQU5OLDQwOTk0LC0zQVkpKQ==&amp;WINDOW=FIRST_POPUP&amp;HEIGHT=450&amp;WIDTH=450&amp;","START_MAXIMIZED=FALSE&amp;VAR:CALENDAR=US&amp;VAR:SYMBOL=PM"}</definedName>
    <definedName name="_55_0_Table2_" hidden="1">#REF!</definedName>
    <definedName name="_550__FDSAUDITLINK__" localSheetId="0"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0__FDSAUDITLINK__" hidden="1">{"fdsup://directions/FAT Viewer?action=UPDATE&amp;creator=factset&amp;DYN_ARGS=TRUE&amp;DOC_NAME=FAT:FQL_AUDITING_CLIENT_TEMPLATE.FAT&amp;display_string=Audit&amp;VAR:KEY=TWDIRAHYFG&amp;VAR:QUERY=RkZfRElWX1lMRChBTk4sOS8yMy8xMCw5LzIzLzEwKQ==&amp;WINDOW=FIRST_POPUP&amp;HEIGHT=450&amp;WIDTH=450&amp;","START_MAXIMIZED=FALSE&amp;VAR:CALENDAR=US&amp;VAR:SYMBOL=MO&amp;VAR:INDEX=0"}</definedName>
    <definedName name="_551__FDSAUDITLINK__" localSheetId="0"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1__FDSAUDITLINK__" hidden="1">{"fdsup://directions/FAT Viewer?action=UPDATE&amp;creator=factset&amp;DYN_ARGS=TRUE&amp;DOC_NAME=FAT:FQL_AUDITING_CLIENT_TEMPLATE.FAT&amp;display_string=Audit&amp;VAR:KEY=NEZALQXIZW&amp;VAR:QUERY=RkZfRElWX1lMRChBTk4sOS8xNi8xMCw5LzE2LzEwKQ==&amp;WINDOW=FIRST_POPUP&amp;HEIGHT=450&amp;WIDTH=450&amp;","START_MAXIMIZED=FALSE&amp;VAR:CALENDAR=US&amp;VAR:SYMBOL=MO&amp;VAR:INDEX=0"}</definedName>
    <definedName name="_552__FDSAUDITLINK__" localSheetId="0"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2__FDSAUDITLINK__" hidden="1">{"fdsup://directions/FAT Viewer?action=UPDATE&amp;creator=factset&amp;DYN_ARGS=TRUE&amp;DOC_NAME=FAT:FQL_AUDITING_CLIENT_TEMPLATE.FAT&amp;display_string=Audit&amp;VAR:KEY=NMBQRSHAPE&amp;VAR:QUERY=RkZfRElWX1lMRChBTk4sOS8wOS8xMCw5LzA5LzEwKQ==&amp;WINDOW=FIRST_POPUP&amp;HEIGHT=450&amp;WIDTH=450&amp;","START_MAXIMIZED=FALSE&amp;VAR:CALENDAR=US&amp;VAR:SYMBOL=MO&amp;VAR:INDEX=0"}</definedName>
    <definedName name="_553">#REF!</definedName>
    <definedName name="_553__FDSAUDITLINK__" localSheetId="0"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3__FDSAUDITLINK__" hidden="1">{"fdsup://directions/FAT Viewer?action=UPDATE&amp;creator=factset&amp;DYN_ARGS=TRUE&amp;DOC_NAME=FAT:FQL_AUDITING_CLIENT_TEMPLATE.FAT&amp;display_string=Audit&amp;VAR:KEY=PQDOFIJWZW&amp;VAR:QUERY=RkZfRElWX1lMRChBTk4sOS8wMi8xMCw5LzAyLzEwKQ==&amp;WINDOW=FIRST_POPUP&amp;HEIGHT=450&amp;WIDTH=450&amp;","START_MAXIMIZED=FALSE&amp;VAR:CALENDAR=US&amp;VAR:SYMBOL=MO&amp;VAR:INDEX=0"}</definedName>
    <definedName name="_554">#REF!</definedName>
    <definedName name="_554__FDSAUDITLINK__" localSheetId="0"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4__FDSAUDITLINK__" hidden="1">{"fdsup://directions/FAT Viewer?action=UPDATE&amp;creator=factset&amp;DYN_ARGS=TRUE&amp;DOC_NAME=FAT:FQL_AUDITING_CLIENT_TEMPLATE.FAT&amp;display_string=Audit&amp;VAR:KEY=RCRGFQXONY&amp;VAR:QUERY=RkZfRElWX1lMRChBTk4sOC8yNi8xMCw4LzI2LzEwKQ==&amp;WINDOW=FIRST_POPUP&amp;HEIGHT=450&amp;WIDTH=450&amp;","START_MAXIMIZED=FALSE&amp;VAR:CALENDAR=US&amp;VAR:SYMBOL=MO&amp;VAR:INDEX=0"}</definedName>
    <definedName name="_555">#REF!</definedName>
    <definedName name="_555__FDSAUDITLINK__" localSheetId="0"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5__FDSAUDITLINK__" hidden="1">{"fdsup://directions/FAT Viewer?action=UPDATE&amp;creator=factset&amp;DYN_ARGS=TRUE&amp;DOC_NAME=FAT:FQL_AUDITING_CLIENT_TEMPLATE.FAT&amp;display_string=Audit&amp;VAR:KEY=PODWTYNABC&amp;VAR:QUERY=RkZfRElWX1lMRChBTk4sOC8xOS8xMCw4LzE5LzEwKQ==&amp;WINDOW=FIRST_POPUP&amp;HEIGHT=450&amp;WIDTH=450&amp;","START_MAXIMIZED=FALSE&amp;VAR:CALENDAR=US&amp;VAR:SYMBOL=MO&amp;VAR:INDEX=0"}</definedName>
    <definedName name="_556">#REF!</definedName>
    <definedName name="_556__FDSAUDITLINK__" localSheetId="0"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6__FDSAUDITLINK__" hidden="1">{"fdsup://directions/FAT Viewer?action=UPDATE&amp;creator=factset&amp;DYN_ARGS=TRUE&amp;DOC_NAME=FAT:FQL_AUDITING_CLIENT_TEMPLATE.FAT&amp;display_string=Audit&amp;VAR:KEY=TWFONCRSHA&amp;VAR:QUERY=RkZfRElWX1lMRChBTk4sOC8xMi8xMCw4LzEyLzEwKQ==&amp;WINDOW=FIRST_POPUP&amp;HEIGHT=450&amp;WIDTH=450&amp;","START_MAXIMIZED=FALSE&amp;VAR:CALENDAR=US&amp;VAR:SYMBOL=MO&amp;VAR:INDEX=0"}</definedName>
    <definedName name="_557__FDSAUDITLINK__" localSheetId="0"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7__FDSAUDITLINK__" hidden="1">{"fdsup://directions/FAT Viewer?action=UPDATE&amp;creator=factset&amp;DYN_ARGS=TRUE&amp;DOC_NAME=FAT:FQL_AUDITING_CLIENT_TEMPLATE.FAT&amp;display_string=Audit&amp;VAR:KEY=FGLADMXWDU&amp;VAR:QUERY=RkZfRElWX1lMRChBTk4sOC8wNS8xMCw4LzA1LzEwKQ==&amp;WINDOW=FIRST_POPUP&amp;HEIGHT=450&amp;WIDTH=450&amp;","START_MAXIMIZED=FALSE&amp;VAR:CALENDAR=US&amp;VAR:SYMBOL=MO&amp;VAR:INDEX=0"}</definedName>
    <definedName name="_558__FDSAUDITLINK__" localSheetId="0"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8__FDSAUDITLINK__" hidden="1">{"fdsup://directions/FAT Viewer?action=UPDATE&amp;creator=factset&amp;DYN_ARGS=TRUE&amp;DOC_NAME=FAT:FQL_AUDITING_CLIENT_TEMPLATE.FAT&amp;display_string=Audit&amp;VAR:KEY=FGPEXGTYBQ&amp;VAR:QUERY=RkZfRElWX1lMRChBTk4sNy8yOS8xMCw3LzI5LzEwKQ==&amp;WINDOW=FIRST_POPUP&amp;HEIGHT=450&amp;WIDTH=450&amp;","START_MAXIMIZED=FALSE&amp;VAR:CALENDAR=US&amp;VAR:SYMBOL=MO&amp;VAR:INDEX=0"}</definedName>
    <definedName name="_559__FDSAUDITLINK__" localSheetId="0"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59__FDSAUDITLINK__" hidden="1">{"fdsup://directions/FAT Viewer?action=UPDATE&amp;creator=factset&amp;DYN_ARGS=TRUE&amp;DOC_NAME=FAT:FQL_AUDITING_CLIENT_TEMPLATE.FAT&amp;display_string=Audit&amp;VAR:KEY=VQJWNKFMZQ&amp;VAR:QUERY=RkZfRElWX1lMRChBTk4sNy8yMi8xMCw3LzIyLzEwKQ==&amp;WINDOW=FIRST_POPUP&amp;HEIGHT=450&amp;WIDTH=450&amp;","START_MAXIMIZED=FALSE&amp;VAR:CALENDAR=US&amp;VAR:SYMBOL=MO&amp;VAR:INDEX=0"}</definedName>
    <definedName name="_56">#REF!</definedName>
    <definedName name="_56___NOTE10_12">#REF!</definedName>
    <definedName name="_56__123Graph_BTAX_CREDIT">#REF!</definedName>
    <definedName name="_56__123Graph_CQRE_S_BY_CO.">#REF!</definedName>
    <definedName name="_56__123Graph_DGROWTH_REVS_A" hidden="1">#REF!</definedName>
    <definedName name="_56__123Graph_EQRE_S_BY_CO.">#REF!</definedName>
    <definedName name="_56__123Graph_FSUPPLIES_BY_B_U">#REF!</definedName>
    <definedName name="_56__123Graph_LBL_BCHART_4">#REF!</definedName>
    <definedName name="_56__FDSAUDITLINK__" localSheetId="0"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_FDSAUDITLINK__" hidden="1">{"fdsup://directions/FAT Viewer?action=UPDATE&amp;creator=factset&amp;DYN_ARGS=TRUE&amp;DOC_NAME=FAT:FQL_AUDITING_CLIENT_TEMPLATE.FAT&amp;display_string=Audit&amp;VAR:KEY=RQDOPYVGJQ&amp;VAR:QUERY=QVZHKEZGX0RJVl9ZTEQoQU5OLDQwOTk0LC0yQVkpKQ==&amp;WINDOW=FIRST_POPUP&amp;HEIGHT=450&amp;WIDTH=450&amp;","START_MAXIMIZED=FALSE&amp;VAR:CALENDAR=US&amp;VAR:SYMBOL=PM"}</definedName>
    <definedName name="_56_0_Table2_" hidden="1">#REF!</definedName>
    <definedName name="_560">#REF!</definedName>
    <definedName name="_560__FDSAUDITLINK__" localSheetId="0"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0__FDSAUDITLINK__" hidden="1">{"fdsup://directions/FAT Viewer?action=UPDATE&amp;creator=factset&amp;DYN_ARGS=TRUE&amp;DOC_NAME=FAT:FQL_AUDITING_CLIENT_TEMPLATE.FAT&amp;display_string=Audit&amp;VAR:KEY=ZWVCFMLWJG&amp;VAR:QUERY=RkZfRElWX1lMRChBTk4sNy8xNS8xMCw3LzE1LzEwKQ==&amp;WINDOW=FIRST_POPUP&amp;HEIGHT=450&amp;WIDTH=450&amp;","START_MAXIMIZED=FALSE&amp;VAR:CALENDAR=US&amp;VAR:SYMBOL=MO&amp;VAR:INDEX=0"}</definedName>
    <definedName name="_561">#REF!</definedName>
    <definedName name="_561__FDSAUDITLINK__" localSheetId="0"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1__FDSAUDITLINK__" hidden="1">{"fdsup://directions/FAT Viewer?action=UPDATE&amp;creator=factset&amp;DYN_ARGS=TRUE&amp;DOC_NAME=FAT:FQL_AUDITING_CLIENT_TEMPLATE.FAT&amp;display_string=Audit&amp;VAR:KEY=HETYZMLAXA&amp;VAR:QUERY=RkZfRElWX1lMRChBTk4sNy8wOC8xMCw3LzA4LzEwKQ==&amp;WINDOW=FIRST_POPUP&amp;HEIGHT=450&amp;WIDTH=450&amp;","START_MAXIMIZED=FALSE&amp;VAR:CALENDAR=US&amp;VAR:SYMBOL=MO&amp;VAR:INDEX=0"}</definedName>
    <definedName name="_562">#REF!</definedName>
    <definedName name="_562__FDSAUDITLINK__" localSheetId="0"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__FDSAUDITLINK__" hidden="1">{"fdsup://directions/FAT Viewer?action=UPDATE&amp;creator=factset&amp;DYN_ARGS=TRUE&amp;DOC_NAME=FAT:FQL_AUDITING_CLIENT_TEMPLATE.FAT&amp;display_string=Audit&amp;VAR:KEY=LGZWFUXMPO&amp;VAR:QUERY=RkZfRElWX1lMRChBTk4sNy8wMS8xMCw3LzAxLzEwKQ==&amp;WINDOW=FIRST_POPUP&amp;HEIGHT=450&amp;WIDTH=450&amp;","START_MAXIMIZED=FALSE&amp;VAR:CALENDAR=US&amp;VAR:SYMBOL=MO&amp;VAR:INDEX=0"}</definedName>
    <definedName name="_5626">#REF!</definedName>
    <definedName name="_5627">#REF!</definedName>
    <definedName name="_5629">#REF!</definedName>
    <definedName name="_563">#REF!</definedName>
    <definedName name="_563__FDSAUDITLINK__" localSheetId="0"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__FDSAUDITLINK__" hidden="1">{"fdsup://directions/FAT Viewer?action=UPDATE&amp;creator=factset&amp;DYN_ARGS=TRUE&amp;DOC_NAME=FAT:FQL_AUDITING_CLIENT_TEMPLATE.FAT&amp;display_string=Audit&amp;VAR:KEY=RIFMDEBKFO&amp;VAR:QUERY=RkZfRElWX1lMRChBTk4sNi8yNC8xMCw2LzI0LzEwKQ==&amp;WINDOW=FIRST_POPUP&amp;HEIGHT=450&amp;WIDTH=450&amp;","START_MAXIMIZED=FALSE&amp;VAR:CALENDAR=US&amp;VAR:SYMBOL=MO&amp;VAR:INDEX=0"}</definedName>
    <definedName name="_5630">#REF!</definedName>
    <definedName name="_5632">#REF!</definedName>
    <definedName name="_5633">#REF!</definedName>
    <definedName name="_5635">#REF!</definedName>
    <definedName name="_5636">#REF!</definedName>
    <definedName name="_564">#REF!</definedName>
    <definedName name="_564__FDSAUDITLINK__" localSheetId="0"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4__FDSAUDITLINK__" hidden="1">{"fdsup://directions/FAT Viewer?action=UPDATE&amp;creator=factset&amp;DYN_ARGS=TRUE&amp;DOC_NAME=FAT:FQL_AUDITING_CLIENT_TEMPLATE.FAT&amp;display_string=Audit&amp;VAR:KEY=HQTOXEJSBW&amp;VAR:QUERY=RkZfRElWX1lMRChBTk4sNi8xNy8xMCw2LzE3LzEwKQ==&amp;WINDOW=FIRST_POPUP&amp;HEIGHT=450&amp;WIDTH=450&amp;","START_MAXIMIZED=FALSE&amp;VAR:CALENDAR=US&amp;VAR:SYMBOL=MO&amp;VAR:INDEX=0"}</definedName>
    <definedName name="_565">#REF!</definedName>
    <definedName name="_565__FDSAUDITLINK__" localSheetId="0"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5__FDSAUDITLINK__" hidden="1">{"fdsup://directions/FAT Viewer?action=UPDATE&amp;creator=factset&amp;DYN_ARGS=TRUE&amp;DOC_NAME=FAT:FQL_AUDITING_CLIENT_TEMPLATE.FAT&amp;display_string=Audit&amp;VAR:KEY=HOTSZGNOPM&amp;VAR:QUERY=RkZfRElWX1lMRChBTk4sNi8xMC8xMCw2LzEwLzEwKQ==&amp;WINDOW=FIRST_POPUP&amp;HEIGHT=450&amp;WIDTH=450&amp;","START_MAXIMIZED=FALSE&amp;VAR:CALENDAR=US&amp;VAR:SYMBOL=MO&amp;VAR:INDEX=0"}</definedName>
    <definedName name="_566__FDSAUDITLINK__" localSheetId="0"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6__FDSAUDITLINK__" hidden="1">{"fdsup://directions/FAT Viewer?action=UPDATE&amp;creator=factset&amp;DYN_ARGS=TRUE&amp;DOC_NAME=FAT:FQL_AUDITING_CLIENT_TEMPLATE.FAT&amp;display_string=Audit&amp;VAR:KEY=HSVKTKXMDM&amp;VAR:QUERY=RkZfRElWX1lMRChBTk4sNi8wMy8xMCw2LzAzLzEwKQ==&amp;WINDOW=FIRST_POPUP&amp;HEIGHT=450&amp;WIDTH=450&amp;","START_MAXIMIZED=FALSE&amp;VAR:CALENDAR=US&amp;VAR:SYMBOL=MO&amp;VAR:INDEX=0"}</definedName>
    <definedName name="_567__FDSAUDITLINK__" localSheetId="0"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7__FDSAUDITLINK__" hidden="1">{"fdsup://directions/FAT Viewer?action=UPDATE&amp;creator=factset&amp;DYN_ARGS=TRUE&amp;DOC_NAME=FAT:FQL_AUDITING_CLIENT_TEMPLATE.FAT&amp;display_string=Audit&amp;VAR:KEY=PGZYFGFMJU&amp;VAR:QUERY=RkZfRElWX1lMRChBTk4sNS8yNy8xMCw1LzI3LzEwKQ==&amp;WINDOW=FIRST_POPUP&amp;HEIGHT=450&amp;WIDTH=450&amp;","START_MAXIMIZED=FALSE&amp;VAR:CALENDAR=US&amp;VAR:SYMBOL=MO&amp;VAR:INDEX=0"}</definedName>
    <definedName name="_568__FDSAUDITLINK__" localSheetId="0"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8__FDSAUDITLINK__" hidden="1">{"fdsup://directions/FAT Viewer?action=UPDATE&amp;creator=factset&amp;DYN_ARGS=TRUE&amp;DOC_NAME=FAT:FQL_AUDITING_CLIENT_TEMPLATE.FAT&amp;display_string=Audit&amp;VAR:KEY=RIZERSPOBM&amp;VAR:QUERY=RkZfRElWX1lMRChBTk4sNS8yMC8xMCw1LzIwLzEwKQ==&amp;WINDOW=FIRST_POPUP&amp;HEIGHT=450&amp;WIDTH=450&amp;","START_MAXIMIZED=FALSE&amp;VAR:CALENDAR=US&amp;VAR:SYMBOL=MO&amp;VAR:INDEX=0"}</definedName>
    <definedName name="_569__FDSAUDITLINK__" localSheetId="0"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9__FDSAUDITLINK__" hidden="1">{"fdsup://directions/FAT Viewer?action=UPDATE&amp;creator=factset&amp;DYN_ARGS=TRUE&amp;DOC_NAME=FAT:FQL_AUDITING_CLIENT_TEMPLATE.FAT&amp;display_string=Audit&amp;VAR:KEY=XAFSVCPYDS&amp;VAR:QUERY=RkZfRElWX1lMRChBTk4sNS8xMy8xMCw1LzEzLzEwKQ==&amp;WINDOW=FIRST_POPUP&amp;HEIGHT=450&amp;WIDTH=450&amp;","START_MAXIMIZED=FALSE&amp;VAR:CALENDAR=US&amp;VAR:SYMBOL=MO&amp;VAR:INDEX=0"}</definedName>
    <definedName name="_56main_form_account_grants_list_33_j_id1022">#REF!</definedName>
    <definedName name="_57">#REF!</definedName>
    <definedName name="_57___NOTE1_3">#REF!</definedName>
    <definedName name="_57__123Graph_DQRE_S_BY_CO.">#REF!</definedName>
    <definedName name="_57__123Graph_ESUPPLIES_BY_B_U">#REF!</definedName>
    <definedName name="_57__123Graph_FQRE_S_BY_CO.">#REF!</definedName>
    <definedName name="_57__123Graph_FSUPPLIES_BY_B_U">#REF!</definedName>
    <definedName name="_57__FDSAUDITLINK__" localSheetId="0"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_FDSAUDITLINK__" hidden="1">{"fdsup://directions/FAT Viewer?action=UPDATE&amp;creator=factset&amp;DYN_ARGS=TRUE&amp;DOC_NAME=FAT:FQL_AUDITING_CLIENT_TEMPLATE.FAT&amp;display_string=Audit&amp;VAR:KEY=NKPUZQTMXY&amp;VAR:QUERY=QVZHKEZGX0RJVl9ZTEQoQU5OLDQwOTk0LC0xQVkpKQ==&amp;WINDOW=FIRST_POPUP&amp;HEIGHT=450&amp;WIDTH=450&amp;","START_MAXIMIZED=FALSE&amp;VAR:CALENDAR=US&amp;VAR:SYMBOL=PM"}</definedName>
    <definedName name="_57_0_Table2_" hidden="1">#REF!</definedName>
    <definedName name="_570">#REF!</definedName>
    <definedName name="_570__FDSAUDITLINK__" localSheetId="0"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0__FDSAUDITLINK__" hidden="1">{"fdsup://directions/FAT Viewer?action=UPDATE&amp;creator=factset&amp;DYN_ARGS=TRUE&amp;DOC_NAME=FAT:FQL_AUDITING_CLIENT_TEMPLATE.FAT&amp;display_string=Audit&amp;VAR:KEY=XWNKPMXABG&amp;VAR:QUERY=RkZfRElWX1lMRChBTk4sNS8wNi8xMCw1LzA2LzEwKQ==&amp;WINDOW=FIRST_POPUP&amp;HEIGHT=450&amp;WIDTH=450&amp;","START_MAXIMIZED=FALSE&amp;VAR:CALENDAR=US&amp;VAR:SYMBOL=MO&amp;VAR:INDEX=0"}</definedName>
    <definedName name="_571__FDSAUDITLINK__" localSheetId="0"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1__FDSAUDITLINK__" hidden="1">{"fdsup://directions/FAT Viewer?action=UPDATE&amp;creator=factset&amp;DYN_ARGS=TRUE&amp;DOC_NAME=FAT:FQL_AUDITING_CLIENT_TEMPLATE.FAT&amp;display_string=Audit&amp;VAR:KEY=JQXMVUBMLA&amp;VAR:QUERY=RkZfRElWX1lMRChBTk4sNC8yOS8xMCw0LzI5LzEwKQ==&amp;WINDOW=FIRST_POPUP&amp;HEIGHT=450&amp;WIDTH=450&amp;","START_MAXIMIZED=FALSE&amp;VAR:CALENDAR=US&amp;VAR:SYMBOL=MO&amp;VAR:INDEX=0"}</definedName>
    <definedName name="_572__FDSAUDITLINK__" localSheetId="0"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2__FDSAUDITLINK__" hidden="1">{"fdsup://directions/FAT Viewer?action=UPDATE&amp;creator=factset&amp;DYN_ARGS=TRUE&amp;DOC_NAME=FAT:FQL_AUDITING_CLIENT_TEMPLATE.FAT&amp;display_string=Audit&amp;VAR:KEY=DWLOJSHGLA&amp;VAR:QUERY=RkZfRElWX1lMRChBTk4sNC8yMi8xMCw0LzIyLzEwKQ==&amp;WINDOW=FIRST_POPUP&amp;HEIGHT=450&amp;WIDTH=450&amp;","START_MAXIMIZED=FALSE&amp;VAR:CALENDAR=US&amp;VAR:SYMBOL=MO&amp;VAR:INDEX=0"}</definedName>
    <definedName name="_573">#REF!</definedName>
    <definedName name="_573__FDSAUDITLINK__" localSheetId="0"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3__FDSAUDITLINK__" hidden="1">{"fdsup://directions/FAT Viewer?action=UPDATE&amp;creator=factset&amp;DYN_ARGS=TRUE&amp;DOC_NAME=FAT:FQL_AUDITING_CLIENT_TEMPLATE.FAT&amp;display_string=Audit&amp;VAR:KEY=ZKJKBEJGXS&amp;VAR:QUERY=RkZfRElWX1lMRChBTk4sNC8xNS8xMCw0LzE1LzEwKQ==&amp;WINDOW=FIRST_POPUP&amp;HEIGHT=450&amp;WIDTH=450&amp;","START_MAXIMIZED=FALSE&amp;VAR:CALENDAR=US&amp;VAR:SYMBOL=MO&amp;VAR:INDEX=0"}</definedName>
    <definedName name="_574">#REF!</definedName>
    <definedName name="_574__FDSAUDITLINK__" localSheetId="0"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4__FDSAUDITLINK__" hidden="1">{"fdsup://directions/FAT Viewer?action=UPDATE&amp;creator=factset&amp;DYN_ARGS=TRUE&amp;DOC_NAME=FAT:FQL_AUDITING_CLIENT_TEMPLATE.FAT&amp;display_string=Audit&amp;VAR:KEY=HAHYLEBONG&amp;VAR:QUERY=RkZfRElWX1lMRChBTk4sNC8wOC8xMCw0LzA4LzEwKQ==&amp;WINDOW=FIRST_POPUP&amp;HEIGHT=450&amp;WIDTH=450&amp;","START_MAXIMIZED=FALSE&amp;VAR:CALENDAR=US&amp;VAR:SYMBOL=MO&amp;VAR:INDEX=0"}</definedName>
    <definedName name="_575">#REF!</definedName>
    <definedName name="_575__FDSAUDITLINK__" localSheetId="0"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__FDSAUDITLINK__" hidden="1">{"fdsup://directions/FAT Viewer?action=UPDATE&amp;creator=factset&amp;DYN_ARGS=TRUE&amp;DOC_NAME=FAT:FQL_AUDITING_CLIENT_TEMPLATE.FAT&amp;display_string=Audit&amp;VAR:KEY=RCXELIRGPI&amp;VAR:QUERY=RkZfRElWX1lMRChBTk4sNC8wMS8xMCw0LzAxLzEwKQ==&amp;WINDOW=FIRST_POPUP&amp;HEIGHT=450&amp;WIDTH=450&amp;","START_MAXIMIZED=FALSE&amp;VAR:CALENDAR=US&amp;VAR:SYMBOL=MO&amp;VAR:INDEX=0"}</definedName>
    <definedName name="_5753">#REF!</definedName>
    <definedName name="_5754">#REF!</definedName>
    <definedName name="_5756">#REF!</definedName>
    <definedName name="_5757">#REF!</definedName>
    <definedName name="_5759">#REF!</definedName>
    <definedName name="_576">#REF!</definedName>
    <definedName name="_576__FDSAUDITLINK__" localSheetId="0"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__FDSAUDITLINK__" hidden="1">{"fdsup://directions/FAT Viewer?action=UPDATE&amp;creator=factset&amp;DYN_ARGS=TRUE&amp;DOC_NAME=FAT:FQL_AUDITING_CLIENT_TEMPLATE.FAT&amp;display_string=Audit&amp;VAR:KEY=DINUVMXCXA&amp;VAR:QUERY=RkZfRElWX1lMRChBTk4sMy8yNS8xMCwzLzI1LzEwKQ==&amp;WINDOW=FIRST_POPUP&amp;HEIGHT=450&amp;WIDTH=450&amp;","START_MAXIMIZED=FALSE&amp;VAR:CALENDAR=US&amp;VAR:SYMBOL=MO&amp;VAR:INDEX=0"}</definedName>
    <definedName name="_5760">#REF!</definedName>
    <definedName name="_577">#REF!</definedName>
    <definedName name="_577__FDSAUDITLINK__" localSheetId="0"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7__FDSAUDITLINK__" hidden="1">{"fdsup://directions/FAT Viewer?action=UPDATE&amp;creator=factset&amp;DYN_ARGS=TRUE&amp;DOC_NAME=FAT:FQL_AUDITING_CLIENT_TEMPLATE.FAT&amp;display_string=Audit&amp;VAR:KEY=ZKDMPILYZW&amp;VAR:QUERY=RkZfRElWX1lMRChBTk4sMy8xOC8xMCwzLzE4LzEwKQ==&amp;WINDOW=FIRST_POPUP&amp;HEIGHT=450&amp;WIDTH=450&amp;","START_MAXIMIZED=FALSE&amp;VAR:CALENDAR=US&amp;VAR:SYMBOL=MO&amp;VAR:INDEX=0"}</definedName>
    <definedName name="_578">#REF!</definedName>
    <definedName name="_578__FDSAUDITLINK__" localSheetId="0"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8__FDSAUDITLINK__" hidden="1">{"fdsup://directions/FAT Viewer?action=UPDATE&amp;creator=factset&amp;DYN_ARGS=TRUE&amp;DOC_NAME=FAT:FQL_AUDITING_CLIENT_TEMPLATE.FAT&amp;display_string=Audit&amp;VAR:KEY=PATAVUDQXQ&amp;VAR:QUERY=RkZfRElWX1lMRChBTk4sMy8xMS8xMCwzLzExLzEwKQ==&amp;WINDOW=FIRST_POPUP&amp;HEIGHT=450&amp;WIDTH=450&amp;","START_MAXIMIZED=FALSE&amp;VAR:CALENDAR=US&amp;VAR:SYMBOL=MO&amp;VAR:INDEX=0"}</definedName>
    <definedName name="_579">#REF!</definedName>
    <definedName name="_579__FDSAUDITLINK__" localSheetId="0"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79__FDSAUDITLINK__" hidden="1">{"fdsup://directions/FAT Viewer?action=UPDATE&amp;creator=factset&amp;DYN_ARGS=TRUE&amp;DOC_NAME=FAT:FQL_AUDITING_CLIENT_TEMPLATE.FAT&amp;display_string=Audit&amp;VAR:KEY=BYNEDSXMPO&amp;VAR:QUERY=RkZfRElWX1lMRChBTk4sMy8wNC8xMCwzLzA0LzEwKQ==&amp;WINDOW=FIRST_POPUP&amp;HEIGHT=450&amp;WIDTH=450&amp;","START_MAXIMIZED=FALSE&amp;VAR:CALENDAR=US&amp;VAR:SYMBOL=MO&amp;VAR:INDEX=0"}</definedName>
    <definedName name="_58">#REF!</definedName>
    <definedName name="_58___NOTE5_7">#REF!</definedName>
    <definedName name="_58__123Graph_EWAGES_BY_B_U">#REF!</definedName>
    <definedName name="_58__123Graph_FWAGES_BY_B_U">#REF!</definedName>
    <definedName name="_58__FDSAUDITLINK__" localSheetId="0"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__FDSAUDITLINK__" hidden="1">{"fdsup://directions/FAT Viewer?action=UPDATE&amp;creator=factset&amp;DYN_ARGS=TRUE&amp;DOC_NAME=FAT:FQL_AUDITING_CLIENT_TEMPLATE.FAT&amp;display_string=Audit&amp;VAR:KEY=WREXSNKBSH&amp;VAR:QUERY=RkZfREVCVChBTk4sMCk=&amp;WINDOW=FIRST_POPUP&amp;HEIGHT=450&amp;WIDTH=450&amp;START_MAXIMIZED=FALSE&amp;VA","R:CALENDAR=US&amp;VAR:SYMBOL=442072&amp;VAR:INDEX=0"}</definedName>
    <definedName name="_580">#REF!</definedName>
    <definedName name="_580__FDSAUDITLINK__" localSheetId="0"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0__FDSAUDITLINK__" hidden="1">{"fdsup://directions/FAT Viewer?action=UPDATE&amp;creator=factset&amp;DYN_ARGS=TRUE&amp;DOC_NAME=FAT:FQL_AUDITING_CLIENT_TEMPLATE.FAT&amp;display_string=Audit&amp;VAR:KEY=HQLODEHQNW&amp;VAR:QUERY=RkZfRElWX1lMRChBTk4sMi8yNS8xMCwyLzI1LzEwKQ==&amp;WINDOW=FIRST_POPUP&amp;HEIGHT=450&amp;WIDTH=450&amp;","START_MAXIMIZED=FALSE&amp;VAR:CALENDAR=US&amp;VAR:SYMBOL=MO&amp;VAR:INDEX=0"}</definedName>
    <definedName name="_581">#REF!</definedName>
    <definedName name="_581__FDSAUDITLINK__" localSheetId="0"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1__FDSAUDITLINK__" hidden="1">{"fdsup://directions/FAT Viewer?action=UPDATE&amp;creator=factset&amp;DYN_ARGS=TRUE&amp;DOC_NAME=FAT:FQL_AUDITING_CLIENT_TEMPLATE.FAT&amp;display_string=Audit&amp;VAR:KEY=TAPOVSRODK&amp;VAR:QUERY=RkZfRElWX1lMRChBTk4sMi8xOC8xMCwyLzE4LzEwKQ==&amp;WINDOW=FIRST_POPUP&amp;HEIGHT=450&amp;WIDTH=450&amp;","START_MAXIMIZED=FALSE&amp;VAR:CALENDAR=US&amp;VAR:SYMBOL=MO&amp;VAR:INDEX=0"}</definedName>
    <definedName name="_582">#REF!</definedName>
    <definedName name="_582__FDSAUDITLINK__" localSheetId="0"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2__FDSAUDITLINK__" hidden="1">{"fdsup://directions/FAT Viewer?action=UPDATE&amp;creator=factset&amp;DYN_ARGS=TRUE&amp;DOC_NAME=FAT:FQL_AUDITING_CLIENT_TEMPLATE.FAT&amp;display_string=Audit&amp;VAR:KEY=LSPGVYTGRW&amp;VAR:QUERY=RkZfRElWX1lMRChBTk4sMi8xMS8xMCwyLzExLzEwKQ==&amp;WINDOW=FIRST_POPUP&amp;HEIGHT=450&amp;WIDTH=450&amp;","START_MAXIMIZED=FALSE&amp;VAR:CALENDAR=US&amp;VAR:SYMBOL=MO&amp;VAR:INDEX=0"}</definedName>
    <definedName name="_583">#REF!</definedName>
    <definedName name="_583__FDSAUDITLINK__" localSheetId="0"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3__FDSAUDITLINK__" hidden="1">{"fdsup://directions/FAT Viewer?action=UPDATE&amp;creator=factset&amp;DYN_ARGS=TRUE&amp;DOC_NAME=FAT:FQL_AUDITING_CLIENT_TEMPLATE.FAT&amp;display_string=Audit&amp;VAR:KEY=ZABGPGXURW&amp;VAR:QUERY=RkZfRElWX1lMRChBTk4sMi8wNC8xMCwyLzA0LzEwKQ==&amp;WINDOW=FIRST_POPUP&amp;HEIGHT=450&amp;WIDTH=450&amp;","START_MAXIMIZED=FALSE&amp;VAR:CALENDAR=US&amp;VAR:SYMBOL=MO&amp;VAR:INDEX=0"}</definedName>
    <definedName name="_584">#REF!</definedName>
    <definedName name="_584__FDSAUDITLINK__" localSheetId="0"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4__FDSAUDITLINK__" hidden="1">{"fdsup://directions/FAT Viewer?action=UPDATE&amp;creator=factset&amp;DYN_ARGS=TRUE&amp;DOC_NAME=FAT:FQL_AUDITING_CLIENT_TEMPLATE.FAT&amp;display_string=Audit&amp;VAR:KEY=VMFQREZARA&amp;VAR:QUERY=RkZfRElWX1lMRChBTk4sMS8yOC8xMCwxLzI4LzEwKQ==&amp;WINDOW=FIRST_POPUP&amp;HEIGHT=450&amp;WIDTH=450&amp;","START_MAXIMIZED=FALSE&amp;VAR:CALENDAR=US&amp;VAR:SYMBOL=MO&amp;VAR:INDEX=0"}</definedName>
    <definedName name="_585">#REF!</definedName>
    <definedName name="_585__FDSAUDITLINK__" localSheetId="0"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5__FDSAUDITLINK__" hidden="1">{"fdsup://directions/FAT Viewer?action=UPDATE&amp;creator=factset&amp;DYN_ARGS=TRUE&amp;DOC_NAME=FAT:FQL_AUDITING_CLIENT_TEMPLATE.FAT&amp;display_string=Audit&amp;VAR:KEY=JIFSLMPQFQ&amp;VAR:QUERY=RkZfRElWX1lMRChBTk4sMS8yMS8xMCwxLzIxLzEwKQ==&amp;WINDOW=FIRST_POPUP&amp;HEIGHT=450&amp;WIDTH=450&amp;","START_MAXIMIZED=FALSE&amp;VAR:CALENDAR=US&amp;VAR:SYMBOL=MO&amp;VAR:INDEX=0"}</definedName>
    <definedName name="_586">#REF!</definedName>
    <definedName name="_586__FDSAUDITLINK__" localSheetId="0"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6__FDSAUDITLINK__" hidden="1">{"fdsup://directions/FAT Viewer?action=UPDATE&amp;creator=factset&amp;DYN_ARGS=TRUE&amp;DOC_NAME=FAT:FQL_AUDITING_CLIENT_TEMPLATE.FAT&amp;display_string=Audit&amp;VAR:KEY=VIHYXCDWPS&amp;VAR:QUERY=RkZfRElWX1lMRChBTk4sMS8xNC8xMCwxLzE0LzEwKQ==&amp;WINDOW=FIRST_POPUP&amp;HEIGHT=450&amp;WIDTH=450&amp;","START_MAXIMIZED=FALSE&amp;VAR:CALENDAR=US&amp;VAR:SYMBOL=MO&amp;VAR:INDEX=0"}</definedName>
    <definedName name="_587">#REF!</definedName>
    <definedName name="_587__FDSAUDITLINK__" localSheetId="0"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7__FDSAUDITLINK__" hidden="1">{"fdsup://directions/FAT Viewer?action=UPDATE&amp;creator=factset&amp;DYN_ARGS=TRUE&amp;DOC_NAME=FAT:FQL_AUDITING_CLIENT_TEMPLATE.FAT&amp;display_string=Audit&amp;VAR:KEY=RWLQJAPSBK&amp;VAR:QUERY=RkZfRElWX1lMRChBTk4sMS8wNy8xMCwxLzA3LzEwKQ==&amp;WINDOW=FIRST_POPUP&amp;HEIGHT=450&amp;WIDTH=450&amp;","START_MAXIMIZED=FALSE&amp;VAR:CALENDAR=US&amp;VAR:SYMBOL=MO&amp;VAR:INDEX=0"}</definedName>
    <definedName name="_588">#REF!</definedName>
    <definedName name="_588__FDSAUDITLINK__" localSheetId="0"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8__FDSAUDITLINK__" hidden="1">{"fdsup://directions/FAT Viewer?action=UPDATE&amp;creator=factset&amp;DYN_ARGS=TRUE&amp;DOC_NAME=FAT:FQL_AUDITING_CLIENT_TEMPLATE.FAT&amp;display_string=Audit&amp;VAR:KEY=PYBMFGBCTI&amp;VAR:QUERY=RkZfRElWX1lMRChBTk4sMTIvMzEvMDksMTIvMzEvMDkp&amp;WINDOW=FIRST_POPUP&amp;HEIGHT=450&amp;WIDTH=450&amp;","START_MAXIMIZED=FALSE&amp;VAR:CALENDAR=US&amp;VAR:SYMBOL=MO&amp;VAR:INDEX=0"}</definedName>
    <definedName name="_589">#REF!</definedName>
    <definedName name="_589__FDSAUDITLINK__" localSheetId="0"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9__FDSAUDITLINK__" hidden="1">{"fdsup://directions/FAT Viewer?action=UPDATE&amp;creator=factset&amp;DYN_ARGS=TRUE&amp;DOC_NAME=FAT:FQL_AUDITING_CLIENT_TEMPLATE.FAT&amp;display_string=Audit&amp;VAR:KEY=HGFUVWHCDS&amp;VAR:QUERY=RkZfRElWX1lMRChBTk4sMTIvMjQvMDksMTIvMjQvMDkp&amp;WINDOW=FIRST_POPUP&amp;HEIGHT=450&amp;WIDTH=450&amp;","START_MAXIMIZED=FALSE&amp;VAR:CALENDAR=US&amp;VAR:SYMBOL=MO&amp;VAR:INDEX=0"}</definedName>
    <definedName name="_58main_form_account_grants_list_34_j_id1022">#REF!</definedName>
    <definedName name="_59">#REF!</definedName>
    <definedName name="_59___NOTE8_9">#REF!</definedName>
    <definedName name="_59__123Graph_DGROWTH_REVS_B" hidden="1">#REF!</definedName>
    <definedName name="_59__123Graph_FCONTRACT_BY_B_U">#REF!</definedName>
    <definedName name="_59__123Graph_FSUPPLIES_BY_B_U">#REF!</definedName>
    <definedName name="_59__123Graph_FWAGES_BY_B_U">#REF!</definedName>
    <definedName name="_59__123Graph_LBL_CCHART_3">#REF!</definedName>
    <definedName name="_59__FDSAUDITLINK__" localSheetId="0" hidden="1">{"fdsup://Directions/FactSet Auditing Viewer?action=AUDIT_VALUE&amp;DB=129&amp;ID1=80854110&amp;VALUEID=02001&amp;SDATE=2011&amp;PERIODTYPE=ANN_STD&amp;SCFT=3&amp;window=popup_no_bar&amp;width=385&amp;height=120&amp;START_MAXIMIZED=FALSE&amp;creator=factset&amp;display_string=Audit"}</definedName>
    <definedName name="_59__FDSAUDITLINK__" hidden="1">{"fdsup://Directions/FactSet Auditing Viewer?action=AUDIT_VALUE&amp;DB=129&amp;ID1=80854110&amp;VALUEID=02001&amp;SDATE=2011&amp;PERIODTYPE=ANN_STD&amp;SCFT=3&amp;window=popup_no_bar&amp;width=385&amp;height=120&amp;START_MAXIMIZED=FALSE&amp;creator=factset&amp;display_string=Audit"}</definedName>
    <definedName name="_590">#REF!</definedName>
    <definedName name="_590__FDSAUDITLINK__" localSheetId="0"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0__FDSAUDITLINK__" hidden="1">{"fdsup://directions/FAT Viewer?action=UPDATE&amp;creator=factset&amp;DYN_ARGS=TRUE&amp;DOC_NAME=FAT:FQL_AUDITING_CLIENT_TEMPLATE.FAT&amp;display_string=Audit&amp;VAR:KEY=JENMRKJYHC&amp;VAR:QUERY=RkZfRElWX1lMRChBTk4sMTIvMTcvMDksMTIvMTcvMDkp&amp;WINDOW=FIRST_POPUP&amp;HEIGHT=450&amp;WIDTH=450&amp;","START_MAXIMIZED=FALSE&amp;VAR:CALENDAR=US&amp;VAR:SYMBOL=MO&amp;VAR:INDEX=0"}</definedName>
    <definedName name="_591">#REF!</definedName>
    <definedName name="_591__FDSAUDITLINK__" localSheetId="0"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1__FDSAUDITLINK__" hidden="1">{"fdsup://directions/FAT Viewer?action=UPDATE&amp;creator=factset&amp;DYN_ARGS=TRUE&amp;DOC_NAME=FAT:FQL_AUDITING_CLIENT_TEMPLATE.FAT&amp;display_string=Audit&amp;VAR:KEY=JYPMFATYRE&amp;VAR:QUERY=RkZfRElWX1lMRChBTk4sMTIvMTAvMDksMTIvMTAvMDkp&amp;WINDOW=FIRST_POPUP&amp;HEIGHT=450&amp;WIDTH=450&amp;","START_MAXIMIZED=FALSE&amp;VAR:CALENDAR=US&amp;VAR:SYMBOL=MO&amp;VAR:INDEX=0"}</definedName>
    <definedName name="_592">#REF!</definedName>
    <definedName name="_592__FDSAUDITLINK__" localSheetId="0"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2__FDSAUDITLINK__" hidden="1">{"fdsup://directions/FAT Viewer?action=UPDATE&amp;creator=factset&amp;DYN_ARGS=TRUE&amp;DOC_NAME=FAT:FQL_AUDITING_CLIENT_TEMPLATE.FAT&amp;display_string=Audit&amp;VAR:KEY=REHYNIVOLM&amp;VAR:QUERY=RkZfRElWX1lMRChBTk4sMTIvMDMvMDksMTIvMDMvMDkp&amp;WINDOW=FIRST_POPUP&amp;HEIGHT=450&amp;WIDTH=450&amp;","START_MAXIMIZED=FALSE&amp;VAR:CALENDAR=US&amp;VAR:SYMBOL=MO&amp;VAR:INDEX=0"}</definedName>
    <definedName name="_593">#REF!</definedName>
    <definedName name="_593__FDSAUDITLINK__" localSheetId="0"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3__FDSAUDITLINK__" hidden="1">{"fdsup://directions/FAT Viewer?action=UPDATE&amp;creator=factset&amp;DYN_ARGS=TRUE&amp;DOC_NAME=FAT:FQL_AUDITING_CLIENT_TEMPLATE.FAT&amp;display_string=Audit&amp;VAR:KEY=JABCNMZSDM&amp;VAR:QUERY=RkZfRElWX1lMRChBTk4sMTEvMjUvMDksMTEvMjUvMDkp&amp;WINDOW=FIRST_POPUP&amp;HEIGHT=450&amp;WIDTH=450&amp;","START_MAXIMIZED=FALSE&amp;VAR:CALENDAR=US&amp;VAR:SYMBOL=MO&amp;VAR:INDEX=0"}</definedName>
    <definedName name="_594__FDSAUDITLINK__" localSheetId="0"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4__FDSAUDITLINK__" hidden="1">{"fdsup://directions/FAT Viewer?action=UPDATE&amp;creator=factset&amp;DYN_ARGS=TRUE&amp;DOC_NAME=FAT:FQL_AUDITING_CLIENT_TEMPLATE.FAT&amp;display_string=Audit&amp;VAR:KEY=XCLKFONOHG&amp;VAR:QUERY=RkZfRElWX1lMRChBTk4sMTEvMTkvMDksMTEvMTkvMDkp&amp;WINDOW=FIRST_POPUP&amp;HEIGHT=450&amp;WIDTH=450&amp;","START_MAXIMIZED=FALSE&amp;VAR:CALENDAR=US&amp;VAR:SYMBOL=MO&amp;VAR:INDEX=0"}</definedName>
    <definedName name="_595__FDSAUDITLINK__" localSheetId="0"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__FDSAUDITLINK__" hidden="1">{"fdsup://directions/FAT Viewer?action=UPDATE&amp;creator=factset&amp;DYN_ARGS=TRUE&amp;DOC_NAME=FAT:FQL_AUDITING_CLIENT_TEMPLATE.FAT&amp;display_string=Audit&amp;VAR:KEY=XSFMZKXCFI&amp;VAR:QUERY=RkZfRElWX1lMRChBTk4sMTEvMTIvMDksMTEvMTIvMDkp&amp;WINDOW=FIRST_POPUP&amp;HEIGHT=450&amp;WIDTH=450&amp;","START_MAXIMIZED=FALSE&amp;VAR:CALENDAR=US&amp;VAR:SYMBOL=MO&amp;VAR:INDEX=0"}</definedName>
    <definedName name="_5957">#REF!</definedName>
    <definedName name="_5958">#REF!</definedName>
    <definedName name="_596__FDSAUDITLINK__" localSheetId="0"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__FDSAUDITLINK__" hidden="1">{"fdsup://directions/FAT Viewer?action=UPDATE&amp;creator=factset&amp;DYN_ARGS=TRUE&amp;DOC_NAME=FAT:FQL_AUDITING_CLIENT_TEMPLATE.FAT&amp;display_string=Audit&amp;VAR:KEY=BQVQRSTYLG&amp;VAR:QUERY=RkZfRElWX1lMRChBTk4sMTEvMDUvMDksMTEvMDUvMDkp&amp;WINDOW=FIRST_POPUP&amp;HEIGHT=450&amp;WIDTH=450&amp;","START_MAXIMIZED=FALSE&amp;VAR:CALENDAR=US&amp;VAR:SYMBOL=MO&amp;VAR:INDEX=0"}</definedName>
    <definedName name="_5960">#REF!</definedName>
    <definedName name="_5961">#REF!</definedName>
    <definedName name="_5963">#REF!</definedName>
    <definedName name="_5964">#REF!</definedName>
    <definedName name="_597__FDSAUDITLINK__" localSheetId="0"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7__FDSAUDITLINK__" hidden="1">{"fdsup://directions/FAT Viewer?action=UPDATE&amp;creator=factset&amp;DYN_ARGS=TRUE&amp;DOC_NAME=FAT:FQL_AUDITING_CLIENT_TEMPLATE.FAT&amp;display_string=Audit&amp;VAR:KEY=BCZGFWFMLK&amp;VAR:QUERY=RkZfRElWX1lMRChBTk4sMTAvMjkvMDksMTAvMjkvMDkp&amp;WINDOW=FIRST_POPUP&amp;HEIGHT=450&amp;WIDTH=450&amp;","START_MAXIMIZED=FALSE&amp;VAR:CALENDAR=US&amp;VAR:SYMBOL=MO&amp;VAR:INDEX=0"}</definedName>
    <definedName name="_598">#REF!</definedName>
    <definedName name="_598__FDSAUDITLINK__" localSheetId="0"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__FDSAUDITLINK__" hidden="1">{"fdsup://directions/FAT Viewer?action=UPDATE&amp;creator=factset&amp;DYN_ARGS=TRUE&amp;DOC_NAME=FAT:FQL_AUDITING_CLIENT_TEMPLATE.FAT&amp;display_string=Audit&amp;VAR:KEY=JEVIVSLUHE&amp;VAR:QUERY=RkZfRElWX1lMRChBTk4sMTAvMjIvMDksMTAvMjIvMDkp&amp;WINDOW=FIRST_POPUP&amp;HEIGHT=450&amp;WIDTH=450&amp;","START_MAXIMIZED=FALSE&amp;VAR:CALENDAR=US&amp;VAR:SYMBOL=MO&amp;VAR:INDEX=0"}</definedName>
    <definedName name="_5986">#REF!</definedName>
    <definedName name="_5987">#REF!</definedName>
    <definedName name="_5989">#REF!</definedName>
    <definedName name="_599">#REF!</definedName>
    <definedName name="_599__FDSAUDITLINK__" localSheetId="0"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__FDSAUDITLINK__" hidden="1">{"fdsup://directions/FAT Viewer?action=UPDATE&amp;creator=factset&amp;DYN_ARGS=TRUE&amp;DOC_NAME=FAT:FQL_AUDITING_CLIENT_TEMPLATE.FAT&amp;display_string=Audit&amp;VAR:KEY=PMDWHAPKPI&amp;VAR:QUERY=RkZfRElWX1lMRChBTk4sMTAvMTUvMDksMTAvMTUvMDkp&amp;WINDOW=FIRST_POPUP&amp;HEIGHT=450&amp;WIDTH=450&amp;","START_MAXIMIZED=FALSE&amp;VAR:CALENDAR=US&amp;VAR:SYMBOL=MO&amp;VAR:INDEX=0"}</definedName>
    <definedName name="_5990">#REF!</definedName>
    <definedName name="_5992">#REF!</definedName>
    <definedName name="_5993">#REF!</definedName>
    <definedName name="_5995">#REF!</definedName>
    <definedName name="_5996">#REF!</definedName>
    <definedName name="_5a01_" hidden="1">{#N/A,#N/A,FALSE,"Aging Summary";#N/A,#N/A,FALSE,"Ratio Analysis";#N/A,#N/A,FALSE,"Test 120 Day Accts";#N/A,#N/A,FALSE,"Tickmarks"}</definedName>
    <definedName name="_5a1_">{"'Sheet1'!$L$16"}</definedName>
    <definedName name="_5item">#REF!</definedName>
    <definedName name="_5s1_" hidden="1">{#N/A,#N/A,FALSE,"UNIT";#N/A,#N/A,FALSE,"UNIT";#N/A,#N/A,FALSE,"계정"}</definedName>
    <definedName name="_5s10_" hidden="1">{#N/A,#N/A,FALSE,"UNIT";#N/A,#N/A,FALSE,"UNIT";#N/A,#N/A,FALSE,"계정"}</definedName>
    <definedName name="_5Table2_">#REF!</definedName>
    <definedName name="_5월">#REF!</definedName>
    <definedName name="_6">#REF!</definedName>
    <definedName name="_6_????_3">#REF!</definedName>
    <definedName name="_6_????1_3">#REF!</definedName>
    <definedName name="_6_??_3">#REF!</definedName>
    <definedName name="_6____________P_L">#REF!</definedName>
    <definedName name="_6__123Graph_AChart_29L">#REF!</definedName>
    <definedName name="_6__123Graph_ACONTRACT_BY_B_U">#REF!</definedName>
    <definedName name="_6__123Graph_AQRE_S_BY_CO.">#REF!</definedName>
    <definedName name="_6__123Graph_ASENS_COMPARISON">#REF!</definedName>
    <definedName name="_6__123Graph_ASUPPLIES_BY_B_U" hidden="1">#REF!</definedName>
    <definedName name="_6__123Graph_ATAX_CREDIT">#REF!</definedName>
    <definedName name="_6__123Graph_AWAGES_BY_B_U">#REF!</definedName>
    <definedName name="_6__123Graph_BQRE_S_BY_TYPE">#REF!</definedName>
    <definedName name="_6__FDSAUDITLINK__" localSheetId="0"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_FDSAUDITLINK__" hidden="1">{"fdsup://directions/FAT Viewer?action=UPDATE&amp;creator=factset&amp;DYN_ARGS=TRUE&amp;DOC_NAME=FAT:FQL_AUDITING_CLIENT_TEMPLATE.FAT&amp;display_string=Audit&amp;VAR:KEY=CJOPIPIRUP&amp;VAR:QUERY=Q1NGX0RJVl9ZTEQoUVRSX1IsOS8zMC8yMDA5KQ==&amp;WINDOW=FIRST_POPUP&amp;HEIGHT=450&amp;WIDTH=450&amp;STAR","T_MAXIMIZED=FALSE&amp;VAR:CALENDAR=US&amp;VAR:SYMBOL=MO&amp;VAR:INDEX=0"}</definedName>
    <definedName name="_6_0__123Grap" hidden="1">#REF!</definedName>
    <definedName name="_6_0_0COS">#REF!</definedName>
    <definedName name="_6_0_S">#REF!</definedName>
    <definedName name="_6_0_Table2_" hidden="1">#REF!</definedName>
    <definedName name="_6_0translation_">#REF!</definedName>
    <definedName name="_6_40000">#NAME?</definedName>
    <definedName name="_60">#REF!</definedName>
    <definedName name="_60_??1???_3">#REF!</definedName>
    <definedName name="_60___P_L">#REF!</definedName>
    <definedName name="_60__123Graph_BSUPPLIES_BY_B_U">#REF!</definedName>
    <definedName name="_60__123Graph_CCHART_1">#REF!</definedName>
    <definedName name="_60__123Graph_CSENS_COMPARISON">#REF!</definedName>
    <definedName name="_60__123Graph_DSUPPLIES_BY_B_U">#REF!</definedName>
    <definedName name="_60__123Graph_FQRE_S_BY_CO.">#REF!</definedName>
    <definedName name="_60__123Graph_XCHART_112" hidden="1">#REF!</definedName>
    <definedName name="_60__123Graph_XCONTRACT_BY_B_U">#REF!</definedName>
    <definedName name="_60__FDSAUDITLINK__" localSheetId="0"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__FDSAUDITLINK__" hidden="1">{"fdsup://directions/FAT Viewer?action=UPDATE&amp;creator=factset&amp;DYN_ARGS=TRUE&amp;DOC_NAME=FAT:FQL_AUDITING_CLIENT_TEMPLATE.FAT&amp;display_string=Audit&amp;VAR:KEY=XQPCXATENG&amp;VAR:QUERY=QVZHKEZGX0RJVl9ZTEQoQU5OLDQxMTAyLC0xMEFZKSk=&amp;WINDOW=FIRST_POPUP&amp;HEIGHT=450&amp;WIDTH=450&amp;","START_MAXIMIZED=FALSE&amp;VAR:CALENDAR=US&amp;VAR:SYMBOL=SPX"}</definedName>
    <definedName name="_600">#REF!</definedName>
    <definedName name="_600__FDSAUDITLINK__" localSheetId="0"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0__FDSAUDITLINK__" hidden="1">{"fdsup://directions/FAT Viewer?action=UPDATE&amp;creator=factset&amp;DYN_ARGS=TRUE&amp;DOC_NAME=FAT:FQL_AUDITING_CLIENT_TEMPLATE.FAT&amp;display_string=Audit&amp;VAR:KEY=NQNMVMTGPY&amp;VAR:QUERY=RkZfRElWX1lMRChBTk4sMTAvMDgvMDksMTAvMDgvMDkp&amp;WINDOW=FIRST_POPUP&amp;HEIGHT=450&amp;WIDTH=450&amp;","START_MAXIMIZED=FALSE&amp;VAR:CALENDAR=US&amp;VAR:SYMBOL=MO&amp;VAR:INDEX=0"}</definedName>
    <definedName name="_601">#REF!</definedName>
    <definedName name="_601__FDSAUDITLINK__" localSheetId="0"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1__FDSAUDITLINK__" hidden="1">{"fdsup://directions/FAT Viewer?action=UPDATE&amp;creator=factset&amp;DYN_ARGS=TRUE&amp;DOC_NAME=FAT:FQL_AUDITING_CLIENT_TEMPLATE.FAT&amp;display_string=Audit&amp;VAR:KEY=FCNMBAJWHC&amp;VAR:QUERY=RkZfRElWX1lMRChBTk4sMTAvMDEvMDksMTAvMDEvMDkp&amp;WINDOW=FIRST_POPUP&amp;HEIGHT=450&amp;WIDTH=450&amp;","START_MAXIMIZED=FALSE&amp;VAR:CALENDAR=US&amp;VAR:SYMBOL=MO&amp;VAR:INDEX=0"}</definedName>
    <definedName name="_602__FDSAUDITLINK__" localSheetId="0"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2__FDSAUDITLINK__" hidden="1">{"fdsup://directions/FAT Viewer?action=UPDATE&amp;creator=factset&amp;DYN_ARGS=TRUE&amp;DOC_NAME=FAT:FQL_AUDITING_CLIENT_TEMPLATE.FAT&amp;display_string=Audit&amp;VAR:KEY=LILSDELYZM&amp;VAR:QUERY=RkZfRElWX1lMRChBTk4sOS8yNC8wOSw5LzI0LzA5KQ==&amp;WINDOW=FIRST_POPUP&amp;HEIGHT=450&amp;WIDTH=450&amp;","START_MAXIMIZED=FALSE&amp;VAR:CALENDAR=US&amp;VAR:SYMBOL=MO&amp;VAR:INDEX=0"}</definedName>
    <definedName name="_603__FDSAUDITLINK__" localSheetId="0"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3__FDSAUDITLINK__" hidden="1">{"fdsup://directions/FAT Viewer?action=UPDATE&amp;creator=factset&amp;DYN_ARGS=TRUE&amp;DOC_NAME=FAT:FQL_AUDITING_CLIENT_TEMPLATE.FAT&amp;display_string=Audit&amp;VAR:KEY=TQNUVKDKDU&amp;VAR:QUERY=RkZfRElWX1lMRChBTk4sOS8xNy8wOSw5LzE3LzA5KQ==&amp;WINDOW=FIRST_POPUP&amp;HEIGHT=450&amp;WIDTH=450&amp;","START_MAXIMIZED=FALSE&amp;VAR:CALENDAR=US&amp;VAR:SYMBOL=MO&amp;VAR:INDEX=0"}</definedName>
    <definedName name="_604">#REF!</definedName>
    <definedName name="_604__FDSAUDITLINK__" localSheetId="0"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4__FDSAUDITLINK__" hidden="1">{"fdsup://directions/FAT Viewer?action=UPDATE&amp;creator=factset&amp;DYN_ARGS=TRUE&amp;DOC_NAME=FAT:FQL_AUDITING_CLIENT_TEMPLATE.FAT&amp;display_string=Audit&amp;VAR:KEY=XIJYJKZGBE&amp;VAR:QUERY=RkZfRElWX1lMRChBTk4sOS8xMC8wOSw5LzEwLzA5KQ==&amp;WINDOW=FIRST_POPUP&amp;HEIGHT=450&amp;WIDTH=450&amp;","START_MAXIMIZED=FALSE&amp;VAR:CALENDAR=US&amp;VAR:SYMBOL=MO&amp;VAR:INDEX=0"}</definedName>
    <definedName name="_605__FDSAUDITLINK__" localSheetId="0"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5__FDSAUDITLINK__" hidden="1">{"fdsup://directions/FAT Viewer?action=UPDATE&amp;creator=factset&amp;DYN_ARGS=TRUE&amp;DOC_NAME=FAT:FQL_AUDITING_CLIENT_TEMPLATE.FAT&amp;display_string=Audit&amp;VAR:KEY=PQXGDCRMBQ&amp;VAR:QUERY=RkZfRElWX1lMRChBTk4sOS8wMy8wOSw5LzAzLzA5KQ==&amp;WINDOW=FIRST_POPUP&amp;HEIGHT=450&amp;WIDTH=450&amp;","START_MAXIMIZED=FALSE&amp;VAR:CALENDAR=US&amp;VAR:SYMBOL=MO&amp;VAR:INDEX=0"}</definedName>
    <definedName name="_606__FDSAUDITLINK__" localSheetId="0"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6__FDSAUDITLINK__" hidden="1">{"fdsup://directions/FAT Viewer?action=UPDATE&amp;creator=factset&amp;DYN_ARGS=TRUE&amp;DOC_NAME=FAT:FQL_AUDITING_CLIENT_TEMPLATE.FAT&amp;display_string=Audit&amp;VAR:KEY=VENUDYBUHS&amp;VAR:QUERY=RkZfRElWX1lMRChBTk4sOC8yNy8wOSw4LzI3LzA5KQ==&amp;WINDOW=FIRST_POPUP&amp;HEIGHT=450&amp;WIDTH=450&amp;","START_MAXIMIZED=FALSE&amp;VAR:CALENDAR=US&amp;VAR:SYMBOL=MO&amp;VAR:INDEX=0"}</definedName>
    <definedName name="_607__FDSAUDITLINK__" localSheetId="0"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7__FDSAUDITLINK__" hidden="1">{"fdsup://directions/FAT Viewer?action=UPDATE&amp;creator=factset&amp;DYN_ARGS=TRUE&amp;DOC_NAME=FAT:FQL_AUDITING_CLIENT_TEMPLATE.FAT&amp;display_string=Audit&amp;VAR:KEY=ZUFOJKTKHM&amp;VAR:QUERY=RkZfRElWX1lMRChBTk4sOC8yMC8wOSw4LzIwLzA5KQ==&amp;WINDOW=FIRST_POPUP&amp;HEIGHT=450&amp;WIDTH=450&amp;","START_MAXIMIZED=FALSE&amp;VAR:CALENDAR=US&amp;VAR:SYMBOL=MO&amp;VAR:INDEX=0"}</definedName>
    <definedName name="_608__FDSAUDITLINK__" localSheetId="0"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8__FDSAUDITLINK__" hidden="1">{"fdsup://directions/FAT Viewer?action=UPDATE&amp;creator=factset&amp;DYN_ARGS=TRUE&amp;DOC_NAME=FAT:FQL_AUDITING_CLIENT_TEMPLATE.FAT&amp;display_string=Audit&amp;VAR:KEY=FWTIZCXCNY&amp;VAR:QUERY=RkZfRElWX1lMRChBTk4sOC8xMy8wOSw4LzEzLzA5KQ==&amp;WINDOW=FIRST_POPUP&amp;HEIGHT=450&amp;WIDTH=450&amp;","START_MAXIMIZED=FALSE&amp;VAR:CALENDAR=US&amp;VAR:SYMBOL=MO&amp;VAR:INDEX=0"}</definedName>
    <definedName name="_609">#REF!</definedName>
    <definedName name="_609__FDSAUDITLINK__" localSheetId="0"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9__FDSAUDITLINK__" hidden="1">{"fdsup://directions/FAT Viewer?action=UPDATE&amp;creator=factset&amp;DYN_ARGS=TRUE&amp;DOC_NAME=FAT:FQL_AUDITING_CLIENT_TEMPLATE.FAT&amp;display_string=Audit&amp;VAR:KEY=FYRYBGNOLE&amp;VAR:QUERY=RkZfRElWX1lMRChBTk4sOC8wNi8wOSw4LzA2LzA5KQ==&amp;WINDOW=FIRST_POPUP&amp;HEIGHT=450&amp;WIDTH=450&amp;","START_MAXIMIZED=FALSE&amp;VAR:CALENDAR=US&amp;VAR:SYMBOL=MO&amp;VAR:INDEX=0"}</definedName>
    <definedName name="_60main_form_account_grants_list_35_j_id1022">#REF!</definedName>
    <definedName name="_60T1">#REF!</definedName>
    <definedName name="_60T2">#REF!</definedName>
    <definedName name="_61">#REF!</definedName>
    <definedName name="_61__123Graph_BSUPPLIES_BY_B_U">#REF!</definedName>
    <definedName name="_61__123Graph_BWAGES_BY_B_U">#REF!</definedName>
    <definedName name="_61__123Graph_FSUPPLIES_BY_B_U">#REF!</definedName>
    <definedName name="_61__123Graph_FWAGES_BY_B_U">#REF!</definedName>
    <definedName name="_61__123Graph_XChart_1A" hidden="1">#REF!</definedName>
    <definedName name="_61__123Graph_XCONTRACT_BY_B_U">#REF!</definedName>
    <definedName name="_61__B_S">#REF!</definedName>
    <definedName name="_61__FDSAUDITLINK__" localSheetId="0" hidden="1">{"fdsup://Directions/FactSet Auditing Viewer?action=AUDIT_VALUE&amp;DB=129&amp;ID1=045449&amp;VALUEID=02001&amp;SDATE=2011&amp;PERIODTYPE=ANN_STD&amp;SCFT=3&amp;window=popup_no_bar&amp;width=385&amp;height=120&amp;START_MAXIMIZED=FALSE&amp;creator=factset&amp;display_string=Audit"}</definedName>
    <definedName name="_61__FDSAUDITLINK__" hidden="1">{"fdsup://Directions/FactSet Auditing Viewer?action=AUDIT_VALUE&amp;DB=129&amp;ID1=045449&amp;VALUEID=02001&amp;SDATE=2011&amp;PERIODTYPE=ANN_STD&amp;SCFT=3&amp;window=popup_no_bar&amp;width=385&amp;height=120&amp;START_MAXIMIZED=FALSE&amp;creator=factset&amp;display_string=Audit"}</definedName>
    <definedName name="_610__FDSAUDITLINK__" localSheetId="0"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0__FDSAUDITLINK__" hidden="1">{"fdsup://directions/FAT Viewer?action=UPDATE&amp;creator=factset&amp;DYN_ARGS=TRUE&amp;DOC_NAME=FAT:FQL_AUDITING_CLIENT_TEMPLATE.FAT&amp;display_string=Audit&amp;VAR:KEY=XGZWLGLQJW&amp;VAR:QUERY=RkZfRElWX1lMRChBTk4sNy8zMC8wOSw3LzMwLzA5KQ==&amp;WINDOW=FIRST_POPUP&amp;HEIGHT=450&amp;WIDTH=450&amp;","START_MAXIMIZED=FALSE&amp;VAR:CALENDAR=US&amp;VAR:SYMBOL=MO&amp;VAR:INDEX=0"}</definedName>
    <definedName name="_611__FDSAUDITLINK__" localSheetId="0"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1__FDSAUDITLINK__" hidden="1">{"fdsup://directions/FAT Viewer?action=UPDATE&amp;creator=factset&amp;DYN_ARGS=TRUE&amp;DOC_NAME=FAT:FQL_AUDITING_CLIENT_TEMPLATE.FAT&amp;display_string=Audit&amp;VAR:KEY=VAPCXUDWLQ&amp;VAR:QUERY=RkZfRElWX1lMRChBTk4sNy8yMy8wOSw3LzIzLzA5KQ==&amp;WINDOW=FIRST_POPUP&amp;HEIGHT=450&amp;WIDTH=450&amp;","START_MAXIMIZED=FALSE&amp;VAR:CALENDAR=US&amp;VAR:SYMBOL=MO&amp;VAR:INDEX=0"}</definedName>
    <definedName name="_612">#REF!</definedName>
    <definedName name="_612__FDSAUDITLINK__" localSheetId="0"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2__FDSAUDITLINK__" hidden="1">{"fdsup://directions/FAT Viewer?action=UPDATE&amp;creator=factset&amp;DYN_ARGS=TRUE&amp;DOC_NAME=FAT:FQL_AUDITING_CLIENT_TEMPLATE.FAT&amp;display_string=Audit&amp;VAR:KEY=PELIZURWPE&amp;VAR:QUERY=RkZfRElWX1lMRChBTk4sNy8xNi8wOSw3LzE2LzA5KQ==&amp;WINDOW=FIRST_POPUP&amp;HEIGHT=450&amp;WIDTH=450&amp;","START_MAXIMIZED=FALSE&amp;VAR:CALENDAR=US&amp;VAR:SYMBOL=MO&amp;VAR:INDEX=0"}</definedName>
    <definedName name="_613">#REF!</definedName>
    <definedName name="_613__FDSAUDITLINK__" localSheetId="0"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3__FDSAUDITLINK__" hidden="1">{"fdsup://directions/FAT Viewer?action=UPDATE&amp;creator=factset&amp;DYN_ARGS=TRUE&amp;DOC_NAME=FAT:FQL_AUDITING_CLIENT_TEMPLATE.FAT&amp;display_string=Audit&amp;VAR:KEY=ZEVEXUVKJG&amp;VAR:QUERY=RkZfRElWX1lMRChBTk4sNy8wOS8wOSw3LzA5LzA5KQ==&amp;WINDOW=FIRST_POPUP&amp;HEIGHT=450&amp;WIDTH=450&amp;","START_MAXIMIZED=FALSE&amp;VAR:CALENDAR=US&amp;VAR:SYMBOL=MO&amp;VAR:INDEX=0"}</definedName>
    <definedName name="_614">#REF!</definedName>
    <definedName name="_614__FDSAUDITLINK__" localSheetId="0"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4__FDSAUDITLINK__" hidden="1">{"fdsup://directions/FAT Viewer?action=UPDATE&amp;creator=factset&amp;DYN_ARGS=TRUE&amp;DOC_NAME=FAT:FQL_AUDITING_CLIENT_TEMPLATE.FAT&amp;display_string=Audit&amp;VAR:KEY=PSZEFOBUDO&amp;VAR:QUERY=RkZfRElWX1lMRChBTk4sNy8wMi8wOSw3LzAyLzA5KQ==&amp;WINDOW=FIRST_POPUP&amp;HEIGHT=450&amp;WIDTH=450&amp;","START_MAXIMIZED=FALSE&amp;VAR:CALENDAR=US&amp;VAR:SYMBOL=MO&amp;VAR:INDEX=0"}</definedName>
    <definedName name="_615">#REF!</definedName>
    <definedName name="_615__FDSAUDITLINK__" localSheetId="0"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5__FDSAUDITLINK__" hidden="1">{"fdsup://directions/FAT Viewer?action=UPDATE&amp;creator=factset&amp;DYN_ARGS=TRUE&amp;DOC_NAME=FAT:FQL_AUDITING_CLIENT_TEMPLATE.FAT&amp;display_string=Audit&amp;VAR:KEY=NSPGJMBQLQ&amp;VAR:QUERY=RkZfRElWX1lMRChBTk4sNi8yNS8wOSw2LzI1LzA5KQ==&amp;WINDOW=FIRST_POPUP&amp;HEIGHT=450&amp;WIDTH=450&amp;","START_MAXIMIZED=FALSE&amp;VAR:CALENDAR=US&amp;VAR:SYMBOL=MO&amp;VAR:INDEX=0"}</definedName>
    <definedName name="_616__FDSAUDITLINK__" localSheetId="0"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6__FDSAUDITLINK__" hidden="1">{"fdsup://directions/FAT Viewer?action=UPDATE&amp;creator=factset&amp;DYN_ARGS=TRUE&amp;DOC_NAME=FAT:FQL_AUDITING_CLIENT_TEMPLATE.FAT&amp;display_string=Audit&amp;VAR:KEY=HEFSHIXCPC&amp;VAR:QUERY=RkZfRElWX1lMRChBTk4sNi8xOC8wOSw2LzE4LzA5KQ==&amp;WINDOW=FIRST_POPUP&amp;HEIGHT=450&amp;WIDTH=450&amp;","START_MAXIMIZED=FALSE&amp;VAR:CALENDAR=US&amp;VAR:SYMBOL=MO&amp;VAR:INDEX=0"}</definedName>
    <definedName name="_617__FDSAUDITLINK__" localSheetId="0"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7__FDSAUDITLINK__" hidden="1">{"fdsup://directions/FAT Viewer?action=UPDATE&amp;creator=factset&amp;DYN_ARGS=TRUE&amp;DOC_NAME=FAT:FQL_AUDITING_CLIENT_TEMPLATE.FAT&amp;display_string=Audit&amp;VAR:KEY=RITSJWPELG&amp;VAR:QUERY=RkZfRElWX1lMRChBTk4sNi8xMS8wOSw2LzExLzA5KQ==&amp;WINDOW=FIRST_POPUP&amp;HEIGHT=450&amp;WIDTH=450&amp;","START_MAXIMIZED=FALSE&amp;VAR:CALENDAR=US&amp;VAR:SYMBOL=MO&amp;VAR:INDEX=0"}</definedName>
    <definedName name="_618__FDSAUDITLINK__" localSheetId="0"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8__FDSAUDITLINK__" hidden="1">{"fdsup://directions/FAT Viewer?action=UPDATE&amp;creator=factset&amp;DYN_ARGS=TRUE&amp;DOC_NAME=FAT:FQL_AUDITING_CLIENT_TEMPLATE.FAT&amp;display_string=Audit&amp;VAR:KEY=TGLQTAJGXC&amp;VAR:QUERY=RkZfRElWX1lMRChBTk4sNi8wNC8wOSw2LzA0LzA5KQ==&amp;WINDOW=FIRST_POPUP&amp;HEIGHT=450&amp;WIDTH=450&amp;","START_MAXIMIZED=FALSE&amp;VAR:CALENDAR=US&amp;VAR:SYMBOL=MO&amp;VAR:INDEX=0"}</definedName>
    <definedName name="_619__FDSAUDITLINK__" localSheetId="0"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19__FDSAUDITLINK__" hidden="1">{"fdsup://directions/FAT Viewer?action=UPDATE&amp;creator=factset&amp;DYN_ARGS=TRUE&amp;DOC_NAME=FAT:FQL_AUDITING_CLIENT_TEMPLATE.FAT&amp;display_string=Audit&amp;VAR:KEY=RGPCPAXGBK&amp;VAR:QUERY=RkZfRElWX1lMRChBTk4sNS8yOC8wOSw1LzI4LzA5KQ==&amp;WINDOW=FIRST_POPUP&amp;HEIGHT=450&amp;WIDTH=450&amp;","START_MAXIMIZED=FALSE&amp;VAR:CALENDAR=US&amp;VAR:SYMBOL=MO&amp;VAR:INDEX=0"}</definedName>
    <definedName name="_62">#REF!</definedName>
    <definedName name="_62__123Graph_FWAGES_BY_B_U">#REF!</definedName>
    <definedName name="_62__123Graph_XCHART_1">#REF!</definedName>
    <definedName name="_62__123Graph_XChart_2A" hidden="1">#REF!</definedName>
    <definedName name="_62__123Graph_XQRE_S_BY_CO.">#REF!</definedName>
    <definedName name="_62__FDSAUDITLINK__" localSheetId="0"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FDSAUDITLINK__" hidden="1">{"fdsup://directions/FAT Viewer?action=UPDATE&amp;creator=factset&amp;DYN_ARGS=TRUE&amp;DOC_NAME=FAT:FQL_AUDITING_CLIENT_TEMPLATE.FAT&amp;display_string=Audit&amp;VAR:KEY=PYROTMBGZO&amp;VAR:QUERY=RkZfREVCVChBTk4sMCwsLCxVU0Qp&amp;WINDOW=FIRST_POPUP&amp;HEIGHT=450&amp;WIDTH=450&amp;START_MAXIMIZED=","FALSE&amp;VAR:CALENDAR=US&amp;VAR:SYMBOL=045449&amp;VAR:INDEX=0"}</definedName>
    <definedName name="_62__NOTE10_12">#REF!</definedName>
    <definedName name="_620__FDSAUDITLINK__" localSheetId="0"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0__FDSAUDITLINK__" hidden="1">{"fdsup://directions/FAT Viewer?action=UPDATE&amp;creator=factset&amp;DYN_ARGS=TRUE&amp;DOC_NAME=FAT:FQL_AUDITING_CLIENT_TEMPLATE.FAT&amp;display_string=Audit&amp;VAR:KEY=LYFENGZKZU&amp;VAR:QUERY=RkZfRElWX1lMRChBTk4sNS8yMS8wOSw1LzIxLzA5KQ==&amp;WINDOW=FIRST_POPUP&amp;HEIGHT=450&amp;WIDTH=450&amp;","START_MAXIMIZED=FALSE&amp;VAR:CALENDAR=US&amp;VAR:SYMBOL=MO&amp;VAR:INDEX=0"}</definedName>
    <definedName name="_621__FDSAUDITLINK__" localSheetId="0"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1__FDSAUDITLINK__" hidden="1">{"fdsup://directions/FAT Viewer?action=UPDATE&amp;creator=factset&amp;DYN_ARGS=TRUE&amp;DOC_NAME=FAT:FQL_AUDITING_CLIENT_TEMPLATE.FAT&amp;display_string=Audit&amp;VAR:KEY=XULGPGXKZK&amp;VAR:QUERY=RkZfRElWX1lMRChBTk4sNS8xNC8wOSw1LzE0LzA5KQ==&amp;WINDOW=FIRST_POPUP&amp;HEIGHT=450&amp;WIDTH=450&amp;","START_MAXIMIZED=FALSE&amp;VAR:CALENDAR=US&amp;VAR:SYMBOL=MO&amp;VAR:INDEX=0"}</definedName>
    <definedName name="_622">#REF!</definedName>
    <definedName name="_622__FDSAUDITLINK__" localSheetId="0"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2__FDSAUDITLINK__" hidden="1">{"fdsup://directions/FAT Viewer?action=UPDATE&amp;creator=factset&amp;DYN_ARGS=TRUE&amp;DOC_NAME=FAT:FQL_AUDITING_CLIENT_TEMPLATE.FAT&amp;display_string=Audit&amp;VAR:KEY=DQPWHORGHS&amp;VAR:QUERY=RkZfRElWX1lMRChBTk4sNS8wNy8wOSw1LzA3LzA5KQ==&amp;WINDOW=FIRST_POPUP&amp;HEIGHT=450&amp;WIDTH=450&amp;","START_MAXIMIZED=FALSE&amp;VAR:CALENDAR=US&amp;VAR:SYMBOL=MO&amp;VAR:INDEX=0"}</definedName>
    <definedName name="_623__FDSAUDITLINK__" localSheetId="0"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3__FDSAUDITLINK__" hidden="1">{"fdsup://directions/FAT Viewer?action=UPDATE&amp;creator=factset&amp;DYN_ARGS=TRUE&amp;DOC_NAME=FAT:FQL_AUDITING_CLIENT_TEMPLATE.FAT&amp;display_string=Audit&amp;VAR:KEY=NEXURMBMFO&amp;VAR:QUERY=RkZfRElWX1lMRChBTk4sNC8zMC8wOSw0LzMwLzA5KQ==&amp;WINDOW=FIRST_POPUP&amp;HEIGHT=450&amp;WIDTH=450&amp;","START_MAXIMIZED=FALSE&amp;VAR:CALENDAR=US&amp;VAR:SYMBOL=MO&amp;VAR:INDEX=0"}</definedName>
    <definedName name="_624">#REF!</definedName>
    <definedName name="_624__FDSAUDITLINK__" localSheetId="0"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4__FDSAUDITLINK__" hidden="1">{"fdsup://directions/FAT Viewer?action=UPDATE&amp;creator=factset&amp;DYN_ARGS=TRUE&amp;DOC_NAME=FAT:FQL_AUDITING_CLIENT_TEMPLATE.FAT&amp;display_string=Audit&amp;VAR:KEY=ZQXAXARKBQ&amp;VAR:QUERY=RkZfRElWX1lMRChBTk4sNC8yMy8wOSw0LzIzLzA5KQ==&amp;WINDOW=FIRST_POPUP&amp;HEIGHT=450&amp;WIDTH=450&amp;","START_MAXIMIZED=FALSE&amp;VAR:CALENDAR=US&amp;VAR:SYMBOL=MO&amp;VAR:INDEX=0"}</definedName>
    <definedName name="_625">#REF!</definedName>
    <definedName name="_625__FDSAUDITLINK__" localSheetId="0"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5__FDSAUDITLINK__" hidden="1">{"fdsup://directions/FAT Viewer?action=UPDATE&amp;creator=factset&amp;DYN_ARGS=TRUE&amp;DOC_NAME=FAT:FQL_AUDITING_CLIENT_TEMPLATE.FAT&amp;display_string=Audit&amp;VAR:KEY=PIDSJWVOFU&amp;VAR:QUERY=RkZfRElWX1lMRChBTk4sNC8xNi8wOSw0LzE2LzA5KQ==&amp;WINDOW=FIRST_POPUP&amp;HEIGHT=450&amp;WIDTH=450&amp;","START_MAXIMIZED=FALSE&amp;VAR:CALENDAR=US&amp;VAR:SYMBOL=MO&amp;VAR:INDEX=0"}</definedName>
    <definedName name="_626">#REF!</definedName>
    <definedName name="_626__FDSAUDITLINK__" localSheetId="0"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__FDSAUDITLINK__" hidden="1">{"fdsup://directions/FAT Viewer?action=UPDATE&amp;creator=factset&amp;DYN_ARGS=TRUE&amp;DOC_NAME=FAT:FQL_AUDITING_CLIENT_TEMPLATE.FAT&amp;display_string=Audit&amp;VAR:KEY=DCHIPOLQDA&amp;VAR:QUERY=RkZfRElWX1lMRChBTk4sNC8wOS8wOSw0LzA5LzA5KQ==&amp;WINDOW=FIRST_POPUP&amp;HEIGHT=450&amp;WIDTH=450&amp;","START_MAXIMIZED=FALSE&amp;VAR:CALENDAR=US&amp;VAR:SYMBOL=MO&amp;VAR:INDEX=0"}</definedName>
    <definedName name="_6265">#REF!</definedName>
    <definedName name="_6266">#REF!</definedName>
    <definedName name="_6268">#REF!</definedName>
    <definedName name="_6269">#REF!</definedName>
    <definedName name="_627">#REF!</definedName>
    <definedName name="_627__FDSAUDITLINK__" localSheetId="0"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__FDSAUDITLINK__" hidden="1">{"fdsup://directions/FAT Viewer?action=UPDATE&amp;creator=factset&amp;DYN_ARGS=TRUE&amp;DOC_NAME=FAT:FQL_AUDITING_CLIENT_TEMPLATE.FAT&amp;display_string=Audit&amp;VAR:KEY=FIHQTSVQLM&amp;VAR:QUERY=RkZfRElWX1lMRChBTk4sNC8wMi8wOSw0LzAyLzA5KQ==&amp;WINDOW=FIRST_POPUP&amp;HEIGHT=450&amp;WIDTH=450&amp;","START_MAXIMIZED=FALSE&amp;VAR:CALENDAR=US&amp;VAR:SYMBOL=MO&amp;VAR:INDEX=0"}</definedName>
    <definedName name="_6271">#REF!</definedName>
    <definedName name="_6272">#REF!</definedName>
    <definedName name="_628__FDSAUDITLINK__" localSheetId="0"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8__FDSAUDITLINK__" hidden="1">{"fdsup://directions/FAT Viewer?action=UPDATE&amp;creator=factset&amp;DYN_ARGS=TRUE&amp;DOC_NAME=FAT:FQL_AUDITING_CLIENT_TEMPLATE.FAT&amp;display_string=Audit&amp;VAR:KEY=PQBOTQXWJU&amp;VAR:QUERY=RkZfRElWX1lMRChBTk4sMy8yNi8wOSwzLzI2LzA5KQ==&amp;WINDOW=FIRST_POPUP&amp;HEIGHT=450&amp;WIDTH=450&amp;","START_MAXIMIZED=FALSE&amp;VAR:CALENDAR=US&amp;VAR:SYMBOL=MO&amp;VAR:INDEX=0"}</definedName>
    <definedName name="_629__FDSAUDITLINK__" localSheetId="0"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9__FDSAUDITLINK__" hidden="1">{"fdsup://directions/FAT Viewer?action=UPDATE&amp;creator=factset&amp;DYN_ARGS=TRUE&amp;DOC_NAME=FAT:FQL_AUDITING_CLIENT_TEMPLATE.FAT&amp;display_string=Audit&amp;VAR:KEY=NIFSHKTCXI&amp;VAR:QUERY=RkZfRElWX1lMRChBTk4sMy8xOS8wOSwzLzE5LzA5KQ==&amp;WINDOW=FIRST_POPUP&amp;HEIGHT=450&amp;WIDTH=450&amp;","START_MAXIMIZED=FALSE&amp;VAR:CALENDAR=US&amp;VAR:SYMBOL=MO&amp;VAR:INDEX=0"}</definedName>
    <definedName name="_62main_form_account_grants_list_36_j_id1022">#REF!</definedName>
    <definedName name="_63">#REF!</definedName>
    <definedName name="_63__123Graph_DWAGES_BY_B_U">#REF!</definedName>
    <definedName name="_63__123Graph_XCHART_30" hidden="1">#REF!</definedName>
    <definedName name="_63__123Graph_XCONTRACT_BY_B_U">#REF!</definedName>
    <definedName name="_63__123Graph_XQRE_S_BY_CO.">#REF!</definedName>
    <definedName name="_63__FDSAUDITLINK__" localSheetId="0"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FDSAUDITLINK__" hidden="1">{"fdsup://directions/FAT Viewer?action=UPDATE&amp;creator=factset&amp;DYN_ARGS=TRUE&amp;DOC_NAME=FAT:FQL_AUDITING_CLIENT_TEMPLATE.FAT&amp;display_string=Audit&amp;VAR:KEY=EFYTAPIJCP&amp;VAR:QUERY=RkZfRlJFRV9QU19DRihBTk4sMCkgLyBQX1BSSUNFKDAp&amp;WINDOW=FIRST_POPUP&amp;HEIGHT=450&amp;WIDTH=450&amp;","START_MAXIMIZED=FALSE&amp;VAR:CALENDAR=US&amp;VAR:SYMBOL=THI&amp;VAR:INDEX=0"}</definedName>
    <definedName name="_63__NOTE1_3">#REF!</definedName>
    <definedName name="_630__FDSAUDITLINK__" localSheetId="0"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0__FDSAUDITLINK__" hidden="1">{"fdsup://directions/FAT Viewer?action=UPDATE&amp;creator=factset&amp;DYN_ARGS=TRUE&amp;DOC_NAME=FAT:FQL_AUDITING_CLIENT_TEMPLATE.FAT&amp;display_string=Audit&amp;VAR:KEY=LWBGFYRWXG&amp;VAR:QUERY=RkZfRElWX1lMRChBTk4sMy8xMi8wOSwzLzEyLzA5KQ==&amp;WINDOW=FIRST_POPUP&amp;HEIGHT=450&amp;WIDTH=450&amp;","START_MAXIMIZED=FALSE&amp;VAR:CALENDAR=US&amp;VAR:SYMBOL=MO&amp;VAR:INDEX=0"}</definedName>
    <definedName name="_631">#REF!</definedName>
    <definedName name="_631__FDSAUDITLINK__" localSheetId="0"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1__FDSAUDITLINK__" hidden="1">{"fdsup://directions/FAT Viewer?action=UPDATE&amp;creator=factset&amp;DYN_ARGS=TRUE&amp;DOC_NAME=FAT:FQL_AUDITING_CLIENT_TEMPLATE.FAT&amp;display_string=Audit&amp;VAR:KEY=PONWJCHENW&amp;VAR:QUERY=RkZfRElWX1lMRChBTk4sMy8wNS8wOSwzLzA1LzA5KQ==&amp;WINDOW=FIRST_POPUP&amp;HEIGHT=450&amp;WIDTH=450&amp;","START_MAXIMIZED=FALSE&amp;VAR:CALENDAR=US&amp;VAR:SYMBOL=MO&amp;VAR:INDEX=0"}</definedName>
    <definedName name="_632__FDSAUDITLINK__" localSheetId="0"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2__FDSAUDITLINK__" hidden="1">{"fdsup://directions/FAT Viewer?action=UPDATE&amp;creator=factset&amp;DYN_ARGS=TRUE&amp;DOC_NAME=FAT:FQL_AUDITING_CLIENT_TEMPLATE.FAT&amp;display_string=Audit&amp;VAR:KEY=XGXQJMJGZY&amp;VAR:QUERY=RkZfRElWX1lMRChBTk4sMi8yNi8wOSwyLzI2LzA5KQ==&amp;WINDOW=FIRST_POPUP&amp;HEIGHT=450&amp;WIDTH=450&amp;","START_MAXIMIZED=FALSE&amp;VAR:CALENDAR=US&amp;VAR:SYMBOL=MO&amp;VAR:INDEX=0"}</definedName>
    <definedName name="_633__FDSAUDITLINK__" localSheetId="0"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3__FDSAUDITLINK__" hidden="1">{"fdsup://directions/FAT Viewer?action=UPDATE&amp;creator=factset&amp;DYN_ARGS=TRUE&amp;DOC_NAME=FAT:FQL_AUDITING_CLIENT_TEMPLATE.FAT&amp;display_string=Audit&amp;VAR:KEY=PITSXKNAHS&amp;VAR:QUERY=RkZfRElWX1lMRChBTk4sMi8xOS8wOSwyLzE5LzA5KQ==&amp;WINDOW=FIRST_POPUP&amp;HEIGHT=450&amp;WIDTH=450&amp;","START_MAXIMIZED=FALSE&amp;VAR:CALENDAR=US&amp;VAR:SYMBOL=MO&amp;VAR:INDEX=0"}</definedName>
    <definedName name="_634__FDSAUDITLINK__" localSheetId="0"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4__FDSAUDITLINK__" hidden="1">{"fdsup://directions/FAT Viewer?action=UPDATE&amp;creator=factset&amp;DYN_ARGS=TRUE&amp;DOC_NAME=FAT:FQL_AUDITING_CLIENT_TEMPLATE.FAT&amp;display_string=Audit&amp;VAR:KEY=XKNOZSPKHK&amp;VAR:QUERY=RkZfRElWX1lMRChBTk4sMi8xMi8wOSwyLzEyLzA5KQ==&amp;WINDOW=FIRST_POPUP&amp;HEIGHT=450&amp;WIDTH=450&amp;","START_MAXIMIZED=FALSE&amp;VAR:CALENDAR=US&amp;VAR:SYMBOL=MO&amp;VAR:INDEX=0"}</definedName>
    <definedName name="_635__FDSAUDITLINK__" localSheetId="0"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5__FDSAUDITLINK__" hidden="1">{"fdsup://directions/FAT Viewer?action=UPDATE&amp;creator=factset&amp;DYN_ARGS=TRUE&amp;DOC_NAME=FAT:FQL_AUDITING_CLIENT_TEMPLATE.FAT&amp;display_string=Audit&amp;VAR:KEY=FCVMPQFIXQ&amp;VAR:QUERY=RkZfRElWX1lMRChBTk4sMi8wNS8wOSwyLzA1LzA5KQ==&amp;WINDOW=FIRST_POPUP&amp;HEIGHT=450&amp;WIDTH=450&amp;","START_MAXIMIZED=FALSE&amp;VAR:CALENDAR=US&amp;VAR:SYMBOL=MO&amp;VAR:INDEX=0"}</definedName>
    <definedName name="_636">#REF!</definedName>
    <definedName name="_636__FDSAUDITLINK__" localSheetId="0"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6__FDSAUDITLINK__" hidden="1">{"fdsup://directions/FAT Viewer?action=UPDATE&amp;creator=factset&amp;DYN_ARGS=TRUE&amp;DOC_NAME=FAT:FQL_AUDITING_CLIENT_TEMPLATE.FAT&amp;display_string=Audit&amp;VAR:KEY=DMPWLETSPA&amp;VAR:QUERY=RkZfRElWX1lMRChBTk4sMS8yOS8wOSwxLzI5LzA5KQ==&amp;WINDOW=FIRST_POPUP&amp;HEIGHT=450&amp;WIDTH=450&amp;","START_MAXIMIZED=FALSE&amp;VAR:CALENDAR=US&amp;VAR:SYMBOL=MO&amp;VAR:INDEX=0"}</definedName>
    <definedName name="_637">#REF!</definedName>
    <definedName name="_637__FDSAUDITLINK__" localSheetId="0"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7__FDSAUDITLINK__" hidden="1">{"fdsup://directions/FAT Viewer?action=UPDATE&amp;creator=factset&amp;DYN_ARGS=TRUE&amp;DOC_NAME=FAT:FQL_AUDITING_CLIENT_TEMPLATE.FAT&amp;display_string=Audit&amp;VAR:KEY=JIXGPUZMVO&amp;VAR:QUERY=RkZfRElWX1lMRChBTk4sMS8yMi8wOSwxLzIyLzA5KQ==&amp;WINDOW=FIRST_POPUP&amp;HEIGHT=450&amp;WIDTH=450&amp;","START_MAXIMIZED=FALSE&amp;VAR:CALENDAR=US&amp;VAR:SYMBOL=MO&amp;VAR:INDEX=0"}</definedName>
    <definedName name="_638">#REF!</definedName>
    <definedName name="_638__FDSAUDITLINK__" localSheetId="0"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8__FDSAUDITLINK__" hidden="1">{"fdsup://directions/FAT Viewer?action=UPDATE&amp;creator=factset&amp;DYN_ARGS=TRUE&amp;DOC_NAME=FAT:FQL_AUDITING_CLIENT_TEMPLATE.FAT&amp;display_string=Audit&amp;VAR:KEY=TIVOBMDWLA&amp;VAR:QUERY=RkZfRElWX1lMRChBTk4sMS8xNS8wOSwxLzE1LzA5KQ==&amp;WINDOW=FIRST_POPUP&amp;HEIGHT=450&amp;WIDTH=450&amp;","START_MAXIMIZED=FALSE&amp;VAR:CALENDAR=US&amp;VAR:SYMBOL=MO&amp;VAR:INDEX=0"}</definedName>
    <definedName name="_639">#REF!</definedName>
    <definedName name="_639__FDSAUDITLINK__" localSheetId="0"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39__FDSAUDITLINK__" hidden="1">{"fdsup://directions/FAT Viewer?action=UPDATE&amp;creator=factset&amp;DYN_ARGS=TRUE&amp;DOC_NAME=FAT:FQL_AUDITING_CLIENT_TEMPLATE.FAT&amp;display_string=Audit&amp;VAR:KEY=NMNKDWXKHQ&amp;VAR:QUERY=RkZfRElWX1lMRChBTk4sMS8wOC8wOSwxLzA4LzA5KQ==&amp;WINDOW=FIRST_POPUP&amp;HEIGHT=450&amp;WIDTH=450&amp;","START_MAXIMIZED=FALSE&amp;VAR:CALENDAR=US&amp;VAR:SYMBOL=MO&amp;VAR:INDEX=0"}</definedName>
    <definedName name="_64">#REF!</definedName>
    <definedName name="_64_??1???_3">#REF!</definedName>
    <definedName name="_64__123Graph_CSUPPLIES_BY_B_U">#REF!</definedName>
    <definedName name="_64__123Graph_XQRE_S_BY_CO.">#REF!</definedName>
    <definedName name="_64__123Graph_XQRE_S_BY_TYPE">#REF!</definedName>
    <definedName name="_64__FDSAUDITLINK__" localSheetId="0"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FDSAUDITLINK__" hidden="1">{"fdsup://directions/FAT Viewer?action=UPDATE&amp;creator=factset&amp;DYN_ARGS=TRUE&amp;DOC_NAME=FAT:FQL_AUDITING_CLIENT_TEMPLATE.FAT&amp;display_string=Audit&amp;VAR:KEY=YPCNGPMPGX&amp;VAR:QUERY=RkZfREVCVChBTk4sMCwsLCxVU0Qp&amp;WINDOW=FIRST_POPUP&amp;HEIGHT=450&amp;WIDTH=450&amp;START_MAXIMIZED=","FALSE&amp;VAR:CALENDAR=US&amp;VAR:SYMBOL=647453&amp;VAR:INDEX=0"}</definedName>
    <definedName name="_64__NOTE5_7">#REF!</definedName>
    <definedName name="_64_0_Table2_" hidden="1">#REF!</definedName>
    <definedName name="_640__FDSAUDITLINK__" localSheetId="0"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0__FDSAUDITLINK__" hidden="1">{"fdsup://directions/FAT Viewer?action=UPDATE&amp;creator=factset&amp;DYN_ARGS=TRUE&amp;DOC_NAME=FAT:FQL_AUDITING_CLIENT_TEMPLATE.FAT&amp;display_string=Audit&amp;VAR:KEY=NMZUDOJKTM&amp;VAR:QUERY=RkZfRElWX1lMRChBTk4sMTIvMzEvMDgsMTIvMzEvMDgp&amp;WINDOW=FIRST_POPUP&amp;HEIGHT=450&amp;WIDTH=450&amp;","START_MAXIMIZED=FALSE&amp;VAR:CALENDAR=US&amp;VAR:SYMBOL=MO&amp;VAR:INDEX=0"}</definedName>
    <definedName name="_641">#REF!</definedName>
    <definedName name="_641__FDSAUDITLINK__" localSheetId="0"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1__FDSAUDITLINK__" hidden="1">{"fdsup://directions/FAT Viewer?action=UPDATE&amp;creator=factset&amp;DYN_ARGS=TRUE&amp;DOC_NAME=FAT:FQL_AUDITING_CLIENT_TEMPLATE.FAT&amp;display_string=Audit&amp;VAR:KEY=XWPAJSPGHQ&amp;VAR:QUERY=RkZfRElWX1lMRChBTk4sMTIvMjQvMDgsMTIvMjQvMDgp&amp;WINDOW=FIRST_POPUP&amp;HEIGHT=450&amp;WIDTH=450&amp;","START_MAXIMIZED=FALSE&amp;VAR:CALENDAR=US&amp;VAR:SYMBOL=MO&amp;VAR:INDEX=0"}</definedName>
    <definedName name="_642">#REF!</definedName>
    <definedName name="_642__FDSAUDITLINK__" localSheetId="0"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2__FDSAUDITLINK__" hidden="1">{"fdsup://directions/FAT Viewer?action=UPDATE&amp;creator=factset&amp;DYN_ARGS=TRUE&amp;DOC_NAME=FAT:FQL_AUDITING_CLIENT_TEMPLATE.FAT&amp;display_string=Audit&amp;VAR:KEY=FUZMXYHALQ&amp;VAR:QUERY=RkZfRElWX1lMRChBTk4sMTIvMTgvMDgsMTIvMTgvMDgp&amp;WINDOW=FIRST_POPUP&amp;HEIGHT=450&amp;WIDTH=450&amp;","START_MAXIMIZED=FALSE&amp;VAR:CALENDAR=US&amp;VAR:SYMBOL=MO&amp;VAR:INDEX=0"}</definedName>
    <definedName name="_643">#REF!</definedName>
    <definedName name="_643__FDSAUDITLINK__" localSheetId="0"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3__FDSAUDITLINK__" hidden="1">{"fdsup://directions/FAT Viewer?action=UPDATE&amp;creator=factset&amp;DYN_ARGS=TRUE&amp;DOC_NAME=FAT:FQL_AUDITING_CLIENT_TEMPLATE.FAT&amp;display_string=Audit&amp;VAR:KEY=NWRIPOJOFQ&amp;VAR:QUERY=RkZfRElWX1lMRChBTk4sMTIvMTEvMDgsMTIvMTEvMDgp&amp;WINDOW=FIRST_POPUP&amp;HEIGHT=450&amp;WIDTH=450&amp;","START_MAXIMIZED=FALSE&amp;VAR:CALENDAR=US&amp;VAR:SYMBOL=MO&amp;VAR:INDEX=0"}</definedName>
    <definedName name="_644">#REF!</definedName>
    <definedName name="_644__FDSAUDITLINK__" localSheetId="0"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4__FDSAUDITLINK__" hidden="1">{"fdsup://directions/FAT Viewer?action=UPDATE&amp;creator=factset&amp;DYN_ARGS=TRUE&amp;DOC_NAME=FAT:FQL_AUDITING_CLIENT_TEMPLATE.FAT&amp;display_string=Audit&amp;VAR:KEY=JYBUTMFKPQ&amp;VAR:QUERY=RkZfRElWX1lMRChBTk4sMTIvMDQvMDgsMTIvMDQvMDgp&amp;WINDOW=FIRST_POPUP&amp;HEIGHT=450&amp;WIDTH=450&amp;","START_MAXIMIZED=FALSE&amp;VAR:CALENDAR=US&amp;VAR:SYMBOL=MO&amp;VAR:INDEX=0"}</definedName>
    <definedName name="_645">#REF!</definedName>
    <definedName name="_645__FDSAUDITLINK__" localSheetId="0"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5__FDSAUDITLINK__" hidden="1">{"fdsup://directions/FAT Viewer?action=UPDATE&amp;creator=factset&amp;DYN_ARGS=TRUE&amp;DOC_NAME=FAT:FQL_AUDITING_CLIENT_TEMPLATE.FAT&amp;display_string=Audit&amp;VAR:KEY=BYFMVORAPM&amp;VAR:QUERY=RkZfRElWX1lMRChBTk4sMTEvMjYvMDgsMTEvMjYvMDgp&amp;WINDOW=FIRST_POPUP&amp;HEIGHT=450&amp;WIDTH=450&amp;","START_MAXIMIZED=FALSE&amp;VAR:CALENDAR=US&amp;VAR:SYMBOL=MO&amp;VAR:INDEX=0"}</definedName>
    <definedName name="_646">#REF!</definedName>
    <definedName name="_646__FDSAUDITLINK__" localSheetId="0"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6__FDSAUDITLINK__" hidden="1">{"fdsup://directions/FAT Viewer?action=UPDATE&amp;creator=factset&amp;DYN_ARGS=TRUE&amp;DOC_NAME=FAT:FQL_AUDITING_CLIENT_TEMPLATE.FAT&amp;display_string=Audit&amp;VAR:KEY=NSDYLGDQBU&amp;VAR:QUERY=RkZfRElWX1lMRChBTk4sMTEvMjAvMDgsMTEvMjAvMDgp&amp;WINDOW=FIRST_POPUP&amp;HEIGHT=450&amp;WIDTH=450&amp;","START_MAXIMIZED=FALSE&amp;VAR:CALENDAR=US&amp;VAR:SYMBOL=MO&amp;VAR:INDEX=0"}</definedName>
    <definedName name="_647">#REF!</definedName>
    <definedName name="_647__FDSAUDITLINK__" localSheetId="0"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7__FDSAUDITLINK__" hidden="1">{"fdsup://directions/FAT Viewer?action=UPDATE&amp;creator=factset&amp;DYN_ARGS=TRUE&amp;DOC_NAME=FAT:FQL_AUDITING_CLIENT_TEMPLATE.FAT&amp;display_string=Audit&amp;VAR:KEY=HENUBSDSXG&amp;VAR:QUERY=RkZfRElWX1lMRChBTk4sMTEvMTMvMDgsMTEvMTMvMDgp&amp;WINDOW=FIRST_POPUP&amp;HEIGHT=450&amp;WIDTH=450&amp;","START_MAXIMIZED=FALSE&amp;VAR:CALENDAR=US&amp;VAR:SYMBOL=MO&amp;VAR:INDEX=0"}</definedName>
    <definedName name="_648">#REF!</definedName>
    <definedName name="_648__FDSAUDITLINK__" localSheetId="0"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8__FDSAUDITLINK__" hidden="1">{"fdsup://directions/FAT Viewer?action=UPDATE&amp;creator=factset&amp;DYN_ARGS=TRUE&amp;DOC_NAME=FAT:FQL_AUDITING_CLIENT_TEMPLATE.FAT&amp;display_string=Audit&amp;VAR:KEY=BQPGNCXMPU&amp;VAR:QUERY=RkZfRElWX1lMRChBTk4sMTEvMDYvMDgsMTEvMDYvMDgp&amp;WINDOW=FIRST_POPUP&amp;HEIGHT=450&amp;WIDTH=450&amp;","START_MAXIMIZED=FALSE&amp;VAR:CALENDAR=US&amp;VAR:SYMBOL=MO&amp;VAR:INDEX=0"}</definedName>
    <definedName name="_649">#REF!</definedName>
    <definedName name="_649__FDSAUDITLINK__" localSheetId="0"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9__FDSAUDITLINK__" hidden="1">{"fdsup://directions/FAT Viewer?action=UPDATE&amp;creator=factset&amp;DYN_ARGS=TRUE&amp;DOC_NAME=FAT:FQL_AUDITING_CLIENT_TEMPLATE.FAT&amp;display_string=Audit&amp;VAR:KEY=BEDSDWZGXM&amp;VAR:QUERY=RkZfRElWX1lMRChBTk4sMTAvMzAvMDgsMTAvMzAvMDgp&amp;WINDOW=FIRST_POPUP&amp;HEIGHT=450&amp;WIDTH=450&amp;","START_MAXIMIZED=FALSE&amp;VAR:CALENDAR=US&amp;VAR:SYMBOL=MO&amp;VAR:INDEX=0"}</definedName>
    <definedName name="_64main_form_account_grants_list_4_j_id1022">#REF!</definedName>
    <definedName name="_65">#REF!</definedName>
    <definedName name="_65__123Graph_CCHART_3">#REF!</definedName>
    <definedName name="_65__123Graph_XCHART_3">#REF!</definedName>
    <definedName name="_65__123Graph_XQRE_S_BY_CO.">#REF!</definedName>
    <definedName name="_65__123Graph_XQRE_S_BY_TYPE">#REF!</definedName>
    <definedName name="_65__FDSAUDITLINK__" localSheetId="0"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FDSAUDITLINK__" hidden="1">{"fdsup://directions/FAT Viewer?action=UPDATE&amp;creator=factset&amp;DYN_ARGS=TRUE&amp;DOC_NAME=FAT:FQL_AUDITING_CLIENT_TEMPLATE.FAT&amp;display_string=Audit&amp;VAR:KEY=RYNUZULSNY&amp;VAR:QUERY=QVZHKEZGX0RJVl9ZTEQoQU5OLDQwOTk0LC0xMEFZKSk=&amp;WINDOW=FIRST_POPUP&amp;HEIGHT=450&amp;WIDTH=450&amp;","START_MAXIMIZED=FALSE&amp;VAR:CALENDAR=US&amp;VAR:SYMBOL=LO"}</definedName>
    <definedName name="_65__NOTE8_9">#REF!</definedName>
    <definedName name="_65_0_Table2_" hidden="1">#REF!</definedName>
    <definedName name="_650">#REF!</definedName>
    <definedName name="_650__FDSAUDITLINK__" localSheetId="0"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0__FDSAUDITLINK__" hidden="1">{"fdsup://directions/FAT Viewer?action=UPDATE&amp;creator=factset&amp;DYN_ARGS=TRUE&amp;DOC_NAME=FAT:FQL_AUDITING_CLIENT_TEMPLATE.FAT&amp;display_string=Audit&amp;VAR:KEY=ZMRGNCHMDE&amp;VAR:QUERY=RkZfRElWX1lMRChBTk4sMTAvMjMvMDgsMTAvMjMvMDgp&amp;WINDOW=FIRST_POPUP&amp;HEIGHT=450&amp;WIDTH=450&amp;","START_MAXIMIZED=FALSE&amp;VAR:CALENDAR=US&amp;VAR:SYMBOL=MO&amp;VAR:INDEX=0"}</definedName>
    <definedName name="_651">#REF!</definedName>
    <definedName name="_651__FDSAUDITLINK__" localSheetId="0"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1__FDSAUDITLINK__" hidden="1">{"fdsup://directions/FAT Viewer?action=UPDATE&amp;creator=factset&amp;DYN_ARGS=TRUE&amp;DOC_NAME=FAT:FQL_AUDITING_CLIENT_TEMPLATE.FAT&amp;display_string=Audit&amp;VAR:KEY=FMTMDEJURY&amp;VAR:QUERY=RkZfRElWX1lMRChBTk4sMTAvMTYvMDgsMTAvMTYvMDgp&amp;WINDOW=FIRST_POPUP&amp;HEIGHT=450&amp;WIDTH=450&amp;","START_MAXIMIZED=FALSE&amp;VAR:CALENDAR=US&amp;VAR:SYMBOL=MO&amp;VAR:INDEX=0"}</definedName>
    <definedName name="_652">#REF!</definedName>
    <definedName name="_652__FDSAUDITLINK__" localSheetId="0"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2__FDSAUDITLINK__" hidden="1">{"fdsup://directions/FAT Viewer?action=UPDATE&amp;creator=factset&amp;DYN_ARGS=TRUE&amp;DOC_NAME=FAT:FQL_AUDITING_CLIENT_TEMPLATE.FAT&amp;display_string=Audit&amp;VAR:KEY=NIXETOXUPK&amp;VAR:QUERY=RkZfRElWX1lMRChBTk4sMTAvMDkvMDgsMTAvMDkvMDgp&amp;WINDOW=FIRST_POPUP&amp;HEIGHT=450&amp;WIDTH=450&amp;","START_MAXIMIZED=FALSE&amp;VAR:CALENDAR=US&amp;VAR:SYMBOL=MO&amp;VAR:INDEX=0"}</definedName>
    <definedName name="_653">#REF!</definedName>
    <definedName name="_653__FDSAUDITLINK__" localSheetId="0"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3__FDSAUDITLINK__" hidden="1">{"fdsup://directions/FAT Viewer?action=UPDATE&amp;creator=factset&amp;DYN_ARGS=TRUE&amp;DOC_NAME=FAT:FQL_AUDITING_CLIENT_TEMPLATE.FAT&amp;display_string=Audit&amp;VAR:KEY=NMPCJCNCPI&amp;VAR:QUERY=RkZfRElWX1lMRChBTk4sMTAvMDIvMDgsMTAvMDIvMDgp&amp;WINDOW=FIRST_POPUP&amp;HEIGHT=450&amp;WIDTH=450&amp;","START_MAXIMIZED=FALSE&amp;VAR:CALENDAR=US&amp;VAR:SYMBOL=MO&amp;VAR:INDEX=0"}</definedName>
    <definedName name="_654">#REF!</definedName>
    <definedName name="_654__FDSAUDITLINK__" localSheetId="0"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4__FDSAUDITLINK__" hidden="1">{"fdsup://directions/FAT Viewer?action=UPDATE&amp;creator=factset&amp;DYN_ARGS=TRUE&amp;DOC_NAME=FAT:FQL_AUDITING_CLIENT_TEMPLATE.FAT&amp;display_string=Audit&amp;VAR:KEY=HMBWXYTSXU&amp;VAR:QUERY=RkZfRElWX1lMRChBTk4sOS8yNS8wOCw5LzI1LzA4KQ==&amp;WINDOW=FIRST_POPUP&amp;HEIGHT=450&amp;WIDTH=450&amp;","START_MAXIMIZED=FALSE&amp;VAR:CALENDAR=US&amp;VAR:SYMBOL=MO&amp;VAR:INDEX=0"}</definedName>
    <definedName name="_655">#REF!</definedName>
    <definedName name="_655__FDSAUDITLINK__" localSheetId="0"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5__FDSAUDITLINK__" hidden="1">{"fdsup://directions/FAT Viewer?action=UPDATE&amp;creator=factset&amp;DYN_ARGS=TRUE&amp;DOC_NAME=FAT:FQL_AUDITING_CLIENT_TEMPLATE.FAT&amp;display_string=Audit&amp;VAR:KEY=PENGHUBOVU&amp;VAR:QUERY=RkZfRElWX1lMRChBTk4sOS8xOC8wOCw5LzE4LzA4KQ==&amp;WINDOW=FIRST_POPUP&amp;HEIGHT=450&amp;WIDTH=450&amp;","START_MAXIMIZED=FALSE&amp;VAR:CALENDAR=US&amp;VAR:SYMBOL=MO&amp;VAR:INDEX=0"}</definedName>
    <definedName name="_656">#REF!</definedName>
    <definedName name="_656__FDSAUDITLINK__" localSheetId="0"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6__FDSAUDITLINK__" hidden="1">{"fdsup://directions/FAT Viewer?action=UPDATE&amp;creator=factset&amp;DYN_ARGS=TRUE&amp;DOC_NAME=FAT:FQL_AUDITING_CLIENT_TEMPLATE.FAT&amp;display_string=Audit&amp;VAR:KEY=HCNQPIFQVC&amp;VAR:QUERY=RkZfRElWX1lMRChBTk4sOS8xMS8wOCw5LzExLzA4KQ==&amp;WINDOW=FIRST_POPUP&amp;HEIGHT=450&amp;WIDTH=450&amp;","START_MAXIMIZED=FALSE&amp;VAR:CALENDAR=US&amp;VAR:SYMBOL=MO&amp;VAR:INDEX=0"}</definedName>
    <definedName name="_657">#REF!</definedName>
    <definedName name="_657__FDSAUDITLINK__" localSheetId="0"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7__FDSAUDITLINK__" hidden="1">{"fdsup://directions/FAT Viewer?action=UPDATE&amp;creator=factset&amp;DYN_ARGS=TRUE&amp;DOC_NAME=FAT:FQL_AUDITING_CLIENT_TEMPLATE.FAT&amp;display_string=Audit&amp;VAR:KEY=ZQNYZYXCTM&amp;VAR:QUERY=RkZfRElWX1lMRChBTk4sOS8wNC8wOCw5LzA0LzA4KQ==&amp;WINDOW=FIRST_POPUP&amp;HEIGHT=450&amp;WIDTH=450&amp;","START_MAXIMIZED=FALSE&amp;VAR:CALENDAR=US&amp;VAR:SYMBOL=MO&amp;VAR:INDEX=0"}</definedName>
    <definedName name="_658">#REF!</definedName>
    <definedName name="_658__FDSAUDITLINK__" localSheetId="0"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8__FDSAUDITLINK__" hidden="1">{"fdsup://directions/FAT Viewer?action=UPDATE&amp;creator=factset&amp;DYN_ARGS=TRUE&amp;DOC_NAME=FAT:FQL_AUDITING_CLIENT_TEMPLATE.FAT&amp;display_string=Audit&amp;VAR:KEY=ZMLGPOJOJS&amp;VAR:QUERY=RkZfRElWX1lMRChBTk4sOC8yOC8wOCw4LzI4LzA4KQ==&amp;WINDOW=FIRST_POPUP&amp;HEIGHT=450&amp;WIDTH=450&amp;","START_MAXIMIZED=FALSE&amp;VAR:CALENDAR=US&amp;VAR:SYMBOL=MO&amp;VAR:INDEX=0"}</definedName>
    <definedName name="_659">#REF!</definedName>
    <definedName name="_659__FDSAUDITLINK__" localSheetId="0"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59__FDSAUDITLINK__" hidden="1">{"fdsup://directions/FAT Viewer?action=UPDATE&amp;creator=factset&amp;DYN_ARGS=TRUE&amp;DOC_NAME=FAT:FQL_AUDITING_CLIENT_TEMPLATE.FAT&amp;display_string=Audit&amp;VAR:KEY=RATCTCDARW&amp;VAR:QUERY=RkZfRElWX1lMRChBTk4sOC8yMS8wOCw4LzIxLzA4KQ==&amp;WINDOW=FIRST_POPUP&amp;HEIGHT=450&amp;WIDTH=450&amp;","START_MAXIMIZED=FALSE&amp;VAR:CALENDAR=US&amp;VAR:SYMBOL=MO&amp;VAR:INDEX=0"}</definedName>
    <definedName name="_66">#REF!</definedName>
    <definedName name="_66__123Graph_BTAX_CREDIT">#REF!</definedName>
    <definedName name="_66__123Graph_CCONTRACT_BY_B_U">#REF!</definedName>
    <definedName name="_66__123Graph_ECONTRACT_BY_B_U">#REF!</definedName>
    <definedName name="_66__123Graph_XSUPPLIES_BY_B_U">#REF!</definedName>
    <definedName name="_66__FDSAUDITLINK__" localSheetId="0"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FDSAUDITLINK__" hidden="1">{"fdsup://directions/FAT Viewer?action=UPDATE&amp;creator=factset&amp;DYN_ARGS=TRUE&amp;DOC_NAME=FAT:FQL_AUDITING_CLIENT_TEMPLATE.FAT&amp;display_string=Audit&amp;VAR:KEY=RMJUNITULQ&amp;VAR:QUERY=QVZHKEZGX0RJVl9ZTEQoQU5OLDQwOTk0LC01QVkpKQ==&amp;WINDOW=FIRST_POPUP&amp;HEIGHT=450&amp;WIDTH=450&amp;","START_MAXIMIZED=FALSE&amp;VAR:CALENDAR=US&amp;VAR:SYMBOL=LO"}</definedName>
    <definedName name="_66__P_L">#REF!</definedName>
    <definedName name="_66_0_Table2_" hidden="1">#REF!</definedName>
    <definedName name="_660">#REF!</definedName>
    <definedName name="_660__FDSAUDITLINK__" localSheetId="0"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0__FDSAUDITLINK__" hidden="1">{"fdsup://directions/FAT Viewer?action=UPDATE&amp;creator=factset&amp;DYN_ARGS=TRUE&amp;DOC_NAME=FAT:FQL_AUDITING_CLIENT_TEMPLATE.FAT&amp;display_string=Audit&amp;VAR:KEY=VYXWTCZQTE&amp;VAR:QUERY=RkZfRElWX1lMRChBTk4sOC8xNC8wOCw4LzE0LzA4KQ==&amp;WINDOW=FIRST_POPUP&amp;HEIGHT=450&amp;WIDTH=450&amp;","START_MAXIMIZED=FALSE&amp;VAR:CALENDAR=US&amp;VAR:SYMBOL=MO&amp;VAR:INDEX=0"}</definedName>
    <definedName name="_661__FDSAUDITLINK__" localSheetId="0"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1__FDSAUDITLINK__" hidden="1">{"fdsup://directions/FAT Viewer?action=UPDATE&amp;creator=factset&amp;DYN_ARGS=TRUE&amp;DOC_NAME=FAT:FQL_AUDITING_CLIENT_TEMPLATE.FAT&amp;display_string=Audit&amp;VAR:KEY=JWDKNCDIFY&amp;VAR:QUERY=RkZfRElWX1lMRChBTk4sOC8wNy8wOCw4LzA3LzA4KQ==&amp;WINDOW=FIRST_POPUP&amp;HEIGHT=450&amp;WIDTH=450&amp;","START_MAXIMIZED=FALSE&amp;VAR:CALENDAR=US&amp;VAR:SYMBOL=MO&amp;VAR:INDEX=0"}</definedName>
    <definedName name="_662__FDSAUDITLINK__" localSheetId="0"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2__FDSAUDITLINK__" hidden="1">{"fdsup://directions/FAT Viewer?action=UPDATE&amp;creator=factset&amp;DYN_ARGS=TRUE&amp;DOC_NAME=FAT:FQL_AUDITING_CLIENT_TEMPLATE.FAT&amp;display_string=Audit&amp;VAR:KEY=LMBQHKFMJW&amp;VAR:QUERY=RkZfRElWX1lMRChBTk4sNy8zMS8wOCw3LzMxLzA4KQ==&amp;WINDOW=FIRST_POPUP&amp;HEIGHT=450&amp;WIDTH=450&amp;","START_MAXIMIZED=FALSE&amp;VAR:CALENDAR=US&amp;VAR:SYMBOL=MO&amp;VAR:INDEX=0"}</definedName>
    <definedName name="_663__FDSAUDITLINK__" localSheetId="0"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3__FDSAUDITLINK__" hidden="1">{"fdsup://directions/FAT Viewer?action=UPDATE&amp;creator=factset&amp;DYN_ARGS=TRUE&amp;DOC_NAME=FAT:FQL_AUDITING_CLIENT_TEMPLATE.FAT&amp;display_string=Audit&amp;VAR:KEY=FKVQNQTGPA&amp;VAR:QUERY=RkZfRElWX1lMRChBTk4sNy8yNC8wOCw3LzI0LzA4KQ==&amp;WINDOW=FIRST_POPUP&amp;HEIGHT=450&amp;WIDTH=450&amp;","START_MAXIMIZED=FALSE&amp;VAR:CALENDAR=US&amp;VAR:SYMBOL=MO&amp;VAR:INDEX=0"}</definedName>
    <definedName name="_664__FDSAUDITLINK__" localSheetId="0"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4__FDSAUDITLINK__" hidden="1">{"fdsup://directions/FAT Viewer?action=UPDATE&amp;creator=factset&amp;DYN_ARGS=TRUE&amp;DOC_NAME=FAT:FQL_AUDITING_CLIENT_TEMPLATE.FAT&amp;display_string=Audit&amp;VAR:KEY=VWJWDKDKDO&amp;VAR:QUERY=RkZfRElWX1lMRChBTk4sNy8xNy8wOCw3LzE3LzA4KQ==&amp;WINDOW=FIRST_POPUP&amp;HEIGHT=450&amp;WIDTH=450&amp;","START_MAXIMIZED=FALSE&amp;VAR:CALENDAR=US&amp;VAR:SYMBOL=MO&amp;VAR:INDEX=0"}</definedName>
    <definedName name="_665__FDSAUDITLINK__" localSheetId="0"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5__FDSAUDITLINK__" hidden="1">{"fdsup://directions/FAT Viewer?action=UPDATE&amp;creator=factset&amp;DYN_ARGS=TRUE&amp;DOC_NAME=FAT:FQL_AUDITING_CLIENT_TEMPLATE.FAT&amp;display_string=Audit&amp;VAR:KEY=NGXIJMLUJC&amp;VAR:QUERY=RkZfRElWX1lMRChBTk4sNy8xMC8wOCw3LzEwLzA4KQ==&amp;WINDOW=FIRST_POPUP&amp;HEIGHT=450&amp;WIDTH=450&amp;","START_MAXIMIZED=FALSE&amp;VAR:CALENDAR=US&amp;VAR:SYMBOL=MO&amp;VAR:INDEX=0"}</definedName>
    <definedName name="_666">#REF!</definedName>
    <definedName name="_666__FDSAUDITLINK__" localSheetId="0"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6__FDSAUDITLINK__" hidden="1">{"fdsup://directions/FAT Viewer?action=UPDATE&amp;creator=factset&amp;DYN_ARGS=TRUE&amp;DOC_NAME=FAT:FQL_AUDITING_CLIENT_TEMPLATE.FAT&amp;display_string=Audit&amp;VAR:KEY=LGXMTUTCJQ&amp;VAR:QUERY=RkZfRElWX1lMRChBTk4sNy8wMy8wOCw3LzAzLzA4KQ==&amp;WINDOW=FIRST_POPUP&amp;HEIGHT=450&amp;WIDTH=450&amp;","START_MAXIMIZED=FALSE&amp;VAR:CALENDAR=US&amp;VAR:SYMBOL=MO&amp;VAR:INDEX=0"}</definedName>
    <definedName name="_667__FDSAUDITLINK__" localSheetId="0"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7__FDSAUDITLINK__" hidden="1">{"fdsup://directions/FAT Viewer?action=UPDATE&amp;creator=factset&amp;DYN_ARGS=TRUE&amp;DOC_NAME=FAT:FQL_AUDITING_CLIENT_TEMPLATE.FAT&amp;display_string=Audit&amp;VAR:KEY=FUPMRKZCZK&amp;VAR:QUERY=RkZfRElWX1lMRChBTk4sNi8yNi8wOCw2LzI2LzA4KQ==&amp;WINDOW=FIRST_POPUP&amp;HEIGHT=450&amp;WIDTH=450&amp;","START_MAXIMIZED=FALSE&amp;VAR:CALENDAR=US&amp;VAR:SYMBOL=MO&amp;VAR:INDEX=0"}</definedName>
    <definedName name="_668__FDSAUDITLINK__" localSheetId="0"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8__FDSAUDITLINK__" hidden="1">{"fdsup://directions/FAT Viewer?action=UPDATE&amp;creator=factset&amp;DYN_ARGS=TRUE&amp;DOC_NAME=FAT:FQL_AUDITING_CLIENT_TEMPLATE.FAT&amp;display_string=Audit&amp;VAR:KEY=VOVQNEZOHG&amp;VAR:QUERY=RkZfRElWX1lMRChBTk4sNi8xOS8wOCw2LzE5LzA4KQ==&amp;WINDOW=FIRST_POPUP&amp;HEIGHT=450&amp;WIDTH=450&amp;","START_MAXIMIZED=FALSE&amp;VAR:CALENDAR=US&amp;VAR:SYMBOL=MO&amp;VAR:INDEX=0"}</definedName>
    <definedName name="_669__FDSAUDITLINK__" localSheetId="0"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9__FDSAUDITLINK__" hidden="1">{"fdsup://directions/FAT Viewer?action=UPDATE&amp;creator=factset&amp;DYN_ARGS=TRUE&amp;DOC_NAME=FAT:FQL_AUDITING_CLIENT_TEMPLATE.FAT&amp;display_string=Audit&amp;VAR:KEY=HYRUDMREZA&amp;VAR:QUERY=RkZfRElWX1lMRChBTk4sNi8xMi8wOCw2LzEyLzA4KQ==&amp;WINDOW=FIRST_POPUP&amp;HEIGHT=450&amp;WIDTH=450&amp;","START_MAXIMIZED=FALSE&amp;VAR:CALENDAR=US&amp;VAR:SYMBOL=MO&amp;VAR:INDEX=0"}</definedName>
    <definedName name="_66main_form_account_grants_list_5_j_id1022">#REF!</definedName>
    <definedName name="_67">#REF!</definedName>
    <definedName name="_67__123Graph_BTAX_CREDIT">#REF!</definedName>
    <definedName name="_67__123Graph_XQRE_S_BY_TYPE">#REF!</definedName>
    <definedName name="_67__123Graph_XSUPPLIES_BY_B_U">#REF!</definedName>
    <definedName name="_67__123Graph_XTAX_CREDIT">#REF!</definedName>
    <definedName name="_67__FDSAUDITLINK__" localSheetId="0"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_FDSAUDITLINK__" hidden="1">{"fdsup://directions/FAT Viewer?action=UPDATE&amp;creator=factset&amp;DYN_ARGS=TRUE&amp;DOC_NAME=FAT:FQL_AUDITING_CLIENT_TEMPLATE.FAT&amp;display_string=Audit&amp;VAR:KEY=JYVABMRCRU&amp;VAR:QUERY=RkZfREVCVChBTk4sMCwsLCxVU0Qp&amp;WINDOW=FIRST_POPUP&amp;HEIGHT=450&amp;WIDTH=450&amp;START_MAXIMIZED=","FALSE&amp;VAR:CALENDAR=US&amp;VAR:SYMBOL=028758&amp;VAR:INDEX=0"}</definedName>
    <definedName name="_67_B_S">#REF!</definedName>
    <definedName name="_670">#REF!</definedName>
    <definedName name="_670__FDSAUDITLINK__" localSheetId="0"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0__FDSAUDITLINK__" hidden="1">{"fdsup://directions/FAT Viewer?action=UPDATE&amp;creator=factset&amp;DYN_ARGS=TRUE&amp;DOC_NAME=FAT:FQL_AUDITING_CLIENT_TEMPLATE.FAT&amp;display_string=Audit&amp;VAR:KEY=LEBQBSFITG&amp;VAR:QUERY=RkZfRElWX1lMRChBTk4sNi8wNS8wOCw2LzA1LzA4KQ==&amp;WINDOW=FIRST_POPUP&amp;HEIGHT=450&amp;WIDTH=450&amp;","START_MAXIMIZED=FALSE&amp;VAR:CALENDAR=US&amp;VAR:SYMBOL=MO&amp;VAR:INDEX=0"}</definedName>
    <definedName name="_671">#REF!</definedName>
    <definedName name="_671__FDSAUDITLINK__" localSheetId="0"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1__FDSAUDITLINK__" hidden="1">{"fdsup://directions/FAT Viewer?action=UPDATE&amp;creator=factset&amp;DYN_ARGS=TRUE&amp;DOC_NAME=FAT:FQL_AUDITING_CLIENT_TEMPLATE.FAT&amp;display_string=Audit&amp;VAR:KEY=HQXAZUZQJE&amp;VAR:QUERY=RkZfRElWX1lMRChBTk4sNS8yOS8wOCw1LzI5LzA4KQ==&amp;WINDOW=FIRST_POPUP&amp;HEIGHT=450&amp;WIDTH=450&amp;","START_MAXIMIZED=FALSE&amp;VAR:CALENDAR=US&amp;VAR:SYMBOL=MO&amp;VAR:INDEX=0"}</definedName>
    <definedName name="_672">#REF!</definedName>
    <definedName name="_672__FDSAUDITLINK__" localSheetId="0"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__FDSAUDITLINK__" hidden="1">{"fdsup://directions/FAT Viewer?action=UPDATE&amp;creator=factset&amp;DYN_ARGS=TRUE&amp;DOC_NAME=FAT:FQL_AUDITING_CLIENT_TEMPLATE.FAT&amp;display_string=Audit&amp;VAR:KEY=HWPGJIHUDU&amp;VAR:QUERY=RkZfRElWX1lMRChBTk4sNS8yMi8wOCw1LzIyLzA4KQ==&amp;WINDOW=FIRST_POPUP&amp;HEIGHT=450&amp;WIDTH=450&amp;","START_MAXIMIZED=FALSE&amp;VAR:CALENDAR=US&amp;VAR:SYMBOL=MO&amp;VAR:INDEX=0"}</definedName>
    <definedName name="_6729">#REF!</definedName>
    <definedName name="_673">#REF!</definedName>
    <definedName name="_673__FDSAUDITLINK__" localSheetId="0"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__FDSAUDITLINK__" hidden="1">{"fdsup://directions/FAT Viewer?action=UPDATE&amp;creator=factset&amp;DYN_ARGS=TRUE&amp;DOC_NAME=FAT:FQL_AUDITING_CLIENT_TEMPLATE.FAT&amp;display_string=Audit&amp;VAR:KEY=VMFOXUNGZQ&amp;VAR:QUERY=RkZfRElWX1lMRChBTk4sNS8xNS8wOCw1LzE1LzA4KQ==&amp;WINDOW=FIRST_POPUP&amp;HEIGHT=450&amp;WIDTH=450&amp;","START_MAXIMIZED=FALSE&amp;VAR:CALENDAR=US&amp;VAR:SYMBOL=MO&amp;VAR:INDEX=0"}</definedName>
    <definedName name="_6730">#REF!</definedName>
    <definedName name="_6732">#REF!</definedName>
    <definedName name="_6733">#REF!</definedName>
    <definedName name="_6735">#REF!</definedName>
    <definedName name="_6736">#REF!</definedName>
    <definedName name="_674__FDSAUDITLINK__" localSheetId="0"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4__FDSAUDITLINK__" hidden="1">{"fdsup://directions/FAT Viewer?action=UPDATE&amp;creator=factset&amp;DYN_ARGS=TRUE&amp;DOC_NAME=FAT:FQL_AUDITING_CLIENT_TEMPLATE.FAT&amp;display_string=Audit&amp;VAR:KEY=FQFEFIHMXM&amp;VAR:QUERY=RkZfRElWX1lMRChBTk4sNS8wOC8wOCw1LzA4LzA4KQ==&amp;WINDOW=FIRST_POPUP&amp;HEIGHT=450&amp;WIDTH=450&amp;","START_MAXIMIZED=FALSE&amp;VAR:CALENDAR=US&amp;VAR:SYMBOL=MO&amp;VAR:INDEX=0"}</definedName>
    <definedName name="_675">#REF!</definedName>
    <definedName name="_675__FDSAUDITLINK__" localSheetId="0"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5__FDSAUDITLINK__" hidden="1">{"fdsup://directions/FAT Viewer?action=UPDATE&amp;creator=factset&amp;DYN_ARGS=TRUE&amp;DOC_NAME=FAT:FQL_AUDITING_CLIENT_TEMPLATE.FAT&amp;display_string=Audit&amp;VAR:KEY=XAZOBSTKLA&amp;VAR:QUERY=RkZfRElWX1lMRChBTk4sNS8wMS8wOCw1LzAxLzA4KQ==&amp;WINDOW=FIRST_POPUP&amp;HEIGHT=450&amp;WIDTH=450&amp;","START_MAXIMIZED=FALSE&amp;VAR:CALENDAR=US&amp;VAR:SYMBOL=MO&amp;VAR:INDEX=0"}</definedName>
    <definedName name="_676">#REF!</definedName>
    <definedName name="_676__FDSAUDITLINK__" localSheetId="0"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6__FDSAUDITLINK__" hidden="1">{"fdsup://directions/FAT Viewer?action=UPDATE&amp;creator=factset&amp;DYN_ARGS=TRUE&amp;DOC_NAME=FAT:FQL_AUDITING_CLIENT_TEMPLATE.FAT&amp;display_string=Audit&amp;VAR:KEY=FYPATGRAZO&amp;VAR:QUERY=RkZfRElWX1lMRChBTk4sNC8yNC8wOCw0LzI0LzA4KQ==&amp;WINDOW=FIRST_POPUP&amp;HEIGHT=450&amp;WIDTH=450&amp;","START_MAXIMIZED=FALSE&amp;VAR:CALENDAR=US&amp;VAR:SYMBOL=MO&amp;VAR:INDEX=0"}</definedName>
    <definedName name="_677">#REF!</definedName>
    <definedName name="_677__FDSAUDITLINK__" localSheetId="0"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7__FDSAUDITLINK__" hidden="1">{"fdsup://directions/FAT Viewer?action=UPDATE&amp;creator=factset&amp;DYN_ARGS=TRUE&amp;DOC_NAME=FAT:FQL_AUDITING_CLIENT_TEMPLATE.FAT&amp;display_string=Audit&amp;VAR:KEY=LOHQNYBYZM&amp;VAR:QUERY=RkZfRElWX1lMRChBTk4sNC8xNy8wOCw0LzE3LzA4KQ==&amp;WINDOW=FIRST_POPUP&amp;HEIGHT=450&amp;WIDTH=450&amp;","START_MAXIMIZED=FALSE&amp;VAR:CALENDAR=US&amp;VAR:SYMBOL=MO&amp;VAR:INDEX=0"}</definedName>
    <definedName name="_678">#REF!</definedName>
    <definedName name="_678__FDSAUDITLINK__" localSheetId="0"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8__FDSAUDITLINK__" hidden="1">{"fdsup://directions/FAT Viewer?action=UPDATE&amp;creator=factset&amp;DYN_ARGS=TRUE&amp;DOC_NAME=FAT:FQL_AUDITING_CLIENT_TEMPLATE.FAT&amp;display_string=Audit&amp;VAR:KEY=BKLSRCHGLM&amp;VAR:QUERY=RkZfRElWX1lMRChBTk4sNC8xMC8wOCw0LzEwLzA4KQ==&amp;WINDOW=FIRST_POPUP&amp;HEIGHT=450&amp;WIDTH=450&amp;","START_MAXIMIZED=FALSE&amp;VAR:CALENDAR=US&amp;VAR:SYMBOL=MO&amp;VAR:INDEX=0"}</definedName>
    <definedName name="_679__FDSAUDITLINK__" localSheetId="0"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79__FDSAUDITLINK__" hidden="1">{"fdsup://directions/FAT Viewer?action=UPDATE&amp;creator=factset&amp;DYN_ARGS=TRUE&amp;DOC_NAME=FAT:FQL_AUDITING_CLIENT_TEMPLATE.FAT&amp;display_string=Audit&amp;VAR:KEY=RCHYFQFCJG&amp;VAR:QUERY=RkZfRElWX1lMRChBTk4sNC8wMy8wOCw0LzAzLzA4KQ==&amp;WINDOW=FIRST_POPUP&amp;HEIGHT=450&amp;WIDTH=450&amp;","START_MAXIMIZED=FALSE&amp;VAR:CALENDAR=US&amp;VAR:SYMBOL=MO&amp;VAR:INDEX=0"}</definedName>
    <definedName name="_68">#REF!</definedName>
    <definedName name="_68__123Graph_CWAGES_BY_B_U">#REF!</definedName>
    <definedName name="_68__123Graph_XCHART_4">#REF!</definedName>
    <definedName name="_68__123Graph_XTAX_CREDIT">#REF!</definedName>
    <definedName name="_68__FDSAUDITLINK__" localSheetId="0"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_FDSAUDITLINK__" hidden="1">{"fdsup://directions/FAT Viewer?action=UPDATE&amp;creator=factset&amp;DYN_ARGS=TRUE&amp;DOC_NAME=FAT:FQL_AUDITING_CLIENT_TEMPLATE.FAT&amp;display_string=Audit&amp;VAR:KEY=JKHYVYNIBG&amp;VAR:QUERY=QVZHKEZGX0RJVl9ZTEQoQU5OLDQwOTk0LC0yQVkpKQ==&amp;WINDOW=FIRST_POPUP&amp;HEIGHT=450&amp;WIDTH=450&amp;","START_MAXIMIZED=FALSE&amp;VAR:CALENDAR=US&amp;VAR:SYMBOL=LO"}</definedName>
    <definedName name="_68_NOTE10_12">#REF!</definedName>
    <definedName name="_680">#REF!</definedName>
    <definedName name="_680__FDSAUDITLINK__" localSheetId="0"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0__FDSAUDITLINK__" hidden="1">{"fdsup://directions/FAT Viewer?action=UPDATE&amp;creator=factset&amp;DYN_ARGS=TRUE&amp;DOC_NAME=FAT:FQL_AUDITING_CLIENT_TEMPLATE.FAT&amp;display_string=Audit&amp;VAR:KEY=XGBKXYNWPA&amp;VAR:QUERY=RkZfRElWX1lMRChBTk4sMy8yNy8wOCwzLzI3LzA4KQ==&amp;WINDOW=FIRST_POPUP&amp;HEIGHT=450&amp;WIDTH=450&amp;","START_MAXIMIZED=FALSE&amp;VAR:CALENDAR=US&amp;VAR:SYMBOL=MO&amp;VAR:INDEX=0"}</definedName>
    <definedName name="_681__FDSAUDITLINK__" localSheetId="0"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1__FDSAUDITLINK__" hidden="1">{"fdsup://directions/FAT Viewer?action=UPDATE&amp;creator=factset&amp;DYN_ARGS=TRUE&amp;DOC_NAME=FAT:FQL_AUDITING_CLIENT_TEMPLATE.FAT&amp;display_string=Audit&amp;VAR:KEY=RIBIPMVALM&amp;VAR:QUERY=RkZfRElWX1lMRChBTk4sMy8yMC8wOCwzLzIwLzA4KQ==&amp;WINDOW=FIRST_POPUP&amp;HEIGHT=450&amp;WIDTH=450&amp;","START_MAXIMIZED=FALSE&amp;VAR:CALENDAR=US&amp;VAR:SYMBOL=MO&amp;VAR:INDEX=0"}</definedName>
    <definedName name="_682__FDSAUDITLINK__" localSheetId="0"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2__FDSAUDITLINK__" hidden="1">{"fdsup://directions/FAT Viewer?action=UPDATE&amp;creator=factset&amp;DYN_ARGS=TRUE&amp;DOC_NAME=FAT:FQL_AUDITING_CLIENT_TEMPLATE.FAT&amp;display_string=Audit&amp;VAR:KEY=NUZAPWXEJC&amp;VAR:QUERY=RkZfRElWX1lMRChBTk4sMy8xMy8wOCwzLzEzLzA4KQ==&amp;WINDOW=FIRST_POPUP&amp;HEIGHT=450&amp;WIDTH=450&amp;","START_MAXIMIZED=FALSE&amp;VAR:CALENDAR=US&amp;VAR:SYMBOL=MO&amp;VAR:INDEX=0"}</definedName>
    <definedName name="_683__FDSAUDITLINK__" localSheetId="0"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3__FDSAUDITLINK__" hidden="1">{"fdsup://directions/FAT Viewer?action=UPDATE&amp;creator=factset&amp;DYN_ARGS=TRUE&amp;DOC_NAME=FAT:FQL_AUDITING_CLIENT_TEMPLATE.FAT&amp;display_string=Audit&amp;VAR:KEY=REJKHENWRK&amp;VAR:QUERY=RkZfRElWX1lMRChBTk4sMy8wNi8wOCwzLzA2LzA4KQ==&amp;WINDOW=FIRST_POPUP&amp;HEIGHT=450&amp;WIDTH=450&amp;","START_MAXIMIZED=FALSE&amp;VAR:CALENDAR=US&amp;VAR:SYMBOL=MO&amp;VAR:INDEX=0"}</definedName>
    <definedName name="_684">#REF!</definedName>
    <definedName name="_684__FDSAUDITLINK__" localSheetId="0"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4__FDSAUDITLINK__" hidden="1">{"fdsup://directions/FAT Viewer?action=UPDATE&amp;creator=factset&amp;DYN_ARGS=TRUE&amp;DOC_NAME=FAT:FQL_AUDITING_CLIENT_TEMPLATE.FAT&amp;display_string=Audit&amp;VAR:KEY=TAPINYDWPM&amp;VAR:QUERY=RkZfRElWX1lMRChBTk4sMi8yOC8wOCwyLzI4LzA4KQ==&amp;WINDOW=FIRST_POPUP&amp;HEIGHT=450&amp;WIDTH=450&amp;","START_MAXIMIZED=FALSE&amp;VAR:CALENDAR=US&amp;VAR:SYMBOL=MO&amp;VAR:INDEX=0"}</definedName>
    <definedName name="_685">#REF!</definedName>
    <definedName name="_685__FDSAUDITLINK__" localSheetId="0"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5__FDSAUDITLINK__" hidden="1">{"fdsup://directions/FAT Viewer?action=UPDATE&amp;creator=factset&amp;DYN_ARGS=TRUE&amp;DOC_NAME=FAT:FQL_AUDITING_CLIENT_TEMPLATE.FAT&amp;display_string=Audit&amp;VAR:KEY=XSPMRGHOPQ&amp;VAR:QUERY=RkZfRElWX1lMRChBTk4sMi8yMS8wOCwyLzIxLzA4KQ==&amp;WINDOW=FIRST_POPUP&amp;HEIGHT=450&amp;WIDTH=450&amp;","START_MAXIMIZED=FALSE&amp;VAR:CALENDAR=US&amp;VAR:SYMBOL=MO&amp;VAR:INDEX=0"}</definedName>
    <definedName name="_686">#REF!</definedName>
    <definedName name="_686__FDSAUDITLINK__" localSheetId="0"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6__FDSAUDITLINK__" hidden="1">{"fdsup://directions/FAT Viewer?action=UPDATE&amp;creator=factset&amp;DYN_ARGS=TRUE&amp;DOC_NAME=FAT:FQL_AUDITING_CLIENT_TEMPLATE.FAT&amp;display_string=Audit&amp;VAR:KEY=ZALSBMLUJA&amp;VAR:QUERY=RkZfRElWX1lMRChBTk4sMi8xNC8wOCwyLzE0LzA4KQ==&amp;WINDOW=FIRST_POPUP&amp;HEIGHT=450&amp;WIDTH=450&amp;","START_MAXIMIZED=FALSE&amp;VAR:CALENDAR=US&amp;VAR:SYMBOL=MO&amp;VAR:INDEX=0"}</definedName>
    <definedName name="_687">#REF!</definedName>
    <definedName name="_687__FDSAUDITLINK__" localSheetId="0"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7__FDSAUDITLINK__" hidden="1">{"fdsup://directions/FAT Viewer?action=UPDATE&amp;creator=factset&amp;DYN_ARGS=TRUE&amp;DOC_NAME=FAT:FQL_AUDITING_CLIENT_TEMPLATE.FAT&amp;display_string=Audit&amp;VAR:KEY=RIHAFUNKBA&amp;VAR:QUERY=RkZfRElWX1lMRChBTk4sMi8wNy8wOCwyLzA3LzA4KQ==&amp;WINDOW=FIRST_POPUP&amp;HEIGHT=450&amp;WIDTH=450&amp;","START_MAXIMIZED=FALSE&amp;VAR:CALENDAR=US&amp;VAR:SYMBOL=MO&amp;VAR:INDEX=0"}</definedName>
    <definedName name="_688">#REF!</definedName>
    <definedName name="_688__FDSAUDITLINK__" localSheetId="0"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8__FDSAUDITLINK__" hidden="1">{"fdsup://directions/FAT Viewer?action=UPDATE&amp;creator=factset&amp;DYN_ARGS=TRUE&amp;DOC_NAME=FAT:FQL_AUDITING_CLIENT_TEMPLATE.FAT&amp;display_string=Audit&amp;VAR:KEY=VWLSNQJSZQ&amp;VAR:QUERY=RkZfRElWX1lMRChBTk4sMS8zMS8wOCwxLzMxLzA4KQ==&amp;WINDOW=FIRST_POPUP&amp;HEIGHT=450&amp;WIDTH=450&amp;","START_MAXIMIZED=FALSE&amp;VAR:CALENDAR=US&amp;VAR:SYMBOL=MO&amp;VAR:INDEX=0"}</definedName>
    <definedName name="_689">#REF!</definedName>
    <definedName name="_689__FDSAUDITLINK__" localSheetId="0"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9__FDSAUDITLINK__" hidden="1">{"fdsup://directions/FAT Viewer?action=UPDATE&amp;creator=factset&amp;DYN_ARGS=TRUE&amp;DOC_NAME=FAT:FQL_AUDITING_CLIENT_TEMPLATE.FAT&amp;display_string=Audit&amp;VAR:KEY=ZGJGPMRKXS&amp;VAR:QUERY=RkZfRElWX1lMRChBTk4sMS8yNC8wOCwxLzI0LzA4KQ==&amp;WINDOW=FIRST_POPUP&amp;HEIGHT=450&amp;WIDTH=450&amp;","START_MAXIMIZED=FALSE&amp;VAR:CALENDAR=US&amp;VAR:SYMBOL=MO&amp;VAR:INDEX=0"}</definedName>
    <definedName name="_68main_form_account_grants_list_6_j_id1022">#REF!</definedName>
    <definedName name="_69">#REF!</definedName>
    <definedName name="_69__123Graph_EQRE_S_BY_CO.">#REF!</definedName>
    <definedName name="_69__123Graph_XSUPPLIES_BY_B_U">#REF!</definedName>
    <definedName name="_69__123Graph_XTAX_CREDIT">#REF!</definedName>
    <definedName name="_69__FDSAUDITLINK__" localSheetId="0"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_FDSAUDITLINK__" hidden="1">{"fdsup://directions/FAT Viewer?action=UPDATE&amp;creator=factset&amp;DYN_ARGS=TRUE&amp;DOC_NAME=FAT:FQL_AUDITING_CLIENT_TEMPLATE.FAT&amp;display_string=Audit&amp;VAR:KEY=DIZWBYXEPK&amp;VAR:QUERY=QVZHKEZGX0RJVl9ZTEQoQU5OLDQwOTk0LC0xQVkpKQ==&amp;WINDOW=FIRST_POPUP&amp;HEIGHT=450&amp;WIDTH=450&amp;","START_MAXIMIZED=FALSE&amp;VAR:CALENDAR=US&amp;VAR:SYMBOL=LO"}</definedName>
    <definedName name="_69_NOTE1_3">#REF!</definedName>
    <definedName name="_690">#REF!</definedName>
    <definedName name="_690__FDSAUDITLINK__" localSheetId="0"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0__FDSAUDITLINK__" hidden="1">{"fdsup://directions/FAT Viewer?action=UPDATE&amp;creator=factset&amp;DYN_ARGS=TRUE&amp;DOC_NAME=FAT:FQL_AUDITING_CLIENT_TEMPLATE.FAT&amp;display_string=Audit&amp;VAR:KEY=XAHEZWZOJK&amp;VAR:QUERY=RkZfRElWX1lMRChBTk4sMS8xNy8wOCwxLzE3LzA4KQ==&amp;WINDOW=FIRST_POPUP&amp;HEIGHT=450&amp;WIDTH=450&amp;","START_MAXIMIZED=FALSE&amp;VAR:CALENDAR=US&amp;VAR:SYMBOL=MO&amp;VAR:INDEX=0"}</definedName>
    <definedName name="_691">#REF!</definedName>
    <definedName name="_691__FDSAUDITLINK__" localSheetId="0"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1__FDSAUDITLINK__" hidden="1">{"fdsup://directions/FAT Viewer?action=UPDATE&amp;creator=factset&amp;DYN_ARGS=TRUE&amp;DOC_NAME=FAT:FQL_AUDITING_CLIENT_TEMPLATE.FAT&amp;display_string=Audit&amp;VAR:KEY=XGPGPETQDU&amp;VAR:QUERY=RkZfRElWX1lMRChBTk4sMS8xMC8wOCwxLzEwLzA4KQ==&amp;WINDOW=FIRST_POPUP&amp;HEIGHT=450&amp;WIDTH=450&amp;","START_MAXIMIZED=FALSE&amp;VAR:CALENDAR=US&amp;VAR:SYMBOL=MO&amp;VAR:INDEX=0"}</definedName>
    <definedName name="_692">#REF!</definedName>
    <definedName name="_692__FDSAUDITLINK__" localSheetId="0"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2__FDSAUDITLINK__" hidden="1">{"fdsup://directions/FAT Viewer?action=UPDATE&amp;creator=factset&amp;DYN_ARGS=TRUE&amp;DOC_NAME=FAT:FQL_AUDITING_CLIENT_TEMPLATE.FAT&amp;display_string=Audit&amp;VAR:KEY=TGHERALSZQ&amp;VAR:QUERY=RkZfRElWX1lMRChBTk4sMS8wMy8wOCwxLzAzLzA4KQ==&amp;WINDOW=FIRST_POPUP&amp;HEIGHT=450&amp;WIDTH=450&amp;","START_MAXIMIZED=FALSE&amp;VAR:CALENDAR=US&amp;VAR:SYMBOL=MO&amp;VAR:INDEX=0"}</definedName>
    <definedName name="_693">#REF!</definedName>
    <definedName name="_693__FDSAUDITLINK__" localSheetId="0"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3__FDSAUDITLINK__" hidden="1">{"fdsup://directions/FAT Viewer?action=UPDATE&amp;creator=factset&amp;DYN_ARGS=TRUE&amp;DOC_NAME=FAT:FQL_AUDITING_CLIENT_TEMPLATE.FAT&amp;display_string=Audit&amp;VAR:KEY=TWDMPWBOLE&amp;VAR:QUERY=RkZfRElWX1lMRChBTk4sMTIvMjcvMDcsMTIvMjcvMDcp&amp;WINDOW=FIRST_POPUP&amp;HEIGHT=450&amp;WIDTH=450&amp;","START_MAXIMIZED=FALSE&amp;VAR:CALENDAR=US&amp;VAR:SYMBOL=MO&amp;VAR:INDEX=0"}</definedName>
    <definedName name="_694">#REF!</definedName>
    <definedName name="_694__FDSAUDITLINK__" localSheetId="0"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4__FDSAUDITLINK__" hidden="1">{"fdsup://directions/FAT Viewer?action=UPDATE&amp;creator=factset&amp;DYN_ARGS=TRUE&amp;DOC_NAME=FAT:FQL_AUDITING_CLIENT_TEMPLATE.FAT&amp;display_string=Audit&amp;VAR:KEY=BETOZSBAHS&amp;VAR:QUERY=RkZfRElWX1lMRChBTk4sMTIvMjAvMDcsMTIvMjAvMDcp&amp;WINDOW=FIRST_POPUP&amp;HEIGHT=450&amp;WIDTH=450&amp;","START_MAXIMIZED=FALSE&amp;VAR:CALENDAR=US&amp;VAR:SYMBOL=MO&amp;VAR:INDEX=0"}</definedName>
    <definedName name="_695">#REF!</definedName>
    <definedName name="_695__FDSAUDITLINK__" localSheetId="0"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5__FDSAUDITLINK__" hidden="1">{"fdsup://directions/FAT Viewer?action=UPDATE&amp;creator=factset&amp;DYN_ARGS=TRUE&amp;DOC_NAME=FAT:FQL_AUDITING_CLIENT_TEMPLATE.FAT&amp;display_string=Audit&amp;VAR:KEY=XEFYXCZOVC&amp;VAR:QUERY=RkZfRElWX1lMRChBTk4sMTIvMTMvMDcsMTIvMTMvMDcp&amp;WINDOW=FIRST_POPUP&amp;HEIGHT=450&amp;WIDTH=450&amp;","START_MAXIMIZED=FALSE&amp;VAR:CALENDAR=US&amp;VAR:SYMBOL=MO&amp;VAR:INDEX=0"}</definedName>
    <definedName name="_696">#REF!</definedName>
    <definedName name="_696__FDSAUDITLINK__" localSheetId="0"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6__FDSAUDITLINK__" hidden="1">{"fdsup://directions/FAT Viewer?action=UPDATE&amp;creator=factset&amp;DYN_ARGS=TRUE&amp;DOC_NAME=FAT:FQL_AUDITING_CLIENT_TEMPLATE.FAT&amp;display_string=Audit&amp;VAR:KEY=PSNAJKHITM&amp;VAR:QUERY=RkZfRElWX1lMRChBTk4sMTIvMDYvMDcsMTIvMDYvMDcp&amp;WINDOW=FIRST_POPUP&amp;HEIGHT=450&amp;WIDTH=450&amp;","START_MAXIMIZED=FALSE&amp;VAR:CALENDAR=US&amp;VAR:SYMBOL=MO&amp;VAR:INDEX=0"}</definedName>
    <definedName name="_697">#REF!</definedName>
    <definedName name="_697__FDSAUDITLINK__" localSheetId="0"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7__FDSAUDITLINK__" hidden="1">{"fdsup://directions/FAT Viewer?action=UPDATE&amp;creator=factset&amp;DYN_ARGS=TRUE&amp;DOC_NAME=FAT:FQL_AUDITING_CLIENT_TEMPLATE.FAT&amp;display_string=Audit&amp;VAR:KEY=TUPUXAVCBC&amp;VAR:QUERY=RkZfRElWX1lMRChBTk4sMTEvMjkvMDcsMTEvMjkvMDcp&amp;WINDOW=FIRST_POPUP&amp;HEIGHT=450&amp;WIDTH=450&amp;","START_MAXIMIZED=FALSE&amp;VAR:CALENDAR=US&amp;VAR:SYMBOL=MO&amp;VAR:INDEX=0"}</definedName>
    <definedName name="_698">#REF!</definedName>
    <definedName name="_698__FDSAUDITLINK__" localSheetId="0"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8__FDSAUDITLINK__" hidden="1">{"fdsup://directions/FAT Viewer?action=UPDATE&amp;creator=factset&amp;DYN_ARGS=TRUE&amp;DOC_NAME=FAT:FQL_AUDITING_CLIENT_TEMPLATE.FAT&amp;display_string=Audit&amp;VAR:KEY=VMLKPMTEFG&amp;VAR:QUERY=RkZfRElWX1lMRChBTk4sMTEvMjEvMDcsMTEvMjEvMDcp&amp;WINDOW=FIRST_POPUP&amp;HEIGHT=450&amp;WIDTH=450&amp;","START_MAXIMIZED=FALSE&amp;VAR:CALENDAR=US&amp;VAR:SYMBOL=MO&amp;VAR:INDEX=0"}</definedName>
    <definedName name="_699">#REF!</definedName>
    <definedName name="_699__FDSAUDITLINK__" localSheetId="0"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99__FDSAUDITLINK__" hidden="1">{"fdsup://directions/FAT Viewer?action=UPDATE&amp;creator=factset&amp;DYN_ARGS=TRUE&amp;DOC_NAME=FAT:FQL_AUDITING_CLIENT_TEMPLATE.FAT&amp;display_string=Audit&amp;VAR:KEY=TYHCFERCBE&amp;VAR:QUERY=RkZfRElWX1lMRChBTk4sMTEvMTUvMDcsMTEvMTUvMDcp&amp;WINDOW=FIRST_POPUP&amp;HEIGHT=450&amp;WIDTH=450&amp;","START_MAXIMIZED=FALSE&amp;VAR:CALENDAR=US&amp;VAR:SYMBOL=MO&amp;VAR:INDEX=0"}</definedName>
    <definedName name="_6a1_">{"'Sheet1'!$L$16"}</definedName>
    <definedName name="_6M">#REF!</definedName>
    <definedName name="_6main_form_account_grants_list_10_j_id1022">#REF!</definedName>
    <definedName name="_6O2_">#REF!</definedName>
    <definedName name="_6S">#REF!</definedName>
    <definedName name="_6s10_" hidden="1">{#N/A,#N/A,FALSE,"UNIT";#N/A,#N/A,FALSE,"UNIT";#N/A,#N/A,FALSE,"계정"}</definedName>
    <definedName name="_6s11_" hidden="1">{#N/A,#N/A,FALSE,"UNIT";#N/A,#N/A,FALSE,"UNIT";#N/A,#N/A,FALSE,"계정"}</definedName>
    <definedName name="_6Table2_" hidden="1">#REF!</definedName>
    <definedName name="_6월">#REF!</definedName>
    <definedName name="_7">#REF!</definedName>
    <definedName name="_7___________B_S">#REF!</definedName>
    <definedName name="_7__123Graph_AChart_2I">#REF!</definedName>
    <definedName name="_7__123Graph_ACONTRACT_BY_B_U">#REF!</definedName>
    <definedName name="_7__123Graph_AQRE_S_BY_CO.">#REF!</definedName>
    <definedName name="_7__123Graph_AQRE_S_BY_TYPE" hidden="1">#REF!</definedName>
    <definedName name="_7__123Graph_ASENS_COMPARISON">#REF!</definedName>
    <definedName name="_7__123Graph_ASUPPLIES_BY_B_U">#REF!</definedName>
    <definedName name="_7__123Graph_ATAX_CREDIT" hidden="1">#REF!</definedName>
    <definedName name="_7__123Graph_AWAGES_BY_B_U">#REF!</definedName>
    <definedName name="_7__123Graph_BCONTRACT_BY_B_U">#REF!</definedName>
    <definedName name="_7__123Graph_CQRE_S_BY_TYPE">#REF!</definedName>
    <definedName name="_7__123Graph_DSALES_MONTH" hidden="1">#REF!</definedName>
    <definedName name="_7__FDSAUDITLINK__" localSheetId="0"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_FDSAUDITLINK__" hidden="1">{"fdsup://directions/FAT Viewer?action=UPDATE&amp;creator=factset&amp;DYN_ARGS=TRUE&amp;DOC_NAME=FAT:FQL_AUDITING_CLIENT_TEMPLATE.FAT&amp;display_string=Audit&amp;VAR:KEY=MFQRWZCBKZ&amp;VAR:QUERY=Q1NGX0RJVl9ZTEQoUVRSX1IsNi8zMC8yMDA5KQ==&amp;WINDOW=FIRST_POPUP&amp;HEIGHT=450&amp;WIDTH=450&amp;STAR","T_MAXIMIZED=FALSE&amp;VAR:CALENDAR=US&amp;VAR:SYMBOL=MO&amp;VAR:INDEX=0"}</definedName>
    <definedName name="_7_0_0COST">#REF!</definedName>
    <definedName name="_7_0_S" hidden="1">#REF!</definedName>
    <definedName name="_7_0_Table2_">#REF!</definedName>
    <definedName name="_70">#REF!</definedName>
    <definedName name="_70__123Graph_CCHART_8">#REF!</definedName>
    <definedName name="_70__FDSAUDITLINK__" localSheetId="0"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_FDSAUDITLINK__" hidden="1">{"fdsup://directions/FAT Viewer?action=UPDATE&amp;creator=factset&amp;DYN_ARGS=TRUE&amp;DOC_NAME=FAT:FQL_AUDITING_CLIENT_TEMPLATE.FAT&amp;display_string=Audit&amp;VAR:KEY=XOPGPWFMRC&amp;VAR:QUERY=RkZfRElWX1lMRChBTk4sNDA5OTQp&amp;WINDOW=FIRST_POPUP&amp;HEIGHT=450&amp;WIDTH=450&amp;START_MAXIMIZED=","FALSE&amp;VAR:CALENDAR=US&amp;VAR:SYMBOL=PM&amp;VAR:INDEX=0"}</definedName>
    <definedName name="_70_0_S" hidden="1">#REF!</definedName>
    <definedName name="_70_NOTE5_7">#REF!</definedName>
    <definedName name="_700">#REF!</definedName>
    <definedName name="_700__FDSAUDITLINK__" localSheetId="0"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0__FDSAUDITLINK__" hidden="1">{"fdsup://directions/FAT Viewer?action=UPDATE&amp;creator=factset&amp;DYN_ARGS=TRUE&amp;DOC_NAME=FAT:FQL_AUDITING_CLIENT_TEMPLATE.FAT&amp;display_string=Audit&amp;VAR:KEY=PGNWZAPKXW&amp;VAR:QUERY=RkZfRElWX1lMRChBTk4sMTEvMDgvMDcsMTEvMDgvMDcp&amp;WINDOW=FIRST_POPUP&amp;HEIGHT=450&amp;WIDTH=450&amp;","START_MAXIMIZED=FALSE&amp;VAR:CALENDAR=US&amp;VAR:SYMBOL=MO&amp;VAR:INDEX=0"}</definedName>
    <definedName name="_701">#REF!</definedName>
    <definedName name="_701__FDSAUDITLINK__" localSheetId="0"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1__FDSAUDITLINK__" hidden="1">{"fdsup://directions/FAT Viewer?action=UPDATE&amp;creator=factset&amp;DYN_ARGS=TRUE&amp;DOC_NAME=FAT:FQL_AUDITING_CLIENT_TEMPLATE.FAT&amp;display_string=Audit&amp;VAR:KEY=XIVQVSTUTS&amp;VAR:QUERY=RkZfRElWX1lMRChBTk4sMTEvMDEvMDcsMTEvMDEvMDcp&amp;WINDOW=FIRST_POPUP&amp;HEIGHT=450&amp;WIDTH=450&amp;","START_MAXIMIZED=FALSE&amp;VAR:CALENDAR=US&amp;VAR:SYMBOL=MO&amp;VAR:INDEX=0"}</definedName>
    <definedName name="_702">#REF!</definedName>
    <definedName name="_702__FDSAUDITLINK__" localSheetId="0"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2__FDSAUDITLINK__" hidden="1">{"fdsup://directions/FAT Viewer?action=UPDATE&amp;creator=factset&amp;DYN_ARGS=TRUE&amp;DOC_NAME=FAT:FQL_AUDITING_CLIENT_TEMPLATE.FAT&amp;display_string=Audit&amp;VAR:KEY=TURYJKVKFY&amp;VAR:QUERY=RkZfRElWX1lMRChBTk4sMTAvMjUvMDcsMTAvMjUvMDcp&amp;WINDOW=FIRST_POPUP&amp;HEIGHT=450&amp;WIDTH=450&amp;","START_MAXIMIZED=FALSE&amp;VAR:CALENDAR=US&amp;VAR:SYMBOL=MO&amp;VAR:INDEX=0"}</definedName>
    <definedName name="_703__FDSAUDITLINK__" localSheetId="0"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__FDSAUDITLINK__" hidden="1">{"fdsup://directions/FAT Viewer?action=UPDATE&amp;creator=factset&amp;DYN_ARGS=TRUE&amp;DOC_NAME=FAT:FQL_AUDITING_CLIENT_TEMPLATE.FAT&amp;display_string=Audit&amp;VAR:KEY=ZOVINIJWZK&amp;VAR:QUERY=RkZfRElWX1lMRChBTk4sMTAvMTgvMDcsMTAvMTgvMDcp&amp;WINDOW=FIRST_POPUP&amp;HEIGHT=450&amp;WIDTH=450&amp;","START_MAXIMIZED=FALSE&amp;VAR:CALENDAR=US&amp;VAR:SYMBOL=MO&amp;VAR:INDEX=0"}</definedName>
    <definedName name="_7037">#REF!</definedName>
    <definedName name="_7038">#REF!</definedName>
    <definedName name="_704__FDSAUDITLINK__" localSheetId="0"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__FDSAUDITLINK__" hidden="1">{"fdsup://directions/FAT Viewer?action=UPDATE&amp;creator=factset&amp;DYN_ARGS=TRUE&amp;DOC_NAME=FAT:FQL_AUDITING_CLIENT_TEMPLATE.FAT&amp;display_string=Audit&amp;VAR:KEY=FAROHOFUNI&amp;VAR:QUERY=RkZfRElWX1lMRChBTk4sMTAvMTEvMDcsMTAvMTEvMDcp&amp;WINDOW=FIRST_POPUP&amp;HEIGHT=450&amp;WIDTH=450&amp;","START_MAXIMIZED=FALSE&amp;VAR:CALENDAR=US&amp;VAR:SYMBOL=MO&amp;VAR:INDEX=0"}</definedName>
    <definedName name="_7040">#REF!</definedName>
    <definedName name="_7041">#REF!</definedName>
    <definedName name="_7043">#REF!</definedName>
    <definedName name="_7044">#REF!</definedName>
    <definedName name="_705__FDSAUDITLINK__" localSheetId="0"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5__FDSAUDITLINK__" hidden="1">{"fdsup://directions/FAT Viewer?action=UPDATE&amp;creator=factset&amp;DYN_ARGS=TRUE&amp;DOC_NAME=FAT:FQL_AUDITING_CLIENT_TEMPLATE.FAT&amp;display_string=Audit&amp;VAR:KEY=DQLULEJGNY&amp;VAR:QUERY=RkZfRElWX1lMRChBTk4sMTAvMDQvMDcsMTAvMDQvMDcp&amp;WINDOW=FIRST_POPUP&amp;HEIGHT=450&amp;WIDTH=450&amp;","START_MAXIMIZED=FALSE&amp;VAR:CALENDAR=US&amp;VAR:SYMBOL=MO&amp;VAR:INDEX=0"}</definedName>
    <definedName name="_706__FDSAUDITLINK__" localSheetId="0"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6__FDSAUDITLINK__" hidden="1">{"fdsup://directions/FAT Viewer?action=UPDATE&amp;creator=factset&amp;DYN_ARGS=TRUE&amp;DOC_NAME=FAT:FQL_AUDITING_CLIENT_TEMPLATE.FAT&amp;display_string=Audit&amp;VAR:KEY=ZKVUTORABI&amp;VAR:QUERY=RkZfRElWX1lMRChBTk4sOS8yNy8wNyw5LzI3LzA3KQ==&amp;WINDOW=FIRST_POPUP&amp;HEIGHT=450&amp;WIDTH=450&amp;","START_MAXIMIZED=FALSE&amp;VAR:CALENDAR=US&amp;VAR:SYMBOL=MO&amp;VAR:INDEX=0"}</definedName>
    <definedName name="_707__FDSAUDITLINK__" localSheetId="0"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7__FDSAUDITLINK__" hidden="1">{"fdsup://directions/FAT Viewer?action=UPDATE&amp;creator=factset&amp;DYN_ARGS=TRUE&amp;DOC_NAME=FAT:FQL_AUDITING_CLIENT_TEMPLATE.FAT&amp;display_string=Audit&amp;VAR:KEY=JSFCVSVQDW&amp;VAR:QUERY=RkZfRElWX1lMRChBTk4sOS8yMC8wNyw5LzIwLzA3KQ==&amp;WINDOW=FIRST_POPUP&amp;HEIGHT=450&amp;WIDTH=450&amp;","START_MAXIMIZED=FALSE&amp;VAR:CALENDAR=US&amp;VAR:SYMBOL=MO&amp;VAR:INDEX=0"}</definedName>
    <definedName name="_708__FDSAUDITLINK__" localSheetId="0"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8__FDSAUDITLINK__" hidden="1">{"fdsup://directions/FAT Viewer?action=UPDATE&amp;creator=factset&amp;DYN_ARGS=TRUE&amp;DOC_NAME=FAT:FQL_AUDITING_CLIENT_TEMPLATE.FAT&amp;display_string=Audit&amp;VAR:KEY=BSRQTQHABA&amp;VAR:QUERY=RkZfRElWX1lMRChBTk4sOS8xMy8wNyw5LzEzLzA3KQ==&amp;WINDOW=FIRST_POPUP&amp;HEIGHT=450&amp;WIDTH=450&amp;","START_MAXIMIZED=FALSE&amp;VAR:CALENDAR=US&amp;VAR:SYMBOL=MO&amp;VAR:INDEX=0"}</definedName>
    <definedName name="_709__FDSAUDITLINK__" localSheetId="0"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9__FDSAUDITLINK__" hidden="1">{"fdsup://directions/FAT Viewer?action=UPDATE&amp;creator=factset&amp;DYN_ARGS=TRUE&amp;DOC_NAME=FAT:FQL_AUDITING_CLIENT_TEMPLATE.FAT&amp;display_string=Audit&amp;VAR:KEY=BAFMNOHMHW&amp;VAR:QUERY=RkZfRElWX1lMRChBTk4sOS8wNi8wNyw5LzA2LzA3KQ==&amp;WINDOW=FIRST_POPUP&amp;HEIGHT=450&amp;WIDTH=450&amp;","START_MAXIMIZED=FALSE&amp;VAR:CALENDAR=US&amp;VAR:SYMBOL=MO&amp;VAR:INDEX=0"}</definedName>
    <definedName name="_70main_form_account_grants_list_7_j_id1022">#REF!</definedName>
    <definedName name="_70T1">#REF!</definedName>
    <definedName name="_70T2">#REF!</definedName>
    <definedName name="_71__123Graph_CQRE_S_BY_CO.">#REF!</definedName>
    <definedName name="_71__123Graph_XCHART_8">#REF!</definedName>
    <definedName name="_71__123Graph_XTAX_CREDIT">#REF!</definedName>
    <definedName name="_71__FDSAUDITLINK__" localSheetId="0"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_FDSAUDITLINK__" hidden="1">{"fdsup://directions/FAT Viewer?action=UPDATE&amp;creator=factset&amp;DYN_ARGS=TRUE&amp;DOC_NAME=FAT:FQL_AUDITING_CLIENT_TEMPLATE.FAT&amp;display_string=Audit&amp;VAR:KEY=PYJOJGBUPG&amp;VAR:QUERY=RkZfRElWX1lMRChBTk4sNDA5OTQp&amp;WINDOW=FIRST_POPUP&amp;HEIGHT=450&amp;WIDTH=450&amp;START_MAXIMIZED=","FALSE&amp;VAR:CALENDAR=US&amp;VAR:SYMBOL=RAI&amp;VAR:INDEX=0"}</definedName>
    <definedName name="_71_0_S" hidden="1">#REF!</definedName>
    <definedName name="_71_NOTE8_9">#REF!</definedName>
    <definedName name="_710">#REF!</definedName>
    <definedName name="_710__FDSAUDITLINK__" localSheetId="0"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0__FDSAUDITLINK__" hidden="1">{"fdsup://directions/FAT Viewer?action=UPDATE&amp;creator=factset&amp;DYN_ARGS=TRUE&amp;DOC_NAME=FAT:FQL_AUDITING_CLIENT_TEMPLATE.FAT&amp;display_string=Audit&amp;VAR:KEY=LQNKLMNOVA&amp;VAR:QUERY=RkZfRElWX1lMRChBTk4sOC8zMC8wNyw4LzMwLzA3KQ==&amp;WINDOW=FIRST_POPUP&amp;HEIGHT=450&amp;WIDTH=450&amp;","START_MAXIMIZED=FALSE&amp;VAR:CALENDAR=US&amp;VAR:SYMBOL=MO&amp;VAR:INDEX=0"}</definedName>
    <definedName name="_711__FDSAUDITLINK__" localSheetId="0"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1__FDSAUDITLINK__" hidden="1">{"fdsup://directions/FAT Viewer?action=UPDATE&amp;creator=factset&amp;DYN_ARGS=TRUE&amp;DOC_NAME=FAT:FQL_AUDITING_CLIENT_TEMPLATE.FAT&amp;display_string=Audit&amp;VAR:KEY=VKROXQFMNO&amp;VAR:QUERY=RkZfRElWX1lMRChBTk4sOC8yMy8wNyw4LzIzLzA3KQ==&amp;WINDOW=FIRST_POPUP&amp;HEIGHT=450&amp;WIDTH=450&amp;","START_MAXIMIZED=FALSE&amp;VAR:CALENDAR=US&amp;VAR:SYMBOL=MO&amp;VAR:INDEX=0"}</definedName>
    <definedName name="_712__FDSAUDITLINK__" localSheetId="0"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2__FDSAUDITLINK__" hidden="1">{"fdsup://directions/FAT Viewer?action=UPDATE&amp;creator=factset&amp;DYN_ARGS=TRUE&amp;DOC_NAME=FAT:FQL_AUDITING_CLIENT_TEMPLATE.FAT&amp;display_string=Audit&amp;VAR:KEY=VYDOJUROXC&amp;VAR:QUERY=RkZfRElWX1lMRChBTk4sOC8xNi8wNyw4LzE2LzA3KQ==&amp;WINDOW=FIRST_POPUP&amp;HEIGHT=450&amp;WIDTH=450&amp;","START_MAXIMIZED=FALSE&amp;VAR:CALENDAR=US&amp;VAR:SYMBOL=MO&amp;VAR:INDEX=0"}</definedName>
    <definedName name="_713__FDSAUDITLINK__" localSheetId="0"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3__FDSAUDITLINK__" hidden="1">{"fdsup://directions/FAT Viewer?action=UPDATE&amp;creator=factset&amp;DYN_ARGS=TRUE&amp;DOC_NAME=FAT:FQL_AUDITING_CLIENT_TEMPLATE.FAT&amp;display_string=Audit&amp;VAR:KEY=FMTUZGRALW&amp;VAR:QUERY=RkZfRElWX1lMRChBTk4sOC8wOS8wNyw4LzA5LzA3KQ==&amp;WINDOW=FIRST_POPUP&amp;HEIGHT=450&amp;WIDTH=450&amp;","START_MAXIMIZED=FALSE&amp;VAR:CALENDAR=US&amp;VAR:SYMBOL=MO&amp;VAR:INDEX=0"}</definedName>
    <definedName name="_714">#REF!</definedName>
    <definedName name="_714__FDSAUDITLINK__" localSheetId="0"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4__FDSAUDITLINK__" hidden="1">{"fdsup://directions/FAT Viewer?action=UPDATE&amp;creator=factset&amp;DYN_ARGS=TRUE&amp;DOC_NAME=FAT:FQL_AUDITING_CLIENT_TEMPLATE.FAT&amp;display_string=Audit&amp;VAR:KEY=VUVMVGTCJY&amp;VAR:QUERY=RkZfRElWX1lMRChBTk4sOC8wMi8wNyw4LzAyLzA3KQ==&amp;WINDOW=FIRST_POPUP&amp;HEIGHT=450&amp;WIDTH=450&amp;","START_MAXIMIZED=FALSE&amp;VAR:CALENDAR=US&amp;VAR:SYMBOL=MO&amp;VAR:INDEX=0"}</definedName>
    <definedName name="_715__FDSAUDITLINK__" localSheetId="0"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5__FDSAUDITLINK__" hidden="1">{"fdsup://directions/FAT Viewer?action=UPDATE&amp;creator=factset&amp;DYN_ARGS=TRUE&amp;DOC_NAME=FAT:FQL_AUDITING_CLIENT_TEMPLATE.FAT&amp;display_string=Audit&amp;VAR:KEY=PGNABGFSNW&amp;VAR:QUERY=RkZfRElWX1lMRChBTk4sNy8yNi8wNyw3LzI2LzA3KQ==&amp;WINDOW=FIRST_POPUP&amp;HEIGHT=450&amp;WIDTH=450&amp;","START_MAXIMIZED=FALSE&amp;VAR:CALENDAR=US&amp;VAR:SYMBOL=MO&amp;VAR:INDEX=0"}</definedName>
    <definedName name="_716__FDSAUDITLINK__" localSheetId="0"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6__FDSAUDITLINK__" hidden="1">{"fdsup://directions/FAT Viewer?action=UPDATE&amp;creator=factset&amp;DYN_ARGS=TRUE&amp;DOC_NAME=FAT:FQL_AUDITING_CLIENT_TEMPLATE.FAT&amp;display_string=Audit&amp;VAR:KEY=LKJEBUHWLW&amp;VAR:QUERY=RkZfRElWX1lMRChBTk4sNy8xOS8wNyw3LzE5LzA3KQ==&amp;WINDOW=FIRST_POPUP&amp;HEIGHT=450&amp;WIDTH=450&amp;","START_MAXIMIZED=FALSE&amp;VAR:CALENDAR=US&amp;VAR:SYMBOL=MO&amp;VAR:INDEX=0"}</definedName>
    <definedName name="_717__FDSAUDITLINK__" localSheetId="0"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7__FDSAUDITLINK__" hidden="1">{"fdsup://directions/FAT Viewer?action=UPDATE&amp;creator=factset&amp;DYN_ARGS=TRUE&amp;DOC_NAME=FAT:FQL_AUDITING_CLIENT_TEMPLATE.FAT&amp;display_string=Audit&amp;VAR:KEY=JYXYFEDAZC&amp;VAR:QUERY=RkZfRElWX1lMRChBTk4sNy8xMi8wNyw3LzEyLzA3KQ==&amp;WINDOW=FIRST_POPUP&amp;HEIGHT=450&amp;WIDTH=450&amp;","START_MAXIMIZED=FALSE&amp;VAR:CALENDAR=US&amp;VAR:SYMBOL=MO&amp;VAR:INDEX=0"}</definedName>
    <definedName name="_718__FDSAUDITLINK__" localSheetId="0"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__FDSAUDITLINK__" hidden="1">{"fdsup://directions/FAT Viewer?action=UPDATE&amp;creator=factset&amp;DYN_ARGS=TRUE&amp;DOC_NAME=FAT:FQL_AUDITING_CLIENT_TEMPLATE.FAT&amp;display_string=Audit&amp;VAR:KEY=VIBCTMZGTW&amp;VAR:QUERY=RkZfRElWX1lMRChBTk4sNy8wNS8wNyw3LzA1LzA3KQ==&amp;WINDOW=FIRST_POPUP&amp;HEIGHT=450&amp;WIDTH=450&amp;","START_MAXIMIZED=FALSE&amp;VAR:CALENDAR=US&amp;VAR:SYMBOL=MO&amp;VAR:INDEX=0"}</definedName>
    <definedName name="_7189">#REF!</definedName>
    <definedName name="_719">#REF!</definedName>
    <definedName name="_719__FDSAUDITLINK__" localSheetId="0"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__FDSAUDITLINK__" hidden="1">{"fdsup://directions/FAT Viewer?action=UPDATE&amp;creator=factset&amp;DYN_ARGS=TRUE&amp;DOC_NAME=FAT:FQL_AUDITING_CLIENT_TEMPLATE.FAT&amp;display_string=Audit&amp;VAR:KEY=DQLSVKLKBI&amp;VAR:QUERY=RkZfRElWX1lMRChBTk4sNi8yOC8wNyw2LzI4LzA3KQ==&amp;WINDOW=FIRST_POPUP&amp;HEIGHT=450&amp;WIDTH=450&amp;","START_MAXIMIZED=FALSE&amp;VAR:CALENDAR=US&amp;VAR:SYMBOL=MO&amp;VAR:INDEX=0"}</definedName>
    <definedName name="_7190">#REF!</definedName>
    <definedName name="_7192">#REF!</definedName>
    <definedName name="_7193">#REF!</definedName>
    <definedName name="_7195">#REF!</definedName>
    <definedName name="_7196">#REF!</definedName>
    <definedName name="_72__123Graph_BWAGES_BY_B_U">#REF!</definedName>
    <definedName name="_72__123Graph_DCONTRACT_BY_B_U">#REF!</definedName>
    <definedName name="_72__123Graph_ESUPPLIES_BY_B_U">#REF!</definedName>
    <definedName name="_72__FDSAUDITLINK__" localSheetId="0"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_FDSAUDITLINK__" hidden="1">{"fdsup://directions/FAT Viewer?action=UPDATE&amp;creator=factset&amp;DYN_ARGS=TRUE&amp;DOC_NAME=FAT:FQL_AUDITING_CLIENT_TEMPLATE.FAT&amp;display_string=Audit&amp;VAR:KEY=RWRIBSVMRI&amp;VAR:QUERY=RkZfRElWX1lMRChBTk4sNDA5OTQp&amp;WINDOW=FIRST_POPUP&amp;HEIGHT=450&amp;WIDTH=450&amp;START_MAXIMIZED=","FALSE&amp;VAR:CALENDAR=US&amp;VAR:SYMBOL=MO&amp;VAR:INDEX=0"}</definedName>
    <definedName name="_72_0_S" hidden="1">#REF!</definedName>
    <definedName name="_72_P_L">#REF!</definedName>
    <definedName name="_720__FDSAUDITLINK__" localSheetId="0"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0__FDSAUDITLINK__" hidden="1">{"fdsup://directions/FAT Viewer?action=UPDATE&amp;creator=factset&amp;DYN_ARGS=TRUE&amp;DOC_NAME=FAT:FQL_AUDITING_CLIENT_TEMPLATE.FAT&amp;display_string=Audit&amp;VAR:KEY=ZUHSBSLSHM&amp;VAR:QUERY=RkZfRElWX1lMRChBTk4sNi8yMS8wNyw2LzIxLzA3KQ==&amp;WINDOW=FIRST_POPUP&amp;HEIGHT=450&amp;WIDTH=450&amp;","START_MAXIMIZED=FALSE&amp;VAR:CALENDAR=US&amp;VAR:SYMBOL=MO&amp;VAR:INDEX=0"}</definedName>
    <definedName name="_721__FDSAUDITLINK__" localSheetId="0"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1__FDSAUDITLINK__" hidden="1">{"fdsup://directions/FAT Viewer?action=UPDATE&amp;creator=factset&amp;DYN_ARGS=TRUE&amp;DOC_NAME=FAT:FQL_AUDITING_CLIENT_TEMPLATE.FAT&amp;display_string=Audit&amp;VAR:KEY=PSFWRADYLY&amp;VAR:QUERY=RkZfRElWX1lMRChBTk4sNi8xNC8wNyw2LzE0LzA3KQ==&amp;WINDOW=FIRST_POPUP&amp;HEIGHT=450&amp;WIDTH=450&amp;","START_MAXIMIZED=FALSE&amp;VAR:CALENDAR=US&amp;VAR:SYMBOL=MO&amp;VAR:INDEX=0"}</definedName>
    <definedName name="_722__FDSAUDITLINK__" localSheetId="0"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2__FDSAUDITLINK__" hidden="1">{"fdsup://directions/FAT Viewer?action=UPDATE&amp;creator=factset&amp;DYN_ARGS=TRUE&amp;DOC_NAME=FAT:FQL_AUDITING_CLIENT_TEMPLATE.FAT&amp;display_string=Audit&amp;VAR:KEY=RAPUXIBQHA&amp;VAR:QUERY=RkZfRElWX1lMRChBTk4sNi8wNy8wNyw2LzA3LzA3KQ==&amp;WINDOW=FIRST_POPUP&amp;HEIGHT=450&amp;WIDTH=450&amp;","START_MAXIMIZED=FALSE&amp;VAR:CALENDAR=US&amp;VAR:SYMBOL=MO&amp;VAR:INDEX=0"}</definedName>
    <definedName name="_723__FDSAUDITLINK__" localSheetId="0"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3__FDSAUDITLINK__" hidden="1">{"fdsup://directions/FAT Viewer?action=UPDATE&amp;creator=factset&amp;DYN_ARGS=TRUE&amp;DOC_NAME=FAT:FQL_AUDITING_CLIENT_TEMPLATE.FAT&amp;display_string=Audit&amp;VAR:KEY=XSHENATORY&amp;VAR:QUERY=RkZfRElWX1lMRChBTk4sNS8zMS8wNyw1LzMxLzA3KQ==&amp;WINDOW=FIRST_POPUP&amp;HEIGHT=450&amp;WIDTH=450&amp;","START_MAXIMIZED=FALSE&amp;VAR:CALENDAR=US&amp;VAR:SYMBOL=MO&amp;VAR:INDEX=0"}</definedName>
    <definedName name="_724">#REF!</definedName>
    <definedName name="_724__FDSAUDITLINK__" localSheetId="0"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4__FDSAUDITLINK__" hidden="1">{"fdsup://directions/FAT Viewer?action=UPDATE&amp;creator=factset&amp;DYN_ARGS=TRUE&amp;DOC_NAME=FAT:FQL_AUDITING_CLIENT_TEMPLATE.FAT&amp;display_string=Audit&amp;VAR:KEY=HYRADOHCZY&amp;VAR:QUERY=RkZfRElWX1lMRChBTk4sNS8yNC8wNyw1LzI0LzA3KQ==&amp;WINDOW=FIRST_POPUP&amp;HEIGHT=450&amp;WIDTH=450&amp;","START_MAXIMIZED=FALSE&amp;VAR:CALENDAR=US&amp;VAR:SYMBOL=MO&amp;VAR:INDEX=0"}</definedName>
    <definedName name="_725__FDSAUDITLINK__" localSheetId="0"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5__FDSAUDITLINK__" hidden="1">{"fdsup://directions/FAT Viewer?action=UPDATE&amp;creator=factset&amp;DYN_ARGS=TRUE&amp;DOC_NAME=FAT:FQL_AUDITING_CLIENT_TEMPLATE.FAT&amp;display_string=Audit&amp;VAR:KEY=NUBKXWRUTQ&amp;VAR:QUERY=RkZfRElWX1lMRChBTk4sNS8xNy8wNyw1LzE3LzA3KQ==&amp;WINDOW=FIRST_POPUP&amp;HEIGHT=450&amp;WIDTH=450&amp;","START_MAXIMIZED=FALSE&amp;VAR:CALENDAR=US&amp;VAR:SYMBOL=MO&amp;VAR:INDEX=0"}</definedName>
    <definedName name="_726__FDSAUDITLINK__" localSheetId="0"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6__FDSAUDITLINK__" hidden="1">{"fdsup://directions/FAT Viewer?action=UPDATE&amp;creator=factset&amp;DYN_ARGS=TRUE&amp;DOC_NAME=FAT:FQL_AUDITING_CLIENT_TEMPLATE.FAT&amp;display_string=Audit&amp;VAR:KEY=HUVOTEZCBA&amp;VAR:QUERY=RkZfRElWX1lMRChBTk4sNS8xMC8wNyw1LzEwLzA3KQ==&amp;WINDOW=FIRST_POPUP&amp;HEIGHT=450&amp;WIDTH=450&amp;","START_MAXIMIZED=FALSE&amp;VAR:CALENDAR=US&amp;VAR:SYMBOL=MO&amp;VAR:INDEX=0"}</definedName>
    <definedName name="_727">#REF!</definedName>
    <definedName name="_727__FDSAUDITLINK__" localSheetId="0"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7__FDSAUDITLINK__" hidden="1">{"fdsup://directions/FAT Viewer?action=UPDATE&amp;creator=factset&amp;DYN_ARGS=TRUE&amp;DOC_NAME=FAT:FQL_AUDITING_CLIENT_TEMPLATE.FAT&amp;display_string=Audit&amp;VAR:KEY=JSHKPMNORS&amp;VAR:QUERY=RkZfRElWX1lMRChBTk4sNS8wMy8wNyw1LzAzLzA3KQ==&amp;WINDOW=FIRST_POPUP&amp;HEIGHT=450&amp;WIDTH=450&amp;","START_MAXIMIZED=FALSE&amp;VAR:CALENDAR=US&amp;VAR:SYMBOL=MO&amp;VAR:INDEX=0"}</definedName>
    <definedName name="_728">#REF!</definedName>
    <definedName name="_728__FDSAUDITLINK__" localSheetId="0"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8__FDSAUDITLINK__" hidden="1">{"fdsup://directions/FAT Viewer?action=UPDATE&amp;creator=factset&amp;DYN_ARGS=TRUE&amp;DOC_NAME=FAT:FQL_AUDITING_CLIENT_TEMPLATE.FAT&amp;display_string=Audit&amp;VAR:KEY=BMLGTERYXU&amp;VAR:QUERY=RkZfRElWX1lMRChBTk4sNC8yNi8wNyw0LzI2LzA3KQ==&amp;WINDOW=FIRST_POPUP&amp;HEIGHT=450&amp;WIDTH=450&amp;","START_MAXIMIZED=FALSE&amp;VAR:CALENDAR=US&amp;VAR:SYMBOL=MO&amp;VAR:INDEX=0"}</definedName>
    <definedName name="_729">#REF!</definedName>
    <definedName name="_729__FDSAUDITLINK__" localSheetId="0"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9__FDSAUDITLINK__" hidden="1">{"fdsup://directions/FAT Viewer?action=UPDATE&amp;creator=factset&amp;DYN_ARGS=TRUE&amp;DOC_NAME=FAT:FQL_AUDITING_CLIENT_TEMPLATE.FAT&amp;display_string=Audit&amp;VAR:KEY=VORYLEBKHG&amp;VAR:QUERY=RkZfRElWX1lMRChBTk4sNC8xOS8wNyw0LzE5LzA3KQ==&amp;WINDOW=FIRST_POPUP&amp;HEIGHT=450&amp;WIDTH=450&amp;","START_MAXIMIZED=FALSE&amp;VAR:CALENDAR=US&amp;VAR:SYMBOL=MO&amp;VAR:INDEX=0"}</definedName>
    <definedName name="_72main_form_account_grants_list_8_j_id1022">#REF!</definedName>
    <definedName name="_73__123Graph_BWAGES_BY_B_U">#REF!</definedName>
    <definedName name="_73__FDSAUDITLINK__" localSheetId="0"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__FDSAUDITLINK__" hidden="1">{"fdsup://directions/FAT Viewer?action=UPDATE&amp;creator=factset&amp;DYN_ARGS=TRUE&amp;DOC_NAME=FAT:FQL_AUDITING_CLIENT_TEMPLATE.FAT&amp;display_string=Audit&amp;VAR:KEY=TMVSXWTCZQ&amp;VAR:QUERY=RkZfRElWX1lMRChBTk4sNDA5OTQp&amp;WINDOW=FIRST_POPUP&amp;HEIGHT=450&amp;WIDTH=450&amp;START_MAXIMIZED=","FALSE&amp;VAR:CALENDAR=US&amp;VAR:SYMBOL=LO&amp;VAR:INDEX=0"}</definedName>
    <definedName name="_730">#REF!</definedName>
    <definedName name="_730__FDSAUDITLINK__" localSheetId="0"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0__FDSAUDITLINK__" hidden="1">{"fdsup://directions/FAT Viewer?action=UPDATE&amp;creator=factset&amp;DYN_ARGS=TRUE&amp;DOC_NAME=FAT:FQL_AUDITING_CLIENT_TEMPLATE.FAT&amp;display_string=Audit&amp;VAR:KEY=HIHWBOVIFA&amp;VAR:QUERY=RkZfRElWX1lMRChBTk4sNC8xMi8wNyw0LzEyLzA3KQ==&amp;WINDOW=FIRST_POPUP&amp;HEIGHT=450&amp;WIDTH=450&amp;","START_MAXIMIZED=FALSE&amp;VAR:CALENDAR=US&amp;VAR:SYMBOL=MO&amp;VAR:INDEX=0"}</definedName>
    <definedName name="_731">#REF!</definedName>
    <definedName name="_731__FDSAUDITLINK__" localSheetId="0"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1__FDSAUDITLINK__" hidden="1">{"fdsup://directions/FAT Viewer?action=UPDATE&amp;creator=factset&amp;DYN_ARGS=TRUE&amp;DOC_NAME=FAT:FQL_AUDITING_CLIENT_TEMPLATE.FAT&amp;display_string=Audit&amp;VAR:KEY=FIRIRWXCFO&amp;VAR:QUERY=RkZfRElWX1lMRChBTk4sNC8wNS8wNyw0LzA1LzA3KQ==&amp;WINDOW=FIRST_POPUP&amp;HEIGHT=450&amp;WIDTH=450&amp;","START_MAXIMIZED=FALSE&amp;VAR:CALENDAR=US&amp;VAR:SYMBOL=MO&amp;VAR:INDEX=0"}</definedName>
    <definedName name="_732">#REF!</definedName>
    <definedName name="_732__FDSAUDITLINK__" localSheetId="0"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2__FDSAUDITLINK__" hidden="1">{"fdsup://directions/FAT Viewer?action=UPDATE&amp;creator=factset&amp;DYN_ARGS=TRUE&amp;DOC_NAME=FAT:FQL_AUDITING_CLIENT_TEMPLATE.FAT&amp;display_string=Audit&amp;VAR:KEY=POJSXWZYTO&amp;VAR:QUERY=RkZfRElWX1lMRChBTk4sMy8yOS8wNywzLzI5LzA3KQ==&amp;WINDOW=FIRST_POPUP&amp;HEIGHT=450&amp;WIDTH=450&amp;","START_MAXIMIZED=FALSE&amp;VAR:CALENDAR=US&amp;VAR:SYMBOL=MO&amp;VAR:INDEX=0"}</definedName>
    <definedName name="_733">#REF!</definedName>
    <definedName name="_733__FDSAUDITLINK__" localSheetId="0"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3__FDSAUDITLINK__" hidden="1">{"fdsup://directions/FAT Viewer?action=UPDATE&amp;creator=factset&amp;DYN_ARGS=TRUE&amp;DOC_NAME=FAT:FQL_AUDITING_CLIENT_TEMPLATE.FAT&amp;display_string=Audit&amp;VAR:KEY=LCNGJUXEZE&amp;VAR:QUERY=RkZfRElWX1lMRChBTk4sMy8yMi8wNywzLzIyLzA3KQ==&amp;WINDOW=FIRST_POPUP&amp;HEIGHT=450&amp;WIDTH=450&amp;","START_MAXIMIZED=FALSE&amp;VAR:CALENDAR=US&amp;VAR:SYMBOL=MO&amp;VAR:INDEX=0"}</definedName>
    <definedName name="_734">#REF!</definedName>
    <definedName name="_734__FDSAUDITLINK__" localSheetId="0"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4__FDSAUDITLINK__" hidden="1">{"fdsup://directions/FAT Viewer?action=UPDATE&amp;creator=factset&amp;DYN_ARGS=TRUE&amp;DOC_NAME=FAT:FQL_AUDITING_CLIENT_TEMPLATE.FAT&amp;display_string=Audit&amp;VAR:KEY=FUPWTMZSNE&amp;VAR:QUERY=RkZfRElWX1lMRChBTk4sMy8xNS8wNywzLzE1LzA3KQ==&amp;WINDOW=FIRST_POPUP&amp;HEIGHT=450&amp;WIDTH=450&amp;","START_MAXIMIZED=FALSE&amp;VAR:CALENDAR=US&amp;VAR:SYMBOL=MO&amp;VAR:INDEX=0"}</definedName>
    <definedName name="_735">#REF!</definedName>
    <definedName name="_735__FDSAUDITLINK__" localSheetId="0"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5__FDSAUDITLINK__" hidden="1">{"fdsup://directions/FAT Viewer?action=UPDATE&amp;creator=factset&amp;DYN_ARGS=TRUE&amp;DOC_NAME=FAT:FQL_AUDITING_CLIENT_TEMPLATE.FAT&amp;display_string=Audit&amp;VAR:KEY=VWLQFMVKZW&amp;VAR:QUERY=RkZfRElWX1lMRChBTk4sMy8wOC8wNywzLzA4LzA3KQ==&amp;WINDOW=FIRST_POPUP&amp;HEIGHT=450&amp;WIDTH=450&amp;","START_MAXIMIZED=FALSE&amp;VAR:CALENDAR=US&amp;VAR:SYMBOL=MO&amp;VAR:INDEX=0"}</definedName>
    <definedName name="_736">#REF!</definedName>
    <definedName name="_736__FDSAUDITLINK__" localSheetId="0"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6__FDSAUDITLINK__" hidden="1">{"fdsup://directions/FAT Viewer?action=UPDATE&amp;creator=factset&amp;DYN_ARGS=TRUE&amp;DOC_NAME=FAT:FQL_AUDITING_CLIENT_TEMPLATE.FAT&amp;display_string=Audit&amp;VAR:KEY=PORQDUJCNE&amp;VAR:QUERY=RkZfRElWX1lMRChBTk4sMy8wMS8wNywzLzAxLzA3KQ==&amp;WINDOW=FIRST_POPUP&amp;HEIGHT=450&amp;WIDTH=450&amp;","START_MAXIMIZED=FALSE&amp;VAR:CALENDAR=US&amp;VAR:SYMBOL=MO&amp;VAR:INDEX=0"}</definedName>
    <definedName name="_737">#REF!</definedName>
    <definedName name="_737__FDSAUDITLINK__" localSheetId="0"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7__FDSAUDITLINK__" hidden="1">{"fdsup://directions/FAT Viewer?action=UPDATE&amp;creator=factset&amp;DYN_ARGS=TRUE&amp;DOC_NAME=FAT:FQL_AUDITING_CLIENT_TEMPLATE.FAT&amp;display_string=Audit&amp;VAR:KEY=RWNOJAZQJY&amp;VAR:QUERY=RkZfRElWX1lMRChBTk4sMi8yMi8wNywyLzIyLzA3KQ==&amp;WINDOW=FIRST_POPUP&amp;HEIGHT=450&amp;WIDTH=450&amp;","START_MAXIMIZED=FALSE&amp;VAR:CALENDAR=US&amp;VAR:SYMBOL=MO&amp;VAR:INDEX=0"}</definedName>
    <definedName name="_738">#REF!</definedName>
    <definedName name="_738__FDSAUDITLINK__" localSheetId="0"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8__FDSAUDITLINK__" hidden="1">{"fdsup://directions/FAT Viewer?action=UPDATE&amp;creator=factset&amp;DYN_ARGS=TRUE&amp;DOC_NAME=FAT:FQL_AUDITING_CLIENT_TEMPLATE.FAT&amp;display_string=Audit&amp;VAR:KEY=FEJSNYBIRS&amp;VAR:QUERY=RkZfRElWX1lMRChBTk4sMi8xNS8wNywyLzE1LzA3KQ==&amp;WINDOW=FIRST_POPUP&amp;HEIGHT=450&amp;WIDTH=450&amp;","START_MAXIMIZED=FALSE&amp;VAR:CALENDAR=US&amp;VAR:SYMBOL=MO&amp;VAR:INDEX=0"}</definedName>
    <definedName name="_739">#REF!</definedName>
    <definedName name="_739__FDSAUDITLINK__" localSheetId="0"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39__FDSAUDITLINK__" hidden="1">{"fdsup://directions/FAT Viewer?action=UPDATE&amp;creator=factset&amp;DYN_ARGS=TRUE&amp;DOC_NAME=FAT:FQL_AUDITING_CLIENT_TEMPLATE.FAT&amp;display_string=Audit&amp;VAR:KEY=XKPUVIPYVS&amp;VAR:QUERY=RkZfRElWX1lMRChBTk4sMi8wOC8wNywyLzA4LzA3KQ==&amp;WINDOW=FIRST_POPUP&amp;HEIGHT=450&amp;WIDTH=450&amp;","START_MAXIMIZED=FALSE&amp;VAR:CALENDAR=US&amp;VAR:SYMBOL=MO&amp;VAR:INDEX=0"}</definedName>
    <definedName name="_74__FDSAUDITLINK__" localSheetId="0"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_FDSAUDITLINK__" hidden="1">{"fdsup://directions/FAT Viewer?action=UPDATE&amp;creator=factset&amp;DYN_ARGS=TRUE&amp;DOC_NAME=FAT:FQL_AUDITING_CLIENT_TEMPLATE.FAT&amp;display_string=Audit&amp;VAR:KEY=FOVUTQPQXM&amp;VAR:QUERY=QVZHKEZGX0RJVl9ZTEQoQU5OLDQwOTk0LC0zQVkpKQ==&amp;WINDOW=FIRST_POPUP&amp;HEIGHT=450&amp;WIDTH=450&amp;","START_MAXIMIZED=FALSE&amp;VAR:CALENDAR=US&amp;VAR:SYMBOL=LO"}</definedName>
    <definedName name="_74_0_S">#REF!</definedName>
    <definedName name="_740">#REF!</definedName>
    <definedName name="_740__FDSAUDITLINK__" localSheetId="0"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0__FDSAUDITLINK__" hidden="1">{"fdsup://directions/FAT Viewer?action=UPDATE&amp;creator=factset&amp;DYN_ARGS=TRUE&amp;DOC_NAME=FAT:FQL_AUDITING_CLIENT_TEMPLATE.FAT&amp;display_string=Audit&amp;VAR:KEY=HGNODMBEJM&amp;VAR:QUERY=RkZfRElWX1lMRChBTk4sMi8wMS8wNywyLzAxLzA3KQ==&amp;WINDOW=FIRST_POPUP&amp;HEIGHT=450&amp;WIDTH=450&amp;","START_MAXIMIZED=FALSE&amp;VAR:CALENDAR=US&amp;VAR:SYMBOL=MO&amp;VAR:INDEX=0"}</definedName>
    <definedName name="_741">#REF!</definedName>
    <definedName name="_741__FDSAUDITLINK__" localSheetId="0"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1__FDSAUDITLINK__" hidden="1">{"fdsup://directions/FAT Viewer?action=UPDATE&amp;creator=factset&amp;DYN_ARGS=TRUE&amp;DOC_NAME=FAT:FQL_AUDITING_CLIENT_TEMPLATE.FAT&amp;display_string=Audit&amp;VAR:KEY=LMLEZKLILA&amp;VAR:QUERY=RkZfRElWX1lMRChBTk4sMS8yNS8wNywxLzI1LzA3KQ==&amp;WINDOW=FIRST_POPUP&amp;HEIGHT=450&amp;WIDTH=450&amp;","START_MAXIMIZED=FALSE&amp;VAR:CALENDAR=US&amp;VAR:SYMBOL=MO&amp;VAR:INDEX=0"}</definedName>
    <definedName name="_742">#REF!</definedName>
    <definedName name="_742__FDSAUDITLINK__" localSheetId="0"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2__FDSAUDITLINK__" hidden="1">{"fdsup://directions/FAT Viewer?action=UPDATE&amp;creator=factset&amp;DYN_ARGS=TRUE&amp;DOC_NAME=FAT:FQL_AUDITING_CLIENT_TEMPLATE.FAT&amp;display_string=Audit&amp;VAR:KEY=PATGBKFGDM&amp;VAR:QUERY=RkZfRElWX1lMRChBTk4sMS8xOC8wNywxLzE4LzA3KQ==&amp;WINDOW=FIRST_POPUP&amp;HEIGHT=450&amp;WIDTH=450&amp;","START_MAXIMIZED=FALSE&amp;VAR:CALENDAR=US&amp;VAR:SYMBOL=MO&amp;VAR:INDEX=0"}</definedName>
    <definedName name="_743">#REF!</definedName>
    <definedName name="_743__FDSAUDITLINK__" localSheetId="0"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3__FDSAUDITLINK__" hidden="1">{"fdsup://directions/FAT Viewer?action=UPDATE&amp;creator=factset&amp;DYN_ARGS=TRUE&amp;DOC_NAME=FAT:FQL_AUDITING_CLIENT_TEMPLATE.FAT&amp;display_string=Audit&amp;VAR:KEY=FUFUVIHANQ&amp;VAR:QUERY=RkZfRElWX1lMRChBTk4sMS8xMS8wNywxLzExLzA3KQ==&amp;WINDOW=FIRST_POPUP&amp;HEIGHT=450&amp;WIDTH=450&amp;","START_MAXIMIZED=FALSE&amp;VAR:CALENDAR=US&amp;VAR:SYMBOL=MO&amp;VAR:INDEX=0"}</definedName>
    <definedName name="_744">#REF!</definedName>
    <definedName name="_744__FDSAUDITLINK__" localSheetId="0"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4__FDSAUDITLINK__" hidden="1">{"fdsup://directions/FAT Viewer?action=UPDATE&amp;creator=factset&amp;DYN_ARGS=TRUE&amp;DOC_NAME=FAT:FQL_AUDITING_CLIENT_TEMPLATE.FAT&amp;display_string=Audit&amp;VAR:KEY=NIPUNAZGHC&amp;VAR:QUERY=RkZfRElWX1lMRChBTk4sMS8wNC8wNywxLzA0LzA3KQ==&amp;WINDOW=FIRST_POPUP&amp;HEIGHT=450&amp;WIDTH=450&amp;","START_MAXIMIZED=FALSE&amp;VAR:CALENDAR=US&amp;VAR:SYMBOL=MO&amp;VAR:INDEX=0"}</definedName>
    <definedName name="_745">#REF!</definedName>
    <definedName name="_745__FDSAUDITLINK__" localSheetId="0"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5__FDSAUDITLINK__" hidden="1">{"fdsup://directions/FAT Viewer?action=UPDATE&amp;creator=factset&amp;DYN_ARGS=TRUE&amp;DOC_NAME=FAT:FQL_AUDITING_CLIENT_TEMPLATE.FAT&amp;display_string=Audit&amp;VAR:KEY=TWXWXAPORA&amp;VAR:QUERY=RkZfRElWX1lMRChBTk4sMTIvMjgvMDYsMTIvMjgvMDYp&amp;WINDOW=FIRST_POPUP&amp;HEIGHT=450&amp;WIDTH=450&amp;","START_MAXIMIZED=FALSE&amp;VAR:CALENDAR=US&amp;VAR:SYMBOL=MO&amp;VAR:INDEX=0"}</definedName>
    <definedName name="_746">#REF!</definedName>
    <definedName name="_746__FDSAUDITLINK__" localSheetId="0"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6__FDSAUDITLINK__" hidden="1">{"fdsup://directions/FAT Viewer?action=UPDATE&amp;creator=factset&amp;DYN_ARGS=TRUE&amp;DOC_NAME=FAT:FQL_AUDITING_CLIENT_TEMPLATE.FAT&amp;display_string=Audit&amp;VAR:KEY=ZGDCNOZUHW&amp;VAR:QUERY=RkZfRElWX1lMRChBTk4sMTIvMjEvMDYsMTIvMjEvMDYp&amp;WINDOW=FIRST_POPUP&amp;HEIGHT=450&amp;WIDTH=450&amp;","START_MAXIMIZED=FALSE&amp;VAR:CALENDAR=US&amp;VAR:SYMBOL=MO&amp;VAR:INDEX=0"}</definedName>
    <definedName name="_747__FDSAUDITLINK__" localSheetId="0"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7__FDSAUDITLINK__" hidden="1">{"fdsup://directions/FAT Viewer?action=UPDATE&amp;creator=factset&amp;DYN_ARGS=TRUE&amp;DOC_NAME=FAT:FQL_AUDITING_CLIENT_TEMPLATE.FAT&amp;display_string=Audit&amp;VAR:KEY=JGXYPAVWDO&amp;VAR:QUERY=RkZfRElWX1lMRChBTk4sMTIvMTQvMDYsMTIvMTQvMDYp&amp;WINDOW=FIRST_POPUP&amp;HEIGHT=450&amp;WIDTH=450&amp;","START_MAXIMIZED=FALSE&amp;VAR:CALENDAR=US&amp;VAR:SYMBOL=MO&amp;VAR:INDEX=0"}</definedName>
    <definedName name="_748__FDSAUDITLINK__" localSheetId="0"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8__FDSAUDITLINK__" hidden="1">{"fdsup://directions/FAT Viewer?action=UPDATE&amp;creator=factset&amp;DYN_ARGS=TRUE&amp;DOC_NAME=FAT:FQL_AUDITING_CLIENT_TEMPLATE.FAT&amp;display_string=Audit&amp;VAR:KEY=JKXOZALIFW&amp;VAR:QUERY=RkZfRElWX1lMRChBTk4sMTIvMDcvMDYsMTIvMDcvMDYp&amp;WINDOW=FIRST_POPUP&amp;HEIGHT=450&amp;WIDTH=450&amp;","START_MAXIMIZED=FALSE&amp;VAR:CALENDAR=US&amp;VAR:SYMBOL=MO&amp;VAR:INDEX=0"}</definedName>
    <definedName name="_749__FDSAUDITLINK__" localSheetId="0"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9__FDSAUDITLINK__" hidden="1">{"fdsup://directions/FAT Viewer?action=UPDATE&amp;creator=factset&amp;DYN_ARGS=TRUE&amp;DOC_NAME=FAT:FQL_AUDITING_CLIENT_TEMPLATE.FAT&amp;display_string=Audit&amp;VAR:KEY=TQLSPUFYDU&amp;VAR:QUERY=RkZfRElWX1lMRChBTk4sMTEvMzAvMDYsMTEvMzAvMDYp&amp;WINDOW=FIRST_POPUP&amp;HEIGHT=450&amp;WIDTH=450&amp;","START_MAXIMIZED=FALSE&amp;VAR:CALENDAR=US&amp;VAR:SYMBOL=MO&amp;VAR:INDEX=0"}</definedName>
    <definedName name="_74main_form_account_grants_list_9_j_id1022">#REF!</definedName>
    <definedName name="_75">#REF!</definedName>
    <definedName name="_75__123Graph_DCHART_1">#REF!</definedName>
    <definedName name="_75__123Graph_EWAGES_BY_B_U">#REF!</definedName>
    <definedName name="_75__FDSAUDITLINK__" localSheetId="0"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__FDSAUDITLINK__" hidden="1">{"fdsup://directions/FAT Viewer?action=UPDATE&amp;creator=factset&amp;DYN_ARGS=TRUE&amp;DOC_NAME=FAT:FQL_AUDITING_CLIENT_TEMPLATE.FAT&amp;display_string=Audit&amp;VAR:KEY=LOXYFYNENI&amp;VAR:QUERY=QVZHKEZGX0RJVl9ZTEQoQU5OLDQwOTk0LC01QVkpKQ==&amp;WINDOW=FIRST_POPUP&amp;HEIGHT=450&amp;WIDTH=450&amp;","START_MAXIMIZED=FALSE&amp;VAR:CALENDAR=US&amp;VAR:SYMBOL=SBUX"}</definedName>
    <definedName name="_750__FDSAUDITLINK__" localSheetId="0"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0__FDSAUDITLINK__" hidden="1">{"fdsup://directions/FAT Viewer?action=UPDATE&amp;creator=factset&amp;DYN_ARGS=TRUE&amp;DOC_NAME=FAT:FQL_AUDITING_CLIENT_TEMPLATE.FAT&amp;display_string=Audit&amp;VAR:KEY=BOLCLUDQFC&amp;VAR:QUERY=RkZfRElWX1lMRChBTk4sMTEvMjIvMDYsMTEvMjIvMDYp&amp;WINDOW=FIRST_POPUP&amp;HEIGHT=450&amp;WIDTH=450&amp;","START_MAXIMIZED=FALSE&amp;VAR:CALENDAR=US&amp;VAR:SYMBOL=MO&amp;VAR:INDEX=0"}</definedName>
    <definedName name="_751__FDSAUDITLINK__" localSheetId="0"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1__FDSAUDITLINK__" hidden="1">{"fdsup://directions/FAT Viewer?action=UPDATE&amp;creator=factset&amp;DYN_ARGS=TRUE&amp;DOC_NAME=FAT:FQL_AUDITING_CLIENT_TEMPLATE.FAT&amp;display_string=Audit&amp;VAR:KEY=TMTIFMPSHY&amp;VAR:QUERY=RkZfRElWX1lMRChBTk4sMTEvMTYvMDYsMTEvMTYvMDYp&amp;WINDOW=FIRST_POPUP&amp;HEIGHT=450&amp;WIDTH=450&amp;","START_MAXIMIZED=FALSE&amp;VAR:CALENDAR=US&amp;VAR:SYMBOL=MO&amp;VAR:INDEX=0"}</definedName>
    <definedName name="_752__FDSAUDITLINK__" localSheetId="0"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2__FDSAUDITLINK__" hidden="1">{"fdsup://directions/FAT Viewer?action=UPDATE&amp;creator=factset&amp;DYN_ARGS=TRUE&amp;DOC_NAME=FAT:FQL_AUDITING_CLIENT_TEMPLATE.FAT&amp;display_string=Audit&amp;VAR:KEY=VGLKBWJKZK&amp;VAR:QUERY=RkZfRElWX1lMRChBTk4sMTEvMDkvMDYsMTEvMDkvMDYp&amp;WINDOW=FIRST_POPUP&amp;HEIGHT=450&amp;WIDTH=450&amp;","START_MAXIMIZED=FALSE&amp;VAR:CALENDAR=US&amp;VAR:SYMBOL=MO&amp;VAR:INDEX=0"}</definedName>
    <definedName name="_753__FDSAUDITLINK__" localSheetId="0"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3__FDSAUDITLINK__" hidden="1">{"fdsup://directions/FAT Viewer?action=UPDATE&amp;creator=factset&amp;DYN_ARGS=TRUE&amp;DOC_NAME=FAT:FQL_AUDITING_CLIENT_TEMPLATE.FAT&amp;display_string=Audit&amp;VAR:KEY=JEHELGRWNK&amp;VAR:QUERY=RkZfRElWX1lMRChBTk4sMTEvMDIvMDYsMTEvMDIvMDYp&amp;WINDOW=FIRST_POPUP&amp;HEIGHT=450&amp;WIDTH=450&amp;","START_MAXIMIZED=FALSE&amp;VAR:CALENDAR=US&amp;VAR:SYMBOL=MO&amp;VAR:INDEX=0"}</definedName>
    <definedName name="_754">#REF!</definedName>
    <definedName name="_754__FDSAUDITLINK__" localSheetId="0"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4__FDSAUDITLINK__" hidden="1">{"fdsup://directions/FAT Viewer?action=UPDATE&amp;creator=factset&amp;DYN_ARGS=TRUE&amp;DOC_NAME=FAT:FQL_AUDITING_CLIENT_TEMPLATE.FAT&amp;display_string=Audit&amp;VAR:KEY=TKTEDCBYRS&amp;VAR:QUERY=RkZfRElWX1lMRChBTk4sMTAvMjYvMDYsMTAvMjYvMDYp&amp;WINDOW=FIRST_POPUP&amp;HEIGHT=450&amp;WIDTH=450&amp;","START_MAXIMIZED=FALSE&amp;VAR:CALENDAR=US&amp;VAR:SYMBOL=MO&amp;VAR:INDEX=0"}</definedName>
    <definedName name="_755__FDSAUDITLINK__" localSheetId="0"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5__FDSAUDITLINK__" hidden="1">{"fdsup://directions/FAT Viewer?action=UPDATE&amp;creator=factset&amp;DYN_ARGS=TRUE&amp;DOC_NAME=FAT:FQL_AUDITING_CLIENT_TEMPLATE.FAT&amp;display_string=Audit&amp;VAR:KEY=LYTIFEDGNS&amp;VAR:QUERY=RkZfRElWX1lMRChBTk4sMTAvMTkvMDYsMTAvMTkvMDYp&amp;WINDOW=FIRST_POPUP&amp;HEIGHT=450&amp;WIDTH=450&amp;","START_MAXIMIZED=FALSE&amp;VAR:CALENDAR=US&amp;VAR:SYMBOL=MO&amp;VAR:INDEX=0"}</definedName>
    <definedName name="_756__FDSAUDITLINK__" localSheetId="0"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6__FDSAUDITLINK__" hidden="1">{"fdsup://directions/FAT Viewer?action=UPDATE&amp;creator=factset&amp;DYN_ARGS=TRUE&amp;DOC_NAME=FAT:FQL_AUDITING_CLIENT_TEMPLATE.FAT&amp;display_string=Audit&amp;VAR:KEY=LSZCDKDKDG&amp;VAR:QUERY=RkZfRElWX1lMRChBTk4sMTAvMTIvMDYsMTAvMTIvMDYp&amp;WINDOW=FIRST_POPUP&amp;HEIGHT=450&amp;WIDTH=450&amp;","START_MAXIMIZED=FALSE&amp;VAR:CALENDAR=US&amp;VAR:SYMBOL=MO&amp;VAR:INDEX=0"}</definedName>
    <definedName name="_757__FDSAUDITLINK__" localSheetId="0"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7__FDSAUDITLINK__" hidden="1">{"fdsup://directions/FAT Viewer?action=UPDATE&amp;creator=factset&amp;DYN_ARGS=TRUE&amp;DOC_NAME=FAT:FQL_AUDITING_CLIENT_TEMPLATE.FAT&amp;display_string=Audit&amp;VAR:KEY=RUDCDYPOFG&amp;VAR:QUERY=RkZfRElWX1lMRChBTk4sMTAvMDUvMDYsMTAvMDUvMDYp&amp;WINDOW=FIRST_POPUP&amp;HEIGHT=450&amp;WIDTH=450&amp;","START_MAXIMIZED=FALSE&amp;VAR:CALENDAR=US&amp;VAR:SYMBOL=MO&amp;VAR:INDEX=0"}</definedName>
    <definedName name="_758">#REF!</definedName>
    <definedName name="_758__FDSAUDITLINK__" localSheetId="0"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8__FDSAUDITLINK__" hidden="1">{"fdsup://directions/FAT Viewer?action=UPDATE&amp;creator=factset&amp;DYN_ARGS=TRUE&amp;DOC_NAME=FAT:FQL_AUDITING_CLIENT_TEMPLATE.FAT&amp;display_string=Audit&amp;VAR:KEY=RQFSJKBCHK&amp;VAR:QUERY=RkZfRElWX1lMRChBTk4sOS8yOC8wNiw5LzI4LzA2KQ==&amp;WINDOW=FIRST_POPUP&amp;HEIGHT=450&amp;WIDTH=450&amp;","START_MAXIMIZED=FALSE&amp;VAR:CALENDAR=US&amp;VAR:SYMBOL=MO&amp;VAR:INDEX=0"}</definedName>
    <definedName name="_759__FDSAUDITLINK__" localSheetId="0"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59__FDSAUDITLINK__" hidden="1">{"fdsup://directions/FAT Viewer?action=UPDATE&amp;creator=factset&amp;DYN_ARGS=TRUE&amp;DOC_NAME=FAT:FQL_AUDITING_CLIENT_TEMPLATE.FAT&amp;display_string=Audit&amp;VAR:KEY=ZIFWXGHEBG&amp;VAR:QUERY=RkZfRElWX1lMRChBTk4sOS8yMS8wNiw5LzIxLzA2KQ==&amp;WINDOW=FIRST_POPUP&amp;HEIGHT=450&amp;WIDTH=450&amp;","START_MAXIMIZED=FALSE&amp;VAR:CALENDAR=US&amp;VAR:SYMBOL=MO&amp;VAR:INDEX=0"}</definedName>
    <definedName name="_76">#REF!</definedName>
    <definedName name="_76__123Graph_CSENS_COMPARISON">#REF!</definedName>
    <definedName name="_76__123Graph_DQRE_S_BY_CO.">#REF!</definedName>
    <definedName name="_76__FDSAUDITLINK__" localSheetId="0"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__FDSAUDITLINK__" hidden="1">{"fdsup://directions/FAT Viewer?action=UPDATE&amp;creator=factset&amp;DYN_ARGS=TRUE&amp;DOC_NAME=FAT:FQL_AUDITING_CLIENT_TEMPLATE.FAT&amp;display_string=Audit&amp;VAR:KEY=JCNAXYRAZK&amp;VAR:QUERY=QVZHKEZGX0RJVl9ZTEQoQU5OLDQwOTk0LC0zQVkpKQ==&amp;WINDOW=FIRST_POPUP&amp;HEIGHT=450&amp;WIDTH=450&amp;","START_MAXIMIZED=FALSE&amp;VAR:CALENDAR=US&amp;VAR:SYMBOL=SBUX"}</definedName>
    <definedName name="_760__FDSAUDITLINK__" localSheetId="0"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0__FDSAUDITLINK__" hidden="1">{"fdsup://directions/FAT Viewer?action=UPDATE&amp;creator=factset&amp;DYN_ARGS=TRUE&amp;DOC_NAME=FAT:FQL_AUDITING_CLIENT_TEMPLATE.FAT&amp;display_string=Audit&amp;VAR:KEY=TIVIPWJUDG&amp;VAR:QUERY=RkZfRElWX1lMRChBTk4sOS8xNC8wNiw5LzE0LzA2KQ==&amp;WINDOW=FIRST_POPUP&amp;HEIGHT=450&amp;WIDTH=450&amp;","START_MAXIMIZED=FALSE&amp;VAR:CALENDAR=US&amp;VAR:SYMBOL=MO&amp;VAR:INDEX=0"}</definedName>
    <definedName name="_761__FDSAUDITLINK__" localSheetId="0"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1__FDSAUDITLINK__" hidden="1">{"fdsup://directions/FAT Viewer?action=UPDATE&amp;creator=factset&amp;DYN_ARGS=TRUE&amp;DOC_NAME=FAT:FQL_AUDITING_CLIENT_TEMPLATE.FAT&amp;display_string=Audit&amp;VAR:KEY=LOTKNUBOTM&amp;VAR:QUERY=RkZfRElWX1lMRChBTk4sOS8wNy8wNiw5LzA3LzA2KQ==&amp;WINDOW=FIRST_POPUP&amp;HEIGHT=450&amp;WIDTH=450&amp;","START_MAXIMIZED=FALSE&amp;VAR:CALENDAR=US&amp;VAR:SYMBOL=MO&amp;VAR:INDEX=0"}</definedName>
    <definedName name="_762__FDSAUDITLINK__" localSheetId="0"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2__FDSAUDITLINK__" hidden="1">{"fdsup://directions/FAT Viewer?action=UPDATE&amp;creator=factset&amp;DYN_ARGS=TRUE&amp;DOC_NAME=FAT:FQL_AUDITING_CLIENT_TEMPLATE.FAT&amp;display_string=Audit&amp;VAR:KEY=ROFUDCVWFY&amp;VAR:QUERY=RkZfRElWX1lMRChBTk4sOC8zMS8wNiw4LzMxLzA2KQ==&amp;WINDOW=FIRST_POPUP&amp;HEIGHT=450&amp;WIDTH=450&amp;","START_MAXIMIZED=FALSE&amp;VAR:CALENDAR=US&amp;VAR:SYMBOL=MO&amp;VAR:INDEX=0"}</definedName>
    <definedName name="_763">#REF!</definedName>
    <definedName name="_763__FDSAUDITLINK__" localSheetId="0"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3__FDSAUDITLINK__" hidden="1">{"fdsup://directions/FAT Viewer?action=UPDATE&amp;creator=factset&amp;DYN_ARGS=TRUE&amp;DOC_NAME=FAT:FQL_AUDITING_CLIENT_TEMPLATE.FAT&amp;display_string=Audit&amp;VAR:KEY=PEDOFAXQFW&amp;VAR:QUERY=RkZfRElWX1lMRChBTk4sOC8yNC8wNiw4LzI0LzA2KQ==&amp;WINDOW=FIRST_POPUP&amp;HEIGHT=450&amp;WIDTH=450&amp;","START_MAXIMIZED=FALSE&amp;VAR:CALENDAR=US&amp;VAR:SYMBOL=MO&amp;VAR:INDEX=0"}</definedName>
    <definedName name="_764__FDSAUDITLINK__" localSheetId="0"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4__FDSAUDITLINK__" hidden="1">{"fdsup://directions/FAT Viewer?action=UPDATE&amp;creator=factset&amp;DYN_ARGS=TRUE&amp;DOC_NAME=FAT:FQL_AUDITING_CLIENT_TEMPLATE.FAT&amp;display_string=Audit&amp;VAR:KEY=JGTAPIDSPI&amp;VAR:QUERY=RkZfRElWX1lMRChBTk4sOC8xNy8wNiw4LzE3LzA2KQ==&amp;WINDOW=FIRST_POPUP&amp;HEIGHT=450&amp;WIDTH=450&amp;","START_MAXIMIZED=FALSE&amp;VAR:CALENDAR=US&amp;VAR:SYMBOL=MO&amp;VAR:INDEX=0"}</definedName>
    <definedName name="_765__FDSAUDITLINK__" localSheetId="0"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5__FDSAUDITLINK__" hidden="1">{"fdsup://directions/FAT Viewer?action=UPDATE&amp;creator=factset&amp;DYN_ARGS=TRUE&amp;DOC_NAME=FAT:FQL_AUDITING_CLIENT_TEMPLATE.FAT&amp;display_string=Audit&amp;VAR:KEY=HALOZIZSXG&amp;VAR:QUERY=RkZfRElWX1lMRChBTk4sOC8xMC8wNiw4LzEwLzA2KQ==&amp;WINDOW=FIRST_POPUP&amp;HEIGHT=450&amp;WIDTH=450&amp;","START_MAXIMIZED=FALSE&amp;VAR:CALENDAR=US&amp;VAR:SYMBOL=MO&amp;VAR:INDEX=0"}</definedName>
    <definedName name="_766__FDSAUDITLINK__" localSheetId="0"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6__FDSAUDITLINK__" hidden="1">{"fdsup://directions/FAT Viewer?action=UPDATE&amp;creator=factset&amp;DYN_ARGS=TRUE&amp;DOC_NAME=FAT:FQL_AUDITING_CLIENT_TEMPLATE.FAT&amp;display_string=Audit&amp;VAR:KEY=RGHKNQFKRK&amp;VAR:QUERY=RkZfRElWX1lMRChBTk4sOC8wMy8wNiw4LzAzLzA2KQ==&amp;WINDOW=FIRST_POPUP&amp;HEIGHT=450&amp;WIDTH=450&amp;","START_MAXIMIZED=FALSE&amp;VAR:CALENDAR=US&amp;VAR:SYMBOL=MO&amp;VAR:INDEX=0"}</definedName>
    <definedName name="_767__FDSAUDITLINK__" localSheetId="0"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7__FDSAUDITLINK__" hidden="1">{"fdsup://directions/FAT Viewer?action=UPDATE&amp;creator=factset&amp;DYN_ARGS=TRUE&amp;DOC_NAME=FAT:FQL_AUDITING_CLIENT_TEMPLATE.FAT&amp;display_string=Audit&amp;VAR:KEY=LSBURQVCPQ&amp;VAR:QUERY=RkZfRElWX1lMRChBTk4sNy8yNy8wNiw3LzI3LzA2KQ==&amp;WINDOW=FIRST_POPUP&amp;HEIGHT=450&amp;WIDTH=450&amp;","START_MAXIMIZED=FALSE&amp;VAR:CALENDAR=US&amp;VAR:SYMBOL=MO&amp;VAR:INDEX=0"}</definedName>
    <definedName name="_768">#REF!</definedName>
    <definedName name="_768__FDSAUDITLINK__" localSheetId="0"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8__FDSAUDITLINK__" hidden="1">{"fdsup://directions/FAT Viewer?action=UPDATE&amp;creator=factset&amp;DYN_ARGS=TRUE&amp;DOC_NAME=FAT:FQL_AUDITING_CLIENT_TEMPLATE.FAT&amp;display_string=Audit&amp;VAR:KEY=FQRILCJEZW&amp;VAR:QUERY=RkZfRElWX1lMRChBTk4sNy8yMC8wNiw3LzIwLzA2KQ==&amp;WINDOW=FIRST_POPUP&amp;HEIGHT=450&amp;WIDTH=450&amp;","START_MAXIMIZED=FALSE&amp;VAR:CALENDAR=US&amp;VAR:SYMBOL=MO&amp;VAR:INDEX=0"}</definedName>
    <definedName name="_769__FDSAUDITLINK__" localSheetId="0"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69__FDSAUDITLINK__" hidden="1">{"fdsup://directions/FAT Viewer?action=UPDATE&amp;creator=factset&amp;DYN_ARGS=TRUE&amp;DOC_NAME=FAT:FQL_AUDITING_CLIENT_TEMPLATE.FAT&amp;display_string=Audit&amp;VAR:KEY=RALENULCJK&amp;VAR:QUERY=RkZfRElWX1lMRChBTk4sNy8xMy8wNiw3LzEzLzA2KQ==&amp;WINDOW=FIRST_POPUP&amp;HEIGHT=450&amp;WIDTH=450&amp;","START_MAXIMIZED=FALSE&amp;VAR:CALENDAR=US&amp;VAR:SYMBOL=MO&amp;VAR:INDEX=0"}</definedName>
    <definedName name="_77">#REF!</definedName>
    <definedName name="_77__FDSAUDITLINK__" localSheetId="0"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__FDSAUDITLINK__" hidden="1">{"fdsup://directions/FAT Viewer?action=UPDATE&amp;creator=factset&amp;DYN_ARGS=TRUE&amp;DOC_NAME=FAT:FQL_AUDITING_CLIENT_TEMPLATE.FAT&amp;display_string=Audit&amp;VAR:KEY=DGDEHWRSTU&amp;VAR:QUERY=QVZHKEZGX0RJVl9ZTEQoQU5OLDQwOTk0LC0yQVkpKQ==&amp;WINDOW=FIRST_POPUP&amp;HEIGHT=450&amp;WIDTH=450&amp;","START_MAXIMIZED=FALSE&amp;VAR:CALENDAR=US&amp;VAR:SYMBOL=SBUX"}</definedName>
    <definedName name="_770">#REF!</definedName>
    <definedName name="_770__FDSAUDITLINK__" localSheetId="0"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0__FDSAUDITLINK__" hidden="1">{"fdsup://directions/FAT Viewer?action=UPDATE&amp;creator=factset&amp;DYN_ARGS=TRUE&amp;DOC_NAME=FAT:FQL_AUDITING_CLIENT_TEMPLATE.FAT&amp;display_string=Audit&amp;VAR:KEY=VKBUZSTKBO&amp;VAR:QUERY=RkZfRElWX1lMRChBTk4sNy8wNi8wNiw3LzA2LzA2KQ==&amp;WINDOW=FIRST_POPUP&amp;HEIGHT=450&amp;WIDTH=450&amp;","START_MAXIMIZED=FALSE&amp;VAR:CALENDAR=US&amp;VAR:SYMBOL=MO&amp;VAR:INDEX=0"}</definedName>
    <definedName name="_771">#REF!</definedName>
    <definedName name="_771__FDSAUDITLINK__" localSheetId="0"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1__FDSAUDITLINK__" hidden="1">{"fdsup://directions/FAT Viewer?action=UPDATE&amp;creator=factset&amp;DYN_ARGS=TRUE&amp;DOC_NAME=FAT:FQL_AUDITING_CLIENT_TEMPLATE.FAT&amp;display_string=Audit&amp;VAR:KEY=PIXWNWPOPQ&amp;VAR:QUERY=RkZfRElWX1lMRChBTk4sNi8yOS8wNiw2LzI5LzA2KQ==&amp;WINDOW=FIRST_POPUP&amp;HEIGHT=450&amp;WIDTH=450&amp;","START_MAXIMIZED=FALSE&amp;VAR:CALENDAR=US&amp;VAR:SYMBOL=MO&amp;VAR:INDEX=0"}</definedName>
    <definedName name="_772">#REF!</definedName>
    <definedName name="_772__FDSAUDITLINK__" localSheetId="0"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2__FDSAUDITLINK__" hidden="1">{"fdsup://directions/FAT Viewer?action=UPDATE&amp;creator=factset&amp;DYN_ARGS=TRUE&amp;DOC_NAME=FAT:FQL_AUDITING_CLIENT_TEMPLATE.FAT&amp;display_string=Audit&amp;VAR:KEY=XCXORMBWBU&amp;VAR:QUERY=RkZfRElWX1lMRChBTk4sNi8yMi8wNiw2LzIyLzA2KQ==&amp;WINDOW=FIRST_POPUP&amp;HEIGHT=450&amp;WIDTH=450&amp;","START_MAXIMIZED=FALSE&amp;VAR:CALENDAR=US&amp;VAR:SYMBOL=MO&amp;VAR:INDEX=0"}</definedName>
    <definedName name="_773">#REF!</definedName>
    <definedName name="_773__FDSAUDITLINK__" localSheetId="0"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3__FDSAUDITLINK__" hidden="1">{"fdsup://directions/FAT Viewer?action=UPDATE&amp;creator=factset&amp;DYN_ARGS=TRUE&amp;DOC_NAME=FAT:FQL_AUDITING_CLIENT_TEMPLATE.FAT&amp;display_string=Audit&amp;VAR:KEY=JWBOJATSHS&amp;VAR:QUERY=RkZfRElWX1lMRChBTk4sNi8xNS8wNiw2LzE1LzA2KQ==&amp;WINDOW=FIRST_POPUP&amp;HEIGHT=450&amp;WIDTH=450&amp;","START_MAXIMIZED=FALSE&amp;VAR:CALENDAR=US&amp;VAR:SYMBOL=MO&amp;VAR:INDEX=0"}</definedName>
    <definedName name="_774">#REF!</definedName>
    <definedName name="_774__FDSAUDITLINK__" localSheetId="0"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4__FDSAUDITLINK__" hidden="1">{"fdsup://directions/FAT Viewer?action=UPDATE&amp;creator=factset&amp;DYN_ARGS=TRUE&amp;DOC_NAME=FAT:FQL_AUDITING_CLIENT_TEMPLATE.FAT&amp;display_string=Audit&amp;VAR:KEY=RKXCBIBGVC&amp;VAR:QUERY=RkZfRElWX1lMRChBTk4sNi8wOC8wNiw2LzA4LzA2KQ==&amp;WINDOW=FIRST_POPUP&amp;HEIGHT=450&amp;WIDTH=450&amp;","START_MAXIMIZED=FALSE&amp;VAR:CALENDAR=US&amp;VAR:SYMBOL=MO&amp;VAR:INDEX=0"}</definedName>
    <definedName name="_775">#REF!</definedName>
    <definedName name="_775__FDSAUDITLINK__" localSheetId="0"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5__FDSAUDITLINK__" hidden="1">{"fdsup://directions/FAT Viewer?action=UPDATE&amp;creator=factset&amp;DYN_ARGS=TRUE&amp;DOC_NAME=FAT:FQL_AUDITING_CLIENT_TEMPLATE.FAT&amp;display_string=Audit&amp;VAR:KEY=XCRKDAFMFM&amp;VAR:QUERY=RkZfRElWX1lMRChBTk4sNi8wMS8wNiw2LzAxLzA2KQ==&amp;WINDOW=FIRST_POPUP&amp;HEIGHT=450&amp;WIDTH=450&amp;","START_MAXIMIZED=FALSE&amp;VAR:CALENDAR=US&amp;VAR:SYMBOL=MO&amp;VAR:INDEX=0"}</definedName>
    <definedName name="_776">#REF!</definedName>
    <definedName name="_776__FDSAUDITLINK__" localSheetId="0"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6__FDSAUDITLINK__" hidden="1">{"fdsup://directions/FAT Viewer?action=UPDATE&amp;creator=factset&amp;DYN_ARGS=TRUE&amp;DOC_NAME=FAT:FQL_AUDITING_CLIENT_TEMPLATE.FAT&amp;display_string=Audit&amp;VAR:KEY=DEVQFQHEFI&amp;VAR:QUERY=RkZfRElWX1lMRChBTk4sNS8yNS8wNiw1LzI1LzA2KQ==&amp;WINDOW=FIRST_POPUP&amp;HEIGHT=450&amp;WIDTH=450&amp;","START_MAXIMIZED=FALSE&amp;VAR:CALENDAR=US&amp;VAR:SYMBOL=MO&amp;VAR:INDEX=0"}</definedName>
    <definedName name="_777">#REF!</definedName>
    <definedName name="_777__FDSAUDITLINK__" localSheetId="0"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7__FDSAUDITLINK__" hidden="1">{"fdsup://directions/FAT Viewer?action=UPDATE&amp;creator=factset&amp;DYN_ARGS=TRUE&amp;DOC_NAME=FAT:FQL_AUDITING_CLIENT_TEMPLATE.FAT&amp;display_string=Audit&amp;VAR:KEY=XIVQPMFEJM&amp;VAR:QUERY=RkZfRElWX1lMRChBTk4sNS8xOC8wNiw1LzE4LzA2KQ==&amp;WINDOW=FIRST_POPUP&amp;HEIGHT=450&amp;WIDTH=450&amp;","START_MAXIMIZED=FALSE&amp;VAR:CALENDAR=US&amp;VAR:SYMBOL=MO&amp;VAR:INDEX=0"}</definedName>
    <definedName name="_778">#REF!</definedName>
    <definedName name="_778__FDSAUDITLINK__" localSheetId="0"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8__FDSAUDITLINK__" hidden="1">{"fdsup://directions/FAT Viewer?action=UPDATE&amp;creator=factset&amp;DYN_ARGS=TRUE&amp;DOC_NAME=FAT:FQL_AUDITING_CLIENT_TEMPLATE.FAT&amp;display_string=Audit&amp;VAR:KEY=HQJMLSDGTY&amp;VAR:QUERY=RkZfRElWX1lMRChBTk4sNS8xMS8wNiw1LzExLzA2KQ==&amp;WINDOW=FIRST_POPUP&amp;HEIGHT=450&amp;WIDTH=450&amp;","START_MAXIMIZED=FALSE&amp;VAR:CALENDAR=US&amp;VAR:SYMBOL=MO&amp;VAR:INDEX=0"}</definedName>
    <definedName name="_779">#REF!</definedName>
    <definedName name="_779__FDSAUDITLINK__" localSheetId="0"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79__FDSAUDITLINK__" hidden="1">{"fdsup://directions/FAT Viewer?action=UPDATE&amp;creator=factset&amp;DYN_ARGS=TRUE&amp;DOC_NAME=FAT:FQL_AUDITING_CLIENT_TEMPLATE.FAT&amp;display_string=Audit&amp;VAR:KEY=PEPKTUJMZO&amp;VAR:QUERY=RkZfRElWX1lMRChBTk4sNS8wNC8wNiw1LzA0LzA2KQ==&amp;WINDOW=FIRST_POPUP&amp;HEIGHT=450&amp;WIDTH=450&amp;","START_MAXIMIZED=FALSE&amp;VAR:CALENDAR=US&amp;VAR:SYMBOL=MO&amp;VAR:INDEX=0"}</definedName>
    <definedName name="_78">#REF!</definedName>
    <definedName name="_78__123Graph_CCONTRACT_BY_B_U">#REF!</definedName>
    <definedName name="_78__123Graph_FCONTRACT_BY_B_U">#REF!</definedName>
    <definedName name="_78__FDSAUDITLINK__" localSheetId="0"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__FDSAUDITLINK__" hidden="1">{"fdsup://directions/FAT Viewer?action=UPDATE&amp;creator=factset&amp;DYN_ARGS=TRUE&amp;DOC_NAME=FAT:FQL_AUDITING_CLIENT_TEMPLATE.FAT&amp;display_string=Audit&amp;VAR:KEY=TKJSPMVSZU&amp;VAR:QUERY=QVZHKEZGX0RJVl9ZTEQoQU5OLDQwOTk0LC0xQVkpKQ==&amp;WINDOW=FIRST_POPUP&amp;HEIGHT=450&amp;WIDTH=450&amp;","START_MAXIMIZED=FALSE&amp;VAR:CALENDAR=US&amp;VAR:SYMBOL=SBUX"}</definedName>
    <definedName name="_780">#REF!</definedName>
    <definedName name="_780__FDSAUDITLINK__" localSheetId="0"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0__FDSAUDITLINK__" hidden="1">{"fdsup://directions/FAT Viewer?action=UPDATE&amp;creator=factset&amp;DYN_ARGS=TRUE&amp;DOC_NAME=FAT:FQL_AUDITING_CLIENT_TEMPLATE.FAT&amp;display_string=Audit&amp;VAR:KEY=XIDALYJQJI&amp;VAR:QUERY=RkZfRElWX1lMRChBTk4sNC8yNy8wNiw0LzI3LzA2KQ==&amp;WINDOW=FIRST_POPUP&amp;HEIGHT=450&amp;WIDTH=450&amp;","START_MAXIMIZED=FALSE&amp;VAR:CALENDAR=US&amp;VAR:SYMBOL=MO&amp;VAR:INDEX=0"}</definedName>
    <definedName name="_781">#REF!</definedName>
    <definedName name="_781__FDSAUDITLINK__" localSheetId="0"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1__FDSAUDITLINK__" hidden="1">{"fdsup://directions/FAT Viewer?action=UPDATE&amp;creator=factset&amp;DYN_ARGS=TRUE&amp;DOC_NAME=FAT:FQL_AUDITING_CLIENT_TEMPLATE.FAT&amp;display_string=Audit&amp;VAR:KEY=HGNIPMJODI&amp;VAR:QUERY=RkZfRElWX1lMRChBTk4sNC8yMC8wNiw0LzIwLzA2KQ==&amp;WINDOW=FIRST_POPUP&amp;HEIGHT=450&amp;WIDTH=450&amp;","START_MAXIMIZED=FALSE&amp;VAR:CALENDAR=US&amp;VAR:SYMBOL=MO&amp;VAR:INDEX=0"}</definedName>
    <definedName name="_782">#REF!</definedName>
    <definedName name="_782__FDSAUDITLINK__" localSheetId="0"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2__FDSAUDITLINK__" hidden="1">{"fdsup://directions/FAT Viewer?action=UPDATE&amp;creator=factset&amp;DYN_ARGS=TRUE&amp;DOC_NAME=FAT:FQL_AUDITING_CLIENT_TEMPLATE.FAT&amp;display_string=Audit&amp;VAR:KEY=JSVMFUDSTA&amp;VAR:QUERY=RkZfRElWX1lMRChBTk4sNC8xMy8wNiw0LzEzLzA2KQ==&amp;WINDOW=FIRST_POPUP&amp;HEIGHT=450&amp;WIDTH=450&amp;","START_MAXIMIZED=FALSE&amp;VAR:CALENDAR=US&amp;VAR:SYMBOL=MO&amp;VAR:INDEX=0"}</definedName>
    <definedName name="_783">#REF!</definedName>
    <definedName name="_783__FDSAUDITLINK__" localSheetId="0"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3__FDSAUDITLINK__" hidden="1">{"fdsup://directions/FAT Viewer?action=UPDATE&amp;creator=factset&amp;DYN_ARGS=TRUE&amp;DOC_NAME=FAT:FQL_AUDITING_CLIENT_TEMPLATE.FAT&amp;display_string=Audit&amp;VAR:KEY=BUNOVYXWBS&amp;VAR:QUERY=RkZfRElWX1lMRChBTk4sNC8wNi8wNiw0LzA2LzA2KQ==&amp;WINDOW=FIRST_POPUP&amp;HEIGHT=450&amp;WIDTH=450&amp;","START_MAXIMIZED=FALSE&amp;VAR:CALENDAR=US&amp;VAR:SYMBOL=MO&amp;VAR:INDEX=0"}</definedName>
    <definedName name="_784">#REF!</definedName>
    <definedName name="_784__FDSAUDITLINK__" localSheetId="0"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4__FDSAUDITLINK__" hidden="1">{"fdsup://directions/FAT Viewer?action=UPDATE&amp;creator=factset&amp;DYN_ARGS=TRUE&amp;DOC_NAME=FAT:FQL_AUDITING_CLIENT_TEMPLATE.FAT&amp;display_string=Audit&amp;VAR:KEY=XCPGXWJUPU&amp;VAR:QUERY=RkZfRElWX1lMRChBTk4sMy8zMC8wNiwzLzMwLzA2KQ==&amp;WINDOW=FIRST_POPUP&amp;HEIGHT=450&amp;WIDTH=450&amp;","START_MAXIMIZED=FALSE&amp;VAR:CALENDAR=US&amp;VAR:SYMBOL=MO&amp;VAR:INDEX=0"}</definedName>
    <definedName name="_785">#REF!</definedName>
    <definedName name="_785__FDSAUDITLINK__" localSheetId="0"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5__FDSAUDITLINK__" hidden="1">{"fdsup://directions/FAT Viewer?action=UPDATE&amp;creator=factset&amp;DYN_ARGS=TRUE&amp;DOC_NAME=FAT:FQL_AUDITING_CLIENT_TEMPLATE.FAT&amp;display_string=Audit&amp;VAR:KEY=HGDGJQFOVM&amp;VAR:QUERY=RkZfRElWX1lMRChBTk4sMy8yMy8wNiwzLzIzLzA2KQ==&amp;WINDOW=FIRST_POPUP&amp;HEIGHT=450&amp;WIDTH=450&amp;","START_MAXIMIZED=FALSE&amp;VAR:CALENDAR=US&amp;VAR:SYMBOL=MO&amp;VAR:INDEX=0"}</definedName>
    <definedName name="_786">#REF!</definedName>
    <definedName name="_786__FDSAUDITLINK__" localSheetId="0"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6__FDSAUDITLINK__" hidden="1">{"fdsup://directions/FAT Viewer?action=UPDATE&amp;creator=factset&amp;DYN_ARGS=TRUE&amp;DOC_NAME=FAT:FQL_AUDITING_CLIENT_TEMPLATE.FAT&amp;display_string=Audit&amp;VAR:KEY=ZIPAVYBKPE&amp;VAR:QUERY=RkZfRElWX1lMRChBTk4sMy8xNi8wNiwzLzE2LzA2KQ==&amp;WINDOW=FIRST_POPUP&amp;HEIGHT=450&amp;WIDTH=450&amp;","START_MAXIMIZED=FALSE&amp;VAR:CALENDAR=US&amp;VAR:SYMBOL=MO&amp;VAR:INDEX=0"}</definedName>
    <definedName name="_787">#REF!</definedName>
    <definedName name="_787__FDSAUDITLINK__" localSheetId="0"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7__FDSAUDITLINK__" hidden="1">{"fdsup://directions/FAT Viewer?action=UPDATE&amp;creator=factset&amp;DYN_ARGS=TRUE&amp;DOC_NAME=FAT:FQL_AUDITING_CLIENT_TEMPLATE.FAT&amp;display_string=Audit&amp;VAR:KEY=LSPYVUDUPW&amp;VAR:QUERY=RkZfRElWX1lMRChBTk4sMy8wOS8wNiwzLzA5LzA2KQ==&amp;WINDOW=FIRST_POPUP&amp;HEIGHT=450&amp;WIDTH=450&amp;","START_MAXIMIZED=FALSE&amp;VAR:CALENDAR=US&amp;VAR:SYMBOL=MO&amp;VAR:INDEX=0"}</definedName>
    <definedName name="_788">#REF!</definedName>
    <definedName name="_788__FDSAUDITLINK__" localSheetId="0"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8__FDSAUDITLINK__" hidden="1">{"fdsup://directions/FAT Viewer?action=UPDATE&amp;creator=factset&amp;DYN_ARGS=TRUE&amp;DOC_NAME=FAT:FQL_AUDITING_CLIENT_TEMPLATE.FAT&amp;display_string=Audit&amp;VAR:KEY=DYPSHYZQHI&amp;VAR:QUERY=RkZfRElWX1lMRChBTk4sMy8wMi8wNiwzLzAyLzA2KQ==&amp;WINDOW=FIRST_POPUP&amp;HEIGHT=450&amp;WIDTH=450&amp;","START_MAXIMIZED=FALSE&amp;VAR:CALENDAR=US&amp;VAR:SYMBOL=MO&amp;VAR:INDEX=0"}</definedName>
    <definedName name="_789__FDSAUDITLINK__" localSheetId="0"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89__FDSAUDITLINK__" hidden="1">{"fdsup://directions/FAT Viewer?action=UPDATE&amp;creator=factset&amp;DYN_ARGS=TRUE&amp;DOC_NAME=FAT:FQL_AUDITING_CLIENT_TEMPLATE.FAT&amp;display_string=Audit&amp;VAR:KEY=BKDEPKBSDM&amp;VAR:QUERY=RkZfRElWX1lMRChBTk4sMi8yMy8wNiwyLzIzLzA2KQ==&amp;WINDOW=FIRST_POPUP&amp;HEIGHT=450&amp;WIDTH=450&amp;","START_MAXIMIZED=FALSE&amp;VAR:CALENDAR=US&amp;VAR:SYMBOL=MO&amp;VAR:INDEX=0"}</definedName>
    <definedName name="_79__123Graph_CCONTRACT_BY_B_U">#REF!</definedName>
    <definedName name="_79__FDSAUDITLINK__" localSheetId="0"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_FDSAUDITLINK__" hidden="1">{"fdsup://directions/FAT Viewer?action=UPDATE&amp;creator=factset&amp;DYN_ARGS=TRUE&amp;DOC_NAME=FAT:FQL_AUDITING_CLIENT_TEMPLATE.FAT&amp;display_string=Audit&amp;VAR:KEY=LEDOZEXGTG&amp;VAR:QUERY=QVZHKEZGX0RJVl9ZTEQoQU5OLDQwOTk0LC0xMEFZKSk=&amp;WINDOW=FIRST_POPUP&amp;HEIGHT=450&amp;WIDTH=450&amp;","START_MAXIMIZED=FALSE&amp;VAR:CALENDAR=US&amp;VAR:SYMBOL=CCE"}</definedName>
    <definedName name="_79_0_Table2_">#REF!</definedName>
    <definedName name="_790">#REF!</definedName>
    <definedName name="_790__FDSAUDITLINK__" localSheetId="0"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0__FDSAUDITLINK__" hidden="1">{"fdsup://directions/FAT Viewer?action=UPDATE&amp;creator=factset&amp;DYN_ARGS=TRUE&amp;DOC_NAME=FAT:FQL_AUDITING_CLIENT_TEMPLATE.FAT&amp;display_string=Audit&amp;VAR:KEY=FILOHUXUFC&amp;VAR:QUERY=RkZfRElWX1lMRChBTk4sMi8xNi8wNiwyLzE2LzA2KQ==&amp;WINDOW=FIRST_POPUP&amp;HEIGHT=450&amp;WIDTH=450&amp;","START_MAXIMIZED=FALSE&amp;VAR:CALENDAR=US&amp;VAR:SYMBOL=MO&amp;VAR:INDEX=0"}</definedName>
    <definedName name="_791__FDSAUDITLINK__" localSheetId="0"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1__FDSAUDITLINK__" hidden="1">{"fdsup://directions/FAT Viewer?action=UPDATE&amp;creator=factset&amp;DYN_ARGS=TRUE&amp;DOC_NAME=FAT:FQL_AUDITING_CLIENT_TEMPLATE.FAT&amp;display_string=Audit&amp;VAR:KEY=LURWPOXUNI&amp;VAR:QUERY=RkZfRElWX1lMRChBTk4sMi8wOS8wNiwyLzA5LzA2KQ==&amp;WINDOW=FIRST_POPUP&amp;HEIGHT=450&amp;WIDTH=450&amp;","START_MAXIMIZED=FALSE&amp;VAR:CALENDAR=US&amp;VAR:SYMBOL=MO&amp;VAR:INDEX=0"}</definedName>
    <definedName name="_792__FDSAUDITLINK__" localSheetId="0"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2__FDSAUDITLINK__" hidden="1">{"fdsup://directions/FAT Viewer?action=UPDATE&amp;creator=factset&amp;DYN_ARGS=TRUE&amp;DOC_NAME=FAT:FQL_AUDITING_CLIENT_TEMPLATE.FAT&amp;display_string=Audit&amp;VAR:KEY=NCTQNGDUPA&amp;VAR:QUERY=RkZfRElWX1lMRChBTk4sMi8wMi8wNiwyLzAyLzA2KQ==&amp;WINDOW=FIRST_POPUP&amp;HEIGHT=450&amp;WIDTH=450&amp;","START_MAXIMIZED=FALSE&amp;VAR:CALENDAR=US&amp;VAR:SYMBOL=MO&amp;VAR:INDEX=0"}</definedName>
    <definedName name="_793__FDSAUDITLINK__" localSheetId="0"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3__FDSAUDITLINK__" hidden="1">{"fdsup://directions/FAT Viewer?action=UPDATE&amp;creator=factset&amp;DYN_ARGS=TRUE&amp;DOC_NAME=FAT:FQL_AUDITING_CLIENT_TEMPLATE.FAT&amp;display_string=Audit&amp;VAR:KEY=DGTYDADYNG&amp;VAR:QUERY=RkZfRElWX1lMRChBTk4sMS8yNi8wNiwxLzI2LzA2KQ==&amp;WINDOW=FIRST_POPUP&amp;HEIGHT=450&amp;WIDTH=450&amp;","START_MAXIMIZED=FALSE&amp;VAR:CALENDAR=US&amp;VAR:SYMBOL=MO&amp;VAR:INDEX=0"}</definedName>
    <definedName name="_794__FDSAUDITLINK__" localSheetId="0"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4__FDSAUDITLINK__" hidden="1">{"fdsup://directions/FAT Viewer?action=UPDATE&amp;creator=factset&amp;DYN_ARGS=TRUE&amp;DOC_NAME=FAT:FQL_AUDITING_CLIENT_TEMPLATE.FAT&amp;display_string=Audit&amp;VAR:KEY=BEJQNSBITS&amp;VAR:QUERY=RkZfRElWX1lMRChBTk4sMS8xOS8wNiwxLzE5LzA2KQ==&amp;WINDOW=FIRST_POPUP&amp;HEIGHT=450&amp;WIDTH=450&amp;","START_MAXIMIZED=FALSE&amp;VAR:CALENDAR=US&amp;VAR:SYMBOL=MO&amp;VAR:INDEX=0"}</definedName>
    <definedName name="_795__FDSAUDITLINK__" localSheetId="0"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5__FDSAUDITLINK__" hidden="1">{"fdsup://directions/FAT Viewer?action=UPDATE&amp;creator=factset&amp;DYN_ARGS=TRUE&amp;DOC_NAME=FAT:FQL_AUDITING_CLIENT_TEMPLATE.FAT&amp;display_string=Audit&amp;VAR:KEY=LEJQJOJOBQ&amp;VAR:QUERY=RkZfRElWX1lMRChBTk4sMS8xMi8wNiwxLzEyLzA2KQ==&amp;WINDOW=FIRST_POPUP&amp;HEIGHT=450&amp;WIDTH=450&amp;","START_MAXIMIZED=FALSE&amp;VAR:CALENDAR=US&amp;VAR:SYMBOL=MO&amp;VAR:INDEX=0"}</definedName>
    <definedName name="_796__FDSAUDITLINK__" localSheetId="0"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6__FDSAUDITLINK__" hidden="1">{"fdsup://directions/FAT Viewer?action=UPDATE&amp;creator=factset&amp;DYN_ARGS=TRUE&amp;DOC_NAME=FAT:FQL_AUDITING_CLIENT_TEMPLATE.FAT&amp;display_string=Audit&amp;VAR:KEY=XMLWBMJQRW&amp;VAR:QUERY=RkZfRElWX1lMRChBTk4sMS8wNS8wNiwxLzA1LzA2KQ==&amp;WINDOW=FIRST_POPUP&amp;HEIGHT=450&amp;WIDTH=450&amp;","START_MAXIMIZED=FALSE&amp;VAR:CALENDAR=US&amp;VAR:SYMBOL=MO&amp;VAR:INDEX=0"}</definedName>
    <definedName name="_797__FDSAUDITLINK__" localSheetId="0"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7__FDSAUDITLINK__" hidden="1">{"fdsup://directions/FAT Viewer?action=UPDATE&amp;creator=factset&amp;DYN_ARGS=TRUE&amp;DOC_NAME=FAT:FQL_AUDITING_CLIENT_TEMPLATE.FAT&amp;display_string=Audit&amp;VAR:KEY=NQTUHMNIDG&amp;VAR:QUERY=RkZfRElWX1lMRChBTk4sMTIvMjkvMDUsMTIvMjkvMDUp&amp;WINDOW=FIRST_POPUP&amp;HEIGHT=450&amp;WIDTH=450&amp;","START_MAXIMIZED=FALSE&amp;VAR:CALENDAR=US&amp;VAR:SYMBOL=MO&amp;VAR:INDEX=0"}</definedName>
    <definedName name="_798">#REF!</definedName>
    <definedName name="_798__FDSAUDITLINK__" localSheetId="0"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8__FDSAUDITLINK__" hidden="1">{"fdsup://directions/FAT Viewer?action=UPDATE&amp;creator=factset&amp;DYN_ARGS=TRUE&amp;DOC_NAME=FAT:FQL_AUDITING_CLIENT_TEMPLATE.FAT&amp;display_string=Audit&amp;VAR:KEY=RYNYJYLALW&amp;VAR:QUERY=RkZfRElWX1lMRChBTk4sMTIvMjIvMDUsMTIvMjIvMDUp&amp;WINDOW=FIRST_POPUP&amp;HEIGHT=450&amp;WIDTH=450&amp;","START_MAXIMIZED=FALSE&amp;VAR:CALENDAR=US&amp;VAR:SYMBOL=MO&amp;VAR:INDEX=0"}</definedName>
    <definedName name="_799__FDSAUDITLINK__" localSheetId="0"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99__FDSAUDITLINK__" hidden="1">{"fdsup://directions/FAT Viewer?action=UPDATE&amp;creator=factset&amp;DYN_ARGS=TRUE&amp;DOC_NAME=FAT:FQL_AUDITING_CLIENT_TEMPLATE.FAT&amp;display_string=Audit&amp;VAR:KEY=XUXCFSFGTG&amp;VAR:QUERY=RkZfRElWX1lMRChBTk4sMTIvMTUvMDUsMTIvMTUvMDUp&amp;WINDOW=FIRST_POPUP&amp;HEIGHT=450&amp;WIDTH=450&amp;","START_MAXIMIZED=FALSE&amp;VAR:CALENDAR=US&amp;VAR:SYMBOL=MO&amp;VAR:INDEX=0"}</definedName>
    <definedName name="_7S" hidden="1">#REF!</definedName>
    <definedName name="_7s1_" hidden="1">{#N/A,#N/A,FALSE,"UNIT";#N/A,#N/A,FALSE,"UNIT";#N/A,#N/A,FALSE,"계정"}</definedName>
    <definedName name="_7s11_" hidden="1">{#N/A,#N/A,FALSE,"UNIT";#N/A,#N/A,FALSE,"UNIT";#N/A,#N/A,FALSE,"계정"}</definedName>
    <definedName name="_7s12_" hidden="1">{#N/A,#N/A,FALSE,"UNIT";#N/A,#N/A,FALSE,"UNIT";#N/A,#N/A,FALSE,"계정"}</definedName>
    <definedName name="_8">#REF!</definedName>
    <definedName name="_8_????_3">#REF!</definedName>
    <definedName name="_8_????1_3">#REF!</definedName>
    <definedName name="_8_????8_3">#REF!</definedName>
    <definedName name="_8_??_3">#REF!</definedName>
    <definedName name="_8___________NOTE10_12">#REF!</definedName>
    <definedName name="_8__123Graph_ACHART_1">#REF!</definedName>
    <definedName name="_8__123Graph_AChart_30L">#REF!</definedName>
    <definedName name="_8__123Graph_AQRE_S_BY_CO.">#REF!</definedName>
    <definedName name="_8__123Graph_ASENS_COMPARISON">#REF!</definedName>
    <definedName name="_8__123Graph_ASUPPLIES_BY_B_U">#REF!</definedName>
    <definedName name="_8__123Graph_ATAX_CREDIT">#REF!</definedName>
    <definedName name="_8__123Graph_AWAGES_BY_B_U" hidden="1">#REF!</definedName>
    <definedName name="_8__123Graph_BCONTRACT_BY_B_U">#REF!</definedName>
    <definedName name="_8__123Graph_BQRE_S_BY_CO.">#REF!</definedName>
    <definedName name="_8__123Graph_ESALES_MONTH" hidden="1">#REF!</definedName>
    <definedName name="_8__FDSAUDITLINK__" localSheetId="0"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_FDSAUDITLINK__" hidden="1">{"fdsup://directions/FAT Viewer?action=UPDATE&amp;creator=factset&amp;DYN_ARGS=TRUE&amp;DOC_NAME=FAT:FQL_AUDITING_CLIENT_TEMPLATE.FAT&amp;display_string=Audit&amp;VAR:KEY=WFIZMJCPID&amp;VAR:QUERY=Q1NGX0RJVl9ZTEQoUVRSX1IsMy8zMS8yMDA5KQ==&amp;WINDOW=FIRST_POPUP&amp;HEIGHT=450&amp;WIDTH=450&amp;STAR","T_MAXIMIZED=FALSE&amp;VAR:CALENDAR=US&amp;VAR:SYMBOL=MO&amp;VAR:INDEX=0"}</definedName>
    <definedName name="_8_0_0COST_BENEF">#REF!</definedName>
    <definedName name="_8_0_S" hidden="1">#REF!</definedName>
    <definedName name="_8_0_Table2_">#REF!</definedName>
    <definedName name="_8_건가_개발비">#REF!</definedName>
    <definedName name="_80__123Graph_DCHART_8">#REF!</definedName>
    <definedName name="_80__123Graph_DSUPPLIES_BY_B_U">#REF!</definedName>
    <definedName name="_80__FDSAUDITLINK__" localSheetId="0"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_FDSAUDITLINK__" hidden="1">{"fdsup://directions/FAT Viewer?action=UPDATE&amp;creator=factset&amp;DYN_ARGS=TRUE&amp;DOC_NAME=FAT:FQL_AUDITING_CLIENT_TEMPLATE.FAT&amp;display_string=Audit&amp;VAR:KEY=XGBUPGPYTO&amp;VAR:QUERY=RkZfRElWX1lMRChBTk4sOS8yNC8wOSw5LzI0LzA5KQ==&amp;WINDOW=FIRST_POPUP&amp;HEIGHT=450&amp;WIDTH=450&amp;","START_MAXIMIZED=FALSE&amp;VAR:CALENDAR=US&amp;VAR:SYMBOL=RAI&amp;VAR:INDEX=0"}</definedName>
    <definedName name="_80_0_Table2_" hidden="1">#REF!</definedName>
    <definedName name="_800__FDSAUDITLINK__" localSheetId="0"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0__FDSAUDITLINK__" hidden="1">{"fdsup://directions/FAT Viewer?action=UPDATE&amp;creator=factset&amp;DYN_ARGS=TRUE&amp;DOC_NAME=FAT:FQL_AUDITING_CLIENT_TEMPLATE.FAT&amp;display_string=Audit&amp;VAR:KEY=LUBOHYDUJI&amp;VAR:QUERY=RkZfRElWX1lMRChBTk4sMTIvMDgvMDUsMTIvMDgvMDUp&amp;WINDOW=FIRST_POPUP&amp;HEIGHT=450&amp;WIDTH=450&amp;","START_MAXIMIZED=FALSE&amp;VAR:CALENDAR=US&amp;VAR:SYMBOL=MO&amp;VAR:INDEX=0"}</definedName>
    <definedName name="_801__FDSAUDITLINK__" localSheetId="0"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1__FDSAUDITLINK__" hidden="1">{"fdsup://directions/FAT Viewer?action=UPDATE&amp;creator=factset&amp;DYN_ARGS=TRUE&amp;DOC_NAME=FAT:FQL_AUDITING_CLIENT_TEMPLATE.FAT&amp;display_string=Audit&amp;VAR:KEY=XKNKJSNAZQ&amp;VAR:QUERY=RkZfRElWX1lMRChBTk4sMTIvMDEvMDUsMTIvMDEvMDUp&amp;WINDOW=FIRST_POPUP&amp;HEIGHT=450&amp;WIDTH=450&amp;","START_MAXIMIZED=FALSE&amp;VAR:CALENDAR=US&amp;VAR:SYMBOL=MO&amp;VAR:INDEX=0"}</definedName>
    <definedName name="_802">#REF!</definedName>
    <definedName name="_802__FDSAUDITLINK__" localSheetId="0"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2__FDSAUDITLINK__" hidden="1">{"fdsup://directions/FAT Viewer?action=UPDATE&amp;creator=factset&amp;DYN_ARGS=TRUE&amp;DOC_NAME=FAT:FQL_AUDITING_CLIENT_TEMPLATE.FAT&amp;display_string=Audit&amp;VAR:KEY=RILIDKJWBM&amp;VAR:QUERY=RkZfRElWX1lMRChBTk4sMTEvMjMvMDUsMTEvMjMvMDUp&amp;WINDOW=FIRST_POPUP&amp;HEIGHT=450&amp;WIDTH=450&amp;","START_MAXIMIZED=FALSE&amp;VAR:CALENDAR=US&amp;VAR:SYMBOL=MO&amp;VAR:INDEX=0"}</definedName>
    <definedName name="_803__FDSAUDITLINK__" localSheetId="0"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3__FDSAUDITLINK__" hidden="1">{"fdsup://directions/FAT Viewer?action=UPDATE&amp;creator=factset&amp;DYN_ARGS=TRUE&amp;DOC_NAME=FAT:FQL_AUDITING_CLIENT_TEMPLATE.FAT&amp;display_string=Audit&amp;VAR:KEY=NADAVEBIXC&amp;VAR:QUERY=RkZfRElWX1lMRChBTk4sMTEvMTcvMDUsMTEvMTcvMDUp&amp;WINDOW=FIRST_POPUP&amp;HEIGHT=450&amp;WIDTH=450&amp;","START_MAXIMIZED=FALSE&amp;VAR:CALENDAR=US&amp;VAR:SYMBOL=MO&amp;VAR:INDEX=0"}</definedName>
    <definedName name="_804__FDSAUDITLINK__" localSheetId="0"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4__FDSAUDITLINK__" hidden="1">{"fdsup://directions/FAT Viewer?action=UPDATE&amp;creator=factset&amp;DYN_ARGS=TRUE&amp;DOC_NAME=FAT:FQL_AUDITING_CLIENT_TEMPLATE.FAT&amp;display_string=Audit&amp;VAR:KEY=JIVOPMDWVO&amp;VAR:QUERY=RkZfRElWX1lMRChBTk4sMTEvMTAvMDUsMTEvMTAvMDUp&amp;WINDOW=FIRST_POPUP&amp;HEIGHT=450&amp;WIDTH=450&amp;","START_MAXIMIZED=FALSE&amp;VAR:CALENDAR=US&amp;VAR:SYMBOL=MO&amp;VAR:INDEX=0"}</definedName>
    <definedName name="_805__FDSAUDITLINK__" localSheetId="0"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5__FDSAUDITLINK__" hidden="1">{"fdsup://directions/FAT Viewer?action=UPDATE&amp;creator=factset&amp;DYN_ARGS=TRUE&amp;DOC_NAME=FAT:FQL_AUDITING_CLIENT_TEMPLATE.FAT&amp;display_string=Audit&amp;VAR:KEY=LMPURMFITC&amp;VAR:QUERY=RkZfRElWX1lMRChBTk4sMTEvMDMvMDUsMTEvMDMvMDUp&amp;WINDOW=FIRST_POPUP&amp;HEIGHT=450&amp;WIDTH=450&amp;","START_MAXIMIZED=FALSE&amp;VAR:CALENDAR=US&amp;VAR:SYMBOL=MO&amp;VAR:INDEX=0"}</definedName>
    <definedName name="_806__FDSAUDITLINK__" localSheetId="0"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6__FDSAUDITLINK__" hidden="1">{"fdsup://directions/FAT Viewer?action=UPDATE&amp;creator=factset&amp;DYN_ARGS=TRUE&amp;DOC_NAME=FAT:FQL_AUDITING_CLIENT_TEMPLATE.FAT&amp;display_string=Audit&amp;VAR:KEY=PMHGPGRCZA&amp;VAR:QUERY=RkZfRElWX1lMRChBTk4sMTAvMjcvMDUsMTAvMjcvMDUp&amp;WINDOW=FIRST_POPUP&amp;HEIGHT=450&amp;WIDTH=450&amp;","START_MAXIMIZED=FALSE&amp;VAR:CALENDAR=US&amp;VAR:SYMBOL=MO&amp;VAR:INDEX=0"}</definedName>
    <definedName name="_807">#REF!</definedName>
    <definedName name="_807__FDSAUDITLINK__" localSheetId="0"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7__FDSAUDITLINK__" hidden="1">{"fdsup://directions/FAT Viewer?action=UPDATE&amp;creator=factset&amp;DYN_ARGS=TRUE&amp;DOC_NAME=FAT:FQL_AUDITING_CLIENT_TEMPLATE.FAT&amp;display_string=Audit&amp;VAR:KEY=LAPOLMFATQ&amp;VAR:QUERY=RkZfRElWX1lMRChBTk4sMTAvMjAvMDUsMTAvMjAvMDUp&amp;WINDOW=FIRST_POPUP&amp;HEIGHT=450&amp;WIDTH=450&amp;","START_MAXIMIZED=FALSE&amp;VAR:CALENDAR=US&amp;VAR:SYMBOL=MO&amp;VAR:INDEX=0"}</definedName>
    <definedName name="_808__FDSAUDITLINK__" localSheetId="0"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8__FDSAUDITLINK__" hidden="1">{"fdsup://directions/FAT Viewer?action=UPDATE&amp;creator=factset&amp;DYN_ARGS=TRUE&amp;DOC_NAME=FAT:FQL_AUDITING_CLIENT_TEMPLATE.FAT&amp;display_string=Audit&amp;VAR:KEY=JCVAZADAJS&amp;VAR:QUERY=RkZfRElWX1lMRChBTk4sMTAvMTMvMDUsMTAvMTMvMDUp&amp;WINDOW=FIRST_POPUP&amp;HEIGHT=450&amp;WIDTH=450&amp;","START_MAXIMIZED=FALSE&amp;VAR:CALENDAR=US&amp;VAR:SYMBOL=MO&amp;VAR:INDEX=0"}</definedName>
    <definedName name="_809__FDSAUDITLINK__" localSheetId="0"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09__FDSAUDITLINK__" hidden="1">{"fdsup://directions/FAT Viewer?action=UPDATE&amp;creator=factset&amp;DYN_ARGS=TRUE&amp;DOC_NAME=FAT:FQL_AUDITING_CLIENT_TEMPLATE.FAT&amp;display_string=Audit&amp;VAR:KEY=VCFUXKPCNO&amp;VAR:QUERY=RkZfRElWX1lMRChBTk4sMTAvMDYvMDUsMTAvMDYvMDUp&amp;WINDOW=FIRST_POPUP&amp;HEIGHT=450&amp;WIDTH=450&amp;","START_MAXIMIZED=FALSE&amp;VAR:CALENDAR=US&amp;VAR:SYMBOL=MO&amp;VAR:INDEX=0"}</definedName>
    <definedName name="_81__123Graph_CSUPPLIES_BY_B_U">#REF!</definedName>
    <definedName name="_81__123Graph_FQRE_S_BY_CO.">#REF!</definedName>
    <definedName name="_81__FDSAUDITLINK__" localSheetId="0"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_FDSAUDITLINK__" hidden="1">{"fdsup://directions/FAT Viewer?action=UPDATE&amp;creator=factset&amp;DYN_ARGS=TRUE&amp;DOC_NAME=FAT:FQL_AUDITING_CLIENT_TEMPLATE.FAT&amp;display_string=Audit&amp;VAR:KEY=UHMTUFUTWJ&amp;VAR:QUERY=QVZHKEZGX0RJVl9ZTEQoQU5OLDQxMDA0LC0yQVkpKQ==&amp;WINDOW=FIRST_POPUP&amp;HEIGHT=450&amp;WIDTH=450&amp;","START_MAXIMIZED=FALSE&amp;VAR:CALENDAR=US&amp;VAR:SYMBOL=SBUX"}</definedName>
    <definedName name="_81_0_Table2_" hidden="1">#REF!</definedName>
    <definedName name="_810__FDSAUDITLINK__" localSheetId="0"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0__FDSAUDITLINK__" hidden="1">{"fdsup://directions/FAT Viewer?action=UPDATE&amp;creator=factset&amp;DYN_ARGS=TRUE&amp;DOC_NAME=FAT:FQL_AUDITING_CLIENT_TEMPLATE.FAT&amp;display_string=Audit&amp;VAR:KEY=XYPWBEFWBM&amp;VAR:QUERY=RkZfRElWX1lMRChBTk4sOS8yOS8wNSw5LzI5LzA1KQ==&amp;WINDOW=FIRST_POPUP&amp;HEIGHT=450&amp;WIDTH=450&amp;","START_MAXIMIZED=FALSE&amp;VAR:CALENDAR=US&amp;VAR:SYMBOL=MO&amp;VAR:INDEX=0"}</definedName>
    <definedName name="_811__FDSAUDITLINK__" localSheetId="0"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1__FDSAUDITLINK__" hidden="1">{"fdsup://directions/FAT Viewer?action=UPDATE&amp;creator=factset&amp;DYN_ARGS=TRUE&amp;DOC_NAME=FAT:FQL_AUDITING_CLIENT_TEMPLATE.FAT&amp;display_string=Audit&amp;VAR:KEY=NKBYXEFEVE&amp;VAR:QUERY=RkZfRElWX1lMRChBTk4sOS8yMi8wNSw5LzIyLzA1KQ==&amp;WINDOW=FIRST_POPUP&amp;HEIGHT=450&amp;WIDTH=450&amp;","START_MAXIMIZED=FALSE&amp;VAR:CALENDAR=US&amp;VAR:SYMBOL=MO&amp;VAR:INDEX=0"}</definedName>
    <definedName name="_812">#REF!</definedName>
    <definedName name="_812__FDSAUDITLINK__" localSheetId="0"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2__FDSAUDITLINK__" hidden="1">{"fdsup://directions/FAT Viewer?action=UPDATE&amp;creator=factset&amp;DYN_ARGS=TRUE&amp;DOC_NAME=FAT:FQL_AUDITING_CLIENT_TEMPLATE.FAT&amp;display_string=Audit&amp;VAR:KEY=XGRMDMFGBQ&amp;VAR:QUERY=RkZfRElWX1lMRChBTk4sOS8xNS8wNSw5LzE1LzA1KQ==&amp;WINDOW=FIRST_POPUP&amp;HEIGHT=450&amp;WIDTH=450&amp;","START_MAXIMIZED=FALSE&amp;VAR:CALENDAR=US&amp;VAR:SYMBOL=MO&amp;VAR:INDEX=0"}</definedName>
    <definedName name="_813">#REF!</definedName>
    <definedName name="_813__FDSAUDITLINK__" localSheetId="0"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3__FDSAUDITLINK__" hidden="1">{"fdsup://directions/FAT Viewer?action=UPDATE&amp;creator=factset&amp;DYN_ARGS=TRUE&amp;DOC_NAME=FAT:FQL_AUDITING_CLIENT_TEMPLATE.FAT&amp;display_string=Audit&amp;VAR:KEY=ZCFWRGXKNW&amp;VAR:QUERY=RkZfRElWX1lMRChBTk4sOS8wOC8wNSw5LzA4LzA1KQ==&amp;WINDOW=FIRST_POPUP&amp;HEIGHT=450&amp;WIDTH=450&amp;","START_MAXIMIZED=FALSE&amp;VAR:CALENDAR=US&amp;VAR:SYMBOL=MO&amp;VAR:INDEX=0"}</definedName>
    <definedName name="_814">#REF!</definedName>
    <definedName name="_814__FDSAUDITLINK__" localSheetId="0"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4__FDSAUDITLINK__" hidden="1">{"fdsup://directions/FAT Viewer?action=UPDATE&amp;creator=factset&amp;DYN_ARGS=TRUE&amp;DOC_NAME=FAT:FQL_AUDITING_CLIENT_TEMPLATE.FAT&amp;display_string=Audit&amp;VAR:KEY=ZCVINIVATK&amp;VAR:QUERY=RkZfRElWX1lMRChBTk4sOS8wMS8wNSw5LzAxLzA1KQ==&amp;WINDOW=FIRST_POPUP&amp;HEIGHT=450&amp;WIDTH=450&amp;","START_MAXIMIZED=FALSE&amp;VAR:CALENDAR=US&amp;VAR:SYMBOL=MO&amp;VAR:INDEX=0"}</definedName>
    <definedName name="_815">#REF!</definedName>
    <definedName name="_815__FDSAUDITLINK__" localSheetId="0"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5__FDSAUDITLINK__" hidden="1">{"fdsup://directions/FAT Viewer?action=UPDATE&amp;creator=factset&amp;DYN_ARGS=TRUE&amp;DOC_NAME=FAT:FQL_AUDITING_CLIENT_TEMPLATE.FAT&amp;display_string=Audit&amp;VAR:KEY=ZYNMTQDYTC&amp;VAR:QUERY=RkZfRElWX1lMRChBTk4sOC8yNS8wNSw4LzI1LzA1KQ==&amp;WINDOW=FIRST_POPUP&amp;HEIGHT=450&amp;WIDTH=450&amp;","START_MAXIMIZED=FALSE&amp;VAR:CALENDAR=US&amp;VAR:SYMBOL=MO&amp;VAR:INDEX=0"}</definedName>
    <definedName name="_816">#REF!</definedName>
    <definedName name="_816__FDSAUDITLINK__" localSheetId="0"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6__FDSAUDITLINK__" hidden="1">{"fdsup://directions/FAT Viewer?action=UPDATE&amp;creator=factset&amp;DYN_ARGS=TRUE&amp;DOC_NAME=FAT:FQL_AUDITING_CLIENT_TEMPLATE.FAT&amp;display_string=Audit&amp;VAR:KEY=DQBCLEJONI&amp;VAR:QUERY=RkZfRElWX1lMRChBTk4sOC8xOC8wNSw4LzE4LzA1KQ==&amp;WINDOW=FIRST_POPUP&amp;HEIGHT=450&amp;WIDTH=450&amp;","START_MAXIMIZED=FALSE&amp;VAR:CALENDAR=US&amp;VAR:SYMBOL=MO&amp;VAR:INDEX=0"}</definedName>
    <definedName name="_817">#REF!</definedName>
    <definedName name="_817__FDSAUDITLINK__" localSheetId="0"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7__FDSAUDITLINK__" hidden="1">{"fdsup://directions/FAT Viewer?action=UPDATE&amp;creator=factset&amp;DYN_ARGS=TRUE&amp;DOC_NAME=FAT:FQL_AUDITING_CLIENT_TEMPLATE.FAT&amp;display_string=Audit&amp;VAR:KEY=XEXURAJCNK&amp;VAR:QUERY=RkZfRElWX1lMRChBTk4sOC8xMS8wNSw4LzExLzA1KQ==&amp;WINDOW=FIRST_POPUP&amp;HEIGHT=450&amp;WIDTH=450&amp;","START_MAXIMIZED=FALSE&amp;VAR:CALENDAR=US&amp;VAR:SYMBOL=MO&amp;VAR:INDEX=0"}</definedName>
    <definedName name="_818">#REF!</definedName>
    <definedName name="_818__FDSAUDITLINK__" localSheetId="0"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8__FDSAUDITLINK__" hidden="1">{"fdsup://directions/FAT Viewer?action=UPDATE&amp;creator=factset&amp;DYN_ARGS=TRUE&amp;DOC_NAME=FAT:FQL_AUDITING_CLIENT_TEMPLATE.FAT&amp;display_string=Audit&amp;VAR:KEY=PSNITIJINU&amp;VAR:QUERY=RkZfRElWX1lMRChBTk4sOC8wNC8wNSw4LzA0LzA1KQ==&amp;WINDOW=FIRST_POPUP&amp;HEIGHT=450&amp;WIDTH=450&amp;","START_MAXIMIZED=FALSE&amp;VAR:CALENDAR=US&amp;VAR:SYMBOL=MO&amp;VAR:INDEX=0"}</definedName>
    <definedName name="_819">#REF!</definedName>
    <definedName name="_819__FDSAUDITLINK__" localSheetId="0"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19__FDSAUDITLINK__" hidden="1">{"fdsup://directions/FAT Viewer?action=UPDATE&amp;creator=factset&amp;DYN_ARGS=TRUE&amp;DOC_NAME=FAT:FQL_AUDITING_CLIENT_TEMPLATE.FAT&amp;display_string=Audit&amp;VAR:KEY=PIPIDKPOZU&amp;VAR:QUERY=RkZfRElWX1lMRChBTk4sNy8yOC8wNSw3LzI4LzA1KQ==&amp;WINDOW=FIRST_POPUP&amp;HEIGHT=450&amp;WIDTH=450&amp;","START_MAXIMIZED=FALSE&amp;VAR:CALENDAR=US&amp;VAR:SYMBOL=MO&amp;VAR:INDEX=0"}</definedName>
    <definedName name="_82__FDSAUDITLINK__" localSheetId="0"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__FDSAUDITLINK__" hidden="1">{"fdsup://directions/FAT Viewer?action=UPDATE&amp;creator=factset&amp;DYN_ARGS=TRUE&amp;DOC_NAME=FAT:FQL_AUDITING_CLIENT_TEMPLATE.FAT&amp;display_string=Audit&amp;VAR:KEY=HCZWJCNOTU&amp;VAR:QUERY=RkZfRElWX1lMRChBTk4sOS8xMC8wOSw5LzEwLzA5KQ==&amp;WINDOW=FIRST_POPUP&amp;HEIGHT=450&amp;WIDTH=450&amp;","START_MAXIMIZED=FALSE&amp;VAR:CALENDAR=US&amp;VAR:SYMBOL=RAI&amp;VAR:INDEX=0"}</definedName>
    <definedName name="_820">#REF!</definedName>
    <definedName name="_820__FDSAUDITLINK__" localSheetId="0"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0__FDSAUDITLINK__" hidden="1">{"fdsup://directions/FAT Viewer?action=UPDATE&amp;creator=factset&amp;DYN_ARGS=TRUE&amp;DOC_NAME=FAT:FQL_AUDITING_CLIENT_TEMPLATE.FAT&amp;display_string=Audit&amp;VAR:KEY=JGPUNUJKXI&amp;VAR:QUERY=RkZfRElWX1lMRChBTk4sNy8yMS8wNSw3LzIxLzA1KQ==&amp;WINDOW=FIRST_POPUP&amp;HEIGHT=450&amp;WIDTH=450&amp;","START_MAXIMIZED=FALSE&amp;VAR:CALENDAR=US&amp;VAR:SYMBOL=MO&amp;VAR:INDEX=0"}</definedName>
    <definedName name="_821">#REF!</definedName>
    <definedName name="_821__FDSAUDITLINK__" localSheetId="0"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1__FDSAUDITLINK__" hidden="1">{"fdsup://directions/FAT Viewer?action=UPDATE&amp;creator=factset&amp;DYN_ARGS=TRUE&amp;DOC_NAME=FAT:FQL_AUDITING_CLIENT_TEMPLATE.FAT&amp;display_string=Audit&amp;VAR:KEY=TSLODARWJM&amp;VAR:QUERY=RkZfRElWX1lMRChBTk4sNy8xNC8wNSw3LzE0LzA1KQ==&amp;WINDOW=FIRST_POPUP&amp;HEIGHT=450&amp;WIDTH=450&amp;","START_MAXIMIZED=FALSE&amp;VAR:CALENDAR=US&amp;VAR:SYMBOL=MO&amp;VAR:INDEX=0"}</definedName>
    <definedName name="_822">#REF!</definedName>
    <definedName name="_822__FDSAUDITLINK__" localSheetId="0"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2__FDSAUDITLINK__" hidden="1">{"fdsup://directions/FAT Viewer?action=UPDATE&amp;creator=factset&amp;DYN_ARGS=TRUE&amp;DOC_NAME=FAT:FQL_AUDITING_CLIENT_TEMPLATE.FAT&amp;display_string=Audit&amp;VAR:KEY=NEPEJWTGRU&amp;VAR:QUERY=RkZfRElWX1lMRChBTk4sNy8wNy8wNSw3LzA3LzA1KQ==&amp;WINDOW=FIRST_POPUP&amp;HEIGHT=450&amp;WIDTH=450&amp;","START_MAXIMIZED=FALSE&amp;VAR:CALENDAR=US&amp;VAR:SYMBOL=MO&amp;VAR:INDEX=0"}</definedName>
    <definedName name="_823">#REF!</definedName>
    <definedName name="_823__FDSAUDITLINK__" localSheetId="0"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3__FDSAUDITLINK__" hidden="1">{"fdsup://directions/FAT Viewer?action=UPDATE&amp;creator=factset&amp;DYN_ARGS=TRUE&amp;DOC_NAME=FAT:FQL_AUDITING_CLIENT_TEMPLATE.FAT&amp;display_string=Audit&amp;VAR:KEY=ZKRIHUFIBG&amp;VAR:QUERY=RkZfRElWX1lMRChBTk4sNi8zMC8wNSw2LzMwLzA1KQ==&amp;WINDOW=FIRST_POPUP&amp;HEIGHT=450&amp;WIDTH=450&amp;","START_MAXIMIZED=FALSE&amp;VAR:CALENDAR=US&amp;VAR:SYMBOL=MO&amp;VAR:INDEX=0"}</definedName>
    <definedName name="_824">#REF!</definedName>
    <definedName name="_824__FDSAUDITLINK__" localSheetId="0"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4__FDSAUDITLINK__" hidden="1">{"fdsup://directions/FAT Viewer?action=UPDATE&amp;creator=factset&amp;DYN_ARGS=TRUE&amp;DOC_NAME=FAT:FQL_AUDITING_CLIENT_TEMPLATE.FAT&amp;display_string=Audit&amp;VAR:KEY=TYVWXMFKVQ&amp;VAR:QUERY=RkZfRElWX1lMRChBTk4sNi8yMy8wNSw2LzIzLzA1KQ==&amp;WINDOW=FIRST_POPUP&amp;HEIGHT=450&amp;WIDTH=450&amp;","START_MAXIMIZED=FALSE&amp;VAR:CALENDAR=US&amp;VAR:SYMBOL=MO&amp;VAR:INDEX=0"}</definedName>
    <definedName name="_825">#REF!</definedName>
    <definedName name="_825__FDSAUDITLINK__" localSheetId="0"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5__FDSAUDITLINK__" hidden="1">{"fdsup://directions/FAT Viewer?action=UPDATE&amp;creator=factset&amp;DYN_ARGS=TRUE&amp;DOC_NAME=FAT:FQL_AUDITING_CLIENT_TEMPLATE.FAT&amp;display_string=Audit&amp;VAR:KEY=RSDAROBMDM&amp;VAR:QUERY=RkZfRElWX1lMRChBTk4sNi8xNi8wNSw2LzE2LzA1KQ==&amp;WINDOW=FIRST_POPUP&amp;HEIGHT=450&amp;WIDTH=450&amp;","START_MAXIMIZED=FALSE&amp;VAR:CALENDAR=US&amp;VAR:SYMBOL=MO&amp;VAR:INDEX=0"}</definedName>
    <definedName name="_826">#REF!</definedName>
    <definedName name="_826__FDSAUDITLINK__" localSheetId="0"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6__FDSAUDITLINK__" hidden="1">{"fdsup://directions/FAT Viewer?action=UPDATE&amp;creator=factset&amp;DYN_ARGS=TRUE&amp;DOC_NAME=FAT:FQL_AUDITING_CLIENT_TEMPLATE.FAT&amp;display_string=Audit&amp;VAR:KEY=HANMHSJATM&amp;VAR:QUERY=RkZfRElWX1lMRChBTk4sNi8wOS8wNSw2LzA5LzA1KQ==&amp;WINDOW=FIRST_POPUP&amp;HEIGHT=450&amp;WIDTH=450&amp;","START_MAXIMIZED=FALSE&amp;VAR:CALENDAR=US&amp;VAR:SYMBOL=MO&amp;VAR:INDEX=0"}</definedName>
    <definedName name="_827">#REF!</definedName>
    <definedName name="_827__FDSAUDITLINK__" localSheetId="0"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7__FDSAUDITLINK__" hidden="1">{"fdsup://directions/FAT Viewer?action=UPDATE&amp;creator=factset&amp;DYN_ARGS=TRUE&amp;DOC_NAME=FAT:FQL_AUDITING_CLIENT_TEMPLATE.FAT&amp;display_string=Audit&amp;VAR:KEY=RQVYFWLCPC&amp;VAR:QUERY=RkZfRElWX1lMRChBTk4sNi8wMi8wNSw2LzAyLzA1KQ==&amp;WINDOW=FIRST_POPUP&amp;HEIGHT=450&amp;WIDTH=450&amp;","START_MAXIMIZED=FALSE&amp;VAR:CALENDAR=US&amp;VAR:SYMBOL=MO&amp;VAR:INDEX=0"}</definedName>
    <definedName name="_828">#REF!</definedName>
    <definedName name="_828__FDSAUDITLINK__" localSheetId="0"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8__FDSAUDITLINK__" hidden="1">{"fdsup://directions/FAT Viewer?action=UPDATE&amp;creator=factset&amp;DYN_ARGS=TRUE&amp;DOC_NAME=FAT:FQL_AUDITING_CLIENT_TEMPLATE.FAT&amp;display_string=Audit&amp;VAR:KEY=XWVAPARCTE&amp;VAR:QUERY=RkZfRElWX1lMRChBTk4sNS8yNi8wNSw1LzI2LzA1KQ==&amp;WINDOW=FIRST_POPUP&amp;HEIGHT=450&amp;WIDTH=450&amp;","START_MAXIMIZED=FALSE&amp;VAR:CALENDAR=US&amp;VAR:SYMBOL=MO&amp;VAR:INDEX=0"}</definedName>
    <definedName name="_829">#REF!</definedName>
    <definedName name="_829__FDSAUDITLINK__" localSheetId="0"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29__FDSAUDITLINK__" hidden="1">{"fdsup://directions/FAT Viewer?action=UPDATE&amp;creator=factset&amp;DYN_ARGS=TRUE&amp;DOC_NAME=FAT:FQL_AUDITING_CLIENT_TEMPLATE.FAT&amp;display_string=Audit&amp;VAR:KEY=XYFWJWPEDE&amp;VAR:QUERY=RkZfRElWX1lMRChBTk4sNS8xOS8wNSw1LzE5LzA1KQ==&amp;WINDOW=FIRST_POPUP&amp;HEIGHT=450&amp;WIDTH=450&amp;","START_MAXIMIZED=FALSE&amp;VAR:CALENDAR=US&amp;VAR:SYMBOL=MO&amp;VAR:INDEX=0"}</definedName>
    <definedName name="_83__FDSAUDITLINK__" localSheetId="0"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__FDSAUDITLINK__" hidden="1">{"fdsup://directions/FAT Viewer?action=UPDATE&amp;creator=factset&amp;DYN_ARGS=TRUE&amp;DOC_NAME=FAT:FQL_AUDITING_CLIENT_TEMPLATE.FAT&amp;display_string=Audit&amp;VAR:KEY=RKBMNQHOBQ&amp;VAR:QUERY=RkZfRElWX1lMRChBTk4sOS8wMy8wOSw5LzAzLzA5KQ==&amp;WINDOW=FIRST_POPUP&amp;HEIGHT=450&amp;WIDTH=450&amp;","START_MAXIMIZED=FALSE&amp;VAR:CALENDAR=US&amp;VAR:SYMBOL=RAI&amp;VAR:INDEX=0"}</definedName>
    <definedName name="_830">#REF!</definedName>
    <definedName name="_830__FDSAUDITLINK__" localSheetId="0"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0__FDSAUDITLINK__" hidden="1">{"fdsup://directions/FAT Viewer?action=UPDATE&amp;creator=factset&amp;DYN_ARGS=TRUE&amp;DOC_NAME=FAT:FQL_AUDITING_CLIENT_TEMPLATE.FAT&amp;display_string=Audit&amp;VAR:KEY=ZUVIRAHWVA&amp;VAR:QUERY=RkZfRElWX1lMRChBTk4sNS8xMi8wNSw1LzEyLzA1KQ==&amp;WINDOW=FIRST_POPUP&amp;HEIGHT=450&amp;WIDTH=450&amp;","START_MAXIMIZED=FALSE&amp;VAR:CALENDAR=US&amp;VAR:SYMBOL=MO&amp;VAR:INDEX=0"}</definedName>
    <definedName name="_831">#REF!</definedName>
    <definedName name="_831__FDSAUDITLINK__" localSheetId="0"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1__FDSAUDITLINK__" hidden="1">{"fdsup://directions/FAT Viewer?action=UPDATE&amp;creator=factset&amp;DYN_ARGS=TRUE&amp;DOC_NAME=FAT:FQL_AUDITING_CLIENT_TEMPLATE.FAT&amp;display_string=Audit&amp;VAR:KEY=BIJMPAHQVA&amp;VAR:QUERY=RkZfRElWX1lMRChBTk4sNS8wNS8wNSw1LzA1LzA1KQ==&amp;WINDOW=FIRST_POPUP&amp;HEIGHT=450&amp;WIDTH=450&amp;","START_MAXIMIZED=FALSE&amp;VAR:CALENDAR=US&amp;VAR:SYMBOL=MO&amp;VAR:INDEX=0"}</definedName>
    <definedName name="_832__FDSAUDITLINK__" localSheetId="0"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2__FDSAUDITLINK__" hidden="1">{"fdsup://directions/FAT Viewer?action=UPDATE&amp;creator=factset&amp;DYN_ARGS=TRUE&amp;DOC_NAME=FAT:FQL_AUDITING_CLIENT_TEMPLATE.FAT&amp;display_string=Audit&amp;VAR:KEY=XCZCJOLKTE&amp;VAR:QUERY=RkZfRElWX1lMRChBTk4sNC8yOC8wNSw0LzI4LzA1KQ==&amp;WINDOW=FIRST_POPUP&amp;HEIGHT=450&amp;WIDTH=450&amp;","START_MAXIMIZED=FALSE&amp;VAR:CALENDAR=US&amp;VAR:SYMBOL=MO&amp;VAR:INDEX=0"}</definedName>
    <definedName name="_833">#REF!</definedName>
    <definedName name="_833__FDSAUDITLINK__" localSheetId="0"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3__FDSAUDITLINK__" hidden="1">{"fdsup://directions/FAT Viewer?action=UPDATE&amp;creator=factset&amp;DYN_ARGS=TRUE&amp;DOC_NAME=FAT:FQL_AUDITING_CLIENT_TEMPLATE.FAT&amp;display_string=Audit&amp;VAR:KEY=PYPSNILCHQ&amp;VAR:QUERY=RkZfRElWX1lMRChBTk4sNC8yMS8wNSw0LzIxLzA1KQ==&amp;WINDOW=FIRST_POPUP&amp;HEIGHT=450&amp;WIDTH=450&amp;","START_MAXIMIZED=FALSE&amp;VAR:CALENDAR=US&amp;VAR:SYMBOL=MO&amp;VAR:INDEX=0"}</definedName>
    <definedName name="_834">#REF!</definedName>
    <definedName name="_834__FDSAUDITLINK__" localSheetId="0"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4__FDSAUDITLINK__" hidden="1">{"fdsup://directions/FAT Viewer?action=UPDATE&amp;creator=factset&amp;DYN_ARGS=TRUE&amp;DOC_NAME=FAT:FQL_AUDITING_CLIENT_TEMPLATE.FAT&amp;display_string=Audit&amp;VAR:KEY=RIPIJWBSZK&amp;VAR:QUERY=RkZfRElWX1lMRChBTk4sNC8xNC8wNSw0LzE0LzA1KQ==&amp;WINDOW=FIRST_POPUP&amp;HEIGHT=450&amp;WIDTH=450&amp;","START_MAXIMIZED=FALSE&amp;VAR:CALENDAR=US&amp;VAR:SYMBOL=MO&amp;VAR:INDEX=0"}</definedName>
    <definedName name="_835">#REF!</definedName>
    <definedName name="_835__FDSAUDITLINK__" localSheetId="0"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5__FDSAUDITLINK__" hidden="1">{"fdsup://directions/FAT Viewer?action=UPDATE&amp;creator=factset&amp;DYN_ARGS=TRUE&amp;DOC_NAME=FAT:FQL_AUDITING_CLIENT_TEMPLATE.FAT&amp;display_string=Audit&amp;VAR:KEY=ZOFQDOHKXG&amp;VAR:QUERY=RkZfRElWX1lMRChBTk4sNC8wNy8wNSw0LzA3LzA1KQ==&amp;WINDOW=FIRST_POPUP&amp;HEIGHT=450&amp;WIDTH=450&amp;","START_MAXIMIZED=FALSE&amp;VAR:CALENDAR=US&amp;VAR:SYMBOL=MO&amp;VAR:INDEX=0"}</definedName>
    <definedName name="_836">#REF!</definedName>
    <definedName name="_836__FDSAUDITLINK__" localSheetId="0"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6__FDSAUDITLINK__" hidden="1">{"fdsup://directions/FAT Viewer?action=UPDATE&amp;creator=factset&amp;DYN_ARGS=TRUE&amp;DOC_NAME=FAT:FQL_AUDITING_CLIENT_TEMPLATE.FAT&amp;display_string=Audit&amp;VAR:KEY=PKFGVAPKTS&amp;VAR:QUERY=RkZfRElWX1lMRChBTk4sMy8zMS8wNSwzLzMxLzA1KQ==&amp;WINDOW=FIRST_POPUP&amp;HEIGHT=450&amp;WIDTH=450&amp;","START_MAXIMIZED=FALSE&amp;VAR:CALENDAR=US&amp;VAR:SYMBOL=MO&amp;VAR:INDEX=0"}</definedName>
    <definedName name="_837">#REF!</definedName>
    <definedName name="_837__FDSAUDITLINK__" localSheetId="0"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7__FDSAUDITLINK__" hidden="1">{"fdsup://directions/FAT Viewer?action=UPDATE&amp;creator=factset&amp;DYN_ARGS=TRUE&amp;DOC_NAME=FAT:FQL_AUDITING_CLIENT_TEMPLATE.FAT&amp;display_string=Audit&amp;VAR:KEY=LEBSNKFKPA&amp;VAR:QUERY=RkZfRElWX1lMRChBTk4sMy8yNC8wNSwzLzI0LzA1KQ==&amp;WINDOW=FIRST_POPUP&amp;HEIGHT=450&amp;WIDTH=450&amp;","START_MAXIMIZED=FALSE&amp;VAR:CALENDAR=US&amp;VAR:SYMBOL=MO&amp;VAR:INDEX=0"}</definedName>
    <definedName name="_838">#REF!</definedName>
    <definedName name="_838__FDSAUDITLINK__" localSheetId="0"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8__FDSAUDITLINK__" hidden="1">{"fdsup://directions/FAT Viewer?action=UPDATE&amp;creator=factset&amp;DYN_ARGS=TRUE&amp;DOC_NAME=FAT:FQL_AUDITING_CLIENT_TEMPLATE.FAT&amp;display_string=Audit&amp;VAR:KEY=RCPKJOVUZO&amp;VAR:QUERY=RkZfRElWX1lMRChBTk4sMy8xNy8wNSwzLzE3LzA1KQ==&amp;WINDOW=FIRST_POPUP&amp;HEIGHT=450&amp;WIDTH=450&amp;","START_MAXIMIZED=FALSE&amp;VAR:CALENDAR=US&amp;VAR:SYMBOL=MO&amp;VAR:INDEX=0"}</definedName>
    <definedName name="_839">#REF!</definedName>
    <definedName name="_839__FDSAUDITLINK__" localSheetId="0"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39__FDSAUDITLINK__" hidden="1">{"fdsup://directions/FAT Viewer?action=UPDATE&amp;creator=factset&amp;DYN_ARGS=TRUE&amp;DOC_NAME=FAT:FQL_AUDITING_CLIENT_TEMPLATE.FAT&amp;display_string=Audit&amp;VAR:KEY=VOTYXYZGVY&amp;VAR:QUERY=RkZfRElWX1lMRChBTk4sMy8xMC8wNSwzLzEwLzA1KQ==&amp;WINDOW=FIRST_POPUP&amp;HEIGHT=450&amp;WIDTH=450&amp;","START_MAXIMIZED=FALSE&amp;VAR:CALENDAR=US&amp;VAR:SYMBOL=MO&amp;VAR:INDEX=0"}</definedName>
    <definedName name="_84">#REF!</definedName>
    <definedName name="_84__123Graph_CQRE_S_BY_CO.">#REF!</definedName>
    <definedName name="_84__123Graph_DWAGES_BY_B_U">#REF!</definedName>
    <definedName name="_84__123Graph_FSUPPLIES_BY_B_U">#REF!</definedName>
    <definedName name="_84__FDSAUDITLINK__" localSheetId="0"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_FDSAUDITLINK__" hidden="1">{"fdsup://directions/FAT Viewer?action=UPDATE&amp;creator=factset&amp;DYN_ARGS=TRUE&amp;DOC_NAME=FAT:FQL_AUDITING_CLIENT_TEMPLATE.FAT&amp;display_string=Audit&amp;VAR:KEY=VENYZIPYXM&amp;VAR:QUERY=RkZfRElWX1lMRChBTk4sOC8yNy8wOSw4LzI3LzA5KQ==&amp;WINDOW=FIRST_POPUP&amp;HEIGHT=450&amp;WIDTH=450&amp;","START_MAXIMIZED=FALSE&amp;VAR:CALENDAR=US&amp;VAR:SYMBOL=RAI&amp;VAR:INDEX=0"}</definedName>
    <definedName name="_84_0_Table2_">#REF!</definedName>
    <definedName name="_840">#REF!</definedName>
    <definedName name="_840__FDSAUDITLINK__" localSheetId="0"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0__FDSAUDITLINK__" hidden="1">{"fdsup://directions/FAT Viewer?action=UPDATE&amp;creator=factset&amp;DYN_ARGS=TRUE&amp;DOC_NAME=FAT:FQL_AUDITING_CLIENT_TEMPLATE.FAT&amp;display_string=Audit&amp;VAR:KEY=HCXOVELEFQ&amp;VAR:QUERY=RkZfRElWX1lMRChBTk4sMy8wMy8wNSwzLzAzLzA1KQ==&amp;WINDOW=FIRST_POPUP&amp;HEIGHT=450&amp;WIDTH=450&amp;","START_MAXIMIZED=FALSE&amp;VAR:CALENDAR=US&amp;VAR:SYMBOL=MO&amp;VAR:INDEX=0"}</definedName>
    <definedName name="_841">#REF!</definedName>
    <definedName name="_841__FDSAUDITLINK__" localSheetId="0"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1__FDSAUDITLINK__" hidden="1">{"fdsup://directions/FAT Viewer?action=UPDATE&amp;creator=factset&amp;DYN_ARGS=TRUE&amp;DOC_NAME=FAT:FQL_AUDITING_CLIENT_TEMPLATE.FAT&amp;display_string=Audit&amp;VAR:KEY=DWJOZKJWJW&amp;VAR:QUERY=RkZfRElWX1lMRChBTk4sMi8yNC8wNSwyLzI0LzA1KQ==&amp;WINDOW=FIRST_POPUP&amp;HEIGHT=450&amp;WIDTH=450&amp;","START_MAXIMIZED=FALSE&amp;VAR:CALENDAR=US&amp;VAR:SYMBOL=MO&amp;VAR:INDEX=0"}</definedName>
    <definedName name="_842">#REF!</definedName>
    <definedName name="_842__FDSAUDITLINK__" localSheetId="0"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2__FDSAUDITLINK__" hidden="1">{"fdsup://directions/FAT Viewer?action=UPDATE&amp;creator=factset&amp;DYN_ARGS=TRUE&amp;DOC_NAME=FAT:FQL_AUDITING_CLIENT_TEMPLATE.FAT&amp;display_string=Audit&amp;VAR:KEY=HQFYBUVOVG&amp;VAR:QUERY=RkZfRElWX1lMRChBTk4sMi8xNy8wNSwyLzE3LzA1KQ==&amp;WINDOW=FIRST_POPUP&amp;HEIGHT=450&amp;WIDTH=450&amp;","START_MAXIMIZED=FALSE&amp;VAR:CALENDAR=US&amp;VAR:SYMBOL=MO&amp;VAR:INDEX=0"}</definedName>
    <definedName name="_843">#REF!</definedName>
    <definedName name="_843__FDSAUDITLINK__" localSheetId="0"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3__FDSAUDITLINK__" hidden="1">{"fdsup://directions/FAT Viewer?action=UPDATE&amp;creator=factset&amp;DYN_ARGS=TRUE&amp;DOC_NAME=FAT:FQL_AUDITING_CLIENT_TEMPLATE.FAT&amp;display_string=Audit&amp;VAR:KEY=XYNWTKJCFI&amp;VAR:QUERY=RkZfRElWX1lMRChBTk4sMi8xMC8wNSwyLzEwLzA1KQ==&amp;WINDOW=FIRST_POPUP&amp;HEIGHT=450&amp;WIDTH=450&amp;","START_MAXIMIZED=FALSE&amp;VAR:CALENDAR=US&amp;VAR:SYMBOL=MO&amp;VAR:INDEX=0"}</definedName>
    <definedName name="_844">#REF!</definedName>
    <definedName name="_844__FDSAUDITLINK__" localSheetId="0"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4__FDSAUDITLINK__" hidden="1">{"fdsup://directions/FAT Viewer?action=UPDATE&amp;creator=factset&amp;DYN_ARGS=TRUE&amp;DOC_NAME=FAT:FQL_AUDITING_CLIENT_TEMPLATE.FAT&amp;display_string=Audit&amp;VAR:KEY=RKPKJAPMRO&amp;VAR:QUERY=RkZfRElWX1lMRChBTk4sMi8wMy8wNSwyLzAzLzA1KQ==&amp;WINDOW=FIRST_POPUP&amp;HEIGHT=450&amp;WIDTH=450&amp;","START_MAXIMIZED=FALSE&amp;VAR:CALENDAR=US&amp;VAR:SYMBOL=MO&amp;VAR:INDEX=0"}</definedName>
    <definedName name="_845">#REF!</definedName>
    <definedName name="_845__FDSAUDITLINK__" localSheetId="0"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5__FDSAUDITLINK__" hidden="1">{"fdsup://directions/FAT Viewer?action=UPDATE&amp;creator=factset&amp;DYN_ARGS=TRUE&amp;DOC_NAME=FAT:FQL_AUDITING_CLIENT_TEMPLATE.FAT&amp;display_string=Audit&amp;VAR:KEY=ZYXCTKNOHA&amp;VAR:QUERY=RkZfRElWX1lMRChBTk4sMS8yNy8wNSwxLzI3LzA1KQ==&amp;WINDOW=FIRST_POPUP&amp;HEIGHT=450&amp;WIDTH=450&amp;","START_MAXIMIZED=FALSE&amp;VAR:CALENDAR=US&amp;VAR:SYMBOL=MO&amp;VAR:INDEX=0"}</definedName>
    <definedName name="_846">#REF!</definedName>
    <definedName name="_846__FDSAUDITLINK__" localSheetId="0"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6__FDSAUDITLINK__" hidden="1">{"fdsup://directions/FAT Viewer?action=UPDATE&amp;creator=factset&amp;DYN_ARGS=TRUE&amp;DOC_NAME=FAT:FQL_AUDITING_CLIENT_TEMPLATE.FAT&amp;display_string=Audit&amp;VAR:KEY=JQPKLSJGZO&amp;VAR:QUERY=RkZfRElWX1lMRChBTk4sMS8yMC8wNSwxLzIwLzA1KQ==&amp;WINDOW=FIRST_POPUP&amp;HEIGHT=450&amp;WIDTH=450&amp;","START_MAXIMIZED=FALSE&amp;VAR:CALENDAR=US&amp;VAR:SYMBOL=MO&amp;VAR:INDEX=0"}</definedName>
    <definedName name="_847">#REF!</definedName>
    <definedName name="_847__FDSAUDITLINK__" localSheetId="0"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7__FDSAUDITLINK__" hidden="1">{"fdsup://directions/FAT Viewer?action=UPDATE&amp;creator=factset&amp;DYN_ARGS=TRUE&amp;DOC_NAME=FAT:FQL_AUDITING_CLIENT_TEMPLATE.FAT&amp;display_string=Audit&amp;VAR:KEY=VYZQJOHMPW&amp;VAR:QUERY=RkZfRElWX1lMRChBTk4sMS8xMy8wNSwxLzEzLzA1KQ==&amp;WINDOW=FIRST_POPUP&amp;HEIGHT=450&amp;WIDTH=450&amp;","START_MAXIMIZED=FALSE&amp;VAR:CALENDAR=US&amp;VAR:SYMBOL=MO&amp;VAR:INDEX=0"}</definedName>
    <definedName name="_848">#REF!</definedName>
    <definedName name="_848__FDSAUDITLINK__" localSheetId="0"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8__FDSAUDITLINK__" hidden="1">{"fdsup://directions/FAT Viewer?action=UPDATE&amp;creator=factset&amp;DYN_ARGS=TRUE&amp;DOC_NAME=FAT:FQL_AUDITING_CLIENT_TEMPLATE.FAT&amp;display_string=Audit&amp;VAR:KEY=DQNKBKTSJG&amp;VAR:QUERY=RkZfRElWX1lMRChBTk4sMS8wNi8wNSwxLzA2LzA1KQ==&amp;WINDOW=FIRST_POPUP&amp;HEIGHT=450&amp;WIDTH=450&amp;","START_MAXIMIZED=FALSE&amp;VAR:CALENDAR=US&amp;VAR:SYMBOL=MO&amp;VAR:INDEX=0"}</definedName>
    <definedName name="_849">#REF!</definedName>
    <definedName name="_849__FDSAUDITLINK__" localSheetId="0"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49__FDSAUDITLINK__" hidden="1">{"fdsup://directions/FAT Viewer?action=UPDATE&amp;creator=factset&amp;DYN_ARGS=TRUE&amp;DOC_NAME=FAT:FQL_AUDITING_CLIENT_TEMPLATE.FAT&amp;display_string=Audit&amp;VAR:KEY=DMDSXSZAJS&amp;VAR:QUERY=RkZfRElWX1lMRChBTk4sMTIvMzAvMDQsMTIvMzAvMDQp&amp;WINDOW=FIRST_POPUP&amp;HEIGHT=450&amp;WIDTH=450&amp;","START_MAXIMIZED=FALSE&amp;VAR:CALENDAR=US&amp;VAR:SYMBOL=MO&amp;VAR:INDEX=0"}</definedName>
    <definedName name="_85">#REF!</definedName>
    <definedName name="_85__123Graph_CQRE_S_BY_CO.">#REF!</definedName>
    <definedName name="_85__123Graph_LBL_ACHART_3">#REF!</definedName>
    <definedName name="_85__FDSAUDITLINK__" localSheetId="0"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__FDSAUDITLINK__" hidden="1">{"fdsup://directions/FAT Viewer?action=UPDATE&amp;creator=factset&amp;DYN_ARGS=TRUE&amp;DOC_NAME=FAT:FQL_AUDITING_CLIENT_TEMPLATE.FAT&amp;display_string=Audit&amp;VAR:KEY=FMHIFQZUXY&amp;VAR:QUERY=RkZfRElWX1lMRChBTk4sOC8yMC8wOSw4LzIwLzA5KQ==&amp;WINDOW=FIRST_POPUP&amp;HEIGHT=450&amp;WIDTH=450&amp;","START_MAXIMIZED=FALSE&amp;VAR:CALENDAR=US&amp;VAR:SYMBOL=RAI&amp;VAR:INDEX=0"}</definedName>
    <definedName name="_850">#REF!</definedName>
    <definedName name="_850__FDSAUDITLINK__" localSheetId="0"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0__FDSAUDITLINK__" hidden="1">{"fdsup://directions/FAT Viewer?action=UPDATE&amp;creator=factset&amp;DYN_ARGS=TRUE&amp;DOC_NAME=FAT:FQL_AUDITING_CLIENT_TEMPLATE.FAT&amp;display_string=Audit&amp;VAR:KEY=RWJSBWZMPE&amp;VAR:QUERY=RkZfRElWX1lMRChBTk4sMTIvMjMvMDQsMTIvMjMvMDQp&amp;WINDOW=FIRST_POPUP&amp;HEIGHT=450&amp;WIDTH=450&amp;","START_MAXIMIZED=FALSE&amp;VAR:CALENDAR=US&amp;VAR:SYMBOL=MO&amp;VAR:INDEX=0"}</definedName>
    <definedName name="_851__FDSAUDITLINK__" localSheetId="0"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1__FDSAUDITLINK__" hidden="1">{"fdsup://directions/FAT Viewer?action=UPDATE&amp;creator=factset&amp;DYN_ARGS=TRUE&amp;DOC_NAME=FAT:FQL_AUDITING_CLIENT_TEMPLATE.FAT&amp;display_string=Audit&amp;VAR:KEY=ZSHQHCTSRC&amp;VAR:QUERY=RkZfRElWX1lMRChBTk4sMTIvMTYvMDQsMTIvMTYvMDQp&amp;WINDOW=FIRST_POPUP&amp;HEIGHT=450&amp;WIDTH=450&amp;","START_MAXIMIZED=FALSE&amp;VAR:CALENDAR=US&amp;VAR:SYMBOL=MO&amp;VAR:INDEX=0"}</definedName>
    <definedName name="_852__FDSAUDITLINK__" localSheetId="0"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2__FDSAUDITLINK__" hidden="1">{"fdsup://directions/FAT Viewer?action=UPDATE&amp;creator=factset&amp;DYN_ARGS=TRUE&amp;DOC_NAME=FAT:FQL_AUDITING_CLIENT_TEMPLATE.FAT&amp;display_string=Audit&amp;VAR:KEY=BCJONIJSXY&amp;VAR:QUERY=RkZfRElWX1lMRChBTk4sMTIvMDkvMDQsMTIvMDkvMDQp&amp;WINDOW=FIRST_POPUP&amp;HEIGHT=450&amp;WIDTH=450&amp;","START_MAXIMIZED=FALSE&amp;VAR:CALENDAR=US&amp;VAR:SYMBOL=MO&amp;VAR:INDEX=0"}</definedName>
    <definedName name="_853__FDSAUDITLINK__" localSheetId="0"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3__FDSAUDITLINK__" hidden="1">{"fdsup://directions/FAT Viewer?action=UPDATE&amp;creator=factset&amp;DYN_ARGS=TRUE&amp;DOC_NAME=FAT:FQL_AUDITING_CLIENT_TEMPLATE.FAT&amp;display_string=Audit&amp;VAR:KEY=NIVSBCNWJS&amp;VAR:QUERY=RkZfRElWX1lMRChBTk4sMTIvMDIvMDQsMTIvMDIvMDQp&amp;WINDOW=FIRST_POPUP&amp;HEIGHT=450&amp;WIDTH=450&amp;","START_MAXIMIZED=FALSE&amp;VAR:CALENDAR=US&amp;VAR:SYMBOL=MO&amp;VAR:INDEX=0"}</definedName>
    <definedName name="_854__FDSAUDITLINK__" localSheetId="0"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4__FDSAUDITLINK__" hidden="1">{"fdsup://directions/FAT Viewer?action=UPDATE&amp;creator=factset&amp;DYN_ARGS=TRUE&amp;DOC_NAME=FAT:FQL_AUDITING_CLIENT_TEMPLATE.FAT&amp;display_string=Audit&amp;VAR:KEY=RYFADYBMVQ&amp;VAR:QUERY=RkZfRElWX1lMRChBTk4sMTEvMjQvMDQsMTEvMjQvMDQp&amp;WINDOW=FIRST_POPUP&amp;HEIGHT=450&amp;WIDTH=450&amp;","START_MAXIMIZED=FALSE&amp;VAR:CALENDAR=US&amp;VAR:SYMBOL=MO&amp;VAR:INDEX=0"}</definedName>
    <definedName name="_855">#REF!</definedName>
    <definedName name="_855__FDSAUDITLINK__" localSheetId="0"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5__FDSAUDITLINK__" hidden="1">{"fdsup://directions/FAT Viewer?action=UPDATE&amp;creator=factset&amp;DYN_ARGS=TRUE&amp;DOC_NAME=FAT:FQL_AUDITING_CLIENT_TEMPLATE.FAT&amp;display_string=Audit&amp;VAR:KEY=PABURATIBQ&amp;VAR:QUERY=RkZfRElWX1lMRChBTk4sMTEvMTgvMDQsMTEvMTgvMDQp&amp;WINDOW=FIRST_POPUP&amp;HEIGHT=450&amp;WIDTH=450&amp;","START_MAXIMIZED=FALSE&amp;VAR:CALENDAR=US&amp;VAR:SYMBOL=MO&amp;VAR:INDEX=0"}</definedName>
    <definedName name="_856">#REF!</definedName>
    <definedName name="_856__FDSAUDITLINK__" localSheetId="0"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6__FDSAUDITLINK__" hidden="1">{"fdsup://directions/FAT Viewer?action=UPDATE&amp;creator=factset&amp;DYN_ARGS=TRUE&amp;DOC_NAME=FAT:FQL_AUDITING_CLIENT_TEMPLATE.FAT&amp;display_string=Audit&amp;VAR:KEY=HQHELEJQZI&amp;VAR:QUERY=RkZfRElWX1lMRChBTk4sMTEvMTEvMDQsMTEvMTEvMDQp&amp;WINDOW=FIRST_POPUP&amp;HEIGHT=450&amp;WIDTH=450&amp;","START_MAXIMIZED=FALSE&amp;VAR:CALENDAR=US&amp;VAR:SYMBOL=MO&amp;VAR:INDEX=0"}</definedName>
    <definedName name="_857">#REF!</definedName>
    <definedName name="_857__FDSAUDITLINK__" localSheetId="0"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7__FDSAUDITLINK__" hidden="1">{"fdsup://directions/FAT Viewer?action=UPDATE&amp;creator=factset&amp;DYN_ARGS=TRUE&amp;DOC_NAME=FAT:FQL_AUDITING_CLIENT_TEMPLATE.FAT&amp;display_string=Audit&amp;VAR:KEY=NKXQDUFQPS&amp;VAR:QUERY=RkZfRElWX1lMRChBTk4sMTEvMDQvMDQsMTEvMDQvMDQp&amp;WINDOW=FIRST_POPUP&amp;HEIGHT=450&amp;WIDTH=450&amp;","START_MAXIMIZED=FALSE&amp;VAR:CALENDAR=US&amp;VAR:SYMBOL=MO&amp;VAR:INDEX=0"}</definedName>
    <definedName name="_858">#REF!</definedName>
    <definedName name="_858__FDSAUDITLINK__" localSheetId="0"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8__FDSAUDITLINK__" hidden="1">{"fdsup://directions/FAT Viewer?action=UPDATE&amp;creator=factset&amp;DYN_ARGS=TRUE&amp;DOC_NAME=FAT:FQL_AUDITING_CLIENT_TEMPLATE.FAT&amp;display_string=Audit&amp;VAR:KEY=NGXSXODQPS&amp;VAR:QUERY=RkZfRElWX1lMRChBTk4sMTAvMjgvMDQsMTAvMjgvMDQp&amp;WINDOW=FIRST_POPUP&amp;HEIGHT=450&amp;WIDTH=450&amp;","START_MAXIMIZED=FALSE&amp;VAR:CALENDAR=US&amp;VAR:SYMBOL=MO&amp;VAR:INDEX=0"}</definedName>
    <definedName name="_859">#REF!</definedName>
    <definedName name="_859__FDSAUDITLINK__" localSheetId="0"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59__FDSAUDITLINK__" hidden="1">{"fdsup://directions/FAT Viewer?action=UPDATE&amp;creator=factset&amp;DYN_ARGS=TRUE&amp;DOC_NAME=FAT:FQL_AUDITING_CLIENT_TEMPLATE.FAT&amp;display_string=Audit&amp;VAR:KEY=VEJOHYTGVW&amp;VAR:QUERY=RkZfRElWX1lMRChBTk4sMTAvMjEvMDQsMTAvMjEvMDQp&amp;WINDOW=FIRST_POPUP&amp;HEIGHT=450&amp;WIDTH=450&amp;","START_MAXIMIZED=FALSE&amp;VAR:CALENDAR=US&amp;VAR:SYMBOL=MO&amp;VAR:INDEX=0"}</definedName>
    <definedName name="_86">#REF!</definedName>
    <definedName name="_86__123Graph_CWAGES_BY_B_U">#REF!</definedName>
    <definedName name="_86__FDSAUDITLINK__" localSheetId="0"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__FDSAUDITLINK__" hidden="1">{"fdsup://directions/FAT Viewer?action=UPDATE&amp;creator=factset&amp;DYN_ARGS=TRUE&amp;DOC_NAME=FAT:FQL_AUDITING_CLIENT_TEMPLATE.FAT&amp;display_string=Audit&amp;VAR:KEY=RYDYNIBGTW&amp;VAR:QUERY=RkZfRElWX1lMRChBTk4sOC8xMy8wOSw4LzEzLzA5KQ==&amp;WINDOW=FIRST_POPUP&amp;HEIGHT=450&amp;WIDTH=450&amp;","START_MAXIMIZED=FALSE&amp;VAR:CALENDAR=US&amp;VAR:SYMBOL=RAI&amp;VAR:INDEX=0"}</definedName>
    <definedName name="_860">#REF!</definedName>
    <definedName name="_860__FDSAUDITLINK__" localSheetId="0"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0__FDSAUDITLINK__" hidden="1">{"fdsup://directions/FAT Viewer?action=UPDATE&amp;creator=factset&amp;DYN_ARGS=TRUE&amp;DOC_NAME=FAT:FQL_AUDITING_CLIENT_TEMPLATE.FAT&amp;display_string=Audit&amp;VAR:KEY=JORSHALADW&amp;VAR:QUERY=RkZfRElWX1lMRChBTk4sMTAvMTQvMDQsMTAvMTQvMDQp&amp;WINDOW=FIRST_POPUP&amp;HEIGHT=450&amp;WIDTH=450&amp;","START_MAXIMIZED=FALSE&amp;VAR:CALENDAR=US&amp;VAR:SYMBOL=MO&amp;VAR:INDEX=0"}</definedName>
    <definedName name="_861">#REF!</definedName>
    <definedName name="_861__FDSAUDITLINK__" localSheetId="0"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1__FDSAUDITLINK__" hidden="1">{"fdsup://directions/FAT Viewer?action=UPDATE&amp;creator=factset&amp;DYN_ARGS=TRUE&amp;DOC_NAME=FAT:FQL_AUDITING_CLIENT_TEMPLATE.FAT&amp;display_string=Audit&amp;VAR:KEY=HIVGBUTGNK&amp;VAR:QUERY=RkZfRElWX1lMRChBTk4sMTAvMDcvMDQsMTAvMDcvMDQp&amp;WINDOW=FIRST_POPUP&amp;HEIGHT=450&amp;WIDTH=450&amp;","START_MAXIMIZED=FALSE&amp;VAR:CALENDAR=US&amp;VAR:SYMBOL=MO&amp;VAR:INDEX=0"}</definedName>
    <definedName name="_862">#REF!</definedName>
    <definedName name="_862__FDSAUDITLINK__" localSheetId="0"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2__FDSAUDITLINK__" hidden="1">{"fdsup://directions/FAT Viewer?action=UPDATE&amp;creator=factset&amp;DYN_ARGS=TRUE&amp;DOC_NAME=FAT:FQL_AUDITING_CLIENT_TEMPLATE.FAT&amp;display_string=Audit&amp;VAR:KEY=BOBCDWRKNY&amp;VAR:QUERY=RkZfRElWX1lMRChBTk4sOS8zMC8wNCw5LzMwLzA0KQ==&amp;WINDOW=FIRST_POPUP&amp;HEIGHT=450&amp;WIDTH=450&amp;","START_MAXIMIZED=FALSE&amp;VAR:CALENDAR=US&amp;VAR:SYMBOL=MO&amp;VAR:INDEX=0"}</definedName>
    <definedName name="_863">#REF!</definedName>
    <definedName name="_863__FDSAUDITLINK__" localSheetId="0"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3__FDSAUDITLINK__" hidden="1">{"fdsup://directions/FAT Viewer?action=UPDATE&amp;creator=factset&amp;DYN_ARGS=TRUE&amp;DOC_NAME=FAT:FQL_AUDITING_CLIENT_TEMPLATE.FAT&amp;display_string=Audit&amp;VAR:KEY=XWNEBMZQRK&amp;VAR:QUERY=RkZfRElWX1lMRChBTk4sOS8yMy8wNCw5LzIzLzA0KQ==&amp;WINDOW=FIRST_POPUP&amp;HEIGHT=450&amp;WIDTH=450&amp;","START_MAXIMIZED=FALSE&amp;VAR:CALENDAR=US&amp;VAR:SYMBOL=MO&amp;VAR:INDEX=0"}</definedName>
    <definedName name="_864">#REF!</definedName>
    <definedName name="_864__FDSAUDITLINK__" localSheetId="0"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4__FDSAUDITLINK__" hidden="1">{"fdsup://directions/FAT Viewer?action=UPDATE&amp;creator=factset&amp;DYN_ARGS=TRUE&amp;DOC_NAME=FAT:FQL_AUDITING_CLIENT_TEMPLATE.FAT&amp;display_string=Audit&amp;VAR:KEY=XGVCRIHULM&amp;VAR:QUERY=RkZfRElWX1lMRChBTk4sOS8xNi8wNCw5LzE2LzA0KQ==&amp;WINDOW=FIRST_POPUP&amp;HEIGHT=450&amp;WIDTH=450&amp;","START_MAXIMIZED=FALSE&amp;VAR:CALENDAR=US&amp;VAR:SYMBOL=MO&amp;VAR:INDEX=0"}</definedName>
    <definedName name="_865">#REF!</definedName>
    <definedName name="_865__FDSAUDITLINK__" localSheetId="0"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5__FDSAUDITLINK__" hidden="1">{"fdsup://directions/FAT Viewer?action=UPDATE&amp;creator=factset&amp;DYN_ARGS=TRUE&amp;DOC_NAME=FAT:FQL_AUDITING_CLIENT_TEMPLATE.FAT&amp;display_string=Audit&amp;VAR:KEY=PABSPUXQNM&amp;VAR:QUERY=RkZfRElWX1lMRChBTk4sOS8wOS8wNCw5LzA5LzA0KQ==&amp;WINDOW=FIRST_POPUP&amp;HEIGHT=450&amp;WIDTH=450&amp;","START_MAXIMIZED=FALSE&amp;VAR:CALENDAR=US&amp;VAR:SYMBOL=MO&amp;VAR:INDEX=0"}</definedName>
    <definedName name="_866">#REF!</definedName>
    <definedName name="_866__FDSAUDITLINK__" localSheetId="0"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6__FDSAUDITLINK__" hidden="1">{"fdsup://directions/FAT Viewer?action=UPDATE&amp;creator=factset&amp;DYN_ARGS=TRUE&amp;DOC_NAME=FAT:FQL_AUDITING_CLIENT_TEMPLATE.FAT&amp;display_string=Audit&amp;VAR:KEY=NMDYPSROPW&amp;VAR:QUERY=RkZfRElWX1lMRChBTk4sOS8wMi8wNCw5LzAyLzA0KQ==&amp;WINDOW=FIRST_POPUP&amp;HEIGHT=450&amp;WIDTH=450&amp;","START_MAXIMIZED=FALSE&amp;VAR:CALENDAR=US&amp;VAR:SYMBOL=MO&amp;VAR:INDEX=0"}</definedName>
    <definedName name="_867">#REF!</definedName>
    <definedName name="_867__FDSAUDITLINK__" localSheetId="0"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7__FDSAUDITLINK__" hidden="1">{"fdsup://directions/FAT Viewer?action=UPDATE&amp;creator=factset&amp;DYN_ARGS=TRUE&amp;DOC_NAME=FAT:FQL_AUDITING_CLIENT_TEMPLATE.FAT&amp;display_string=Audit&amp;VAR:KEY=TQHMLYNQBQ&amp;VAR:QUERY=RkZfRElWX1lMRChBTk4sOC8yNi8wNCw4LzI2LzA0KQ==&amp;WINDOW=FIRST_POPUP&amp;HEIGHT=450&amp;WIDTH=450&amp;","START_MAXIMIZED=FALSE&amp;VAR:CALENDAR=US&amp;VAR:SYMBOL=MO&amp;VAR:INDEX=0"}</definedName>
    <definedName name="_868">#REF!</definedName>
    <definedName name="_868__FDSAUDITLINK__" localSheetId="0"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8__FDSAUDITLINK__" hidden="1">{"fdsup://directions/FAT Viewer?action=UPDATE&amp;creator=factset&amp;DYN_ARGS=TRUE&amp;DOC_NAME=FAT:FQL_AUDITING_CLIENT_TEMPLATE.FAT&amp;display_string=Audit&amp;VAR:KEY=DKBQPCFINS&amp;VAR:QUERY=RkZfRElWX1lMRChBTk4sOC8xOS8wNCw4LzE5LzA0KQ==&amp;WINDOW=FIRST_POPUP&amp;HEIGHT=450&amp;WIDTH=450&amp;","START_MAXIMIZED=FALSE&amp;VAR:CALENDAR=US&amp;VAR:SYMBOL=MO&amp;VAR:INDEX=0"}</definedName>
    <definedName name="_869">#REF!</definedName>
    <definedName name="_869__FDSAUDITLINK__" localSheetId="0"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69__FDSAUDITLINK__" hidden="1">{"fdsup://directions/FAT Viewer?action=UPDATE&amp;creator=factset&amp;DYN_ARGS=TRUE&amp;DOC_NAME=FAT:FQL_AUDITING_CLIENT_TEMPLATE.FAT&amp;display_string=Audit&amp;VAR:KEY=ZEDKVQPSZU&amp;VAR:QUERY=RkZfRElWX1lMRChBTk4sOC8xMi8wNCw4LzEyLzA0KQ==&amp;WINDOW=FIRST_POPUP&amp;HEIGHT=450&amp;WIDTH=450&amp;","START_MAXIMIZED=FALSE&amp;VAR:CALENDAR=US&amp;VAR:SYMBOL=MO&amp;VAR:INDEX=0"}</definedName>
    <definedName name="_87">#REF!</definedName>
    <definedName name="_87__123Graph_FWAGES_BY_B_U">#REF!</definedName>
    <definedName name="_87__FDSAUDITLINK__" localSheetId="0"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__FDSAUDITLINK__" hidden="1">{"fdsup://directions/FAT Viewer?action=UPDATE&amp;creator=factset&amp;DYN_ARGS=TRUE&amp;DOC_NAME=FAT:FQL_AUDITING_CLIENT_TEMPLATE.FAT&amp;display_string=Audit&amp;VAR:KEY=FALGROXGNY&amp;VAR:QUERY=RkZfRElWX1lMRChBTk4sOC8wNi8wOSw4LzA2LzA5KQ==&amp;WINDOW=FIRST_POPUP&amp;HEIGHT=450&amp;WIDTH=450&amp;","START_MAXIMIZED=FALSE&amp;VAR:CALENDAR=US&amp;VAR:SYMBOL=RAI&amp;VAR:INDEX=0"}</definedName>
    <definedName name="_870">#REF!</definedName>
    <definedName name="_870__FDSAUDITLINK__" localSheetId="0"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0__FDSAUDITLINK__" hidden="1">{"fdsup://directions/FAT Viewer?action=UPDATE&amp;creator=factset&amp;DYN_ARGS=TRUE&amp;DOC_NAME=FAT:FQL_AUDITING_CLIENT_TEMPLATE.FAT&amp;display_string=Audit&amp;VAR:KEY=PUHYNGXUZQ&amp;VAR:QUERY=RkZfRElWX1lMRChBTk4sOC8wNS8wNCw4LzA1LzA0KQ==&amp;WINDOW=FIRST_POPUP&amp;HEIGHT=450&amp;WIDTH=450&amp;","START_MAXIMIZED=FALSE&amp;VAR:CALENDAR=US&amp;VAR:SYMBOL=MO&amp;VAR:INDEX=0"}</definedName>
    <definedName name="_871">#REF!</definedName>
    <definedName name="_871__FDSAUDITLINK__" localSheetId="0"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1__FDSAUDITLINK__" hidden="1">{"fdsup://directions/FAT Viewer?action=UPDATE&amp;creator=factset&amp;DYN_ARGS=TRUE&amp;DOC_NAME=FAT:FQL_AUDITING_CLIENT_TEMPLATE.FAT&amp;display_string=Audit&amp;VAR:KEY=RGNWBIVMTA&amp;VAR:QUERY=RkZfRElWX1lMRChBTk4sNy8yOS8wNCw3LzI5LzA0KQ==&amp;WINDOW=FIRST_POPUP&amp;HEIGHT=450&amp;WIDTH=450&amp;","START_MAXIMIZED=FALSE&amp;VAR:CALENDAR=US&amp;VAR:SYMBOL=MO&amp;VAR:INDEX=0"}</definedName>
    <definedName name="_872">#REF!</definedName>
    <definedName name="_872__FDSAUDITLINK__" localSheetId="0"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2__FDSAUDITLINK__" hidden="1">{"fdsup://directions/FAT Viewer?action=UPDATE&amp;creator=factset&amp;DYN_ARGS=TRUE&amp;DOC_NAME=FAT:FQL_AUDITING_CLIENT_TEMPLATE.FAT&amp;display_string=Audit&amp;VAR:KEY=PMXGHORELA&amp;VAR:QUERY=RkZfRElWX1lMRChBTk4sNy8yMi8wNCw3LzIyLzA0KQ==&amp;WINDOW=FIRST_POPUP&amp;HEIGHT=450&amp;WIDTH=450&amp;","START_MAXIMIZED=FALSE&amp;VAR:CALENDAR=US&amp;VAR:SYMBOL=MO&amp;VAR:INDEX=0"}</definedName>
    <definedName name="_873">#REF!</definedName>
    <definedName name="_873__FDSAUDITLINK__" localSheetId="0"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3__FDSAUDITLINK__" hidden="1">{"fdsup://directions/FAT Viewer?action=UPDATE&amp;creator=factset&amp;DYN_ARGS=TRUE&amp;DOC_NAME=FAT:FQL_AUDITING_CLIENT_TEMPLATE.FAT&amp;display_string=Audit&amp;VAR:KEY=ZYZQNKPURQ&amp;VAR:QUERY=RkZfRElWX1lMRChBTk4sNy8xNS8wNCw3LzE1LzA0KQ==&amp;WINDOW=FIRST_POPUP&amp;HEIGHT=450&amp;WIDTH=450&amp;","START_MAXIMIZED=FALSE&amp;VAR:CALENDAR=US&amp;VAR:SYMBOL=MO&amp;VAR:INDEX=0"}</definedName>
    <definedName name="_874">#REF!</definedName>
    <definedName name="_874__FDSAUDITLINK__" localSheetId="0"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4__FDSAUDITLINK__" hidden="1">{"fdsup://directions/FAT Viewer?action=UPDATE&amp;creator=factset&amp;DYN_ARGS=TRUE&amp;DOC_NAME=FAT:FQL_AUDITING_CLIENT_TEMPLATE.FAT&amp;display_string=Audit&amp;VAR:KEY=LOHCXABWFU&amp;VAR:QUERY=RkZfRElWX1lMRChBTk4sNy8wOC8wNCw3LzA4LzA0KQ==&amp;WINDOW=FIRST_POPUP&amp;HEIGHT=450&amp;WIDTH=450&amp;","START_MAXIMIZED=FALSE&amp;VAR:CALENDAR=US&amp;VAR:SYMBOL=MO&amp;VAR:INDEX=0"}</definedName>
    <definedName name="_875">#REF!</definedName>
    <definedName name="_875__FDSAUDITLINK__" localSheetId="0"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5__FDSAUDITLINK__" hidden="1">{"fdsup://directions/FAT Viewer?action=UPDATE&amp;creator=factset&amp;DYN_ARGS=TRUE&amp;DOC_NAME=FAT:FQL_AUDITING_CLIENT_TEMPLATE.FAT&amp;display_string=Audit&amp;VAR:KEY=ZILSTGFWBO&amp;VAR:QUERY=RkZfRElWX1lMRChBTk4sNy8wMS8wNCw3LzAxLzA0KQ==&amp;WINDOW=FIRST_POPUP&amp;HEIGHT=450&amp;WIDTH=450&amp;","START_MAXIMIZED=FALSE&amp;VAR:CALENDAR=US&amp;VAR:SYMBOL=MO&amp;VAR:INDEX=0"}</definedName>
    <definedName name="_876">#REF!</definedName>
    <definedName name="_876__FDSAUDITLINK__" localSheetId="0"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6__FDSAUDITLINK__" hidden="1">{"fdsup://directions/FAT Viewer?action=UPDATE&amp;creator=factset&amp;DYN_ARGS=TRUE&amp;DOC_NAME=FAT:FQL_AUDITING_CLIENT_TEMPLATE.FAT&amp;display_string=Audit&amp;VAR:KEY=ZULSPKRAFO&amp;VAR:QUERY=RkZfRElWX1lMRChBTk4sNi8yNC8wNCw2LzI0LzA0KQ==&amp;WINDOW=FIRST_POPUP&amp;HEIGHT=450&amp;WIDTH=450&amp;","START_MAXIMIZED=FALSE&amp;VAR:CALENDAR=US&amp;VAR:SYMBOL=MO&amp;VAR:INDEX=0"}</definedName>
    <definedName name="_877">#REF!</definedName>
    <definedName name="_877__FDSAUDITLINK__" localSheetId="0"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7__FDSAUDITLINK__" hidden="1">{"fdsup://directions/FAT Viewer?action=UPDATE&amp;creator=factset&amp;DYN_ARGS=TRUE&amp;DOC_NAME=FAT:FQL_AUDITING_CLIENT_TEMPLATE.FAT&amp;display_string=Audit&amp;VAR:KEY=DWNCHYLQXY&amp;VAR:QUERY=RkZfRElWX1lMRChBTk4sNi8xNy8wNCw2LzE3LzA0KQ==&amp;WINDOW=FIRST_POPUP&amp;HEIGHT=450&amp;WIDTH=450&amp;","START_MAXIMIZED=FALSE&amp;VAR:CALENDAR=US&amp;VAR:SYMBOL=MO&amp;VAR:INDEX=0"}</definedName>
    <definedName name="_878">#REF!</definedName>
    <definedName name="_878__FDSAUDITLINK__" localSheetId="0"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8__FDSAUDITLINK__" hidden="1">{"fdsup://directions/FAT Viewer?action=UPDATE&amp;creator=factset&amp;DYN_ARGS=TRUE&amp;DOC_NAME=FAT:FQL_AUDITING_CLIENT_TEMPLATE.FAT&amp;display_string=Audit&amp;VAR:KEY=ZSXWNULYVI&amp;VAR:QUERY=RkZfRElWX1lMRChBTk4sNi8xMC8wNCw2LzEwLzA0KQ==&amp;WINDOW=FIRST_POPUP&amp;HEIGHT=450&amp;WIDTH=450&amp;","START_MAXIMIZED=FALSE&amp;VAR:CALENDAR=US&amp;VAR:SYMBOL=MO&amp;VAR:INDEX=0"}</definedName>
    <definedName name="_879">#REF!</definedName>
    <definedName name="_879__FDSAUDITLINK__" localSheetId="0"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79__FDSAUDITLINK__" hidden="1">{"fdsup://directions/FAT Viewer?action=UPDATE&amp;creator=factset&amp;DYN_ARGS=TRUE&amp;DOC_NAME=FAT:FQL_AUDITING_CLIENT_TEMPLATE.FAT&amp;display_string=Audit&amp;VAR:KEY=RETCVKBOFK&amp;VAR:QUERY=RkZfRElWX1lMRChBTk4sNi8wMy8wNCw2LzAzLzA0KQ==&amp;WINDOW=FIRST_POPUP&amp;HEIGHT=450&amp;WIDTH=450&amp;","START_MAXIMIZED=FALSE&amp;VAR:CALENDAR=US&amp;VAR:SYMBOL=MO&amp;VAR:INDEX=0"}</definedName>
    <definedName name="_88__123Graph_ECONTRACT_BY_B_U">#REF!</definedName>
    <definedName name="_88__FDSAUDITLINK__" localSheetId="0"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_FDSAUDITLINK__" hidden="1">{"fdsup://directions/FAT Viewer?action=UPDATE&amp;creator=factset&amp;DYN_ARGS=TRUE&amp;DOC_NAME=FAT:FQL_AUDITING_CLIENT_TEMPLATE.FAT&amp;display_string=Audit&amp;VAR:KEY=MNEFGTETGJ&amp;VAR:QUERY=QVZHKEZGX0RJVl9ZTEQoQU5OLDQxMDA0LC0zQVkpKQ==&amp;WINDOW=FIRST_POPUP&amp;HEIGHT=450&amp;WIDTH=450&amp;","START_MAXIMIZED=FALSE&amp;VAR:CALENDAR=US&amp;VAR:SYMBOL=CCE"}</definedName>
    <definedName name="_88_0_Table2_" hidden="1">#REF!</definedName>
    <definedName name="_880">#REF!</definedName>
    <definedName name="_880__FDSAUDITLINK__" localSheetId="0"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0__FDSAUDITLINK__" hidden="1">{"fdsup://directions/FAT Viewer?action=UPDATE&amp;creator=factset&amp;DYN_ARGS=TRUE&amp;DOC_NAME=FAT:FQL_AUDITING_CLIENT_TEMPLATE.FAT&amp;display_string=Audit&amp;VAR:KEY=VOFYPAHWJM&amp;VAR:QUERY=RkZfRElWX1lMRChBTk4sNS8yNy8wNCw1LzI3LzA0KQ==&amp;WINDOW=FIRST_POPUP&amp;HEIGHT=450&amp;WIDTH=450&amp;","START_MAXIMIZED=FALSE&amp;VAR:CALENDAR=US&amp;VAR:SYMBOL=MO&amp;VAR:INDEX=0"}</definedName>
    <definedName name="_881">#REF!</definedName>
    <definedName name="_881__FDSAUDITLINK__" localSheetId="0"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1__FDSAUDITLINK__" hidden="1">{"fdsup://directions/FAT Viewer?action=UPDATE&amp;creator=factset&amp;DYN_ARGS=TRUE&amp;DOC_NAME=FAT:FQL_AUDITING_CLIENT_TEMPLATE.FAT&amp;display_string=Audit&amp;VAR:KEY=NIBSFOPKPK&amp;VAR:QUERY=RkZfRElWX1lMRChBTk4sNS8yMC8wNCw1LzIwLzA0KQ==&amp;WINDOW=FIRST_POPUP&amp;HEIGHT=450&amp;WIDTH=450&amp;","START_MAXIMIZED=FALSE&amp;VAR:CALENDAR=US&amp;VAR:SYMBOL=MO&amp;VAR:INDEX=0"}</definedName>
    <definedName name="_882">#REF!</definedName>
    <definedName name="_882__FDSAUDITLINK__" localSheetId="0"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2__FDSAUDITLINK__" hidden="1">{"fdsup://directions/FAT Viewer?action=UPDATE&amp;creator=factset&amp;DYN_ARGS=TRUE&amp;DOC_NAME=FAT:FQL_AUDITING_CLIENT_TEMPLATE.FAT&amp;display_string=Audit&amp;VAR:KEY=JOJILWHGHQ&amp;VAR:QUERY=RkZfRElWX1lMRChBTk4sNS8xMy8wNCw1LzEzLzA0KQ==&amp;WINDOW=FIRST_POPUP&amp;HEIGHT=450&amp;WIDTH=450&amp;","START_MAXIMIZED=FALSE&amp;VAR:CALENDAR=US&amp;VAR:SYMBOL=MO&amp;VAR:INDEX=0"}</definedName>
    <definedName name="_883">#REF!</definedName>
    <definedName name="_883__FDSAUDITLINK__" localSheetId="0"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3__FDSAUDITLINK__" hidden="1">{"fdsup://directions/FAT Viewer?action=UPDATE&amp;creator=factset&amp;DYN_ARGS=TRUE&amp;DOC_NAME=FAT:FQL_AUDITING_CLIENT_TEMPLATE.FAT&amp;display_string=Audit&amp;VAR:KEY=FGPIXKJOVE&amp;VAR:QUERY=RkZfRElWX1lMRChBTk4sNS8wNi8wNCw1LzA2LzA0KQ==&amp;WINDOW=FIRST_POPUP&amp;HEIGHT=450&amp;WIDTH=450&amp;","START_MAXIMIZED=FALSE&amp;VAR:CALENDAR=US&amp;VAR:SYMBOL=MO&amp;VAR:INDEX=0"}</definedName>
    <definedName name="_884">#REF!</definedName>
    <definedName name="_884__FDSAUDITLINK__" localSheetId="0"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4__FDSAUDITLINK__" hidden="1">{"fdsup://directions/FAT Viewer?action=UPDATE&amp;creator=factset&amp;DYN_ARGS=TRUE&amp;DOC_NAME=FAT:FQL_AUDITING_CLIENT_TEMPLATE.FAT&amp;display_string=Audit&amp;VAR:KEY=FCTWHENCPM&amp;VAR:QUERY=RkZfRElWX1lMRChBTk4sNC8yOS8wNCw0LzI5LzA0KQ==&amp;WINDOW=FIRST_POPUP&amp;HEIGHT=450&amp;WIDTH=450&amp;","START_MAXIMIZED=FALSE&amp;VAR:CALENDAR=US&amp;VAR:SYMBOL=MO&amp;VAR:INDEX=0"}</definedName>
    <definedName name="_885">#REF!</definedName>
    <definedName name="_885__FDSAUDITLINK__" localSheetId="0"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5__FDSAUDITLINK__" hidden="1">{"fdsup://directions/FAT Viewer?action=UPDATE&amp;creator=factset&amp;DYN_ARGS=TRUE&amp;DOC_NAME=FAT:FQL_AUDITING_CLIENT_TEMPLATE.FAT&amp;display_string=Audit&amp;VAR:KEY=NGPSZMHEZC&amp;VAR:QUERY=RkZfRElWX1lMRChBTk4sNC8yMi8wNCw0LzIyLzA0KQ==&amp;WINDOW=FIRST_POPUP&amp;HEIGHT=450&amp;WIDTH=450&amp;","START_MAXIMIZED=FALSE&amp;VAR:CALENDAR=US&amp;VAR:SYMBOL=MO&amp;VAR:INDEX=0"}</definedName>
    <definedName name="_886">#REF!</definedName>
    <definedName name="_886__FDSAUDITLINK__" localSheetId="0"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6__FDSAUDITLINK__" hidden="1">{"fdsup://directions/FAT Viewer?action=UPDATE&amp;creator=factset&amp;DYN_ARGS=TRUE&amp;DOC_NAME=FAT:FQL_AUDITING_CLIENT_TEMPLATE.FAT&amp;display_string=Audit&amp;VAR:KEY=FUJEHSBOLK&amp;VAR:QUERY=RkZfRElWX1lMRChBTk4sNC8xNS8wNCw0LzE1LzA0KQ==&amp;WINDOW=FIRST_POPUP&amp;HEIGHT=450&amp;WIDTH=450&amp;","START_MAXIMIZED=FALSE&amp;VAR:CALENDAR=US&amp;VAR:SYMBOL=MO&amp;VAR:INDEX=0"}</definedName>
    <definedName name="_887">#REF!</definedName>
    <definedName name="_887__FDSAUDITLINK__" localSheetId="0"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7__FDSAUDITLINK__" hidden="1">{"fdsup://directions/FAT Viewer?action=UPDATE&amp;creator=factset&amp;DYN_ARGS=TRUE&amp;DOC_NAME=FAT:FQL_AUDITING_CLIENT_TEMPLATE.FAT&amp;display_string=Audit&amp;VAR:KEY=JWVCDSNSPW&amp;VAR:QUERY=RkZfRElWX1lMRChBTk4sNC8wOC8wNCw0LzA4LzA0KQ==&amp;WINDOW=FIRST_POPUP&amp;HEIGHT=450&amp;WIDTH=450&amp;","START_MAXIMIZED=FALSE&amp;VAR:CALENDAR=US&amp;VAR:SYMBOL=MO&amp;VAR:INDEX=0"}</definedName>
    <definedName name="_888">#REF!</definedName>
    <definedName name="_888__FDSAUDITLINK__" localSheetId="0"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8__FDSAUDITLINK__" hidden="1">{"fdsup://directions/FAT Viewer?action=UPDATE&amp;creator=factset&amp;DYN_ARGS=TRUE&amp;DOC_NAME=FAT:FQL_AUDITING_CLIENT_TEMPLATE.FAT&amp;display_string=Audit&amp;VAR:KEY=PGROHQTANS&amp;VAR:QUERY=RkZfRElWX1lMRChBTk4sNC8wMS8wNCw0LzAxLzA0KQ==&amp;WINDOW=FIRST_POPUP&amp;HEIGHT=450&amp;WIDTH=450&amp;","START_MAXIMIZED=FALSE&amp;VAR:CALENDAR=US&amp;VAR:SYMBOL=MO&amp;VAR:INDEX=0"}</definedName>
    <definedName name="_889">#REF!</definedName>
    <definedName name="_889__FDSAUDITLINK__" localSheetId="0"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89__FDSAUDITLINK__" hidden="1">{"fdsup://directions/FAT Viewer?action=UPDATE&amp;creator=factset&amp;DYN_ARGS=TRUE&amp;DOC_NAME=FAT:FQL_AUDITING_CLIENT_TEMPLATE.FAT&amp;display_string=Audit&amp;VAR:KEY=NKPEBGJGPS&amp;VAR:QUERY=RkZfRElWX1lMRChBTk4sMy8yNS8wNCwzLzI1LzA0KQ==&amp;WINDOW=FIRST_POPUP&amp;HEIGHT=450&amp;WIDTH=450&amp;","START_MAXIMIZED=FALSE&amp;VAR:CALENDAR=US&amp;VAR:SYMBOL=MO&amp;VAR:INDEX=0"}</definedName>
    <definedName name="_89__FDSAUDITLINK__" localSheetId="0"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_FDSAUDITLINK__" hidden="1">{"fdsup://directions/FAT Viewer?action=UPDATE&amp;creator=factset&amp;DYN_ARGS=TRUE&amp;DOC_NAME=FAT:FQL_AUDITING_CLIENT_TEMPLATE.FAT&amp;display_string=Audit&amp;VAR:KEY=LKDINAVQFS&amp;VAR:QUERY=RkZfRElWX1lMRChBTk4sNy8yMy8wOSw3LzIzLzA5KQ==&amp;WINDOW=FIRST_POPUP&amp;HEIGHT=450&amp;WIDTH=450&amp;","START_MAXIMIZED=FALSE&amp;VAR:CALENDAR=US&amp;VAR:SYMBOL=RAI&amp;VAR:INDEX=0"}</definedName>
    <definedName name="_89_0_Table2_" hidden="1">#REF!</definedName>
    <definedName name="_890">#REF!</definedName>
    <definedName name="_890__FDSAUDITLINK__" localSheetId="0"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0__FDSAUDITLINK__" hidden="1">{"fdsup://directions/FAT Viewer?action=UPDATE&amp;creator=factset&amp;DYN_ARGS=TRUE&amp;DOC_NAME=FAT:FQL_AUDITING_CLIENT_TEMPLATE.FAT&amp;display_string=Audit&amp;VAR:KEY=PMFKPOBKFS&amp;VAR:QUERY=RkZfRElWX1lMRChBTk4sMy8xOC8wNCwzLzE4LzA0KQ==&amp;WINDOW=FIRST_POPUP&amp;HEIGHT=450&amp;WIDTH=450&amp;","START_MAXIMIZED=FALSE&amp;VAR:CALENDAR=US&amp;VAR:SYMBOL=MO&amp;VAR:INDEX=0"}</definedName>
    <definedName name="_891__FDSAUDITLINK__" localSheetId="0"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1__FDSAUDITLINK__" hidden="1">{"fdsup://directions/FAT Viewer?action=UPDATE&amp;creator=factset&amp;DYN_ARGS=TRUE&amp;DOC_NAME=FAT:FQL_AUDITING_CLIENT_TEMPLATE.FAT&amp;display_string=Audit&amp;VAR:KEY=TEHSRGNKNG&amp;VAR:QUERY=RkZfRElWX1lMRChBTk4sMy8xMS8wNCwzLzExLzA0KQ==&amp;WINDOW=FIRST_POPUP&amp;HEIGHT=450&amp;WIDTH=450&amp;","START_MAXIMIZED=FALSE&amp;VAR:CALENDAR=US&amp;VAR:SYMBOL=MO&amp;VAR:INDEX=0"}</definedName>
    <definedName name="_892__FDSAUDITLINK__" localSheetId="0"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2__FDSAUDITLINK__" hidden="1">{"fdsup://directions/FAT Viewer?action=UPDATE&amp;creator=factset&amp;DYN_ARGS=TRUE&amp;DOC_NAME=FAT:FQL_AUDITING_CLIENT_TEMPLATE.FAT&amp;display_string=Audit&amp;VAR:KEY=ZEJONCPWPA&amp;VAR:QUERY=RkZfRElWX1lMRChBTk4sMy8wNC8wNCwzLzA0LzA0KQ==&amp;WINDOW=FIRST_POPUP&amp;HEIGHT=450&amp;WIDTH=450&amp;","START_MAXIMIZED=FALSE&amp;VAR:CALENDAR=US&amp;VAR:SYMBOL=MO&amp;VAR:INDEX=0"}</definedName>
    <definedName name="_893__FDSAUDITLINK__" localSheetId="0"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3__FDSAUDITLINK__" hidden="1">{"fdsup://directions/FAT Viewer?action=UPDATE&amp;creator=factset&amp;DYN_ARGS=TRUE&amp;DOC_NAME=FAT:FQL_AUDITING_CLIENT_TEMPLATE.FAT&amp;display_string=Audit&amp;VAR:KEY=HULSJUZWPS&amp;VAR:QUERY=RkZfRElWX1lMRChBTk4sMi8yNi8wNCwyLzI2LzA0KQ==&amp;WINDOW=FIRST_POPUP&amp;HEIGHT=450&amp;WIDTH=450&amp;","START_MAXIMIZED=FALSE&amp;VAR:CALENDAR=US&amp;VAR:SYMBOL=MO&amp;VAR:INDEX=0"}</definedName>
    <definedName name="_894">#REF!</definedName>
    <definedName name="_894__FDSAUDITLINK__" localSheetId="0"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4__FDSAUDITLINK__" hidden="1">{"fdsup://directions/FAT Viewer?action=UPDATE&amp;creator=factset&amp;DYN_ARGS=TRUE&amp;DOC_NAME=FAT:FQL_AUDITING_CLIENT_TEMPLATE.FAT&amp;display_string=Audit&amp;VAR:KEY=ZKRCBEDWNE&amp;VAR:QUERY=RkZfRElWX1lMRChBTk4sMi8xOS8wNCwyLzE5LzA0KQ==&amp;WINDOW=FIRST_POPUP&amp;HEIGHT=450&amp;WIDTH=450&amp;","START_MAXIMIZED=FALSE&amp;VAR:CALENDAR=US&amp;VAR:SYMBOL=MO&amp;VAR:INDEX=0"}</definedName>
    <definedName name="_895">#REF!</definedName>
    <definedName name="_895__FDSAUDITLINK__" localSheetId="0"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5__FDSAUDITLINK__" hidden="1">{"fdsup://directions/FAT Viewer?action=UPDATE&amp;creator=factset&amp;DYN_ARGS=TRUE&amp;DOC_NAME=FAT:FQL_AUDITING_CLIENT_TEMPLATE.FAT&amp;display_string=Audit&amp;VAR:KEY=FSXCHOPYNO&amp;VAR:QUERY=RkZfRElWX1lMRChBTk4sMi8xMi8wNCwyLzEyLzA0KQ==&amp;WINDOW=FIRST_POPUP&amp;HEIGHT=450&amp;WIDTH=450&amp;","START_MAXIMIZED=FALSE&amp;VAR:CALENDAR=US&amp;VAR:SYMBOL=MO&amp;VAR:INDEX=0"}</definedName>
    <definedName name="_896">#REF!</definedName>
    <definedName name="_896__FDSAUDITLINK__" localSheetId="0"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6__FDSAUDITLINK__" hidden="1">{"fdsup://directions/FAT Viewer?action=UPDATE&amp;creator=factset&amp;DYN_ARGS=TRUE&amp;DOC_NAME=FAT:FQL_AUDITING_CLIENT_TEMPLATE.FAT&amp;display_string=Audit&amp;VAR:KEY=HEPCZMJILQ&amp;VAR:QUERY=RkZfRElWX1lMRChBTk4sMi8wNS8wNCwyLzA1LzA0KQ==&amp;WINDOW=FIRST_POPUP&amp;HEIGHT=450&amp;WIDTH=450&amp;","START_MAXIMIZED=FALSE&amp;VAR:CALENDAR=US&amp;VAR:SYMBOL=MO&amp;VAR:INDEX=0"}</definedName>
    <definedName name="_897">#REF!</definedName>
    <definedName name="_897__FDSAUDITLINK__" localSheetId="0"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7__FDSAUDITLINK__" hidden="1">{"fdsup://directions/FAT Viewer?action=UPDATE&amp;creator=factset&amp;DYN_ARGS=TRUE&amp;DOC_NAME=FAT:FQL_AUDITING_CLIENT_TEMPLATE.FAT&amp;display_string=Audit&amp;VAR:KEY=ZOVWFSBKVE&amp;VAR:QUERY=RkZfRElWX1lMRChBTk4sMS8yOS8wNCwxLzI5LzA0KQ==&amp;WINDOW=FIRST_POPUP&amp;HEIGHT=450&amp;WIDTH=450&amp;","START_MAXIMIZED=FALSE&amp;VAR:CALENDAR=US&amp;VAR:SYMBOL=MO&amp;VAR:INDEX=0"}</definedName>
    <definedName name="_898">#REF!</definedName>
    <definedName name="_898__FDSAUDITLINK__" localSheetId="0"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8__FDSAUDITLINK__" hidden="1">{"fdsup://directions/FAT Viewer?action=UPDATE&amp;creator=factset&amp;DYN_ARGS=TRUE&amp;DOC_NAME=FAT:FQL_AUDITING_CLIENT_TEMPLATE.FAT&amp;display_string=Audit&amp;VAR:KEY=JMFELCHMDW&amp;VAR:QUERY=RkZfRElWX1lMRChBTk4sMS8yMi8wNCwxLzIyLzA0KQ==&amp;WINDOW=FIRST_POPUP&amp;HEIGHT=450&amp;WIDTH=450&amp;","START_MAXIMIZED=FALSE&amp;VAR:CALENDAR=US&amp;VAR:SYMBOL=MO&amp;VAR:INDEX=0"}</definedName>
    <definedName name="_899">#REF!</definedName>
    <definedName name="_899__FDSAUDITLINK__" localSheetId="0"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99__FDSAUDITLINK__" hidden="1">{"fdsup://directions/FAT Viewer?action=UPDATE&amp;creator=factset&amp;DYN_ARGS=TRUE&amp;DOC_NAME=FAT:FQL_AUDITING_CLIENT_TEMPLATE.FAT&amp;display_string=Audit&amp;VAR:KEY=FIBWFMFELE&amp;VAR:QUERY=RkZfRElWX1lMRChBTk4sMS8xNS8wNCwxLzE1LzA0KQ==&amp;WINDOW=FIRST_POPUP&amp;HEIGHT=450&amp;WIDTH=450&amp;","START_MAXIMIZED=FALSE&amp;VAR:CALENDAR=US&amp;VAR:SYMBOL=MO&amp;VAR:INDEX=0"}</definedName>
    <definedName name="_8D">#REF!</definedName>
    <definedName name="_8main_form_account_grants_list_11_j_id1022">#REF!</definedName>
    <definedName name="_8s10_" hidden="1">{#N/A,#N/A,FALSE,"UNIT";#N/A,#N/A,FALSE,"UNIT";#N/A,#N/A,FALSE,"계정"}</definedName>
    <definedName name="_8s12_" hidden="1">{#N/A,#N/A,FALSE,"UNIT";#N/A,#N/A,FALSE,"UNIT";#N/A,#N/A,FALSE,"계정"}</definedName>
    <definedName name="_8s13_" hidden="1">{#N/A,#N/A,FALSE,"UNIT";#N/A,#N/A,FALSE,"UNIT";#N/A,#N/A,FALSE,"계정"}</definedName>
    <definedName name="_8Table2_">#REF!</definedName>
    <definedName name="_9">#REF!</definedName>
    <definedName name="_9___________NOTE1_3">#REF!</definedName>
    <definedName name="_9__123Graph_AChart_31L">#REF!</definedName>
    <definedName name="_9__123Graph_ASENS_COMPARISON">#REF!</definedName>
    <definedName name="_9__123Graph_ASUPPLIES_BY_B_U">#REF!</definedName>
    <definedName name="_9__123Graph_ATAX_CREDIT">#REF!</definedName>
    <definedName name="_9__123Graph_AWAGES_BY_B_U">#REF!</definedName>
    <definedName name="_9__123Graph_BCHART_3" hidden="1">#REF!</definedName>
    <definedName name="_9__123Graph_BCONTRACT_BY_B_U">#REF!</definedName>
    <definedName name="_9__123Graph_BQRE_S_BY_CO.">#REF!</definedName>
    <definedName name="_9__123Graph_BSENS_COMPARISON">#REF!</definedName>
    <definedName name="_9__123Graph_FSALES_MONTH" hidden="1">#REF!</definedName>
    <definedName name="_9__FDSAUDITLINK__" localSheetId="0"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_FDSAUDITLINK__" hidden="1">{"fdsup://directions/FAT Viewer?action=UPDATE&amp;creator=factset&amp;DYN_ARGS=TRUE&amp;DOC_NAME=FAT:FQL_AUDITING_CLIENT_TEMPLATE.FAT&amp;display_string=Audit&amp;VAR:KEY=AHWPAVYFCN&amp;VAR:QUERY=Q1NGX0RJVl9ZTEQoUVRSX1IsMTIvMzEvMjAwOCk=&amp;WINDOW=FIRST_POPUP&amp;HEIGHT=450&amp;WIDTH=450&amp;STAR","T_MAXIMIZED=FALSE&amp;VAR:CALENDAR=US&amp;VAR:SYMBOL=MO&amp;VAR:INDEX=0"}</definedName>
    <definedName name="_9_0_0ISTJBM">#REF!</definedName>
    <definedName name="_9_0_Table2_" hidden="1">#REF!</definedName>
    <definedName name="_90">#REF!</definedName>
    <definedName name="_90__123Graph_CSENS_COMPARISON">#REF!</definedName>
    <definedName name="_90__123Graph_LBL_ACHART_4">#REF!</definedName>
    <definedName name="_90__123Graph_XCONTRACT_BY_B_U">#REF!</definedName>
    <definedName name="_90__FDSAUDITLINK__" localSheetId="0"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_FDSAUDITLINK__" hidden="1">{"fdsup://directions/FAT Viewer?action=UPDATE&amp;creator=factset&amp;DYN_ARGS=TRUE&amp;DOC_NAME=FAT:FQL_AUDITING_CLIENT_TEMPLATE.FAT&amp;display_string=Audit&amp;VAR:KEY=RYVYLWFANI&amp;VAR:QUERY=RkZfRElWX1lMRChBTk4sNy8xNi8wOSw3LzE2LzA5KQ==&amp;WINDOW=FIRST_POPUP&amp;HEIGHT=450&amp;WIDTH=450&amp;","START_MAXIMIZED=FALSE&amp;VAR:CALENDAR=US&amp;VAR:SYMBOL=RAI&amp;VAR:INDEX=0"}</definedName>
    <definedName name="_90_0_Table2_" hidden="1">#REF!</definedName>
    <definedName name="_900">#REF!</definedName>
    <definedName name="_900__FDSAUDITLINK__" localSheetId="0"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0__FDSAUDITLINK__" hidden="1">{"fdsup://directions/FAT Viewer?action=UPDATE&amp;creator=factset&amp;DYN_ARGS=TRUE&amp;DOC_NAME=FAT:FQL_AUDITING_CLIENT_TEMPLATE.FAT&amp;display_string=Audit&amp;VAR:KEY=XUFGTGJWJM&amp;VAR:QUERY=RkZfRElWX1lMRChBTk4sMS8wOC8wNCwxLzA4LzA0KQ==&amp;WINDOW=FIRST_POPUP&amp;HEIGHT=450&amp;WIDTH=450&amp;","START_MAXIMIZED=FALSE&amp;VAR:CALENDAR=US&amp;VAR:SYMBOL=MO&amp;VAR:INDEX=0"}</definedName>
    <definedName name="_901">#REF!</definedName>
    <definedName name="_901__FDSAUDITLINK__" localSheetId="0"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1__FDSAUDITLINK__" hidden="1">{"fdsup://directions/FAT Viewer?action=UPDATE&amp;creator=factset&amp;DYN_ARGS=TRUE&amp;DOC_NAME=FAT:FQL_AUDITING_CLIENT_TEMPLATE.FAT&amp;display_string=Audit&amp;VAR:KEY=XKVUHYVIJA&amp;VAR:QUERY=RkZfRElWX1lMRChBTk4sMTIvMzEvMDMsMTIvMzEvMDMp&amp;WINDOW=FIRST_POPUP&amp;HEIGHT=450&amp;WIDTH=450&amp;","START_MAXIMIZED=FALSE&amp;VAR:CALENDAR=US&amp;VAR:SYMBOL=MO&amp;VAR:INDEX=0"}</definedName>
    <definedName name="_902">#REF!</definedName>
    <definedName name="_902__FDSAUDITLINK__" localSheetId="0"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2__FDSAUDITLINK__" hidden="1">{"fdsup://directions/FAT Viewer?action=UPDATE&amp;creator=factset&amp;DYN_ARGS=TRUE&amp;DOC_NAME=FAT:FQL_AUDITING_CLIENT_TEMPLATE.FAT&amp;display_string=Audit&amp;VAR:KEY=ROZQRWTEJU&amp;VAR:QUERY=RkZfRElWX1lMRChBTk4sMTIvMjQvMDMsMTIvMjQvMDMp&amp;WINDOW=FIRST_POPUP&amp;HEIGHT=450&amp;WIDTH=450&amp;","START_MAXIMIZED=FALSE&amp;VAR:CALENDAR=US&amp;VAR:SYMBOL=MO&amp;VAR:INDEX=0"}</definedName>
    <definedName name="_903">#REF!</definedName>
    <definedName name="_903__FDSAUDITLINK__" localSheetId="0"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3__FDSAUDITLINK__" hidden="1">{"fdsup://directions/FAT Viewer?action=UPDATE&amp;creator=factset&amp;DYN_ARGS=TRUE&amp;DOC_NAME=FAT:FQL_AUDITING_CLIENT_TEMPLATE.FAT&amp;display_string=Audit&amp;VAR:KEY=XEZADSLGFW&amp;VAR:QUERY=RkZfRElWX1lMRChBTk4sMTIvMTgvMDMsMTIvMTgvMDMp&amp;WINDOW=FIRST_POPUP&amp;HEIGHT=450&amp;WIDTH=450&amp;","START_MAXIMIZED=FALSE&amp;VAR:CALENDAR=US&amp;VAR:SYMBOL=MO&amp;VAR:INDEX=0"}</definedName>
    <definedName name="_904">#REF!</definedName>
    <definedName name="_904__FDSAUDITLINK__" localSheetId="0"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4__FDSAUDITLINK__" hidden="1">{"fdsup://directions/FAT Viewer?action=UPDATE&amp;creator=factset&amp;DYN_ARGS=TRUE&amp;DOC_NAME=FAT:FQL_AUDITING_CLIENT_TEMPLATE.FAT&amp;display_string=Audit&amp;VAR:KEY=JIFMHAXKNG&amp;VAR:QUERY=RkZfRElWX1lMRChBTk4sMTIvMTEvMDMsMTIvMTEvMDMp&amp;WINDOW=FIRST_POPUP&amp;HEIGHT=450&amp;WIDTH=450&amp;","START_MAXIMIZED=FALSE&amp;VAR:CALENDAR=US&amp;VAR:SYMBOL=MO&amp;VAR:INDEX=0"}</definedName>
    <definedName name="_905">#REF!</definedName>
    <definedName name="_905__FDSAUDITLINK__" localSheetId="0"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5__FDSAUDITLINK__" hidden="1">{"fdsup://directions/FAT Viewer?action=UPDATE&amp;creator=factset&amp;DYN_ARGS=TRUE&amp;DOC_NAME=FAT:FQL_AUDITING_CLIENT_TEMPLATE.FAT&amp;display_string=Audit&amp;VAR:KEY=ZEFCTYVKVO&amp;VAR:QUERY=RkZfRElWX1lMRChBTk4sMTIvMDQvMDMsMTIvMDQvMDMp&amp;WINDOW=FIRST_POPUP&amp;HEIGHT=450&amp;WIDTH=450&amp;","START_MAXIMIZED=FALSE&amp;VAR:CALENDAR=US&amp;VAR:SYMBOL=MO&amp;VAR:INDEX=0"}</definedName>
    <definedName name="_906">#REF!</definedName>
    <definedName name="_906__FDSAUDITLINK__" localSheetId="0"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6__FDSAUDITLINK__" hidden="1">{"fdsup://directions/FAT Viewer?action=UPDATE&amp;creator=factset&amp;DYN_ARGS=TRUE&amp;DOC_NAME=FAT:FQL_AUDITING_CLIENT_TEMPLATE.FAT&amp;display_string=Audit&amp;VAR:KEY=TEFYJSNSXW&amp;VAR:QUERY=RkZfRElWX1lMRChBTk4sMTEvMjYvMDMsMTEvMjYvMDMp&amp;WINDOW=FIRST_POPUP&amp;HEIGHT=450&amp;WIDTH=450&amp;","START_MAXIMIZED=FALSE&amp;VAR:CALENDAR=US&amp;VAR:SYMBOL=MO&amp;VAR:INDEX=0"}</definedName>
    <definedName name="_907">#REF!</definedName>
    <definedName name="_907__FDSAUDITLINK__" localSheetId="0"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7__FDSAUDITLINK__" hidden="1">{"fdsup://directions/FAT Viewer?action=UPDATE&amp;creator=factset&amp;DYN_ARGS=TRUE&amp;DOC_NAME=FAT:FQL_AUDITING_CLIENT_TEMPLATE.FAT&amp;display_string=Audit&amp;VAR:KEY=LMZQRUPORS&amp;VAR:QUERY=RkZfRElWX1lMRChBTk4sMTEvMjAvMDMsMTEvMjAvMDMp&amp;WINDOW=FIRST_POPUP&amp;HEIGHT=450&amp;WIDTH=450&amp;","START_MAXIMIZED=FALSE&amp;VAR:CALENDAR=US&amp;VAR:SYMBOL=MO&amp;VAR:INDEX=0"}</definedName>
    <definedName name="_908">#REF!</definedName>
    <definedName name="_908__FDSAUDITLINK__" localSheetId="0"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8__FDSAUDITLINK__" hidden="1">{"fdsup://directions/FAT Viewer?action=UPDATE&amp;creator=factset&amp;DYN_ARGS=TRUE&amp;DOC_NAME=FAT:FQL_AUDITING_CLIENT_TEMPLATE.FAT&amp;display_string=Audit&amp;VAR:KEY=JUJWFADWJI&amp;VAR:QUERY=RkZfRElWX1lMRChBTk4sMTEvMTMvMDMsMTEvMTMvMDMp&amp;WINDOW=FIRST_POPUP&amp;HEIGHT=450&amp;WIDTH=450&amp;","START_MAXIMIZED=FALSE&amp;VAR:CALENDAR=US&amp;VAR:SYMBOL=MO&amp;VAR:INDEX=0"}</definedName>
    <definedName name="_909">#REF!</definedName>
    <definedName name="_909__FDSAUDITLINK__" localSheetId="0"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9__FDSAUDITLINK__" hidden="1">{"fdsup://directions/FAT Viewer?action=UPDATE&amp;creator=factset&amp;DYN_ARGS=TRUE&amp;DOC_NAME=FAT:FQL_AUDITING_CLIENT_TEMPLATE.FAT&amp;display_string=Audit&amp;VAR:KEY=VQLKBGPSJG&amp;VAR:QUERY=RkZfRElWX1lMRChBTk4sMTEvMDYvMDMsMTEvMDYvMDMp&amp;WINDOW=FIRST_POPUP&amp;HEIGHT=450&amp;WIDTH=450&amp;","START_MAXIMIZED=FALSE&amp;VAR:CALENDAR=US&amp;VAR:SYMBOL=MO&amp;VAR:INDEX=0"}</definedName>
    <definedName name="_90T1">#REF!</definedName>
    <definedName name="_90T2">#REF!</definedName>
    <definedName name="_91">#REF!</definedName>
    <definedName name="_91__123Graph_CSENS_COMPARISON">#REF!</definedName>
    <definedName name="_91__123Graph_DCONTRACT_BY_B_U">#REF!</definedName>
    <definedName name="_91__FDSAUDITLINK__" localSheetId="0"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__FDSAUDITLINK__" hidden="1">{"fdsup://directions/FAT Viewer?action=UPDATE&amp;creator=factset&amp;DYN_ARGS=TRUE&amp;DOC_NAME=FAT:FQL_AUDITING_CLIENT_TEMPLATE.FAT&amp;display_string=Audit&amp;VAR:KEY=HITAJKLEHM&amp;VAR:QUERY=RkZfRElWX1lMRChBTk4sNy8wOS8wOSw3LzA5LzA5KQ==&amp;WINDOW=FIRST_POPUP&amp;HEIGHT=450&amp;WIDTH=450&amp;","START_MAXIMIZED=FALSE&amp;VAR:CALENDAR=US&amp;VAR:SYMBOL=RAI&amp;VAR:INDEX=0"}</definedName>
    <definedName name="_910">#REF!</definedName>
    <definedName name="_910__FDSAUDITLINK__" localSheetId="0"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0__FDSAUDITLINK__" hidden="1">{"fdsup://directions/FAT Viewer?action=UPDATE&amp;creator=factset&amp;DYN_ARGS=TRUE&amp;DOC_NAME=FAT:FQL_AUDITING_CLIENT_TEMPLATE.FAT&amp;display_string=Audit&amp;VAR:KEY=HEVGTWNWFA&amp;VAR:QUERY=RkZfRElWX1lMRChBTk4sMTAvMzAvMDMsMTAvMzAvMDMp&amp;WINDOW=FIRST_POPUP&amp;HEIGHT=450&amp;WIDTH=450&amp;","START_MAXIMIZED=FALSE&amp;VAR:CALENDAR=US&amp;VAR:SYMBOL=MO&amp;VAR:INDEX=0"}</definedName>
    <definedName name="_911">#REF!</definedName>
    <definedName name="_911__FDSAUDITLINK__" localSheetId="0"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1__FDSAUDITLINK__" hidden="1">{"fdsup://directions/FAT Viewer?action=UPDATE&amp;creator=factset&amp;DYN_ARGS=TRUE&amp;DOC_NAME=FAT:FQL_AUDITING_CLIENT_TEMPLATE.FAT&amp;display_string=Audit&amp;VAR:KEY=TOZONIPSPO&amp;VAR:QUERY=RkZfRElWX1lMRChBTk4sMTAvMjMvMDMsMTAvMjMvMDMp&amp;WINDOW=FIRST_POPUP&amp;HEIGHT=450&amp;WIDTH=450&amp;","START_MAXIMIZED=FALSE&amp;VAR:CALENDAR=US&amp;VAR:SYMBOL=MO&amp;VAR:INDEX=0"}</definedName>
    <definedName name="_912">#REF!</definedName>
    <definedName name="_912__FDSAUDITLINK__" localSheetId="0"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2__FDSAUDITLINK__" hidden="1">{"fdsup://directions/FAT Viewer?action=UPDATE&amp;creator=factset&amp;DYN_ARGS=TRUE&amp;DOC_NAME=FAT:FQL_AUDITING_CLIENT_TEMPLATE.FAT&amp;display_string=Audit&amp;VAR:KEY=XGBEJUJGHE&amp;VAR:QUERY=RkZfRElWX1lMRChBTk4sMTAvMTYvMDMsMTAvMTYvMDMp&amp;WINDOW=FIRST_POPUP&amp;HEIGHT=450&amp;WIDTH=450&amp;","START_MAXIMIZED=FALSE&amp;VAR:CALENDAR=US&amp;VAR:SYMBOL=MO&amp;VAR:INDEX=0"}</definedName>
    <definedName name="_913">#REF!</definedName>
    <definedName name="_913__FDSAUDITLINK__" localSheetId="0"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3__FDSAUDITLINK__" hidden="1">{"fdsup://directions/FAT Viewer?action=UPDATE&amp;creator=factset&amp;DYN_ARGS=TRUE&amp;DOC_NAME=FAT:FQL_AUDITING_CLIENT_TEMPLATE.FAT&amp;display_string=Audit&amp;VAR:KEY=DKFSBYBSVC&amp;VAR:QUERY=RkZfRElWX1lMRChBTk4sMTAvMDkvMDMsMTAvMDkvMDMp&amp;WINDOW=FIRST_POPUP&amp;HEIGHT=450&amp;WIDTH=450&amp;","START_MAXIMIZED=FALSE&amp;VAR:CALENDAR=US&amp;VAR:SYMBOL=MO&amp;VAR:INDEX=0"}</definedName>
    <definedName name="_914">#REF!</definedName>
    <definedName name="_914__FDSAUDITLINK__" localSheetId="0"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4__FDSAUDITLINK__" hidden="1">{"fdsup://directions/FAT Viewer?action=UPDATE&amp;creator=factset&amp;DYN_ARGS=TRUE&amp;DOC_NAME=FAT:FQL_AUDITING_CLIENT_TEMPLATE.FAT&amp;display_string=Audit&amp;VAR:KEY=RCNUFCHOTA&amp;VAR:QUERY=RkZfRElWX1lMRChBTk4sMTAvMDIvMDMsMTAvMDIvMDMp&amp;WINDOW=FIRST_POPUP&amp;HEIGHT=450&amp;WIDTH=450&amp;","START_MAXIMIZED=FALSE&amp;VAR:CALENDAR=US&amp;VAR:SYMBOL=MO&amp;VAR:INDEX=0"}</definedName>
    <definedName name="_915">#REF!</definedName>
    <definedName name="_915__FDSAUDITLINK__" localSheetId="0"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5__FDSAUDITLINK__" hidden="1">{"fdsup://directions/FAT Viewer?action=UPDATE&amp;creator=factset&amp;DYN_ARGS=TRUE&amp;DOC_NAME=FAT:FQL_AUDITING_CLIENT_TEMPLATE.FAT&amp;display_string=Audit&amp;VAR:KEY=JSBMHMXEHW&amp;VAR:QUERY=RkZfRElWX1lMRChBTk4sOS8yNS8wMyw5LzI1LzAzKQ==&amp;WINDOW=FIRST_POPUP&amp;HEIGHT=450&amp;WIDTH=450&amp;","START_MAXIMIZED=FALSE&amp;VAR:CALENDAR=US&amp;VAR:SYMBOL=MO&amp;VAR:INDEX=0"}</definedName>
    <definedName name="_916">#REF!</definedName>
    <definedName name="_916__FDSAUDITLINK__" localSheetId="0"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6__FDSAUDITLINK__" hidden="1">{"fdsup://directions/FAT Viewer?action=UPDATE&amp;creator=factset&amp;DYN_ARGS=TRUE&amp;DOC_NAME=FAT:FQL_AUDITING_CLIENT_TEMPLATE.FAT&amp;display_string=Audit&amp;VAR:KEY=RSJEHQTOXQ&amp;VAR:QUERY=RkZfRElWX1lMRChBTk4sOS8xOC8wMyw5LzE4LzAzKQ==&amp;WINDOW=FIRST_POPUP&amp;HEIGHT=450&amp;WIDTH=450&amp;","START_MAXIMIZED=FALSE&amp;VAR:CALENDAR=US&amp;VAR:SYMBOL=MO&amp;VAR:INDEX=0"}</definedName>
    <definedName name="_917__FDSAUDITLINK__" localSheetId="0"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7__FDSAUDITLINK__" hidden="1">{"fdsup://directions/FAT Viewer?action=UPDATE&amp;creator=factset&amp;DYN_ARGS=TRUE&amp;DOC_NAME=FAT:FQL_AUDITING_CLIENT_TEMPLATE.FAT&amp;display_string=Audit&amp;VAR:KEY=LCNCLKDWNI&amp;VAR:QUERY=RkZfRElWX1lMRChBTk4sOS8xMS8wMyw5LzExLzAzKQ==&amp;WINDOW=FIRST_POPUP&amp;HEIGHT=450&amp;WIDTH=450&amp;","START_MAXIMIZED=FALSE&amp;VAR:CALENDAR=US&amp;VAR:SYMBOL=MO&amp;VAR:INDEX=0"}</definedName>
    <definedName name="_918__FDSAUDITLINK__" localSheetId="0"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8__FDSAUDITLINK__" hidden="1">{"fdsup://directions/FAT Viewer?action=UPDATE&amp;creator=factset&amp;DYN_ARGS=TRUE&amp;DOC_NAME=FAT:FQL_AUDITING_CLIENT_TEMPLATE.FAT&amp;display_string=Audit&amp;VAR:KEY=DQNEJKJKTC&amp;VAR:QUERY=RkZfRElWX1lMRChBTk4sOS8wNC8wMyw5LzA0LzAzKQ==&amp;WINDOW=FIRST_POPUP&amp;HEIGHT=450&amp;WIDTH=450&amp;","START_MAXIMIZED=FALSE&amp;VAR:CALENDAR=US&amp;VAR:SYMBOL=MO&amp;VAR:INDEX=0"}</definedName>
    <definedName name="_919__FDSAUDITLINK__" localSheetId="0"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19__FDSAUDITLINK__" hidden="1">{"fdsup://directions/FAT Viewer?action=UPDATE&amp;creator=factset&amp;DYN_ARGS=TRUE&amp;DOC_NAME=FAT:FQL_AUDITING_CLIENT_TEMPLATE.FAT&amp;display_string=Audit&amp;VAR:KEY=FSRWRYBUBQ&amp;VAR:QUERY=RkZfRElWX1lMRChBTk4sOC8yOC8wMyw4LzI4LzAzKQ==&amp;WINDOW=FIRST_POPUP&amp;HEIGHT=450&amp;WIDTH=450&amp;","START_MAXIMIZED=FALSE&amp;VAR:CALENDAR=US&amp;VAR:SYMBOL=MO&amp;VAR:INDEX=0"}</definedName>
    <definedName name="_92">#REF!</definedName>
    <definedName name="_92__123Graph_EQRE_S_BY_CO.">#REF!</definedName>
    <definedName name="_92__FDSAUDITLINK__" localSheetId="0"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__FDSAUDITLINK__" hidden="1">{"fdsup://directions/FAT Viewer?action=UPDATE&amp;creator=factset&amp;DYN_ARGS=TRUE&amp;DOC_NAME=FAT:FQL_AUDITING_CLIENT_TEMPLATE.FAT&amp;display_string=Audit&amp;VAR:KEY=XQJYRSPYBY&amp;VAR:QUERY=RkZfRU5UUlBSX1ZBTF9EQUlMWSgwLCwsLCwnRElMJyk=&amp;WINDOW=FIRST_POPUP&amp;HEIGHT=450&amp;WIDTH=450&amp;","START_MAXIMIZED=FALSE&amp;VAR:CALENDAR=US&amp;VAR:SYMBOL=TAP&amp;VAR:INDEX=0"}</definedName>
    <definedName name="_920__FDSAUDITLINK__" localSheetId="0"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0__FDSAUDITLINK__" hidden="1">{"fdsup://directions/FAT Viewer?action=UPDATE&amp;creator=factset&amp;DYN_ARGS=TRUE&amp;DOC_NAME=FAT:FQL_AUDITING_CLIENT_TEMPLATE.FAT&amp;display_string=Audit&amp;VAR:KEY=NQFAHKDMPA&amp;VAR:QUERY=RkZfRElWX1lMRChBTk4sOC8yMS8wMyw4LzIxLzAzKQ==&amp;WINDOW=FIRST_POPUP&amp;HEIGHT=450&amp;WIDTH=450&amp;","START_MAXIMIZED=FALSE&amp;VAR:CALENDAR=US&amp;VAR:SYMBOL=MO&amp;VAR:INDEX=0"}</definedName>
    <definedName name="_921">#REF!</definedName>
    <definedName name="_921__FDSAUDITLINK__" localSheetId="0"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1__FDSAUDITLINK__" hidden="1">{"fdsup://directions/FAT Viewer?action=UPDATE&amp;creator=factset&amp;DYN_ARGS=TRUE&amp;DOC_NAME=FAT:FQL_AUDITING_CLIENT_TEMPLATE.FAT&amp;display_string=Audit&amp;VAR:KEY=BEFOJIXSBE&amp;VAR:QUERY=RkZfRElWX1lMRChBTk4sOC8xNC8wMyw4LzE0LzAzKQ==&amp;WINDOW=FIRST_POPUP&amp;HEIGHT=450&amp;WIDTH=450&amp;","START_MAXIMIZED=FALSE&amp;VAR:CALENDAR=US&amp;VAR:SYMBOL=MO&amp;VAR:INDEX=0"}</definedName>
    <definedName name="_922__FDSAUDITLINK__" localSheetId="0"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2__FDSAUDITLINK__" hidden="1">{"fdsup://directions/FAT Viewer?action=UPDATE&amp;creator=factset&amp;DYN_ARGS=TRUE&amp;DOC_NAME=FAT:FQL_AUDITING_CLIENT_TEMPLATE.FAT&amp;display_string=Audit&amp;VAR:KEY=RARYXINYZY&amp;VAR:QUERY=RkZfRElWX1lMRChBTk4sOC8wNy8wMyw4LzA3LzAzKQ==&amp;WINDOW=FIRST_POPUP&amp;HEIGHT=450&amp;WIDTH=450&amp;","START_MAXIMIZED=FALSE&amp;VAR:CALENDAR=US&amp;VAR:SYMBOL=MO&amp;VAR:INDEX=0"}</definedName>
    <definedName name="_923__FDSAUDITLINK__" localSheetId="0"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3__FDSAUDITLINK__" hidden="1">{"fdsup://directions/FAT Viewer?action=UPDATE&amp;creator=factset&amp;DYN_ARGS=TRUE&amp;DOC_NAME=FAT:FQL_AUDITING_CLIENT_TEMPLATE.FAT&amp;display_string=Audit&amp;VAR:KEY=BEJIXSLIVS&amp;VAR:QUERY=RkZfRElWX1lMRChBTk4sNy8zMS8wMyw3LzMxLzAzKQ==&amp;WINDOW=FIRST_POPUP&amp;HEIGHT=450&amp;WIDTH=450&amp;","START_MAXIMIZED=FALSE&amp;VAR:CALENDAR=US&amp;VAR:SYMBOL=MO&amp;VAR:INDEX=0"}</definedName>
    <definedName name="_924__FDSAUDITLINK__" localSheetId="0"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4__FDSAUDITLINK__" hidden="1">{"fdsup://directions/FAT Viewer?action=UPDATE&amp;creator=factset&amp;DYN_ARGS=TRUE&amp;DOC_NAME=FAT:FQL_AUDITING_CLIENT_TEMPLATE.FAT&amp;display_string=Audit&amp;VAR:KEY=TAPUDKLMJG&amp;VAR:QUERY=RkZfRElWX1lMRChBTk4sNy8yNC8wMyw3LzI0LzAzKQ==&amp;WINDOW=FIRST_POPUP&amp;HEIGHT=450&amp;WIDTH=450&amp;","START_MAXIMIZED=FALSE&amp;VAR:CALENDAR=US&amp;VAR:SYMBOL=MO&amp;VAR:INDEX=0"}</definedName>
    <definedName name="_925__FDSAUDITLINK__" localSheetId="0"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5__FDSAUDITLINK__" hidden="1">{"fdsup://directions/FAT Viewer?action=UPDATE&amp;creator=factset&amp;DYN_ARGS=TRUE&amp;DOC_NAME=FAT:FQL_AUDITING_CLIENT_TEMPLATE.FAT&amp;display_string=Audit&amp;VAR:KEY=DSFQZCVUDO&amp;VAR:QUERY=RkZfRElWX1lMRChBTk4sNy8xNy8wMyw3LzE3LzAzKQ==&amp;WINDOW=FIRST_POPUP&amp;HEIGHT=450&amp;WIDTH=450&amp;","START_MAXIMIZED=FALSE&amp;VAR:CALENDAR=US&amp;VAR:SYMBOL=MO&amp;VAR:INDEX=0"}</definedName>
    <definedName name="_926__FDSAUDITLINK__" localSheetId="0"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6__FDSAUDITLINK__" hidden="1">{"fdsup://directions/FAT Viewer?action=UPDATE&amp;creator=factset&amp;DYN_ARGS=TRUE&amp;DOC_NAME=FAT:FQL_AUDITING_CLIENT_TEMPLATE.FAT&amp;display_string=Audit&amp;VAR:KEY=ZUPUFARYNU&amp;VAR:QUERY=RkZfRElWX1lMRChBTk4sNy8xMC8wMyw3LzEwLzAzKQ==&amp;WINDOW=FIRST_POPUP&amp;HEIGHT=450&amp;WIDTH=450&amp;","START_MAXIMIZED=FALSE&amp;VAR:CALENDAR=US&amp;VAR:SYMBOL=MO&amp;VAR:INDEX=0"}</definedName>
    <definedName name="_927__FDSAUDITLINK__" localSheetId="0"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7__FDSAUDITLINK__" hidden="1">{"fdsup://directions/FAT Viewer?action=UPDATE&amp;creator=factset&amp;DYN_ARGS=TRUE&amp;DOC_NAME=FAT:FQL_AUDITING_CLIENT_TEMPLATE.FAT&amp;display_string=Audit&amp;VAR:KEY=BMNORABYJA&amp;VAR:QUERY=RkZfRElWX1lMRChBTk4sNy8wMy8wMyw3LzAzLzAzKQ==&amp;WINDOW=FIRST_POPUP&amp;HEIGHT=450&amp;WIDTH=450&amp;","START_MAXIMIZED=FALSE&amp;VAR:CALENDAR=US&amp;VAR:SYMBOL=MO&amp;VAR:INDEX=0"}</definedName>
    <definedName name="_928">#REF!</definedName>
    <definedName name="_928__FDSAUDITLINK__" localSheetId="0"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8__FDSAUDITLINK__" hidden="1">{"fdsup://directions/FAT Viewer?action=UPDATE&amp;creator=factset&amp;DYN_ARGS=TRUE&amp;DOC_NAME=FAT:FQL_AUDITING_CLIENT_TEMPLATE.FAT&amp;display_string=Audit&amp;VAR:KEY=FQXIHKRWHU&amp;VAR:QUERY=RkZfRElWX1lMRChBTk4sNi8yNi8wMyw2LzI2LzAzKQ==&amp;WINDOW=FIRST_POPUP&amp;HEIGHT=450&amp;WIDTH=450&amp;","START_MAXIMIZED=FALSE&amp;VAR:CALENDAR=US&amp;VAR:SYMBOL=MO&amp;VAR:INDEX=0"}</definedName>
    <definedName name="_929">#REF!</definedName>
    <definedName name="_929__FDSAUDITLINK__" localSheetId="0"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9__FDSAUDITLINK__" hidden="1">{"fdsup://directions/FAT Viewer?action=UPDATE&amp;creator=factset&amp;DYN_ARGS=TRUE&amp;DOC_NAME=FAT:FQL_AUDITING_CLIENT_TEMPLATE.FAT&amp;display_string=Audit&amp;VAR:KEY=PYFWXCTUNA&amp;VAR:QUERY=RkZfRElWX1lMRChBTk4sNi8xOS8wMyw2LzE5LzAzKQ==&amp;WINDOW=FIRST_POPUP&amp;HEIGHT=450&amp;WIDTH=450&amp;","START_MAXIMIZED=FALSE&amp;VAR:CALENDAR=US&amp;VAR:SYMBOL=MO&amp;VAR:INDEX=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#REF!</definedName>
    <definedName name="_93__123Graph_XQRE_S_BY_CO.">#REF!</definedName>
    <definedName name="_93__FDSAUDITLINK__" localSheetId="0"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__FDSAUDITLINK__" hidden="1">{"fdsup://directions/FAT Viewer?action=UPDATE&amp;creator=factset&amp;DYN_ARGS=TRUE&amp;DOC_NAME=FAT:FQL_AUDITING_CLIENT_TEMPLATE.FAT&amp;display_string=Audit&amp;VAR:KEY=ZCPGLYRQRC&amp;VAR:QUERY=RkZfRU5UUlBSX1ZBTF9EQUlMWSgwLCwsLCwnRElMJyk=&amp;WINDOW=FIRST_POPUP&amp;HEIGHT=450&amp;WIDTH=450&amp;","START_MAXIMIZED=FALSE&amp;VAR:CALENDAR=US&amp;VAR:SYMBOL=GMCR&amp;VAR:INDEX=0"}</definedName>
    <definedName name="_930__FDSAUDITLINK__" localSheetId="0"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0__FDSAUDITLINK__" hidden="1">{"fdsup://directions/FAT Viewer?action=UPDATE&amp;creator=factset&amp;DYN_ARGS=TRUE&amp;DOC_NAME=FAT:FQL_AUDITING_CLIENT_TEMPLATE.FAT&amp;display_string=Audit&amp;VAR:KEY=TGHKTIPCPW&amp;VAR:QUERY=RkZfRElWX1lMRChBTk4sNi8xMi8wMyw2LzEyLzAzKQ==&amp;WINDOW=FIRST_POPUP&amp;HEIGHT=450&amp;WIDTH=450&amp;","START_MAXIMIZED=FALSE&amp;VAR:CALENDAR=US&amp;VAR:SYMBOL=MO&amp;VAR:INDEX=0"}</definedName>
    <definedName name="_931__FDSAUDITLINK__" localSheetId="0"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1__FDSAUDITLINK__" hidden="1">{"fdsup://directions/FAT Viewer?action=UPDATE&amp;creator=factset&amp;DYN_ARGS=TRUE&amp;DOC_NAME=FAT:FQL_AUDITING_CLIENT_TEMPLATE.FAT&amp;display_string=Audit&amp;VAR:KEY=FERMJELUNO&amp;VAR:QUERY=RkZfRElWX1lMRChBTk4sNi8wNS8wMyw2LzA1LzAzKQ==&amp;WINDOW=FIRST_POPUP&amp;HEIGHT=450&amp;WIDTH=450&amp;","START_MAXIMIZED=FALSE&amp;VAR:CALENDAR=US&amp;VAR:SYMBOL=MO&amp;VAR:INDEX=0"}</definedName>
    <definedName name="_932__FDSAUDITLINK__" localSheetId="0"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2__FDSAUDITLINK__" hidden="1">{"fdsup://directions/FAT Viewer?action=UPDATE&amp;creator=factset&amp;DYN_ARGS=TRUE&amp;DOC_NAME=FAT:FQL_AUDITING_CLIENT_TEMPLATE.FAT&amp;display_string=Audit&amp;VAR:KEY=JSTINMRYTO&amp;VAR:QUERY=RkZfRElWX1lMRChBTk4sNS8yOS8wMyw1LzI5LzAzKQ==&amp;WINDOW=FIRST_POPUP&amp;HEIGHT=450&amp;WIDTH=450&amp;","START_MAXIMIZED=FALSE&amp;VAR:CALENDAR=US&amp;VAR:SYMBOL=MO&amp;VAR:INDEX=0"}</definedName>
    <definedName name="_933">#REF!</definedName>
    <definedName name="_933__FDSAUDITLINK__" localSheetId="0"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3__FDSAUDITLINK__" hidden="1">{"fdsup://directions/FAT Viewer?action=UPDATE&amp;creator=factset&amp;DYN_ARGS=TRUE&amp;DOC_NAME=FAT:FQL_AUDITING_CLIENT_TEMPLATE.FAT&amp;display_string=Audit&amp;VAR:KEY=REPCVETEBC&amp;VAR:QUERY=RkZfRElWX1lMRChBTk4sNS8yMi8wMyw1LzIyLzAzKQ==&amp;WINDOW=FIRST_POPUP&amp;HEIGHT=450&amp;WIDTH=450&amp;","START_MAXIMIZED=FALSE&amp;VAR:CALENDAR=US&amp;VAR:SYMBOL=MO&amp;VAR:INDEX=0"}</definedName>
    <definedName name="_934__FDSAUDITLINK__" localSheetId="0"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4__FDSAUDITLINK__" hidden="1">{"fdsup://directions/FAT Viewer?action=UPDATE&amp;creator=factset&amp;DYN_ARGS=TRUE&amp;DOC_NAME=FAT:FQL_AUDITING_CLIENT_TEMPLATE.FAT&amp;display_string=Audit&amp;VAR:KEY=VWBSXIVMBW&amp;VAR:QUERY=RkZfRElWX1lMRChBTk4sNS8xNS8wMyw1LzE1LzAzKQ==&amp;WINDOW=FIRST_POPUP&amp;HEIGHT=450&amp;WIDTH=450&amp;","START_MAXIMIZED=FALSE&amp;VAR:CALENDAR=US&amp;VAR:SYMBOL=MO&amp;VAR:INDEX=0"}</definedName>
    <definedName name="_935__FDSAUDITLINK__" localSheetId="0"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5__FDSAUDITLINK__" hidden="1">{"fdsup://directions/FAT Viewer?action=UPDATE&amp;creator=factset&amp;DYN_ARGS=TRUE&amp;DOC_NAME=FAT:FQL_AUDITING_CLIENT_TEMPLATE.FAT&amp;display_string=Audit&amp;VAR:KEY=DWHOTWDYLU&amp;VAR:QUERY=RkZfRElWX1lMRChBTk4sNS8wOC8wMyw1LzA4LzAzKQ==&amp;WINDOW=FIRST_POPUP&amp;HEIGHT=450&amp;WIDTH=450&amp;","START_MAXIMIZED=FALSE&amp;VAR:CALENDAR=US&amp;VAR:SYMBOL=MO&amp;VAR:INDEX=0"}</definedName>
    <definedName name="_936__FDSAUDITLINK__" localSheetId="0"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6__FDSAUDITLINK__" hidden="1">{"fdsup://directions/FAT Viewer?action=UPDATE&amp;creator=factset&amp;DYN_ARGS=TRUE&amp;DOC_NAME=FAT:FQL_AUDITING_CLIENT_TEMPLATE.FAT&amp;display_string=Audit&amp;VAR:KEY=JATMJYNMHG&amp;VAR:QUERY=RkZfRElWX1lMRChBTk4sNS8wMS8wMyw1LzAxLzAzKQ==&amp;WINDOW=FIRST_POPUP&amp;HEIGHT=450&amp;WIDTH=450&amp;","START_MAXIMIZED=FALSE&amp;VAR:CALENDAR=US&amp;VAR:SYMBOL=MO&amp;VAR:INDEX=0"}</definedName>
    <definedName name="_937__FDSAUDITLINK__" localSheetId="0"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7__FDSAUDITLINK__" hidden="1">{"fdsup://directions/FAT Viewer?action=UPDATE&amp;creator=factset&amp;DYN_ARGS=TRUE&amp;DOC_NAME=FAT:FQL_AUDITING_CLIENT_TEMPLATE.FAT&amp;display_string=Audit&amp;VAR:KEY=FSZULAFYPY&amp;VAR:QUERY=RkZfRElWX1lMRChBTk4sNC8yNC8wMyw0LzI0LzAzKQ==&amp;WINDOW=FIRST_POPUP&amp;HEIGHT=450&amp;WIDTH=450&amp;","START_MAXIMIZED=FALSE&amp;VAR:CALENDAR=US&amp;VAR:SYMBOL=MO&amp;VAR:INDEX=0"}</definedName>
    <definedName name="_938">#REF!</definedName>
    <definedName name="_938__FDSAUDITLINK__" localSheetId="0"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8__FDSAUDITLINK__" hidden="1">{"fdsup://directions/FAT Viewer?action=UPDATE&amp;creator=factset&amp;DYN_ARGS=TRUE&amp;DOC_NAME=FAT:FQL_AUDITING_CLIENT_TEMPLATE.FAT&amp;display_string=Audit&amp;VAR:KEY=HMXSTGFMDW&amp;VAR:QUERY=RkZfRElWX1lMRChBTk4sNC8xNy8wMyw0LzE3LzAzKQ==&amp;WINDOW=FIRST_POPUP&amp;HEIGHT=450&amp;WIDTH=450&amp;","START_MAXIMIZED=FALSE&amp;VAR:CALENDAR=US&amp;VAR:SYMBOL=MO&amp;VAR:INDEX=0"}</definedName>
    <definedName name="_939">#REF!</definedName>
    <definedName name="_939__FDSAUDITLINK__" localSheetId="0"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39__FDSAUDITLINK__" hidden="1">{"fdsup://directions/FAT Viewer?action=UPDATE&amp;creator=factset&amp;DYN_ARGS=TRUE&amp;DOC_NAME=FAT:FQL_AUDITING_CLIENT_TEMPLATE.FAT&amp;display_string=Audit&amp;VAR:KEY=NYTKVUDWBE&amp;VAR:QUERY=RkZfRElWX1lMRChBTk4sNC8xMC8wMyw0LzEwLzAzKQ==&amp;WINDOW=FIRST_POPUP&amp;HEIGHT=450&amp;WIDTH=450&amp;","START_MAXIMIZED=FALSE&amp;VAR:CALENDAR=US&amp;VAR:SYMBOL=MO&amp;VAR:INDEX=0"}</definedName>
    <definedName name="_94">#REF!</definedName>
    <definedName name="_94__FDSAUDITLINK__" localSheetId="0"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__FDSAUDITLINK__" hidden="1">{"fdsup://directions/FAT Viewer?action=UPDATE&amp;creator=factset&amp;DYN_ARGS=TRUE&amp;DOC_NAME=FAT:FQL_AUDITING_CLIENT_TEMPLATE.FAT&amp;display_string=Audit&amp;VAR:KEY=LWZCTCFEDG&amp;VAR:QUERY=RkZfRU5UUlBSX1ZBTF9EQUlMWSgwLCwsLFVTRCwnRElMJyk=&amp;WINDOW=FIRST_POPUP&amp;HEIGHT=450&amp;WIDTH=","450&amp;START_MAXIMIZED=FALSE&amp;VAR:CALENDAR=US&amp;VAR:SYMBOL=023740&amp;VAR:INDEX=0"}</definedName>
    <definedName name="_940">#REF!</definedName>
    <definedName name="_940__FDSAUDITLINK__" localSheetId="0"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0__FDSAUDITLINK__" hidden="1">{"fdsup://directions/FAT Viewer?action=UPDATE&amp;creator=factset&amp;DYN_ARGS=TRUE&amp;DOC_NAME=FAT:FQL_AUDITING_CLIENT_TEMPLATE.FAT&amp;display_string=Audit&amp;VAR:KEY=LGVWTSFWZI&amp;VAR:QUERY=RkZfRElWX1lMRChBTk4sNC8wMy8wMyw0LzAzLzAzKQ==&amp;WINDOW=FIRST_POPUP&amp;HEIGHT=450&amp;WIDTH=450&amp;","START_MAXIMIZED=FALSE&amp;VAR:CALENDAR=US&amp;VAR:SYMBOL=MO&amp;VAR:INDEX=0"}</definedName>
    <definedName name="_941">#REF!</definedName>
    <definedName name="_941__FDSAUDITLINK__" localSheetId="0"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1__FDSAUDITLINK__" hidden="1">{"fdsup://directions/FAT Viewer?action=UPDATE&amp;creator=factset&amp;DYN_ARGS=TRUE&amp;DOC_NAME=FAT:FQL_AUDITING_CLIENT_TEMPLATE.FAT&amp;display_string=Audit&amp;VAR:KEY=VMPEPGBIHE&amp;VAR:QUERY=RkZfRElWX1lMRChBTk4sMy8yNy8wMywzLzI3LzAzKQ==&amp;WINDOW=FIRST_POPUP&amp;HEIGHT=450&amp;WIDTH=450&amp;","START_MAXIMIZED=FALSE&amp;VAR:CALENDAR=US&amp;VAR:SYMBOL=MO&amp;VAR:INDEX=0"}</definedName>
    <definedName name="_942">#REF!</definedName>
    <definedName name="_942__FDSAUDITLINK__" localSheetId="0"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2__FDSAUDITLINK__" hidden="1">{"fdsup://directions/FAT Viewer?action=UPDATE&amp;creator=factset&amp;DYN_ARGS=TRUE&amp;DOC_NAME=FAT:FQL_AUDITING_CLIENT_TEMPLATE.FAT&amp;display_string=Audit&amp;VAR:KEY=NIZYRUFOLM&amp;VAR:QUERY=RkZfRElWX1lMRChBTk4sMy8yMC8wMywzLzIwLzAzKQ==&amp;WINDOW=FIRST_POPUP&amp;HEIGHT=450&amp;WIDTH=450&amp;","START_MAXIMIZED=FALSE&amp;VAR:CALENDAR=US&amp;VAR:SYMBOL=MO&amp;VAR:INDEX=0"}</definedName>
    <definedName name="_943">#REF!</definedName>
    <definedName name="_943__FDSAUDITLINK__" localSheetId="0"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3__FDSAUDITLINK__" hidden="1">{"fdsup://directions/FAT Viewer?action=UPDATE&amp;creator=factset&amp;DYN_ARGS=TRUE&amp;DOC_NAME=FAT:FQL_AUDITING_CLIENT_TEMPLATE.FAT&amp;display_string=Audit&amp;VAR:KEY=BKNALYJALS&amp;VAR:QUERY=RkZfRElWX1lMRChBTk4sMy8xMy8wMywzLzEzLzAzKQ==&amp;WINDOW=FIRST_POPUP&amp;HEIGHT=450&amp;WIDTH=450&amp;","START_MAXIMIZED=FALSE&amp;VAR:CALENDAR=US&amp;VAR:SYMBOL=MO&amp;VAR:INDEX=0"}</definedName>
    <definedName name="_944">#REF!</definedName>
    <definedName name="_944__FDSAUDITLINK__" localSheetId="0"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4__FDSAUDITLINK__" hidden="1">{"fdsup://directions/FAT Viewer?action=UPDATE&amp;creator=factset&amp;DYN_ARGS=TRUE&amp;DOC_NAME=FAT:FQL_AUDITING_CLIENT_TEMPLATE.FAT&amp;display_string=Audit&amp;VAR:KEY=FYDAJYVIHE&amp;VAR:QUERY=RkZfRElWX1lMRChBTk4sMy8wNi8wMywzLzA2LzAzKQ==&amp;WINDOW=FIRST_POPUP&amp;HEIGHT=450&amp;WIDTH=450&amp;","START_MAXIMIZED=FALSE&amp;VAR:CALENDAR=US&amp;VAR:SYMBOL=MO&amp;VAR:INDEX=0"}</definedName>
    <definedName name="_945">#REF!</definedName>
    <definedName name="_945__FDSAUDITLINK__" localSheetId="0"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5__FDSAUDITLINK__" hidden="1">{"fdsup://directions/FAT Viewer?action=UPDATE&amp;creator=factset&amp;DYN_ARGS=TRUE&amp;DOC_NAME=FAT:FQL_AUDITING_CLIENT_TEMPLATE.FAT&amp;display_string=Audit&amp;VAR:KEY=LUTIRUXYFY&amp;VAR:QUERY=RkZfRElWX1lMRChBTk4sMi8yNy8wMywyLzI3LzAzKQ==&amp;WINDOW=FIRST_POPUP&amp;HEIGHT=450&amp;WIDTH=450&amp;","START_MAXIMIZED=FALSE&amp;VAR:CALENDAR=US&amp;VAR:SYMBOL=MO&amp;VAR:INDEX=0"}</definedName>
    <definedName name="_946">#REF!</definedName>
    <definedName name="_946__FDSAUDITLINK__" localSheetId="0"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6__FDSAUDITLINK__" hidden="1">{"fdsup://directions/FAT Viewer?action=UPDATE&amp;creator=factset&amp;DYN_ARGS=TRUE&amp;DOC_NAME=FAT:FQL_AUDITING_CLIENT_TEMPLATE.FAT&amp;display_string=Audit&amp;VAR:KEY=ZGDEXYLOLK&amp;VAR:QUERY=RkZfRElWX1lMRChBTk4sMi8yMC8wMywyLzIwLzAzKQ==&amp;WINDOW=FIRST_POPUP&amp;HEIGHT=450&amp;WIDTH=450&amp;","START_MAXIMIZED=FALSE&amp;VAR:CALENDAR=US&amp;VAR:SYMBOL=MO&amp;VAR:INDEX=0"}</definedName>
    <definedName name="_947">#REF!</definedName>
    <definedName name="_947__FDSAUDITLINK__" localSheetId="0"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7__FDSAUDITLINK__" hidden="1">{"fdsup://directions/FAT Viewer?action=UPDATE&amp;creator=factset&amp;DYN_ARGS=TRUE&amp;DOC_NAME=FAT:FQL_AUDITING_CLIENT_TEMPLATE.FAT&amp;display_string=Audit&amp;VAR:KEY=BONQDWBEHM&amp;VAR:QUERY=RkZfRElWX1lMRChBTk4sMi8xMy8wMywyLzEzLzAzKQ==&amp;WINDOW=FIRST_POPUP&amp;HEIGHT=450&amp;WIDTH=450&amp;","START_MAXIMIZED=FALSE&amp;VAR:CALENDAR=US&amp;VAR:SYMBOL=MO&amp;VAR:INDEX=0"}</definedName>
    <definedName name="_948">#REF!</definedName>
    <definedName name="_948__FDSAUDITLINK__" localSheetId="0"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8__FDSAUDITLINK__" hidden="1">{"fdsup://directions/FAT Viewer?action=UPDATE&amp;creator=factset&amp;DYN_ARGS=TRUE&amp;DOC_NAME=FAT:FQL_AUDITING_CLIENT_TEMPLATE.FAT&amp;display_string=Audit&amp;VAR:KEY=POBCTKTSFQ&amp;VAR:QUERY=RkZfRElWX1lMRChBTk4sMi8wNi8wMywyLzA2LzAzKQ==&amp;WINDOW=FIRST_POPUP&amp;HEIGHT=450&amp;WIDTH=450&amp;","START_MAXIMIZED=FALSE&amp;VAR:CALENDAR=US&amp;VAR:SYMBOL=MO&amp;VAR:INDEX=0"}</definedName>
    <definedName name="_949">#REF!</definedName>
    <definedName name="_949__FDSAUDITLINK__" localSheetId="0"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49__FDSAUDITLINK__" hidden="1">{"fdsup://directions/FAT Viewer?action=UPDATE&amp;creator=factset&amp;DYN_ARGS=TRUE&amp;DOC_NAME=FAT:FQL_AUDITING_CLIENT_TEMPLATE.FAT&amp;display_string=Audit&amp;VAR:KEY=NAZSZQRIZG&amp;VAR:QUERY=RkZfRElWX1lMRChBTk4sMS8zMC8wMywxLzMwLzAzKQ==&amp;WINDOW=FIRST_POPUP&amp;HEIGHT=450&amp;WIDTH=450&amp;","START_MAXIMIZED=FALSE&amp;VAR:CALENDAR=US&amp;VAR:SYMBOL=MO&amp;VAR:INDEX=0"}</definedName>
    <definedName name="_95">#REF!</definedName>
    <definedName name="_95__123Graph_LBL_BCHART_3">#REF!</definedName>
    <definedName name="_95__FDSAUDITLINK__" localSheetId="0"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__FDSAUDITLINK__" hidden="1">{"fdsup://directions/FAT Viewer?action=UPDATE&amp;creator=factset&amp;DYN_ARGS=TRUE&amp;DOC_NAME=FAT:FQL_AUDITING_CLIENT_TEMPLATE.FAT&amp;display_string=Audit&amp;VAR:KEY=XWVELCJUZS&amp;VAR:QUERY=RkZfRU5UUlBSX1ZBTF9EQUlMWSgwLCwsLCwnRElMJyk=&amp;WINDOW=FIRST_POPUP&amp;HEIGHT=450&amp;WIDTH=450&amp;","START_MAXIMIZED=FALSE&amp;VAR:CALENDAR=US&amp;VAR:SYMBOL=COT&amp;VAR:INDEX=0"}</definedName>
    <definedName name="_950">#REF!</definedName>
    <definedName name="_950__FDSAUDITLINK__" localSheetId="0"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0__FDSAUDITLINK__" hidden="1">{"fdsup://directions/FAT Viewer?action=UPDATE&amp;creator=factset&amp;DYN_ARGS=TRUE&amp;DOC_NAME=FAT:FQL_AUDITING_CLIENT_TEMPLATE.FAT&amp;display_string=Audit&amp;VAR:KEY=BORCHSDENQ&amp;VAR:QUERY=RkZfRElWX1lMRChBTk4sMS8yMy8wMywxLzIzLzAzKQ==&amp;WINDOW=FIRST_POPUP&amp;HEIGHT=450&amp;WIDTH=450&amp;","START_MAXIMIZED=FALSE&amp;VAR:CALENDAR=US&amp;VAR:SYMBOL=MO&amp;VAR:INDEX=0"}</definedName>
    <definedName name="_951">#REF!</definedName>
    <definedName name="_951__FDSAUDITLINK__" localSheetId="0"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1__FDSAUDITLINK__" hidden="1">{"fdsup://directions/FAT Viewer?action=UPDATE&amp;creator=factset&amp;DYN_ARGS=TRUE&amp;DOC_NAME=FAT:FQL_AUDITING_CLIENT_TEMPLATE.FAT&amp;display_string=Audit&amp;VAR:KEY=HYTYPGHQLC&amp;VAR:QUERY=RkZfRElWX1lMRChBTk4sMS8xNi8wMywxLzE2LzAzKQ==&amp;WINDOW=FIRST_POPUP&amp;HEIGHT=450&amp;WIDTH=450&amp;","START_MAXIMIZED=FALSE&amp;VAR:CALENDAR=US&amp;VAR:SYMBOL=MO&amp;VAR:INDEX=0"}</definedName>
    <definedName name="_952">#REF!</definedName>
    <definedName name="_952__FDSAUDITLINK__" localSheetId="0"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2__FDSAUDITLINK__" hidden="1">{"fdsup://directions/FAT Viewer?action=UPDATE&amp;creator=factset&amp;DYN_ARGS=TRUE&amp;DOC_NAME=FAT:FQL_AUDITING_CLIENT_TEMPLATE.FAT&amp;display_string=Audit&amp;VAR:KEY=NYJORUTMVU&amp;VAR:QUERY=RkZfRElWX1lMRChBTk4sMS8wOS8wMywxLzA5LzAzKQ==&amp;WINDOW=FIRST_POPUP&amp;HEIGHT=450&amp;WIDTH=450&amp;","START_MAXIMIZED=FALSE&amp;VAR:CALENDAR=US&amp;VAR:SYMBOL=MO&amp;VAR:INDEX=0"}</definedName>
    <definedName name="_953">#REF!</definedName>
    <definedName name="_953__FDSAUDITLINK__" localSheetId="0"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3__FDSAUDITLINK__" hidden="1">{"fdsup://directions/FAT Viewer?action=UPDATE&amp;creator=factset&amp;DYN_ARGS=TRUE&amp;DOC_NAME=FAT:FQL_AUDITING_CLIENT_TEMPLATE.FAT&amp;display_string=Audit&amp;VAR:KEY=BSDINQRYTW&amp;VAR:QUERY=RkZfRElWX1lMRChBTk4sMS8wMi8wMywxLzAyLzAzKQ==&amp;WINDOW=FIRST_POPUP&amp;HEIGHT=450&amp;WIDTH=450&amp;","START_MAXIMIZED=FALSE&amp;VAR:CALENDAR=US&amp;VAR:SYMBOL=MO&amp;VAR:INDEX=0"}</definedName>
    <definedName name="_954">#REF!</definedName>
    <definedName name="_954__FDSAUDITLINK__" localSheetId="0"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4__FDSAUDITLINK__" hidden="1">{"fdsup://directions/FAT Viewer?action=UPDATE&amp;creator=factset&amp;DYN_ARGS=TRUE&amp;DOC_NAME=FAT:FQL_AUDITING_CLIENT_TEMPLATE.FAT&amp;display_string=Audit&amp;VAR:KEY=NKBKXYHMZS&amp;VAR:QUERY=RkZfRElWX1lMRChBTk4sMTIvMjYvMDIsMTIvMjYvMDIp&amp;WINDOW=FIRST_POPUP&amp;HEIGHT=450&amp;WIDTH=450&amp;","START_MAXIMIZED=FALSE&amp;VAR:CALENDAR=US&amp;VAR:SYMBOL=MO&amp;VAR:INDEX=0"}</definedName>
    <definedName name="_955">#REF!</definedName>
    <definedName name="_955__FDSAUDITLINK__" localSheetId="0"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5__FDSAUDITLINK__" hidden="1">{"fdsup://directions/FAT Viewer?action=UPDATE&amp;creator=factset&amp;DYN_ARGS=TRUE&amp;DOC_NAME=FAT:FQL_AUDITING_CLIENT_TEMPLATE.FAT&amp;display_string=Audit&amp;VAR:KEY=POZYDUTMJQ&amp;VAR:QUERY=RkZfRElWX1lMRChBTk4sMTIvMTkvMDIsMTIvMTkvMDIp&amp;WINDOW=FIRST_POPUP&amp;HEIGHT=450&amp;WIDTH=450&amp;","START_MAXIMIZED=FALSE&amp;VAR:CALENDAR=US&amp;VAR:SYMBOL=MO&amp;VAR:INDEX=0"}</definedName>
    <definedName name="_956">#REF!</definedName>
    <definedName name="_956__FDSAUDITLINK__" localSheetId="0"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6__FDSAUDITLINK__" hidden="1">{"fdsup://directions/FAT Viewer?action=UPDATE&amp;creator=factset&amp;DYN_ARGS=TRUE&amp;DOC_NAME=FAT:FQL_AUDITING_CLIENT_TEMPLATE.FAT&amp;display_string=Audit&amp;VAR:KEY=HOVCPOBIHS&amp;VAR:QUERY=RkZfRElWX1lMRChBTk4sMTIvMTIvMDIsMTIvMTIvMDIp&amp;WINDOW=FIRST_POPUP&amp;HEIGHT=450&amp;WIDTH=450&amp;","START_MAXIMIZED=FALSE&amp;VAR:CALENDAR=US&amp;VAR:SYMBOL=MO&amp;VAR:INDEX=0"}</definedName>
    <definedName name="_957">#REF!</definedName>
    <definedName name="_957__FDSAUDITLINK__" localSheetId="0"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7__FDSAUDITLINK__" hidden="1">{"fdsup://directions/FAT Viewer?action=UPDATE&amp;creator=factset&amp;DYN_ARGS=TRUE&amp;DOC_NAME=FAT:FQL_AUDITING_CLIENT_TEMPLATE.FAT&amp;display_string=Audit&amp;VAR:KEY=DARYDKFKJY&amp;VAR:QUERY=RkZfRElWX1lMRChBTk4sMTIvMDUvMDIsMTIvMDUvMDIp&amp;WINDOW=FIRST_POPUP&amp;HEIGHT=450&amp;WIDTH=450&amp;","START_MAXIMIZED=FALSE&amp;VAR:CALENDAR=US&amp;VAR:SYMBOL=MO&amp;VAR:INDEX=0"}</definedName>
    <definedName name="_958">#REF!</definedName>
    <definedName name="_958__FDSAUDITLINK__" localSheetId="0"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8__FDSAUDITLINK__" hidden="1">{"fdsup://directions/FAT Viewer?action=UPDATE&amp;creator=factset&amp;DYN_ARGS=TRUE&amp;DOC_NAME=FAT:FQL_AUDITING_CLIENT_TEMPLATE.FAT&amp;display_string=Audit&amp;VAR:KEY=DYDAVYVQRI&amp;VAR:QUERY=RkZfRElWX1lMRChBTk4sMTEvMjcvMDIsMTEvMjcvMDIp&amp;WINDOW=FIRST_POPUP&amp;HEIGHT=450&amp;WIDTH=450&amp;","START_MAXIMIZED=FALSE&amp;VAR:CALENDAR=US&amp;VAR:SYMBOL=MO&amp;VAR:INDEX=0"}</definedName>
    <definedName name="_959">#REF!</definedName>
    <definedName name="_959__FDSAUDITLINK__" localSheetId="0"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59__FDSAUDITLINK__" hidden="1">{"fdsup://directions/FAT Viewer?action=UPDATE&amp;creator=factset&amp;DYN_ARGS=TRUE&amp;DOC_NAME=FAT:FQL_AUDITING_CLIENT_TEMPLATE.FAT&amp;display_string=Audit&amp;VAR:KEY=FGVKXGTKLA&amp;VAR:QUERY=RkZfRElWX1lMRChBTk4sMTEvMjEvMDIsMTEvMjEvMDIp&amp;WINDOW=FIRST_POPUP&amp;HEIGHT=450&amp;WIDTH=450&amp;","START_MAXIMIZED=FALSE&amp;VAR:CALENDAR=US&amp;VAR:SYMBOL=MO&amp;VAR:INDEX=0"}</definedName>
    <definedName name="_96">#REF!</definedName>
    <definedName name="_96__123Graph_CSUPPLIES_BY_B_U">#REF!</definedName>
    <definedName name="_96__123Graph_DQRE_S_BY_CO.">#REF!</definedName>
    <definedName name="_96__123Graph_ESUPPLIES_BY_B_U">#REF!</definedName>
    <definedName name="_96__123Graph_XQRE_S_BY_TYPE">#REF!</definedName>
    <definedName name="_96__FDSAUDITLINK__" localSheetId="0"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__FDSAUDITLINK__" hidden="1">{"fdsup://directions/FAT Viewer?action=UPDATE&amp;creator=factset&amp;DYN_ARGS=TRUE&amp;DOC_NAME=FAT:FQL_AUDITING_CLIENT_TEMPLATE.FAT&amp;display_string=Audit&amp;VAR:KEY=XIPARWZSLC&amp;VAR:QUERY=RkZfRU5UUlBSX1ZBTF9EQUlMWSgwLCwsLCwnRElMJyk=&amp;WINDOW=FIRST_POPUP&amp;HEIGHT=450&amp;WIDTH=450&amp;","START_MAXIMIZED=FALSE&amp;VAR:CALENDAR=US&amp;VAR:SYMBOL=STZ&amp;VAR:INDEX=0"}</definedName>
    <definedName name="_960">#REF!</definedName>
    <definedName name="_960__FDSAUDITLINK__" localSheetId="0"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0__FDSAUDITLINK__" hidden="1">{"fdsup://directions/FAT Viewer?action=UPDATE&amp;creator=factset&amp;DYN_ARGS=TRUE&amp;DOC_NAME=FAT:FQL_AUDITING_CLIENT_TEMPLATE.FAT&amp;display_string=Audit&amp;VAR:KEY=NQRKHIXUVM&amp;VAR:QUERY=RkZfRElWX1lMRChBTk4sMTEvMTQvMDIsMTEvMTQvMDIp&amp;WINDOW=FIRST_POPUP&amp;HEIGHT=450&amp;WIDTH=450&amp;","START_MAXIMIZED=FALSE&amp;VAR:CALENDAR=US&amp;VAR:SYMBOL=MO&amp;VAR:INDEX=0"}</definedName>
    <definedName name="_961__FDSAUDITLINK__" localSheetId="0"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1__FDSAUDITLINK__" hidden="1">{"fdsup://directions/FAT Viewer?action=UPDATE&amp;creator=factset&amp;DYN_ARGS=TRUE&amp;DOC_NAME=FAT:FQL_AUDITING_CLIENT_TEMPLATE.FAT&amp;display_string=Audit&amp;VAR:KEY=TABEJSZKNS&amp;VAR:QUERY=RkZfRElWX1lMRChBTk4sMTEvMDcvMDIsMTEvMDcvMDIp&amp;WINDOW=FIRST_POPUP&amp;HEIGHT=450&amp;WIDTH=450&amp;","START_MAXIMIZED=FALSE&amp;VAR:CALENDAR=US&amp;VAR:SYMBOL=MO&amp;VAR:INDEX=0"}</definedName>
    <definedName name="_962">#REF!</definedName>
    <definedName name="_962__FDSAUDITLINK__" localSheetId="0"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2__FDSAUDITLINK__" hidden="1">{"fdsup://directions/FAT Viewer?action=UPDATE&amp;creator=factset&amp;DYN_ARGS=TRUE&amp;DOC_NAME=FAT:FQL_AUDITING_CLIENT_TEMPLATE.FAT&amp;display_string=Audit&amp;VAR:KEY=XMPIZQVMBW&amp;VAR:QUERY=RkZfRElWX1lMRChBTk4sMTAvMzEvMDIsMTAvMzEvMDIp&amp;WINDOW=FIRST_POPUP&amp;HEIGHT=450&amp;WIDTH=450&amp;","START_MAXIMIZED=FALSE&amp;VAR:CALENDAR=US&amp;VAR:SYMBOL=MO&amp;VAR:INDEX=0"}</definedName>
    <definedName name="_963">#REF!</definedName>
    <definedName name="_963__FDSAUDITLINK__" localSheetId="0"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3__FDSAUDITLINK__" hidden="1">{"fdsup://directions/FAT Viewer?action=UPDATE&amp;creator=factset&amp;DYN_ARGS=TRUE&amp;DOC_NAME=FAT:FQL_AUDITING_CLIENT_TEMPLATE.FAT&amp;display_string=Audit&amp;VAR:KEY=DKXQJGVULS&amp;VAR:QUERY=RkZfRElWX1lMRChBTk4sMTAvMjQvMDIsMTAvMjQvMDIp&amp;WINDOW=FIRST_POPUP&amp;HEIGHT=450&amp;WIDTH=450&amp;","START_MAXIMIZED=FALSE&amp;VAR:CALENDAR=US&amp;VAR:SYMBOL=MO&amp;VAR:INDEX=0"}</definedName>
    <definedName name="_964__FDSAUDITLINK__" localSheetId="0"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4__FDSAUDITLINK__" hidden="1">{"fdsup://directions/FAT Viewer?action=UPDATE&amp;creator=factset&amp;DYN_ARGS=TRUE&amp;DOC_NAME=FAT:FQL_AUDITING_CLIENT_TEMPLATE.FAT&amp;display_string=Audit&amp;VAR:KEY=LOJGTGNSZW&amp;VAR:QUERY=RkZfRElWX1lMRChBTk4sMTAvMTcvMDIsMTAvMTcvMDIp&amp;WINDOW=FIRST_POPUP&amp;HEIGHT=450&amp;WIDTH=450&amp;","START_MAXIMIZED=FALSE&amp;VAR:CALENDAR=US&amp;VAR:SYMBOL=MO&amp;VAR:INDEX=0"}</definedName>
    <definedName name="_965">#REF!</definedName>
    <definedName name="_965__FDSAUDITLINK__" localSheetId="0"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5__FDSAUDITLINK__" hidden="1">{"fdsup://directions/FAT Viewer?action=UPDATE&amp;creator=factset&amp;DYN_ARGS=TRUE&amp;DOC_NAME=FAT:FQL_AUDITING_CLIENT_TEMPLATE.FAT&amp;display_string=Audit&amp;VAR:KEY=FIPYBATGPU&amp;VAR:QUERY=RkZfRElWX1lMRChBTk4sMTAvMTAvMDIsMTAvMTAvMDIp&amp;WINDOW=FIRST_POPUP&amp;HEIGHT=450&amp;WIDTH=450&amp;","START_MAXIMIZED=FALSE&amp;VAR:CALENDAR=US&amp;VAR:SYMBOL=MO&amp;VAR:INDEX=0"}</definedName>
    <definedName name="_966">#REF!</definedName>
    <definedName name="_966__FDSAUDITLINK__" localSheetId="0"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6__FDSAUDITLINK__" hidden="1">{"fdsup://directions/FAT Viewer?action=UPDATE&amp;creator=factset&amp;DYN_ARGS=TRUE&amp;DOC_NAME=FAT:FQL_AUDITING_CLIENT_TEMPLATE.FAT&amp;display_string=Audit&amp;VAR:KEY=HWHCZCXQRI&amp;VAR:QUERY=RkZfRElWX1lMRChBTk4sMTAvMDMvMDIsMTAvMDMvMDIp&amp;WINDOW=FIRST_POPUP&amp;HEIGHT=450&amp;WIDTH=450&amp;","START_MAXIMIZED=FALSE&amp;VAR:CALENDAR=US&amp;VAR:SYMBOL=MO&amp;VAR:INDEX=0"}</definedName>
    <definedName name="_967__FDSAUDITLINK__" localSheetId="0"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7__FDSAUDITLINK__" hidden="1">{"fdsup://directions/FAT Viewer?action=UPDATE&amp;creator=factset&amp;DYN_ARGS=TRUE&amp;DOC_NAME=FAT:FQL_AUDITING_CLIENT_TEMPLATE.FAT&amp;display_string=Audit&amp;VAR:KEY=JINIXENADY&amp;VAR:QUERY=RkZfRElWX1lMRChBTk4sOS8yNi8wMiw5LzI2LzAyKQ==&amp;WINDOW=FIRST_POPUP&amp;HEIGHT=450&amp;WIDTH=450&amp;","START_MAXIMIZED=FALSE&amp;VAR:CALENDAR=US&amp;VAR:SYMBOL=MO&amp;VAR:INDEX=0"}</definedName>
    <definedName name="_968__FDSAUDITLINK__" localSheetId="0"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8__FDSAUDITLINK__" hidden="1">{"fdsup://directions/FAT Viewer?action=UPDATE&amp;creator=factset&amp;DYN_ARGS=TRUE&amp;DOC_NAME=FAT:FQL_AUDITING_CLIENT_TEMPLATE.FAT&amp;display_string=Audit&amp;VAR:KEY=PQXOLKNSZK&amp;VAR:QUERY=RkZfRElWX1lMRChBTk4sOS8xOS8wMiw5LzE5LzAyKQ==&amp;WINDOW=FIRST_POPUP&amp;HEIGHT=450&amp;WIDTH=450&amp;","START_MAXIMIZED=FALSE&amp;VAR:CALENDAR=US&amp;VAR:SYMBOL=MO&amp;VAR:INDEX=0"}</definedName>
    <definedName name="_969__FDSAUDITLINK__" localSheetId="0"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69__FDSAUDITLINK__" hidden="1">{"fdsup://directions/FAT Viewer?action=UPDATE&amp;creator=factset&amp;DYN_ARGS=TRUE&amp;DOC_NAME=FAT:FQL_AUDITING_CLIENT_TEMPLATE.FAT&amp;display_string=Audit&amp;VAR:KEY=LILUVYFAJI&amp;VAR:QUERY=RkZfRElWX1lMRChBTk4sOS8xMi8wMiw5LzEyLzAyKQ==&amp;WINDOW=FIRST_POPUP&amp;HEIGHT=450&amp;WIDTH=450&amp;","START_MAXIMIZED=FALSE&amp;VAR:CALENDAR=US&amp;VAR:SYMBOL=MO&amp;VAR:INDEX=0"}</definedName>
    <definedName name="_97">#REF!</definedName>
    <definedName name="_97__123Graph_CSUPPLIES_BY_B_U">#REF!</definedName>
    <definedName name="_97__FDSAUDITLINK__" localSheetId="0"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__FDSAUDITLINK__" hidden="1">{"fdsup://directions/FAT Viewer?action=UPDATE&amp;creator=factset&amp;DYN_ARGS=TRUE&amp;DOC_NAME=FAT:FQL_AUDITING_CLIENT_TEMPLATE.FAT&amp;display_string=Audit&amp;VAR:KEY=VUZGVSPYBS&amp;VAR:QUERY=RkZfRU5UUlBSX1ZBTF9EQUlMWSgwLCwsLCwnRElMJyk=&amp;WINDOW=FIRST_POPUP&amp;HEIGHT=450&amp;WIDTH=450&amp;","START_MAXIMIZED=FALSE&amp;VAR:CALENDAR=US&amp;VAR:SYMBOL=COKE&amp;VAR:INDEX=0"}</definedName>
    <definedName name="_970__FDSAUDITLINK__" localSheetId="0"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0__FDSAUDITLINK__" hidden="1">{"fdsup://directions/FAT Viewer?action=UPDATE&amp;creator=factset&amp;DYN_ARGS=TRUE&amp;DOC_NAME=FAT:FQL_AUDITING_CLIENT_TEMPLATE.FAT&amp;display_string=Audit&amp;VAR:KEY=NUZEXQRGLS&amp;VAR:QUERY=RkZfRElWX1lMRChBTk4sOS8wNS8wMiw5LzA1LzAyKQ==&amp;WINDOW=FIRST_POPUP&amp;HEIGHT=450&amp;WIDTH=450&amp;","START_MAXIMIZED=FALSE&amp;VAR:CALENDAR=US&amp;VAR:SYMBOL=MO&amp;VAR:INDEX=0"}</definedName>
    <definedName name="_971">#REF!</definedName>
    <definedName name="_971__FDSAUDITLINK__" localSheetId="0"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1__FDSAUDITLINK__" hidden="1">{"fdsup://directions/FAT Viewer?action=UPDATE&amp;creator=factset&amp;DYN_ARGS=TRUE&amp;DOC_NAME=FAT:FQL_AUDITING_CLIENT_TEMPLATE.FAT&amp;display_string=Audit&amp;VAR:KEY=ZSRABKNUNW&amp;VAR:QUERY=RkZfRElWX1lMRChBTk4sOC8yOS8wMiw4LzI5LzAyKQ==&amp;WINDOW=FIRST_POPUP&amp;HEIGHT=450&amp;WIDTH=450&amp;","START_MAXIMIZED=FALSE&amp;VAR:CALENDAR=US&amp;VAR:SYMBOL=MO&amp;VAR:INDEX=0"}</definedName>
    <definedName name="_972__FDSAUDITLINK__" localSheetId="0"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2__FDSAUDITLINK__" hidden="1">{"fdsup://directions/FAT Viewer?action=UPDATE&amp;creator=factset&amp;DYN_ARGS=TRUE&amp;DOC_NAME=FAT:FQL_AUDITING_CLIENT_TEMPLATE.FAT&amp;display_string=Audit&amp;VAR:KEY=RSZCLWLCRI&amp;VAR:QUERY=RkZfRElWX1lMRChBTk4sOC8yMi8wMiw4LzIyLzAyKQ==&amp;WINDOW=FIRST_POPUP&amp;HEIGHT=450&amp;WIDTH=450&amp;","START_MAXIMIZED=FALSE&amp;VAR:CALENDAR=US&amp;VAR:SYMBOL=MO&amp;VAR:INDEX=0"}</definedName>
    <definedName name="_973">#REF!</definedName>
    <definedName name="_973__FDSAUDITLINK__" localSheetId="0"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3__FDSAUDITLINK__" hidden="1">{"fdsup://directions/FAT Viewer?action=UPDATE&amp;creator=factset&amp;DYN_ARGS=TRUE&amp;DOC_NAME=FAT:FQL_AUDITING_CLIENT_TEMPLATE.FAT&amp;display_string=Audit&amp;VAR:KEY=NANCVIVSNG&amp;VAR:QUERY=RkZfRElWX1lMRChBTk4sOC8xNS8wMiw4LzE1LzAyKQ==&amp;WINDOW=FIRST_POPUP&amp;HEIGHT=450&amp;WIDTH=450&amp;","START_MAXIMIZED=FALSE&amp;VAR:CALENDAR=US&amp;VAR:SYMBOL=MO&amp;VAR:INDEX=0"}</definedName>
    <definedName name="_974__FDSAUDITLINK__" localSheetId="0"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4__FDSAUDITLINK__" hidden="1">{"fdsup://directions/FAT Viewer?action=UPDATE&amp;creator=factset&amp;DYN_ARGS=TRUE&amp;DOC_NAME=FAT:FQL_AUDITING_CLIENT_TEMPLATE.FAT&amp;display_string=Audit&amp;VAR:KEY=JCRKFYTSJY&amp;VAR:QUERY=RkZfRElWX1lMRChBTk4sOC8wOC8wMiw4LzA4LzAyKQ==&amp;WINDOW=FIRST_POPUP&amp;HEIGHT=450&amp;WIDTH=450&amp;","START_MAXIMIZED=FALSE&amp;VAR:CALENDAR=US&amp;VAR:SYMBOL=MO&amp;VAR:INDEX=0"}</definedName>
    <definedName name="_975__FDSAUDITLINK__" localSheetId="0"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5__FDSAUDITLINK__" hidden="1">{"fdsup://directions/FAT Viewer?action=UPDATE&amp;creator=factset&amp;DYN_ARGS=TRUE&amp;DOC_NAME=FAT:FQL_AUDITING_CLIENT_TEMPLATE.FAT&amp;display_string=Audit&amp;VAR:KEY=ZURCFKPAVQ&amp;VAR:QUERY=RkZfRElWX1lMRChBTk4sOC8wMS8wMiw4LzAxLzAyKQ==&amp;WINDOW=FIRST_POPUP&amp;HEIGHT=450&amp;WIDTH=450&amp;","START_MAXIMIZED=FALSE&amp;VAR:CALENDAR=US&amp;VAR:SYMBOL=MO&amp;VAR:INDEX=0"}</definedName>
    <definedName name="_976__FDSAUDITLINK__" localSheetId="0"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6__FDSAUDITLINK__" hidden="1">{"fdsup://directions/FAT Viewer?action=UPDATE&amp;creator=factset&amp;DYN_ARGS=TRUE&amp;DOC_NAME=FAT:FQL_AUDITING_CLIENT_TEMPLATE.FAT&amp;display_string=Audit&amp;VAR:KEY=JQFWVKBIBS&amp;VAR:QUERY=RkZfRElWX1lMRChBTk4sNy8yNS8wMiw3LzI1LzAyKQ==&amp;WINDOW=FIRST_POPUP&amp;HEIGHT=450&amp;WIDTH=450&amp;","START_MAXIMIZED=FALSE&amp;VAR:CALENDAR=US&amp;VAR:SYMBOL=MO&amp;VAR:INDEX=0"}</definedName>
    <definedName name="_977">#REF!</definedName>
    <definedName name="_977__FDSAUDITLINK__" localSheetId="0"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7__FDSAUDITLINK__" hidden="1">{"fdsup://directions/FAT Viewer?action=UPDATE&amp;creator=factset&amp;DYN_ARGS=TRUE&amp;DOC_NAME=FAT:FQL_AUDITING_CLIENT_TEMPLATE.FAT&amp;display_string=Audit&amp;VAR:KEY=JEFQRKBUNM&amp;VAR:QUERY=RkZfRElWX1lMRChBTk4sNy8xOC8wMiw3LzE4LzAyKQ==&amp;WINDOW=FIRST_POPUP&amp;HEIGHT=450&amp;WIDTH=450&amp;","START_MAXIMIZED=FALSE&amp;VAR:CALENDAR=US&amp;VAR:SYMBOL=MO&amp;VAR:INDEX=0"}</definedName>
    <definedName name="_978__FDSAUDITLINK__" localSheetId="0"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8__FDSAUDITLINK__" hidden="1">{"fdsup://directions/FAT Viewer?action=UPDATE&amp;creator=factset&amp;DYN_ARGS=TRUE&amp;DOC_NAME=FAT:FQL_AUDITING_CLIENT_TEMPLATE.FAT&amp;display_string=Audit&amp;VAR:KEY=BMBCXARCLQ&amp;VAR:QUERY=RkZfRElWX1lMRChBTk4sNy8xMS8wMiw3LzExLzAyKQ==&amp;WINDOW=FIRST_POPUP&amp;HEIGHT=450&amp;WIDTH=450&amp;","START_MAXIMIZED=FALSE&amp;VAR:CALENDAR=US&amp;VAR:SYMBOL=MO&amp;VAR:INDEX=0"}</definedName>
    <definedName name="_979__FDSAUDITLINK__" localSheetId="0"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79__FDSAUDITLINK__" hidden="1">{"fdsup://directions/FAT Viewer?action=UPDATE&amp;creator=factset&amp;DYN_ARGS=TRUE&amp;DOC_NAME=FAT:FQL_AUDITING_CLIENT_TEMPLATE.FAT&amp;display_string=Audit&amp;VAR:KEY=LOPUNODIRQ&amp;VAR:QUERY=RkZfRElWX1lMRChBTk4sNy8wMy8wMiw3LzAzLzAyKQ==&amp;WINDOW=FIRST_POPUP&amp;HEIGHT=450&amp;WIDTH=450&amp;","START_MAXIMIZED=FALSE&amp;VAR:CALENDAR=US&amp;VAR:SYMBOL=MO&amp;VAR:INDEX=0"}</definedName>
    <definedName name="_98">#REF!</definedName>
    <definedName name="_98__FDSAUDITLINK__" localSheetId="0"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__FDSAUDITLINK__" hidden="1">{"fdsup://directions/FAT Viewer?action=UPDATE&amp;creator=factset&amp;DYN_ARGS=TRUE&amp;DOC_NAME=FAT:FQL_AUDITING_CLIENT_TEMPLATE.FAT&amp;display_string=Audit&amp;VAR:KEY=JEREPMFYFW&amp;VAR:QUERY=RkZfRU5UUlBSX1ZBTF9EQUlMWSgwLCwsLCwnRElMJyk=&amp;WINDOW=FIRST_POPUP&amp;HEIGHT=450&amp;WIDTH=450&amp;","START_MAXIMIZED=FALSE&amp;VAR:CALENDAR=US&amp;VAR:SYMBOL=11563720&amp;VAR:INDEX=0"}</definedName>
    <definedName name="_980__FDSAUDITLINK__" localSheetId="0"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0__FDSAUDITLINK__" hidden="1">{"fdsup://directions/FAT Viewer?action=UPDATE&amp;creator=factset&amp;DYN_ARGS=TRUE&amp;DOC_NAME=FAT:FQL_AUDITING_CLIENT_TEMPLATE.FAT&amp;display_string=Audit&amp;VAR:KEY=RYFCDWLOLC&amp;VAR:QUERY=RkZfRElWX1lMRChBTk4sNi8yNy8wMiw2LzI3LzAyKQ==&amp;WINDOW=FIRST_POPUP&amp;HEIGHT=450&amp;WIDTH=450&amp;","START_MAXIMIZED=FALSE&amp;VAR:CALENDAR=US&amp;VAR:SYMBOL=MO&amp;VAR:INDEX=0"}</definedName>
    <definedName name="_981__FDSAUDITLINK__" localSheetId="0"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1__FDSAUDITLINK__" hidden="1">{"fdsup://directions/FAT Viewer?action=UPDATE&amp;creator=factset&amp;DYN_ARGS=TRUE&amp;DOC_NAME=FAT:FQL_AUDITING_CLIENT_TEMPLATE.FAT&amp;display_string=Audit&amp;VAR:KEY=LMREBODORK&amp;VAR:QUERY=RkZfRElWX1lMRChBTk4sNi8yMC8wMiw2LzIwLzAyKQ==&amp;WINDOW=FIRST_POPUP&amp;HEIGHT=450&amp;WIDTH=450&amp;","START_MAXIMIZED=FALSE&amp;VAR:CALENDAR=US&amp;VAR:SYMBOL=MO&amp;VAR:INDEX=0"}</definedName>
    <definedName name="_982">#REF!</definedName>
    <definedName name="_982__FDSAUDITLINK__" localSheetId="0"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2__FDSAUDITLINK__" hidden="1">{"fdsup://directions/FAT Viewer?action=UPDATE&amp;creator=factset&amp;DYN_ARGS=TRUE&amp;DOC_NAME=FAT:FQL_AUDITING_CLIENT_TEMPLATE.FAT&amp;display_string=Audit&amp;VAR:KEY=BINMHWZQZA&amp;VAR:QUERY=RkZfRElWX1lMRChBTk4sNi8xMy8wMiw2LzEzLzAyKQ==&amp;WINDOW=FIRST_POPUP&amp;HEIGHT=450&amp;WIDTH=450&amp;","START_MAXIMIZED=FALSE&amp;VAR:CALENDAR=US&amp;VAR:SYMBOL=MO&amp;VAR:INDEX=0"}</definedName>
    <definedName name="_983">#REF!</definedName>
    <definedName name="_983__FDSAUDITLINK__" localSheetId="0"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3__FDSAUDITLINK__" hidden="1">{"fdsup://directions/FAT Viewer?action=UPDATE&amp;creator=factset&amp;DYN_ARGS=TRUE&amp;DOC_NAME=FAT:FQL_AUDITING_CLIENT_TEMPLATE.FAT&amp;display_string=Audit&amp;VAR:KEY=NIRUTOTQHA&amp;VAR:QUERY=RkZfRElWX1lMRChBTk4sNi8wNi8wMiw2LzA2LzAyKQ==&amp;WINDOW=FIRST_POPUP&amp;HEIGHT=450&amp;WIDTH=450&amp;","START_MAXIMIZED=FALSE&amp;VAR:CALENDAR=US&amp;VAR:SYMBOL=MO&amp;VAR:INDEX=0"}</definedName>
    <definedName name="_984">#REF!</definedName>
    <definedName name="_984__FDSAUDITLINK__" localSheetId="0"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4__FDSAUDITLINK__" hidden="1">{"fdsup://directions/FAT Viewer?action=UPDATE&amp;creator=factset&amp;DYN_ARGS=TRUE&amp;DOC_NAME=FAT:FQL_AUDITING_CLIENT_TEMPLATE.FAT&amp;display_string=Audit&amp;VAR:KEY=NYLGDMHCFI&amp;VAR:QUERY=RkZfRElWX1lMRChBTk4sNS8zMC8wMiw1LzMwLzAyKQ==&amp;WINDOW=FIRST_POPUP&amp;HEIGHT=450&amp;WIDTH=450&amp;","START_MAXIMIZED=FALSE&amp;VAR:CALENDAR=US&amp;VAR:SYMBOL=MO&amp;VAR:INDEX=0"}</definedName>
    <definedName name="_985">#REF!</definedName>
    <definedName name="_985__FDSAUDITLINK__" localSheetId="0"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5__FDSAUDITLINK__" hidden="1">{"fdsup://directions/FAT Viewer?action=UPDATE&amp;creator=factset&amp;DYN_ARGS=TRUE&amp;DOC_NAME=FAT:FQL_AUDITING_CLIENT_TEMPLATE.FAT&amp;display_string=Audit&amp;VAR:KEY=VONGNOBKNG&amp;VAR:QUERY=RkZfRElWX1lMRChBTk4sNS8yMy8wMiw1LzIzLzAyKQ==&amp;WINDOW=FIRST_POPUP&amp;HEIGHT=450&amp;WIDTH=450&amp;","START_MAXIMIZED=FALSE&amp;VAR:CALENDAR=US&amp;VAR:SYMBOL=MO&amp;VAR:INDEX=0"}</definedName>
    <definedName name="_986">#REF!</definedName>
    <definedName name="_986__FDSAUDITLINK__" localSheetId="0"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6__FDSAUDITLINK__" hidden="1">{"fdsup://directions/FAT Viewer?action=UPDATE&amp;creator=factset&amp;DYN_ARGS=TRUE&amp;DOC_NAME=FAT:FQL_AUDITING_CLIENT_TEMPLATE.FAT&amp;display_string=Audit&amp;VAR:KEY=LYNEDETSNM&amp;VAR:QUERY=RkZfRElWX1lMRChBTk4sNS8xNi8wMiw1LzE2LzAyKQ==&amp;WINDOW=FIRST_POPUP&amp;HEIGHT=450&amp;WIDTH=450&amp;","START_MAXIMIZED=FALSE&amp;VAR:CALENDAR=US&amp;VAR:SYMBOL=MO&amp;VAR:INDEX=0"}</definedName>
    <definedName name="_987">#REF!</definedName>
    <definedName name="_987__FDSAUDITLINK__" localSheetId="0"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7__FDSAUDITLINK__" hidden="1">{"fdsup://directions/FAT Viewer?action=UPDATE&amp;creator=factset&amp;DYN_ARGS=TRUE&amp;DOC_NAME=FAT:FQL_AUDITING_CLIENT_TEMPLATE.FAT&amp;display_string=Audit&amp;VAR:KEY=ZAZIXMZSHO&amp;VAR:QUERY=RkZfRElWX1lMRChBTk4sNS8wOS8wMiw1LzA5LzAyKQ==&amp;WINDOW=FIRST_POPUP&amp;HEIGHT=450&amp;WIDTH=450&amp;","START_MAXIMIZED=FALSE&amp;VAR:CALENDAR=US&amp;VAR:SYMBOL=MO&amp;VAR:INDEX=0"}</definedName>
    <definedName name="_988">#REF!</definedName>
    <definedName name="_988__FDSAUDITLINK__" localSheetId="0"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8__FDSAUDITLINK__" hidden="1">{"fdsup://directions/FAT Viewer?action=UPDATE&amp;creator=factset&amp;DYN_ARGS=TRUE&amp;DOC_NAME=FAT:FQL_AUDITING_CLIENT_TEMPLATE.FAT&amp;display_string=Audit&amp;VAR:KEY=RCVSXSTINW&amp;VAR:QUERY=RkZfRElWX1lMRChBTk4sNS8wMi8wMiw1LzAyLzAyKQ==&amp;WINDOW=FIRST_POPUP&amp;HEIGHT=450&amp;WIDTH=450&amp;","START_MAXIMIZED=FALSE&amp;VAR:CALENDAR=US&amp;VAR:SYMBOL=MO&amp;VAR:INDEX=0"}</definedName>
    <definedName name="_989">#REF!</definedName>
    <definedName name="_989__FDSAUDITLINK__" localSheetId="0"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89__FDSAUDITLINK__" hidden="1">{"fdsup://directions/FAT Viewer?action=UPDATE&amp;creator=factset&amp;DYN_ARGS=TRUE&amp;DOC_NAME=FAT:FQL_AUDITING_CLIENT_TEMPLATE.FAT&amp;display_string=Audit&amp;VAR:KEY=PIFALWVQBA&amp;VAR:QUERY=RkZfRElWX1lMRChBTk4sNC8yNS8wMiw0LzI1LzAyKQ==&amp;WINDOW=FIRST_POPUP&amp;HEIGHT=450&amp;WIDTH=450&amp;","START_MAXIMIZED=FALSE&amp;VAR:CALENDAR=US&amp;VAR:SYMBOL=MO&amp;VAR:INDEX=0"}</definedName>
    <definedName name="_99">#REF!</definedName>
    <definedName name="_99__123Graph_XSUPPLIES_BY_B_U">#REF!</definedName>
    <definedName name="_99__FDSAUDITLINK__" localSheetId="0"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__FDSAUDITLINK__" hidden="1">{"fdsup://directions/FAT Viewer?action=UPDATE&amp;creator=factset&amp;DYN_ARGS=TRUE&amp;DOC_NAME=FAT:FQL_AUDITING_CLIENT_TEMPLATE.FAT&amp;display_string=Audit&amp;VAR:KEY=HKXUZYZAZK&amp;VAR:QUERY=RkZfRUJJVERBX09QRVIoQU5OLDIwMTEp&amp;WINDOW=FIRST_POPUP&amp;HEIGHT=450&amp;WIDTH=450&amp;START_MAXIMI","ZED=FALSE&amp;VAR:CALENDAR=US&amp;VAR:SYMBOL=GMCR&amp;VAR:INDEX=0"}</definedName>
    <definedName name="_990">#REF!</definedName>
    <definedName name="_990__FDSAUDITLINK__" localSheetId="0"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0__FDSAUDITLINK__" hidden="1">{"fdsup://directions/FAT Viewer?action=UPDATE&amp;creator=factset&amp;DYN_ARGS=TRUE&amp;DOC_NAME=FAT:FQL_AUDITING_CLIENT_TEMPLATE.FAT&amp;display_string=Audit&amp;VAR:KEY=VMHITCPSPW&amp;VAR:QUERY=RkZfRElWX1lMRChBTk4sNC8xOC8wMiw0LzE4LzAyKQ==&amp;WINDOW=FIRST_POPUP&amp;HEIGHT=450&amp;WIDTH=450&amp;","START_MAXIMIZED=FALSE&amp;VAR:CALENDAR=US&amp;VAR:SYMBOL=MO&amp;VAR:INDEX=0"}</definedName>
    <definedName name="_991">#REF!</definedName>
    <definedName name="_991__FDSAUDITLINK__" localSheetId="0"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1__FDSAUDITLINK__" hidden="1">{"fdsup://directions/FAT Viewer?action=UPDATE&amp;creator=factset&amp;DYN_ARGS=TRUE&amp;DOC_NAME=FAT:FQL_AUDITING_CLIENT_TEMPLATE.FAT&amp;display_string=Audit&amp;VAR:KEY=TWZAFGNSTC&amp;VAR:QUERY=RkZfRElWX1lMRChBTk4sNC8xMS8wMiw0LzExLzAyKQ==&amp;WINDOW=FIRST_POPUP&amp;HEIGHT=450&amp;WIDTH=450&amp;","START_MAXIMIZED=FALSE&amp;VAR:CALENDAR=US&amp;VAR:SYMBOL=MO&amp;VAR:INDEX=0"}</definedName>
    <definedName name="_992">#REF!</definedName>
    <definedName name="_992__FDSAUDITLINK__" localSheetId="0"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2__FDSAUDITLINK__" hidden="1">{"fdsup://directions/FAT Viewer?action=UPDATE&amp;creator=factset&amp;DYN_ARGS=TRUE&amp;DOC_NAME=FAT:FQL_AUDITING_CLIENT_TEMPLATE.FAT&amp;display_string=Audit&amp;VAR:KEY=NSLKZQDYPQ&amp;VAR:QUERY=RkZfRElWX1lMRChBTk4sNC8wNC8wMiw0LzA0LzAyKQ==&amp;WINDOW=FIRST_POPUP&amp;HEIGHT=450&amp;WIDTH=450&amp;","START_MAXIMIZED=FALSE&amp;VAR:CALENDAR=US&amp;VAR:SYMBOL=MO&amp;VAR:INDEX=0"}</definedName>
    <definedName name="_993">#REF!</definedName>
    <definedName name="_993__FDSAUDITLINK__" localSheetId="0"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3__FDSAUDITLINK__" hidden="1">{"fdsup://directions/FAT Viewer?action=UPDATE&amp;creator=factset&amp;DYN_ARGS=TRUE&amp;DOC_NAME=FAT:FQL_AUDITING_CLIENT_TEMPLATE.FAT&amp;display_string=Audit&amp;VAR:KEY=FETKBMROJU&amp;VAR:QUERY=RkZfRElWX1lMRChBTk4sMy8yOC8wMiwzLzI4LzAyKQ==&amp;WINDOW=FIRST_POPUP&amp;HEIGHT=450&amp;WIDTH=450&amp;","START_MAXIMIZED=FALSE&amp;VAR:CALENDAR=US&amp;VAR:SYMBOL=MO&amp;VAR:INDEX=0"}</definedName>
    <definedName name="_994">#REF!</definedName>
    <definedName name="_994__FDSAUDITLINK__" localSheetId="0"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4__FDSAUDITLINK__" hidden="1">{"fdsup://directions/FAT Viewer?action=UPDATE&amp;creator=factset&amp;DYN_ARGS=TRUE&amp;DOC_NAME=FAT:FQL_AUDITING_CLIENT_TEMPLATE.FAT&amp;display_string=Audit&amp;VAR:KEY=HCRMDKPCNI&amp;VAR:QUERY=RkZfRElWX1lMRChBTk4sMy8yMS8wMiwzLzIxLzAyKQ==&amp;WINDOW=FIRST_POPUP&amp;HEIGHT=450&amp;WIDTH=450&amp;","START_MAXIMIZED=FALSE&amp;VAR:CALENDAR=US&amp;VAR:SYMBOL=MO&amp;VAR:INDEX=0"}</definedName>
    <definedName name="_995">#REF!</definedName>
    <definedName name="_995__FDSAUDITLINK__" localSheetId="0"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5__FDSAUDITLINK__" hidden="1">{"fdsup://directions/FAT Viewer?action=UPDATE&amp;creator=factset&amp;DYN_ARGS=TRUE&amp;DOC_NAME=FAT:FQL_AUDITING_CLIENT_TEMPLATE.FAT&amp;display_string=Audit&amp;VAR:KEY=VOZEDMHWPI&amp;VAR:QUERY=RkZfRElWX1lMRChBTk4sMy8xNC8wMiwzLzE0LzAyKQ==&amp;WINDOW=FIRST_POPUP&amp;HEIGHT=450&amp;WIDTH=450&amp;","START_MAXIMIZED=FALSE&amp;VAR:CALENDAR=US&amp;VAR:SYMBOL=MO&amp;VAR:INDEX=0"}</definedName>
    <definedName name="_996">#REF!</definedName>
    <definedName name="_996__FDSAUDITLINK__" localSheetId="0"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6__FDSAUDITLINK__" hidden="1">{"fdsup://directions/FAT Viewer?action=UPDATE&amp;creator=factset&amp;DYN_ARGS=TRUE&amp;DOC_NAME=FAT:FQL_AUDITING_CLIENT_TEMPLATE.FAT&amp;display_string=Audit&amp;VAR:KEY=RMJGTORAPW&amp;VAR:QUERY=RkZfRElWX1lMRChBTk4sMy8wNy8wMiwzLzA3LzAyKQ==&amp;WINDOW=FIRST_POPUP&amp;HEIGHT=450&amp;WIDTH=450&amp;","START_MAXIMIZED=FALSE&amp;VAR:CALENDAR=US&amp;VAR:SYMBOL=MO&amp;VAR:INDEX=0"}</definedName>
    <definedName name="_997">#REF!</definedName>
    <definedName name="_997__FDSAUDITLINK__" localSheetId="0"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7__FDSAUDITLINK__" hidden="1">{"fdsup://directions/FAT Viewer?action=UPDATE&amp;creator=factset&amp;DYN_ARGS=TRUE&amp;DOC_NAME=FAT:FQL_AUDITING_CLIENT_TEMPLATE.FAT&amp;display_string=Audit&amp;VAR:KEY=BEJSXMTKFG&amp;VAR:QUERY=RkZfRElWX1lMRChBTk4sMi8yOC8wMiwyLzI4LzAyKQ==&amp;WINDOW=FIRST_POPUP&amp;HEIGHT=450&amp;WIDTH=450&amp;","START_MAXIMIZED=FALSE&amp;VAR:CALENDAR=US&amp;VAR:SYMBOL=MO&amp;VAR:INDEX=0"}</definedName>
    <definedName name="_998">#REF!</definedName>
    <definedName name="_998__FDSAUDITLINK__" localSheetId="0"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8__FDSAUDITLINK__" hidden="1">{"fdsup://directions/FAT Viewer?action=UPDATE&amp;creator=factset&amp;DYN_ARGS=TRUE&amp;DOC_NAME=FAT:FQL_AUDITING_CLIENT_TEMPLATE.FAT&amp;display_string=Audit&amp;VAR:KEY=XWZAZCNGDC&amp;VAR:QUERY=RkZfRElWX1lMRChBTk4sMi8yMS8wMiwyLzIxLzAyKQ==&amp;WINDOW=FIRST_POPUP&amp;HEIGHT=450&amp;WIDTH=450&amp;","START_MAXIMIZED=FALSE&amp;VAR:CALENDAR=US&amp;VAR:SYMBOL=MO&amp;VAR:INDEX=0"}</definedName>
    <definedName name="_999">#REF!</definedName>
    <definedName name="_999__FDSAUDITLINK__" localSheetId="0"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99__FDSAUDITLINK__" hidden="1">{"fdsup://directions/FAT Viewer?action=UPDATE&amp;creator=factset&amp;DYN_ARGS=TRUE&amp;DOC_NAME=FAT:FQL_AUDITING_CLIENT_TEMPLATE.FAT&amp;display_string=Audit&amp;VAR:KEY=DCZKLIZWNU&amp;VAR:QUERY=RkZfRElWX1lMRChBTk4sMi8xNC8wMiwyLzE0LzAyKQ==&amp;WINDOW=FIRST_POPUP&amp;HEIGHT=450&amp;WIDTH=450&amp;","START_MAXIMIZED=FALSE&amp;VAR:CALENDAR=US&amp;VAR:SYMBOL=MO&amp;VAR:INDEX=0"}</definedName>
    <definedName name="_9S" hidden="1">#REF!</definedName>
    <definedName name="_9s11_" hidden="1">{#N/A,#N/A,FALSE,"UNIT";#N/A,#N/A,FALSE,"UNIT";#N/A,#N/A,FALSE,"계정"}</definedName>
    <definedName name="_9s13_" hidden="1">{#N/A,#N/A,FALSE,"UNIT";#N/A,#N/A,FALSE,"UNIT";#N/A,#N/A,FALSE,"계정"}</definedName>
    <definedName name="_9s14_" hidden="1">{#N/A,#N/A,FALSE,"UNIT";#N/A,#N/A,FALSE,"UNIT";#N/A,#N/A,FALSE,"계정"}</definedName>
    <definedName name="_9Table2_" hidden="1">#REF!</definedName>
    <definedName name="_a">#REF!</definedName>
    <definedName name="_a_1">#REF!</definedName>
    <definedName name="_a_4">#REF!</definedName>
    <definedName name="_a01" hidden="1">{#N/A,#N/A,FALSE,"Aging Summary";#N/A,#N/A,FALSE,"Ratio Analysis";#N/A,#N/A,FALSE,"Test 120 Day Accts";#N/A,#N/A,FALSE,"Tickmarks"}</definedName>
    <definedName name="_a1">{"'1-TheatreBkgs'!$A$1:$L$102"}</definedName>
    <definedName name="_A2" hidden="1">#REF!</definedName>
    <definedName name="_A20000">#REF!</definedName>
    <definedName name="_A3" hidden="1">{#N/A,#N/A,TRUE,"Summary";#N/A,#N/A,TRUE,"Description";#N/A,#N/A,TRUE,"AstLst";#N/A,#N/A,TRUE,"CshFlow";#N/A,#N/A,TRUE,"Inc-Stmt";#N/A,#N/A,TRUE,"B-Sht"}</definedName>
    <definedName name="_A65536">#REF!</definedName>
    <definedName name="_A65537">#REF!</definedName>
    <definedName name="_A65538">#REF!</definedName>
    <definedName name="_a665536">#REF!</definedName>
    <definedName name="_A9" hidden="1">#REF!</definedName>
    <definedName name="_aa1" hidden="1">{#N/A,#N/A,FALSE,"Aging Summary";#N/A,#N/A,FALSE,"Ratio Analysis";#N/A,#N/A,FALSE,"Test 120 Day Accts";#N/A,#N/A,FALSE,"Tickmarks"}</definedName>
    <definedName name="_aa1_3">#REF!</definedName>
    <definedName name="_aaa1" hidden="1">{#N/A,#N/A,FALSE,"REPORT"}</definedName>
    <definedName name="_aaa2" hidden="1">{#N/A,#N/A,FALSE,"Aging Summary";#N/A,#N/A,FALSE,"Ratio Analysis";#N/A,#N/A,FALSE,"Test 120 Day Accts";#N/A,#N/A,FALSE,"Tickmarks"}</definedName>
    <definedName name="_aaa2_3">#REF!</definedName>
    <definedName name="_aas1" hidden="1">{#N/A,#N/A,FALSE,"REPORT"}</definedName>
    <definedName name="_ab">{0}</definedName>
    <definedName name="_acc1">#REF!</definedName>
    <definedName name="_acc2">#REF!</definedName>
    <definedName name="_ACK1">#REF!</definedName>
    <definedName name="_ACK2">#REF!</definedName>
    <definedName name="_ACS2000" hidden="1">{#N/A,#N/A,FALSE,"REPORT"}</definedName>
    <definedName name="_act">1</definedName>
    <definedName name="_act.act">1</definedName>
    <definedName name="_actual">1</definedName>
    <definedName name="_ADD2">#REF!</definedName>
    <definedName name="_adjust">1</definedName>
    <definedName name="_ADS1">#REF!</definedName>
    <definedName name="_age1">#REF!</definedName>
    <definedName name="_ake1">#REF!</definedName>
    <definedName name="_ake2">#REF!</definedName>
    <definedName name="_ake3">#REF!</definedName>
    <definedName name="_AMO_ContentDefinition_299938498">"'Partitions:7'"</definedName>
    <definedName name="_AMO_ContentDefinition_299938498.0">"'&lt;ContentDefinition name=""Import Monthly Mapics Data for FD68"" rsid=""299938498"" type=""StoredProcess"" format=""REPORTXML"" imgfmt=""ACTIVEX"" created=""05/05/2009 23:28:47"" modifed=""05/05/2009 23:28:47"" user=""ANLGR"" apply=""False"" thread='"</definedName>
    <definedName name="_AMO_ContentDefinition_299938498.1">"'""BACKGROUND"" css=""C:\Program Files\SAS\Shared Files\BIClientStyles\AMODefault.css"" range=""Import_Monthly_Mapics_Data_for_FD68"" auto=""False"" rdc=""False"" mig=""False"" xTime=""00:01:04.3490775"" rTime=""00:00:00.4374300"" bgnew=""False"" nF'"</definedName>
    <definedName name="_AMO_ContentDefinition_299938498.2">"'mt=""False"" grphSet=""False"" imgY=""0"" imgX=""0""&gt;_x000D_
  &lt;files /&gt;_x000D_
  &lt;param n=""DisplayName"" v=""Import Monthly Mapics Data for FD68"" /&gt;_x000D_
  &lt;param n=""ServerName"" v=""SASMain"" /&gt;_x000D_
  &lt;param n=""ResultsOnServer"" v=""False"" /&gt;_x000D_
  &lt;param n=""AMO'"</definedName>
    <definedName name="_AMO_ContentDefinition_299938498.3">"'_Version"" v=""2.1"" /&gt;_x000D_
  &lt;param n=""UIParameter_0"" v=""analysis::ACTUAL"" /&gt;_x000D_
  &lt;param n=""UIParameter_1"" v=""period::200904"" /&gt;_x000D_
  &lt;param n=""UIParameter_2"" v=""cycle::Vestas2"" /&gt;_x000D_
  &lt;param n=""UIParameter_3"" v=""acttype::1"" /&gt;_x000D_
  &lt;param '"</definedName>
    <definedName name="_AMO_ContentDefinition_299938498.4">"'n=""UIParameter_4"" v=""fd::68"" /&gt;_x000D_
  &lt;param n=""UIParameter_5"" v=""country::GB"" /&gt;_x000D_
  &lt;param n=""UIParameter_6"" v=""currency::GBP"" /&gt;_x000D_
  &lt;param n=""UIParameter_7"" v=""schema::AMFLIBC"" /&gt;_x000D_
  &lt;param n=""UIParameter_8"" v=""butype::PBU"" /&gt;_x000D_
  &lt;'"</definedName>
    <definedName name="_AMO_ContentDefinition_299938498.5">"'param n=""UIParameters"" v=""9"" /&gt;_x000D_
  &lt;param n=""StoredProcessID"" v=""A5OM1V0E.AY0006ZW"" /&gt;_x000D_
  &lt;param n=""StoredProcessPath"" v=""Monthly Data Load/Vestas BU Tower/Import Monthly Mapics Data for FD68"" /&gt;_x000D_
  &lt;param n=""RepositoryName"" v=""Foundat'"</definedName>
    <definedName name="_AMO_ContentDefinition_299938498.6">"'ion"" /&gt;_x000D_
  &lt;param n=""ClassName"" v=""SAS.OfficeAddin.StoredProcess"" /&gt;_x000D_
  &lt;param n=""NoVisuals"" v=""1"" /&gt;_x000D_
&lt;/ContentDefinition&gt;'"</definedName>
    <definedName name="_AMO_ContentDefinition_307689594">"'Partitions:7'"</definedName>
    <definedName name="_AMO_ContentDefinition_307689594.0">"'&lt;ContentDefinition name=""CF Import (weekly) for Vestas Towers"" rsid=""307689594"" type=""StoredProcess"" format=""REPORTXML"" imgfmt=""ACTIVEX"" created=""07/28/2006 11:13:58"" modifed=""07/28/2006 11:13:58"" user=""trje"" apply=""False"" thread='"</definedName>
    <definedName name="_AMO_ContentDefinition_307689594.1">"'""BACKGROUND"" css=""C:\Program Files\SAS\Shared Files\BIClientStyles\AMODefault.css"" range=""CF_Import__weekly__for_Vestas_Towers"" auto=""False"" rdc=""False"" mig=""False"" xTime=""00:01:22.6932152"" rTime=""00:00:00.2658443"" bgnew=""False"" n'"</definedName>
    <definedName name="_AMO_ContentDefinition_307689594.2">"'Fmt=""False"" grphSet=""False"" imgY=""0"" imgX=""0""&gt;_x000D_
  &lt;files /&gt;_x000D_
  &lt;param n=""DisplayName"" v=""CF Import (weekly) for Vestas Towers"" /&gt;_x000D_
  &lt;param n=""ServerName"" v=""SASMain"" /&gt;_x000D_
  &lt;param n=""ResultsOnServer"" v=""False"" /&gt;_x000D_
  &lt;param n=""A'"</definedName>
    <definedName name="_AMO_ContentDefinition_307689594.3">"'MO_Version"" v=""2.1"" /&gt;_x000D_
  &lt;param n=""UIParameter_0"" v=""analysis::CFR"" /&gt;_x000D_
  &lt;param n=""UIParameter_1"" v=""period::w30-2006"" /&gt;_x000D_
  &lt;param n=""UIParameter_2"" v=""location::\\rifile\group\_Docs\Financial_reporting\Towers\Local Finance\"" /&gt;_x000D_
  '"</definedName>
    <definedName name="_AMO_ContentDefinition_307689594.4">"'&lt;param n=""UIParameter_3"" v=""cycle::Vestas_CF"" /&gt;_x000D_
  &lt;param n=""UIParameter_4"" v=""actiontype::1"" /&gt;_x000D_
  &lt;param n=""UIParameters"" v=""5"" /&gt;_x000D_
  &lt;param n=""StoredProcessID"" v=""A5GF11T9.AR0012L1"" /&gt;_x000D_
  &lt;param n=""StoredProcessPath"" v=""Cash Flo'"</definedName>
    <definedName name="_AMO_ContentDefinition_307689594.5">"'w Reporting/Vestas BU CF Towers/CF Import (weekly) for Vestas Towers"" /&gt;_x000D_
  &lt;param n=""RepositoryName"" v=""Detail Data Store"" /&gt;_x000D_
  &lt;param n=""ClassName"" v=""SAS.OfficeAddin.StoredProcess"" /&gt;_x000D_
  &lt;param n=""NoVisuals"" v=""1"" /&gt;_x000D_
&lt;/Conte'"</definedName>
    <definedName name="_AMO_ContentDefinition_307689594.6">"'ntDefinition&gt;'"</definedName>
    <definedName name="_AMO_ContentDefinition_437249378">"'Partitions:7'"</definedName>
    <definedName name="_AMO_ContentDefinition_437249378.0">"'&lt;ContentDefinition name=""Import Monthly Mapics Data for FD67"" rsid=""437249378"" type=""StoredProcess"" format=""REPORTXML"" imgfmt=""ACTIVEX"" created=""05/05/2009 23:27:27"" modifed=""05/05/2009 23:27:27"" user=""ANLGR"" apply=""False"" thread='"</definedName>
    <definedName name="_AMO_ContentDefinition_437249378.1">"'""BACKGROUND"" css=""C:\Program Files\SAS\Shared Files\BIClientStyles\AMODefault.css"" range=""Import_Monthly_Mapics_Data_for_FD67_2"" auto=""False"" rdc=""False"" mig=""False"" xTime=""00:01:10.6449450"" rTime=""00:00:00.6873900"" bgnew=""False"" n'"</definedName>
    <definedName name="_AMO_ContentDefinition_437249378.2">"'Fmt=""False"" grphSet=""False"" imgY=""0"" imgX=""0""&gt;_x000D_
  &lt;files /&gt;_x000D_
  &lt;param n=""DisplayName"" v=""Import Monthly Mapics Data for FD67"" /&gt;_x000D_
  &lt;param n=""ServerName"" v=""SASMain"" /&gt;_x000D_
  &lt;param n=""ResultsOnServer"" v=""False"" /&gt;_x000D_
  &lt;param n=""AM'"</definedName>
    <definedName name="_AMO_ContentDefinition_437249378.3">"'O_Version"" v=""2.1"" /&gt;_x000D_
  &lt;param n=""UIParameter_0"" v=""analysis::ACTUAL"" /&gt;_x000D_
  &lt;param n=""UIParameter_1"" v=""period::200904"" /&gt;_x000D_
  &lt;param n=""UIParameter_2"" v=""cycle::Vestas2"" /&gt;_x000D_
  &lt;param n=""UIParameter_3"" v=""acttype::1"" /&gt;_x000D_
  &lt;param'"</definedName>
    <definedName name="_AMO_ContentDefinition_437249378.4">"' n=""UIParameter_4"" v=""fd::67"" /&gt;_x000D_
  &lt;param n=""UIParameter_5"" v=""country::DK"" /&gt;_x000D_
  &lt;param n=""UIParameter_6"" v=""currency::DKK"" /&gt;_x000D_
  &lt;param n=""UIParameter_7"" v=""schema::AMFLIBL"" /&gt;_x000D_
  &lt;param n=""UIParameter_8"" v=""butype::PBU"" /&gt;_x000D_
  '"</definedName>
    <definedName name="_AMO_ContentDefinition_437249378.5">"'&lt;param n=""UIParameters"" v=""9"" /&gt;_x000D_
  &lt;param n=""StoredProcessID"" v=""A5OM1V0E.AY0006ZV"" /&gt;_x000D_
  &lt;param n=""StoredProcessPath"" v=""Monthly Data Load/Vestas BU Tower/Import Monthly Mapics Data for FD67"" /&gt;_x000D_
  &lt;param n=""RepositoryName"" v=""Founda'"</definedName>
    <definedName name="_AMO_ContentDefinition_437249378.6">"'tion"" /&gt;_x000D_
  &lt;param n=""ClassName"" v=""SAS.OfficeAddin.StoredProcess"" /&gt;_x000D_
  &lt;param n=""NoVisuals"" v=""1"" /&gt;_x000D_
&lt;/ContentDefinition&gt;'"</definedName>
    <definedName name="_AMO_ContentDefinition_448845425">"'Partitions:7'"</definedName>
    <definedName name="_AMO_ContentDefinition_448845425.0">"'&lt;ContentDefinition name=""Import RFC for Vestas Mediterranean"" rsid=""448845425"" type=""StoredProcess"" format=""REPORTXML"" imgfmt=""ACTIVEX"" created=""10/12/2008 15:09:57"" modifed=""10/12/2008 15:09:57"" user=""Zsuzsanna Fodor"" apply=""False""'"</definedName>
    <definedName name="_AMO_ContentDefinition_448845425.1">"' thread=""BACKGROUND"" css=""C:\Program Files\SAS\Shared Files\BIClientStyles\AMODefault.css"" range=""Import_RFC_for_Vestas_Mediterranean"" auto=""False"" rdc=""False"" mig=""False"" xTime=""00:01:32.0053340"" rTime=""00:00:00.2811708"" bgnew=""Fa'"</definedName>
    <definedName name="_AMO_ContentDefinition_448845425.2">"'lse"" nFmt=""False"" grphSet=""False"" imgY=""0"" imgX=""0""&gt;_x000D_
  &lt;files /&gt;_x000D_
  &lt;param n=""DisplayName"" v=""Import RFC for Vestas Mediterranean"" /&gt;_x000D_
  &lt;param n=""ServerName"" v=""SASMain"" /&gt;_x000D_
  &lt;param n=""ResultsOnServer"" v=""False"" /&gt;_x000D_
  &lt;para'"</definedName>
    <definedName name="_AMO_ContentDefinition_448845425.3">"'m n=""AMO_Version"" v=""2.1"" /&gt;_x000D_
  &lt;param n=""UIParameter_0"" v=""analysis::RFC3"" /&gt;_x000D_
  &lt;param n=""UIParameter_1"" v=""period::200808"" /&gt;_x000D_
  &lt;param n=""UIParameter_2"" v=""cycle::Vestas2"" /&gt;_x000D_
  &lt;param n=""UIParameter_3"" v=""acttype::1"" /&gt;_x000D_
  &lt;p'"</definedName>
    <definedName name="_AMO_ContentDefinition_448845425.4">"'aram n=""UIParameter_4"" v=""location::\\rifile\group\_Docs\Financial_reporting\Mediterranean\Local Finance\"" /&gt;_x000D_
  &lt;param n=""UIParameter_5"" v=""budgettype::FIN"" /&gt;_x000D_
  &lt;param n=""UIParameter_6"" v=""butype::SBU"" /&gt;_x000D_
  &lt;param n=""UIParameters"" '"</definedName>
    <definedName name="_AMO_ContentDefinition_448845425.5">"'v=""7"" /&gt;_x000D_
  &lt;param n=""StoredProcessID"" v=""A5OM1V0E.AY0035FM"" /&gt;_x000D_
  &lt;param n=""StoredProcessPath"" v=""Monthly Data Load/Vestas Mediterranean/Import RFC for Vestas Mediterranean"" /&gt;_x000D_
  &lt;param n=""RepositoryName"" v=""Foundation"" /&gt;_x000D_
  &lt;param '"</definedName>
    <definedName name="_AMO_ContentDefinition_448845425.6">"'n=""ClassName"" v=""SAS.OfficeAddin.StoredProcess"" /&gt;_x000D_
  &lt;param n=""NoVisuals"" v=""1"" /&gt;_x000D_
&lt;/ContentDefinition&gt;'"</definedName>
    <definedName name="_AMO_ContentDefinition_740954670">"'Partitions:7'"</definedName>
    <definedName name="_AMO_ContentDefinition_740954670.0">"'&lt;ContentDefinition name=""Import Estimate Package for Vestas BU Blades"" rsid=""740954670"" type=""StoredProcess"" format=""REPORTXML"" imgfmt=""ACTIVEX"" created=""10/18/2006 14:11:12"" modifed=""10/18/2006 14:11:12"" user=""Martin Holst Jacobsen""'"</definedName>
    <definedName name="_AMO_ContentDefinition_740954670.1">"' apply=""False"" thread=""BACKGROUND"" css=""C:\Program Files\SAS\Shared Files\BIClientStyles\AMODefault.css"" range=""Import_Estimate_Package_for_Vestas_BU_Blades"" auto=""False"" rdc=""False"" mig=""False"" xTime=""00:00:56.2067115"" rTime=""00:00:'"</definedName>
    <definedName name="_AMO_ContentDefinition_740954670.2">"'00.4404444"" bgnew=""False"" nFmt=""False"" grphSet=""False"" imgY=""0"" imgX=""0""&gt;_x000D_
  &lt;files /&gt;_x000D_
  &lt;param n=""DisplayName"" v=""Import Estimate Package for Vestas BU Blades"" /&gt;_x000D_
  &lt;param n=""ServerName"" v=""SASMain"" /&gt;_x000D_
  &lt;param n=""ResultsOnS'"</definedName>
    <definedName name="_AMO_ContentDefinition_740954670.3">"'erver"" v=""False"" /&gt;_x000D_
  &lt;param n=""AMO_Version"" v=""2.1"" /&gt;_x000D_
  &lt;param n=""UIParameter_0"" v=""analysis::EST1"" /&gt;_x000D_
  &lt;param n=""UIParameter_1"" v=""period_start::200609"" /&gt;_x000D_
  &lt;param n=""UIParameter_2"" v=""period_end::200612"" /&gt;_x000D_
  &lt;param n='"</definedName>
    <definedName name="_AMO_ContentDefinition_740954670.4">"'""UIParameter_3"" v=""location::\\rifile\group\_Docs\Financial_reporting\Blades\Local Finance\"" /&gt;_x000D_
  &lt;param n=""UIParameter_4"" v=""cycle::Vestas"" /&gt;_x000D_
  &lt;param n=""UIParameter_5"" v=""actiontype::1"" /&gt;_x000D_
  &lt;param n=""UIParameters"" v=""6"" /&gt;_x000D_
  &lt;'"</definedName>
    <definedName name="_AMO_ContentDefinition_740954670.5">"'param n=""StoredProcessID"" v=""A5GF11T9.AR000RS1"" /&gt;_x000D_
  &lt;param n=""StoredProcessPath"" v=""Monthly Data Load/Vestas BU Blades/Import Estimate Package for Vestas BU Blades"" /&gt;_x000D_
  &lt;param n=""RepositoryName"" v=""Detail Data Store"" /&gt;_x000D_
  &lt;param n='"</definedName>
    <definedName name="_AMO_ContentDefinition_740954670.6">"'""ClassName"" v=""SAS.OfficeAddin.StoredProcess"" /&gt;_x000D_
  &lt;param n=""NoVisuals"" v=""1"" /&gt;_x000D_
&lt;/ContentDefinition&gt;'"</definedName>
    <definedName name="_AMO_ContentDefinition_767791925">"'Partitions:7'"</definedName>
    <definedName name="_AMO_ContentDefinition_767791925.0">"'&lt;ContentDefinition name=""Import Monthly Mapics Data for FD67"" rsid=""767791925"" type=""StoredProcess"" format=""REPORTXML"" imgfmt=""ACTIVEX"" created=""07/07/2008 13:05:28"" modifed=""07/07/2008 13:05:28"" user=""ANLGR"" apply=""False"" thread='"</definedName>
    <definedName name="_AMO_ContentDefinition_767791925.1">"'""BACKGROUND"" css=""C:\Program Files\SAS\Shared Files\BIClientStyles\AMODefault.css"" range=""Import_Monthly_Mapics_Data_for_FD67"" auto=""False"" rdc=""False"" mig=""False"" xTime=""00:03:01.2112534"" rTime=""00:00:00.5158032"" bgnew=""False"" nF'"</definedName>
    <definedName name="_AMO_ContentDefinition_767791925.2">"'mt=""False"" grphSet=""False"" imgY=""0"" imgX=""0""&gt;_x000D_
  &lt;files /&gt;_x000D_
  &lt;param n=""DisplayName"" v=""Import Monthly Mapics Data for FD67"" /&gt;_x000D_
  &lt;param n=""ServerName"" v=""SASMain"" /&gt;_x000D_
  &lt;param n=""ResultsOnServer"" v=""False"" /&gt;_x000D_
  &lt;param n=""AMO'"</definedName>
    <definedName name="_AMO_ContentDefinition_767791925.3">"'_Version"" v=""2.1"" /&gt;_x000D_
  &lt;param n=""UIParameter_0"" v=""analysis::ACTUAL"" /&gt;_x000D_
  &lt;param n=""UIParameter_1"" v=""period::200806"" /&gt;_x000D_
  &lt;param n=""UIParameter_2"" v=""cycle::Vestas2"" /&gt;_x000D_
  &lt;param n=""UIParameter_3"" v=""acttype::1"" /&gt;_x000D_
  &lt;param '"</definedName>
    <definedName name="_AMO_ContentDefinition_767791925.4">"'n=""UIParameter_4"" v=""fd::67"" /&gt;_x000D_
  &lt;param n=""UIParameter_5"" v=""country::DK"" /&gt;_x000D_
  &lt;param n=""UIParameter_6"" v=""currency::DKK"" /&gt;_x000D_
  &lt;param n=""UIParameter_7"" v=""schema::AMFLIBL"" /&gt;_x000D_
  &lt;param n=""UIParameters"" v=""8"" /&gt;_x000D_
  &lt;param n=""'"</definedName>
    <definedName name="_AMO_ContentDefinition_767791925.5">"'StoredProcessID"" v=""A5OM1V0E.AY0006ZV"" /&gt;_x000D_
  &lt;param n=""StoredProcessPath"" v=""Monthly Data Load/Vestas BU Tower/Import Monthly Mapics Data for FD67"" /&gt;_x000D_
  &lt;param n=""RepositoryName"" v=""Foundation"" /&gt;_x000D_
  &lt;param n=""ClassName"" v=""SAS.OfficeAd'"</definedName>
    <definedName name="_AMO_ContentDefinition_767791925.6">"'din.StoredProcess"" /&gt;_x000D_
  &lt;param n=""NoVisuals"" v=""1"" /&gt;_x000D_
&lt;/ContentDefinition&gt;'"</definedName>
    <definedName name="_AMO_XmlVersion">"'1'"</definedName>
    <definedName name="_AMT13300">#N/A</definedName>
    <definedName name="_AMT13502">#N/A</definedName>
    <definedName name="_AMT41301">#N/A</definedName>
    <definedName name="_AMT85116">#N/A</definedName>
    <definedName name="_AMT85125">#N/A</definedName>
    <definedName name="_AMT86106">#N/A</definedName>
    <definedName name="_ann">1</definedName>
    <definedName name="_Ann2">#REF!</definedName>
    <definedName name="_annual">1</definedName>
    <definedName name="_APG1">#REF!</definedName>
    <definedName name="_APG2">#REF!</definedName>
    <definedName name="_APP1">#REF!</definedName>
    <definedName name="_APS2">clra1b1,clra1b2,clra1b3,clra1b4,clra1b5,clra1b6,clra1b7,clra1b8</definedName>
    <definedName name="_aps4">Indexn1,IndexN2</definedName>
    <definedName name="_AR70000">#REF!</definedName>
    <definedName name="_ARB51">#REF!</definedName>
    <definedName name="_ARE1">#REF!</definedName>
    <definedName name="_ARE2">#REF!</definedName>
    <definedName name="_as1">#REF!</definedName>
    <definedName name="_AS2">#REF!</definedName>
    <definedName name="_as3">#REF!</definedName>
    <definedName name="_AS4">#REF!</definedName>
    <definedName name="_as6">#REF!</definedName>
    <definedName name="_AS7">#REF!</definedName>
    <definedName name="_ASS1">#REF!</definedName>
    <definedName name="_ASS2">#REF!</definedName>
    <definedName name="_atmat">2</definedName>
    <definedName name="_atmaturity">2</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sList">20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1</definedName>
    <definedName name="_AtRisk_SimSetting_StdRecalcWithoutRiskStatic">0</definedName>
    <definedName name="_AtRisk_SimSetting_StdRecalcWithoutRiskStaticPercentile">0.5</definedName>
    <definedName name="_aud02">#REF!</definedName>
    <definedName name="_aud03">#REF!</definedName>
    <definedName name="_aud04">#REF!</definedName>
    <definedName name="_b">#REF!</definedName>
    <definedName name="_b1">#REF!</definedName>
    <definedName name="_B10">#NAME?</definedName>
    <definedName name="_B11">#NAME?</definedName>
    <definedName name="_B12">#NAME?</definedName>
    <definedName name="_B13">#NAME?</definedName>
    <definedName name="_B14">#NAME?</definedName>
    <definedName name="_B15">#NAME?</definedName>
    <definedName name="_B16">#NAME?</definedName>
    <definedName name="_B17">#NAME?</definedName>
    <definedName name="_B18">#NAME?</definedName>
    <definedName name="_B19">#NAME?</definedName>
    <definedName name="_B20">#NAME?</definedName>
    <definedName name="_B21">#NAME?</definedName>
    <definedName name="_B22">#NAME?</definedName>
    <definedName name="_B23">#NAME?</definedName>
    <definedName name="_B24">#NAME?</definedName>
    <definedName name="_B25">#NAME?</definedName>
    <definedName name="_B26">#NAME?</definedName>
    <definedName name="_B27">#NAME?</definedName>
    <definedName name="_B28">#NAME?</definedName>
    <definedName name="_B29">#NAME?</definedName>
    <definedName name="_B30">#NAME?</definedName>
    <definedName name="_B31">#NAME?</definedName>
    <definedName name="_B32">#NAME?</definedName>
    <definedName name="_B33">#NAME?</definedName>
    <definedName name="_B34">#NAME?</definedName>
    <definedName name="_B35">#NAME?</definedName>
    <definedName name="_B36">#NAME?</definedName>
    <definedName name="_B37">#NAME?</definedName>
    <definedName name="_B38">#NAME?</definedName>
    <definedName name="_B39">#NAME?</definedName>
    <definedName name="_B4">#NAME?</definedName>
    <definedName name="_B40">#NAME?</definedName>
    <definedName name="_B41">#NAME?</definedName>
    <definedName name="_B42">#NAME?</definedName>
    <definedName name="_B43">#NAME?</definedName>
    <definedName name="_B44">#NAME?</definedName>
    <definedName name="_B45">#NAME?</definedName>
    <definedName name="_B46">#NAME?</definedName>
    <definedName name="_B47">#NAME?</definedName>
    <definedName name="_B48">#NAME?</definedName>
    <definedName name="_B49">#NAME?</definedName>
    <definedName name="_B50">#NAME?</definedName>
    <definedName name="_B51">#NAME?</definedName>
    <definedName name="_B52">#NAME?</definedName>
    <definedName name="_B53">#NAME?</definedName>
    <definedName name="_B54">#NAME?</definedName>
    <definedName name="_B55">#NAME?</definedName>
    <definedName name="_B56">#NAME?</definedName>
    <definedName name="_B57">#NAME?</definedName>
    <definedName name="_B58">#NAME?</definedName>
    <definedName name="_B59">#NAME?</definedName>
    <definedName name="_B60">#NAME?</definedName>
    <definedName name="_B61">#NAME?</definedName>
    <definedName name="_B62">#NAME?</definedName>
    <definedName name="_B63">#NAME?</definedName>
    <definedName name="_B64">#NAME?</definedName>
    <definedName name="_B65">#NAME?</definedName>
    <definedName name="_B66">#NAME?</definedName>
    <definedName name="_B67">#NAME?</definedName>
    <definedName name="_B68">#NAME?</definedName>
    <definedName name="_B69">#NAME?</definedName>
    <definedName name="_B7">#NAME?</definedName>
    <definedName name="_B70">#NAME?</definedName>
    <definedName name="_B71">#NAME?</definedName>
    <definedName name="_B72">#NAME?</definedName>
    <definedName name="_B73">#NAME?</definedName>
    <definedName name="_B74">#NAME?</definedName>
    <definedName name="_B75">#NAME?</definedName>
    <definedName name="_B76">#NAME?</definedName>
    <definedName name="_B77">#NAME?</definedName>
    <definedName name="_B78">#NAME?</definedName>
    <definedName name="_B79">#NAME?</definedName>
    <definedName name="_B8">#NAME?</definedName>
    <definedName name="_B80">#NAME?</definedName>
    <definedName name="_B81">#NAME?</definedName>
    <definedName name="_B82">#NAME?</definedName>
    <definedName name="_B83">#NAME?</definedName>
    <definedName name="_B84">#NAME?</definedName>
    <definedName name="_B85">#NAME?</definedName>
    <definedName name="_B86">#NAME?</definedName>
    <definedName name="_B87">#NAME?</definedName>
    <definedName name="_B88">#NAME?</definedName>
    <definedName name="_B89">#NAME?</definedName>
    <definedName name="_B9">#NAME?</definedName>
    <definedName name="_B90">#NAME?</definedName>
    <definedName name="_B91">#NAME?</definedName>
    <definedName name="_B92">#NAME?</definedName>
    <definedName name="_bdm.01510172dfd24dc3a9224d37fa7f7abf.edm" hidden="1">#REF!</definedName>
    <definedName name="_bdm.015d350c97164838bed45269b7106fff.edm" hidden="1">#REF!</definedName>
    <definedName name="_bdm.02665F06EA934A20B1E803C2DDB75270.edm">#REF!</definedName>
    <definedName name="_bdm.04a9eb4eff2b4367a5b3701d82505a22.edm" hidden="1">#REF!</definedName>
    <definedName name="_bdm.05410df8118a4db684b638448fb85eef.edm" hidden="1">#REF!</definedName>
    <definedName name="_bdm.062EF52D32C54A01A34B1C1351B53347.edm">#REF!</definedName>
    <definedName name="_bdm.06a37c9b0b0b4c4ea71f60d5a3a4c2ac.edm" hidden="1">#REF!</definedName>
    <definedName name="_bdm.0739195d489f42239483a8a135bacfd8.edm" hidden="1">#REF!</definedName>
    <definedName name="_bdm.07f0d056ba514c568a87775485b00326.edm" hidden="1">#REF!</definedName>
    <definedName name="_bdm.0A60D62B329D4783A636470BE1F80856.edm" hidden="1">#REF!</definedName>
    <definedName name="_bdm.0bba4bbf98cd42fca9e286e4cb6e6fba.edm" hidden="1">#REF!</definedName>
    <definedName name="_bdm.0CAC2F37F29C42068B414DDFC28DDE64.edm">#REF!</definedName>
    <definedName name="_bdm.0CF828A1AC8F4209AF9204D7C9E5A8B1.edm">#REF!</definedName>
    <definedName name="_bdm.0da17c744f214659b1f2ddb016ede518.edm" hidden="1">#REF!</definedName>
    <definedName name="_bdm.0e91f806abb94edf800bfb0d5ff6dc3d.edm" hidden="1">#REF!</definedName>
    <definedName name="_bdm.0eeb61623dad4852b9812a6976b27a1c.edm" hidden="1">#REF!</definedName>
    <definedName name="_bdm.0fa956faecc046208219bdbfc02b1166.edm" hidden="1">#REF!</definedName>
    <definedName name="_bdm.10BB0185ABB3452DBD8AA0B8DABBCCF7.edm">#REF!</definedName>
    <definedName name="_bdm.11D4492C9C584DBAB2091024EAD60957.edm">#REF!</definedName>
    <definedName name="_bdm.12b21871e86b45a28899199610b1a67f.edm" hidden="1">#REF!</definedName>
    <definedName name="_bdm.1462D1F6866E41A3A044F1A56EA3B855.edm">#REF!</definedName>
    <definedName name="_bdm.14f267038c574165b9917aa269e953f1.edm" hidden="1">#REF!</definedName>
    <definedName name="_bdm.15344F674DAC4372BB969DB701C6C1F3.edm" hidden="1">#REF!</definedName>
    <definedName name="_bdm.15E9768483504CFEBBB51F7F383E096E.edm">#REF!</definedName>
    <definedName name="_bdm.16af431d05084b94a5d4f1d44499f374.edm" hidden="1">#REF!</definedName>
    <definedName name="_bdm.17dcaf94c47b4219a88eaaa2745416e9.edm" hidden="1">#REF!</definedName>
    <definedName name="_bdm.18AD2AB5771C4B7BA1272ED44341D984.edm">#REF!</definedName>
    <definedName name="_bdm.19EEF9151C374D2196353079864333A0.edm">#REF!</definedName>
    <definedName name="_bdm.1A4C0D04980C4EF7A63C0779AE501BA2.edm">#REF!</definedName>
    <definedName name="_bdm.1aee5f4815364244821c566ea8a72276.edm" hidden="1">#REF!</definedName>
    <definedName name="_bdm.1BF4FED987D94FAAA25169ADA12E6D30.edm">#REF!</definedName>
    <definedName name="_bdm.1C2247337F8F4B3DA483BDD1B9B995EE.edm">#REF!</definedName>
    <definedName name="_bdm.1CA3A5FC9C274BDC9037EFEBA80108E0.edm">#REF!</definedName>
    <definedName name="_bdm.1CFA331290DA421BBFF1821D4F99B64E.edm">#REF!</definedName>
    <definedName name="_bdm.1E55C224DB81434591BC84497AEE6DBC.edm">#REF!</definedName>
    <definedName name="_bdm.20236681f92f4d01b3ae300dfbe6797d.edm" hidden="1">#REF!</definedName>
    <definedName name="_bdm.20C40B20A58A411BA99FA91235E9742A.edm">#REF!</definedName>
    <definedName name="_bdm.20DE47328E584535AA58C2ED2B8E8EB9.edm">#REF!</definedName>
    <definedName name="_bdm.2439351AA1F34104A170E8B5EFADCAAB.edm">#REF!</definedName>
    <definedName name="_bdm.25944eb16ea04d539513157bcf1276ec.edm" hidden="1">#REF!</definedName>
    <definedName name="_bdm.25c941958a9449639448b4532e3eb291.edm" hidden="1">#REF!</definedName>
    <definedName name="_bdm.26458F9AFEAA4212860946D8639A36B4.edm">#REF!</definedName>
    <definedName name="_bdm.2682c2ca665949fd898adcf51f9db2ce.edm">#REF!</definedName>
    <definedName name="_bdm.26A257B4BE774FAE91D8BFFBB622C7AD.edm">#REF!</definedName>
    <definedName name="_bdm.2720ef6d1c9f4e45bc632ea5598dc927.edm" hidden="1">#REF!</definedName>
    <definedName name="_bdm.283487A2CC6E4DCDACB73E5C37010657.edm">#REF!</definedName>
    <definedName name="_bdm.29580b22a2264001bae7ee1b13221627.edm" hidden="1">#REF!</definedName>
    <definedName name="_bdm.2a09bc5d7133442d8019a8acb1ca5a2d.edm" hidden="1">#REF!</definedName>
    <definedName name="_bdm.2CF25057E0124757B5C7DAA4EA5785F9.edm" hidden="1">#REF!</definedName>
    <definedName name="_bdm.2dd3d86ab7884d16835d76cddf6fd04e.edm" hidden="1">#REF!</definedName>
    <definedName name="_bdm.2E67070253AC4974B1CDB39565E63BDB.edm">#REF!</definedName>
    <definedName name="_bdm.2e96be8a3f574f7eb556288c103973c5.edm" hidden="1">#REF!</definedName>
    <definedName name="_bdm.2f32707470934767a2702fd752e78910.edm" hidden="1">#REF!</definedName>
    <definedName name="_bdm.2FA18C54DC30470D82855A54FE40B4FE.edm">#REF!</definedName>
    <definedName name="_bdm.2FD5DCA4DEFA4EE48BAB2BCD14918E2D.edm">#REF!</definedName>
    <definedName name="_bdm.30134c3aa31242f5a5dcdcb26f24cb06.edm">#REF!</definedName>
    <definedName name="_bdm.3085752b0ca04681b838fca653729560.edm" hidden="1">#REF!</definedName>
    <definedName name="_bdm.3316AE9BEDA048BAB3208B1F727E9A21.edm" hidden="1">#REF!</definedName>
    <definedName name="_bdm.335F488DEEE046D98382BA6E174C089C.edm">#REF!</definedName>
    <definedName name="_bdm.35DBC8D3B4784963B3E748D8F1F1570D.edm">#REF!</definedName>
    <definedName name="_bdm.35f6309c48f14dbba8f53ee7ee9c05f8.edm" hidden="1">#REF!</definedName>
    <definedName name="_bdm.375BAE9D8E2644CC9117C57362792B7F.edm">#REF!</definedName>
    <definedName name="_bdm.37d59afc5550468cbd51e1d5ffe71e72.edm">#REF!</definedName>
    <definedName name="_bdm.380e017861814616b6176e104eb2a3de.edm" hidden="1">#REF!</definedName>
    <definedName name="_bdm.397e2a97c49c4e769485b7ff63129339.edm" hidden="1">#REF!</definedName>
    <definedName name="_bdm.3a188ac362d940b48e6c53384650a5dc.edm" hidden="1">#REF!</definedName>
    <definedName name="_bdm.3a60974014f14c1ebd8fd7bd7fe3f6ef.edm">#REF!</definedName>
    <definedName name="_bdm.3ab8607c37af4b7fae50b9183526b203.edm" hidden="1">#REF!</definedName>
    <definedName name="_bdm.3B290B2EE02C47BD9B2FBCC1558E13DB.edm">#REF!</definedName>
    <definedName name="_bdm.3b8c89a13a9d46d2b8d04ee62fbc38ac.edm" hidden="1">#REF!</definedName>
    <definedName name="_bdm.3cdb2036832e4fca923d4958906cec0c.edm" hidden="1">#REF!</definedName>
    <definedName name="_bdm.3d0a31612f1946fd943a15cb6d7a2eb1.edm" hidden="1">#REF!</definedName>
    <definedName name="_bdm.3eecefc111bb4bc9af8978628cb09fc0.edm" hidden="1">#REF!</definedName>
    <definedName name="_bdm.3f950de4e3324f0ca1e34f1589b0011e.edm" hidden="1">#REF!</definedName>
    <definedName name="_bdm.407A51D123424AB091758281699CC08C.edm">#REF!</definedName>
    <definedName name="_bdm.4145e553f9304fc5be872dec684df13b.edm" hidden="1">#REF!</definedName>
    <definedName name="_bdm.418B65C02AEF4B8BA6FA42ABAB16E64D.edm">#REF!</definedName>
    <definedName name="_bdm.41d880326066473c8e54f5a46ea289bf.edm" hidden="1">#REF!</definedName>
    <definedName name="_bdm.42AE3EBD27D147FDABB67EB233BAFD95.edm">#REF!</definedName>
    <definedName name="_bdm.42D49B6AEB394C389B4EA97D16AC3184.edm">#REF!</definedName>
    <definedName name="_bdm.4454265818E74C69A225A20AAA4F4656.edm">#REF!</definedName>
    <definedName name="_bdm.455dc5f4071d4020bc9f59a7fbc2f40a.edm" hidden="1">#REF!</definedName>
    <definedName name="_bdm.489fff1b4f0e418c8c972c8f4731ad6c.edm" hidden="1">#REF!</definedName>
    <definedName name="_bdm.4ABC6C0D2219420D95C9563CEBD27FB2.edm">#REF!</definedName>
    <definedName name="_bdm.4b5e6eeda3e341139fed783453c7f6ac.edm" hidden="1">#REF!</definedName>
    <definedName name="_bdm.4b9e1ad59ca54dc5aaf8c1ec5fa3ed8f.edm" hidden="1">#REF!</definedName>
    <definedName name="_bdm.4bb4f0b896ab40788730494d6e8c6da3.edm" hidden="1">#REF!</definedName>
    <definedName name="_bdm.4C80658EA5F34DD1B691976450F099F6.edm">#REF!</definedName>
    <definedName name="_bdm.4C8F04B2AD6B4B3DB0FF7CCC35C55ACE.edm" hidden="1">#REF!</definedName>
    <definedName name="_bdm.4CDC5ABA7CE94B668EE345591BD8B6EF.edm" hidden="1">#REF!</definedName>
    <definedName name="_bdm.4e5b65cc11e4473ea1c3b7df20bd860c.edm" hidden="1">#REF!</definedName>
    <definedName name="_bdm.4e9b6855fd9543a29b0f67c254f96c75.edm" hidden="1">#REF!</definedName>
    <definedName name="_bdm.50DEE54132694B458EAAAE075382B021.edm" hidden="1">#REF!</definedName>
    <definedName name="_bdm.5334ccb6b5424be28a334925e2e017b7.edm" hidden="1">#REF!</definedName>
    <definedName name="_bdm.53b7760c7da846b1b0d16e6ccd097c86.edm">#REF!</definedName>
    <definedName name="_bdm.5477EA5F36C84694B2B186A6C17FBD13.edm">#REF!</definedName>
    <definedName name="_bdm.54ad434920744a019b47ffbf20de7997.edm" hidden="1">#REF!</definedName>
    <definedName name="_bdm.5505200cec774c80b3a9665e4c740cdb.edm" hidden="1">#REF!</definedName>
    <definedName name="_bdm.555dc938daf84b5b957ac0eeb6e86d45.edm" hidden="1">#REF!</definedName>
    <definedName name="_bdm.55D035A2BF204907BDE3CFC6E0CC8FBA.edm">#REF!</definedName>
    <definedName name="_bdm.55da6f0cec9648b9a0edeb132913dca0.edm" hidden="1">#REF!</definedName>
    <definedName name="_bdm.56e590ef5c744348b49353f2f1d808a9.edm" hidden="1">#REF!</definedName>
    <definedName name="_bdm.5713891331ad42a69d984a9211bbbc3e.edm" hidden="1">#REF!</definedName>
    <definedName name="_bdm.57dbc2be95614a19add563085dde4cff.edm" hidden="1">#REF!</definedName>
    <definedName name="_bdm.58da177ef7d948f48388127f94d8449d.edm">#REF!</definedName>
    <definedName name="_bdm.59f409f7e180462892529077f24e598b.edm" hidden="1">#REF!</definedName>
    <definedName name="_bdm.59F8A6A72EFA4324AF519FC5A303D0E4.edm">#REF!</definedName>
    <definedName name="_bdm.5A708A8003C0413E9369690FD2348AC9.edm" hidden="1">#REF!</definedName>
    <definedName name="_bdm.5B090464FD59483ABF4372D079B0E4DC.edm">#REF!</definedName>
    <definedName name="_bdm.5C29758CCB7B4B969F640B363B921588.edm">#REF!</definedName>
    <definedName name="_bdm.5D3245D402EA4CD3BB3F4A2A403078B5.edm">#REF!</definedName>
    <definedName name="_bdm.5D97542C88AE4E69B9D07C0B6F9E9CB6.edm">#REF!</definedName>
    <definedName name="_bdm.5df62b5f9fc945a3b1159c77b44cccd7.edm" hidden="1">#REF!</definedName>
    <definedName name="_bdm.5E109FC41B0A41C9AE5E10BB2DDEACA1.edm">#REF!</definedName>
    <definedName name="_bdm.5e97008df69f4568b2398fbdae705430.edm" hidden="1">#REF!</definedName>
    <definedName name="_bdm.5ED5F7B9993D4928B1CB0A02D6F49FA3.edm">#REF!</definedName>
    <definedName name="_bdm.5F014F8F169C46AF8EB69F35E34B128D.edm">#REF!</definedName>
    <definedName name="_bdm.5FCDBF288A93415ABCA2A8B79A09C88F.edm">#REF!</definedName>
    <definedName name="_bdm.5FFFF0C9CEE8495AA1B494B3FE42554A.edm">#REF!</definedName>
    <definedName name="_bdm.62b4888808e848409e3e5e68a4c35a01.edm" hidden="1">#REF!</definedName>
    <definedName name="_bdm.630740A8A81C41D68FEB09D513C20250.edm">#REF!</definedName>
    <definedName name="_bdm.64345d950df04fcd8609a5420f942b8e.edm" hidden="1">#REF!</definedName>
    <definedName name="_bdm.65246C09959945988DE53249F0AAF0A5.edm" hidden="1">#REF!</definedName>
    <definedName name="_bdm.659f365d838a40a992631ddd9b2ac02c.edm" hidden="1">#REF!</definedName>
    <definedName name="_bdm.682445BB091C47C796526ECEBE959CB3.edm">#REF!</definedName>
    <definedName name="_bdm.68464015892B4215AA87E0851EA5A99C.edm">#REF!</definedName>
    <definedName name="_bdm.68DA193D59F1466C9F9AD4CB5A1D4A00.edm">#REF!</definedName>
    <definedName name="_bdm.695DF6909041435DB809F5203938A072.edm">#REF!</definedName>
    <definedName name="_bdm.6AACD128A9B44902ABDF1063A546C724.edm">#REF!</definedName>
    <definedName name="_bdm.6cbf24af22c2433184aceea1a95fdc7d.edm" hidden="1">#REF!</definedName>
    <definedName name="_bdm.6e34fece3c9b476c90795025cdc7524c.edm" hidden="1">#REF!</definedName>
    <definedName name="_bdm.6E4ADB9E116F43A297C790592AF97227.edm">#REF!</definedName>
    <definedName name="_bdm.7051be3715944f0ebb553bf486abc558.edm" hidden="1">#REF!</definedName>
    <definedName name="_bdm.70807B4BFE28406AA8137925927ECC77.edm">#REF!</definedName>
    <definedName name="_bdm.72FE9FE4DE914F7CB85FC16CE6D4F65F.edm">#REF!</definedName>
    <definedName name="_bdm.73177cf53df44b2898219fddb51cfa0c.edm" hidden="1">#REF!</definedName>
    <definedName name="_bdm.751fd6fceac044c0ae95426e265b77c4.edm" hidden="1">#REF!</definedName>
    <definedName name="_bdm.753c2f50bf50411baeace36da8c084d7.edm" hidden="1">#REF!</definedName>
    <definedName name="_bdm.753ECE07BC294899BF22D91362079460.edm">#REF!</definedName>
    <definedName name="_bdm.75A506C7D7734224BD1791136B3DB7CB.edm">#REF!</definedName>
    <definedName name="_bdm.77cdbe66d0044b8cb5331a45a9b0bb2b.edm" hidden="1">#REF!</definedName>
    <definedName name="_bdm.78AA1250309B46558478C894A8E369E7.edm">#REF!</definedName>
    <definedName name="_bdm.7919C66EA6EE486EB9EBA83FADED3597.edm">#REF!</definedName>
    <definedName name="_bdm.79a795bf2a6d4d91a0b1e37bbff0df99.edm">#REF!</definedName>
    <definedName name="_bdm.7A2E203015C74694BF805A3DDFDECB4E.edm">#REF!</definedName>
    <definedName name="_bdm.7a3f7e76b1584bea8ae66a14a0343c27.edm" hidden="1">#REF!</definedName>
    <definedName name="_bdm.7ba1f7febf1347a2b57d3706fa312dc5.edm">#REF!</definedName>
    <definedName name="_bdm.7bc572984f4a45dc9fc2752ff7ecc65e.edm" hidden="1">#REF!</definedName>
    <definedName name="_bdm.7c7d624972614b22b7488cb76507eadc.edm" hidden="1">#REF!</definedName>
    <definedName name="_bdm.7cb0c0251d7a403e8054b875e00807d6.edm" hidden="1">#REF!</definedName>
    <definedName name="_bdm.7e9c3bb7753b4154b2b2b199923f6c47.edm" hidden="1">#REF!</definedName>
    <definedName name="_bdm.80d1ae572a7049f1a51146cb2f5b47ec.edm" hidden="1">#REF!</definedName>
    <definedName name="_bdm.822498808df9419c9f1f58c1861195c7.edm" hidden="1">#REF!</definedName>
    <definedName name="_bdm.8386598611e54e88a4f38019e2e5e029.edm" hidden="1">#REF!</definedName>
    <definedName name="_bdm.843f07a3880a471995eebe0cfd3eaae0.edm" hidden="1">#REF!</definedName>
    <definedName name="_bdm.84428503DD1947FB8FFE08CD59984351.edm">#REF!</definedName>
    <definedName name="_bdm.84F41A6864454937BB992EA1608FD350.edm">#REF!</definedName>
    <definedName name="_bdm.85046b49d831426388b01dbb995f0862.edm" hidden="1">#REF!</definedName>
    <definedName name="_bdm.86021713c7e84e2492b951aa881bb9f6.edm" hidden="1">#REF!</definedName>
    <definedName name="_bdm.87AFBB18D4C0453294BB682492D6E5ED.edm" hidden="1">#REF!</definedName>
    <definedName name="_bdm.8818AB00CAAF46008E9B022623062D99.edm">#REF!</definedName>
    <definedName name="_bdm.88B3BBA6D0914BF1B1DA6BF03A827957.edm" hidden="1">#REF!</definedName>
    <definedName name="_bdm.89031F59B86643BCAC5B65327984E00F.edm">#REF!</definedName>
    <definedName name="_bdm.8A1728933ED94031BF3BC1B7DB8B78FF.edm">#REF!</definedName>
    <definedName name="_bdm.8A707F64332148BBA2AC8C0A57313786.edm">#REF!</definedName>
    <definedName name="_bdm.8B97B2F4F47D4B5BA9114D5407DCCBAB.edm">#REF!</definedName>
    <definedName name="_bdm.8bbf10b5076f4b0c92096002f66ba0cd.edm" hidden="1">#REF!</definedName>
    <definedName name="_bdm.8be3e23ca80a4f8f95c202ebc92ccbbe.edm" hidden="1">#REF!</definedName>
    <definedName name="_bdm.8da127c2fdd64f7690f8ccbbfdd5af23.edm" hidden="1">#REF!</definedName>
    <definedName name="_bdm.8E3F0A1F2EA349D5A770CD94438674E0.edm">#REF!</definedName>
    <definedName name="_bdm.8eed28f691e24b749852ec221ac68f9f.edm" hidden="1">#REF!</definedName>
    <definedName name="_bdm.91600e3d91374df282fe524a5c8dc8d0.edm" hidden="1">#REF!</definedName>
    <definedName name="_bdm.91787C98D08D4754891C7BE0F0F67346.edm">#REF!</definedName>
    <definedName name="_bdm.91adbec22cd24e2b8b7af2739b50cfb3.edm" hidden="1">#REF!</definedName>
    <definedName name="_bdm.929bc845f09648b1a97de0d9f50e5329.edm" hidden="1">#REF!</definedName>
    <definedName name="_bdm.9596d5eab7cc4253a80a00779c51b44b.edm" hidden="1">#REF!</definedName>
    <definedName name="_bdm.9608CC3EC1324B429C0C56BD76166DA7.edm" hidden="1">#REF!</definedName>
    <definedName name="_bdm.964a742351cf4dc3ba9b63206a94ef09.edm" hidden="1">#REF!</definedName>
    <definedName name="_bdm.97142bded5fd460fb83b096b3be6ca78.edm">#REF!</definedName>
    <definedName name="_bdm.985923176CFE48DEB370183B00CC14FC.edm">#REF!</definedName>
    <definedName name="_bdm.98a8ef25101942b19b26c13fe75f13b1.edm" hidden="1">#REF!</definedName>
    <definedName name="_bdm.99B2BF480BA64E40A10AAF96B3F96D46.edm">#REF!</definedName>
    <definedName name="_bdm.9b1a9067b28548ae8bf119907ca5bb67.edm" hidden="1">#REF!</definedName>
    <definedName name="_bdm.9bbb50593ba947d1b533f7985b80b62b.edm" hidden="1">#REF!</definedName>
    <definedName name="_bdm.9BDFD1F6E2FE42A2AA89001579C225BD.edm">#REF!</definedName>
    <definedName name="_bdm.9C0D1A2894E34BB0AE90D8E6EA7E20E0.edm">#REF!</definedName>
    <definedName name="_bdm.9C141D87F75F4E64B27F6F6129B743FC.edm" hidden="1">#REF!</definedName>
    <definedName name="_bdm.9EEBA27C152444379179E8EB5EABFA08.edm">#REF!</definedName>
    <definedName name="_bdm.9FB5934836FB457EB2A1C48C0F492A88.edm">#REF!</definedName>
    <definedName name="_bdm.A07AE7DB6B174600900B45C883081DEB.edm">#REF!</definedName>
    <definedName name="_bdm.A0AC56D6100F4551B827AFFD2DCF9EDD.edm">#REF!</definedName>
    <definedName name="_bdm.a0e6f71bb15b4af295d98ce740ad5e1e.edm" hidden="1">#REF!</definedName>
    <definedName name="_bdm.A2512AA74A5A400B884FABD69947490E.edm">#REF!</definedName>
    <definedName name="_bdm.a2a23c83c4744e78b86efcb1146d5a34.edm" hidden="1">#REF!</definedName>
    <definedName name="_bdm.a3a3a0412a5b498786eef68de084b689.edm">#REF!</definedName>
    <definedName name="_bdm.a4211db884ba4faf8f919deab3f86320.edm" hidden="1">#REF!</definedName>
    <definedName name="_bdm.a42edff3a0bb4e4eb05a504c41367ffe.edm" hidden="1">#REF!</definedName>
    <definedName name="_bdm.a48d51e841494d1d9091f9d2ab0d3c87.edm" hidden="1">#REF!</definedName>
    <definedName name="_bdm.A57C9A75A79F4D929CA132D38F62391D.edm">#REF!</definedName>
    <definedName name="_bdm.A5C91B9B0FA84656B68091F24C8B9058.edm">#REF!</definedName>
    <definedName name="_bdm.A79C91B1E6CA4E809A935B6F47FEDF63.edm" hidden="1">#REF!</definedName>
    <definedName name="_bdm.A859B772FD94403BA9D5ED9088E4BDE4.edm">#REF!</definedName>
    <definedName name="_bdm.a93281207f7a4ccebc66b67c2ecf2241.edm" hidden="1">#REF!</definedName>
    <definedName name="_bdm.aa43e5881e434c1d89e72cebc18072a1.edm" hidden="1">#REF!</definedName>
    <definedName name="_bdm.aab320a1717a475cad4a18879677edbf.edm" hidden="1">#REF!</definedName>
    <definedName name="_bdm.aab905dd9157438d8e9af00b1016cea0.edm" hidden="1">#REF!</definedName>
    <definedName name="_bdm.AB2026446CF34894A83E47D408515D52.edm">#REF!</definedName>
    <definedName name="_bdm.AD5D554D71C74FBC840701543004FC1E.edm">#REF!</definedName>
    <definedName name="_bdm.ae6dbadc7b7f4de98284a1b61951d21d.edm" hidden="1">#REF!</definedName>
    <definedName name="_bdm.afcc99ea9f2443d7b951db0eff5eb826.edm" hidden="1">#REF!</definedName>
    <definedName name="_bdm.B0AD022A4C0E4DE3AA83E7C852FE4663.edm">#REF!</definedName>
    <definedName name="_bdm.b109721f53084f2790068f5f6d74b8fa.edm" hidden="1">#REF!</definedName>
    <definedName name="_bdm.B27A8D8449324F31982AAEC8285FD41A.edm">#REF!</definedName>
    <definedName name="_bdm.B35E5D501A8F49D3AA60940AF8DDD258.edm">#REF!</definedName>
    <definedName name="_bdm.B4354B5DB6664D47A188245D4BC2EFDF.edm">#REF!</definedName>
    <definedName name="_bdm.b458107040f64434a98e1e9e399cb296.edm" hidden="1">#REF!</definedName>
    <definedName name="_bdm.b5842e8e21cd4ded818caf90acef2717.edm">#REF!</definedName>
    <definedName name="_bdm.B59B0F3533D84FDFB846085F6D318177.edm">#REF!</definedName>
    <definedName name="_bdm.b5dfe2644418454c95a7b2b050de2cd6.edm" hidden="1">#REF!</definedName>
    <definedName name="_bdm.B68BF8B1F5B14F839635F5F456CC0A2F.edm">#REF!</definedName>
    <definedName name="_bdm.B72C2CB674CD4101A7734C2586CC4F4E.edm">#REF!</definedName>
    <definedName name="_bdm.b88cd33ae08e438da8e0920ac9e1c651.edm" hidden="1">#REF!</definedName>
    <definedName name="_bdm.BA53D172C711451EA1478EFEC654508A.edm">#REF!</definedName>
    <definedName name="_bdm.BB8CD8AF17DF419C81EB46AD68F7F790.edm">#REF!</definedName>
    <definedName name="_bdm.bcac1a97b1a84c60925ef53223f04cc5.edm" hidden="1">#REF!</definedName>
    <definedName name="_bdm.bd2f5f09de4c4785abd1490e97fa6032.edm" hidden="1">#REF!</definedName>
    <definedName name="_bdm.bda90a59bc7d4d6b80130559415f3f26.edm" hidden="1">#REF!</definedName>
    <definedName name="_bdm.BF1A982DB8384470BAD6577AF19F9A5E.edm">#REF!</definedName>
    <definedName name="_bdm.bf271d0f6e454be3a19462dcb0f7dc75.edm" hidden="1">#REF!</definedName>
    <definedName name="_bdm.BFCD76F0E28A4F8CA77D65A38F0638C9.edm">#REF!</definedName>
    <definedName name="_bdm.C0862A09612C4F5A8BB4247A1EAA6B7A.edm">#REF!</definedName>
    <definedName name="_bdm.c0a598ee583042fa8aae8628d930705c.edm" hidden="1">#REF!</definedName>
    <definedName name="_bdm.C659E27456FC4B6B988819B3A13198D4.edm">#REF!</definedName>
    <definedName name="_bdm.C71ADA71DFD046DC903D7E64522DA625.edm">#REF!</definedName>
    <definedName name="_bdm.c7dce01fc7bc4a08baf77e678faee63d.edm" hidden="1">#REF!</definedName>
    <definedName name="_bdm.C7E3DBF4FC5348DBA2EF3C146FB240EC.edm">#REF!</definedName>
    <definedName name="_bdm.ca12e2163c164b0aa159a347f64afdca.edm" hidden="1">#REF!</definedName>
    <definedName name="_bdm.ceb47633d7334ee981f18ee42dfa5bb7.edm" hidden="1">#REF!</definedName>
    <definedName name="_bdm.CED223CA94944E0590772B998A035B5E.edm">#REF!</definedName>
    <definedName name="_bdm.CFBED2310C4548578CDDADD5FFDE9910.edm" hidden="1">#REF!</definedName>
    <definedName name="_bdm.D0B68A7969F04C97A8B029359DF0A339.edm" hidden="1">#REF!</definedName>
    <definedName name="_bdm.D0EC491C134B42A3942058952140EEFF.edm" hidden="1">#REF!</definedName>
    <definedName name="_bdm.d40c551c237846a29c5088ee4cc0eff6.edm" hidden="1">#REF!</definedName>
    <definedName name="_bdm.D5985AA729EC4BC49D1997285230851A.edm" hidden="1">#REF!</definedName>
    <definedName name="_bdm.d79647b8c4b94f30bfa1ad9f93f6a839.edm" hidden="1">#REF!</definedName>
    <definedName name="_bdm.D80F2AA88A3347C483E7E19C195EF7F5.edm">#REF!</definedName>
    <definedName name="_bdm.D8AFA08513E64F348DC9A11D7BE83FCB.edm">#REF!</definedName>
    <definedName name="_bdm.D97763A431BC47A188AB7C2F84C57D3E.edm">#REF!</definedName>
    <definedName name="_bdm.D9DBF939337141DF98658D4426EEB22F.edm" hidden="1">#REF!</definedName>
    <definedName name="_bdm.da8cbe49fbce4d9686af199849df7d80.edm">#REF!</definedName>
    <definedName name="_bdm.DCB6CD66B6404AB4A47DF1C188B2931A.edm">#REF!</definedName>
    <definedName name="_bdm.dd87ce7ffe754fc59390125e45ce4c6b.edm" hidden="1">#REF!</definedName>
    <definedName name="_bdm.dfcd7009f3ba4ad18552dd5b0a3f446b.edm" hidden="1">#REF!</definedName>
    <definedName name="_bdm.e00628bcd641458fbd6d7ac5f5155607.edm" hidden="1">#REF!</definedName>
    <definedName name="_bdm.e0341cbd89f04decbed140e793c7f572.edm" hidden="1">#REF!</definedName>
    <definedName name="_bdm.e06e9e91b4ca44c8a51912291caa6604.edm" hidden="1">#REF!</definedName>
    <definedName name="_bdm.E14B133ECA00407D8D33B107D1C2C330.edm">#REF!</definedName>
    <definedName name="_bdm.E15EE00456294B4888EB209DF4AA6C53.edm">#REF!</definedName>
    <definedName name="_bdm.E1A6AC209798444A84CA66786EF438DF.edm">#REF!</definedName>
    <definedName name="_bdm.E1D9B56B27694606B24B6BE4D2FD0850.edm" hidden="1">#REF!</definedName>
    <definedName name="_bdm.E3AA9CAA29C94B47BF58219B6CEA9C20.edm">#REF!</definedName>
    <definedName name="_bdm.E52DCFE423A44BD7B985E061EA809096.edm">#REF!</definedName>
    <definedName name="_bdm.E70757C79F5C4AF9BBB88BC0CA8EBCF1.edm" hidden="1">#REF!</definedName>
    <definedName name="_bdm.E9DD6276FDA94FFEB3AB90FD80238AD0.edm" hidden="1">#REF!</definedName>
    <definedName name="_bdm.EAA5CB7C09994E378F937CFD7D118F1D.edm">#REF!</definedName>
    <definedName name="_bdm.EB2F40C1D483462BB1EEDFBA89484BE7.edm">#REF!</definedName>
    <definedName name="_bdm.EBCB44EAE86645D695157E61F1A386FB.edm" hidden="1">#REF!</definedName>
    <definedName name="_bdm.ECC33FFF23CF4202A56792200E1C9EF5.edm">#REF!</definedName>
    <definedName name="_bdm.ed2dc5b9fb7a42efbf8b6a74fe159b5e.edm" hidden="1">#REF!</definedName>
    <definedName name="_bdm.EDDA0EA6901C47E3A24DEEB36069FC8D.edm">#REF!</definedName>
    <definedName name="_bdm.ee53038d656f4fa0a50c730ad1cedf48.edm" hidden="1">#REF!</definedName>
    <definedName name="_bdm.EF42824857D542F28C87C19B835FEE8C.edm">#REF!</definedName>
    <definedName name="_bdm.efb80740897545e5bb64c2b56503f44e.edm" hidden="1">#REF!</definedName>
    <definedName name="_bdm.efe91f53e0754bf2aa305f168214f719.edm" hidden="1">#REF!</definedName>
    <definedName name="_bdm.efecb67ac29f4efe8b835723f28da6c6.edm" hidden="1">#REF!</definedName>
    <definedName name="_bdm.F575B2B0DB6B46C58D915A3F4DB5A1F1.edm">#REF!</definedName>
    <definedName name="_bdm.F61E427CA90F457FB53CBB41BB34F002.edm">#REF!</definedName>
    <definedName name="_bdm.F679E7DBAD2C4171BA756B22E7C7170B.edm">#REF!</definedName>
    <definedName name="_bdm.f6f4ae0449f34ae585eb1b664a463450.edm" hidden="1">#REF!</definedName>
    <definedName name="_bdm.F992EC2A7FD74DD1B717F838CB27345C.edm">#REF!</definedName>
    <definedName name="_bdm.FAA595CCDBD54C468170478D73040F67.edm" hidden="1">#REF!</definedName>
    <definedName name="_bdm.FastTrackBookmark.1_6_2020_1_52_42_PM.edm" hidden="1">#REF!</definedName>
    <definedName name="_bdm.FastTrackBookmark.12_11_2019_6_18_56_PM.edm" hidden="1">#REF!</definedName>
    <definedName name="_bdm.FastTrackBookmark.12_12_2019_1_12_59_PM.edm" hidden="1">#REF!</definedName>
    <definedName name="_bdm.FastTrackBookmark.12_17_2019_5_55_49_AM.edm" hidden="1">#REF!</definedName>
    <definedName name="_bdm.FastTrackBookmark.12_19_2019_1_46_03_AM.edm" hidden="1">#REF!</definedName>
    <definedName name="_bdm.FastTrackBookmark.12_2_2019_9_29_52_PM.edm" hidden="1">#REF!</definedName>
    <definedName name="_bdm.FastTrackBookmark.2_19_2020_8_51_59_AM.edm" hidden="1">#REF!</definedName>
    <definedName name="_bdm.FastTrackBookmark.2_19_2021_8_25_41_PM.edm" hidden="1">#REF!</definedName>
    <definedName name="_bdm.FastTrackBookmark.2_29_2024_2_09_52_PM.edm" hidden="1">#REF!</definedName>
    <definedName name="_bdm.FastTrackBookmark.2_3_2020_3_26_26_PM.edm" hidden="1">#REF!</definedName>
    <definedName name="_bdm.FastTrackBookmark.6_15_2021_2_38_38_PM.edm" hidden="1">#REF!</definedName>
    <definedName name="_bdm.FastTrackBookmark.6_15_2021_2_39_01_PM.edm" hidden="1">#REF!</definedName>
    <definedName name="_bdm.FastTrackBookmark.8_12_2022_8_55_37_AM.edm" hidden="1">#REF!</definedName>
    <definedName name="_bdm.FastTrackBookmark.9_2_2020_12_10_17_PM.edm" hidden="1">#REF!</definedName>
    <definedName name="_bdm.FD181C0379564996A55E0003F92C61B9.edm">#REF!</definedName>
    <definedName name="_bdm.FDB80B2572814017867A8C2C43C494CE.edm">#REF!</definedName>
    <definedName name="_bdm.FDFAE5F188234DBFA73682FF4C23879A.edm">#REF!</definedName>
    <definedName name="_bdm.FF00BF71100C4E3FB85FFA1A59F9343C.edm">#REF!</definedName>
    <definedName name="_bdm.FF99397BBD21407DB12596C325D869ED.edm" hidden="1">#REF!</definedName>
    <definedName name="_bg2">#REF!</definedName>
    <definedName name="_bg3">#REF!</definedName>
    <definedName name="_bm187184">#REF!</definedName>
    <definedName name="_bond">3</definedName>
    <definedName name="_BQ4.1" hidden="1">#REF!</definedName>
    <definedName name="_BQ4.13" hidden="1">#REF!</definedName>
    <definedName name="_BQ4.14" hidden="1">#REF!</definedName>
    <definedName name="_BQ4.15" hidden="1">#REF!</definedName>
    <definedName name="_BQ4.2"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s1">#REF!</definedName>
    <definedName name="_BU4">#REF!</definedName>
    <definedName name="_c">#REF!</definedName>
    <definedName name="_cad03">#REF!</definedName>
    <definedName name="_cat1">#REF!</definedName>
    <definedName name="_cc1">#REF!</definedName>
    <definedName name="_CCH1">#REF!</definedName>
    <definedName name="_cct1">#REF!</definedName>
    <definedName name="_CmZ61">#REF!</definedName>
    <definedName name="_cnn2">#REF!</definedName>
    <definedName name="_col1">#REF!</definedName>
    <definedName name="_col10">#REF!</definedName>
    <definedName name="_col11">#REF!</definedName>
    <definedName name="_col12">#REF!</definedName>
    <definedName name="_col13">#REF!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cp2000">#REF!</definedName>
    <definedName name="_cp20000">#REF!</definedName>
    <definedName name="_d32">16</definedName>
    <definedName name="_d444">5</definedName>
    <definedName name="_d5">{"'1-TheatreBkgs'!$A$1:$L$102"}</definedName>
    <definedName name="_D6">{"'표지'!$B$5"}</definedName>
    <definedName name="_D7">{"'표지'!$B$5"}</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3">#REF!</definedName>
    <definedName name="_DAT4">#REF!</definedName>
    <definedName name="_DAT5">#REF!</definedName>
    <definedName name="_dat50">#REF!</definedName>
    <definedName name="_DAT6">#REF!</definedName>
    <definedName name="_DAT7">#REF!</definedName>
    <definedName name="_DAT8">#REF!</definedName>
    <definedName name="_DAT9">#REF!</definedName>
    <definedName name="_DCH1">#REF!</definedName>
    <definedName name="_DCH2">#REF!</definedName>
    <definedName name="_DD2">#REF!</definedName>
    <definedName name="_DDD">#REF!</definedName>
    <definedName name="_ddd1">#REF!</definedName>
    <definedName name="_DE2">{"'vert'!$A$1:$T$117"}</definedName>
    <definedName name="_DEC11">{"'OCT  VOIDS'!$A$1:$G$33","'OCT '!$A$1:$G$48","'OCT Adj'!$A$1:$L$37"}</definedName>
    <definedName name="_DEC2">{"'OCT  VOIDS'!$A$1:$G$33","'OCT '!$A$1:$G$48","'OCT Adj'!$A$1:$L$37"}</definedName>
    <definedName name="_DEC3">{"'OCT  VOIDS'!$A$1:$G$33","'OCT '!$A$1:$G$48","'OCT Adj'!$A$1:$L$37"}</definedName>
    <definedName name="_Deepak" hidden="1">#REF!</definedName>
    <definedName name="_default">-1</definedName>
    <definedName name="_dfd1">#REF!</definedName>
    <definedName name="_dfk1">#REF!</definedName>
    <definedName name="_dflt">-1</definedName>
    <definedName name="_dgeTotal">#REF!</definedName>
    <definedName name="_disc">1</definedName>
    <definedName name="_discount">1</definedName>
    <definedName name="_Dist_Bin" hidden="1">#N/A</definedName>
    <definedName name="_Dist_Values" hidden="1">#REF!</definedName>
    <definedName name="_Dist_Values1">#REF!</definedName>
    <definedName name="_Div1">#REF!</definedName>
    <definedName name="_DIVIDEND">#REF!</definedName>
    <definedName name="_djd1">#REF!</definedName>
    <definedName name="_dkj1">#REF!</definedName>
    <definedName name="_dod1">#REF!</definedName>
    <definedName name="_dog1">#REF!</definedName>
    <definedName name="_dontadjust">0</definedName>
    <definedName name="_e">#REF!</definedName>
    <definedName name="_e1">{"'Sheet3'!$CL$329:$CU$335"}</definedName>
    <definedName name="_E144">#REF!</definedName>
    <definedName name="_e360">3</definedName>
    <definedName name="_eom">1</definedName>
    <definedName name="_ET1" hidden="1">{#N/A,#N/A,FALSE,"Pharm";#N/A,#N/A,FALSE,"WWCM"}</definedName>
    <definedName name="_eur03">#REF!</definedName>
    <definedName name="_EXP9192">#REF!</definedName>
    <definedName name="_exr99">115</definedName>
    <definedName name="_EXS8687">#REF!</definedName>
    <definedName name="_EXS8990">#REF!</definedName>
    <definedName name="_f">#REF!</definedName>
    <definedName name="_f3" hidden="1">{"'분양원가'!$B$1:$F$113"}</definedName>
    <definedName name="_fa2">{"'Sheet1'!$A$1:$H$36"}</definedName>
    <definedName name="_FAS115">#REF!</definedName>
    <definedName name="_FAS133">#REF!</definedName>
    <definedName name="_fax2">#N/A</definedName>
    <definedName name="_Feb06">#REF!</definedName>
    <definedName name="_Feb99">#REF!</definedName>
    <definedName name="_Fill">#REF!</definedName>
    <definedName name="_Fill.">#REF!</definedName>
    <definedName name="_Fill_Tambu">#REF!</definedName>
    <definedName name="_FILL1" hidden="1">#REF!</definedName>
    <definedName name="_Fill2">#REF!</definedName>
    <definedName name="_xlnm._FilterDatabase" hidden="1">#REF!</definedName>
    <definedName name="_filterdatabase2">#REF!</definedName>
    <definedName name="_FPD1">#REF!</definedName>
    <definedName name="_FPD2">#REF!</definedName>
    <definedName name="_FRP" hidden="1">{#N/A,#N/A,FALSE,"Title";#N/A,#N/A,FALSE,"Index";#N/A,#N/A,FALSE,"1";#N/A,#N/A,FALSE,"2";#N/A,#N/A,FALSE,"3";#N/A,#N/A,FALSE,"4";#N/A,#N/A,FALSE,"5";#N/A,#N/A,FALSE,"6";#N/A,#N/A,FALSE,"7";#N/A,#N/A,FALSE,"8"}</definedName>
    <definedName name="_FS_R">#REF!</definedName>
    <definedName name="_FST1">#REF!</definedName>
    <definedName name="_full">1</definedName>
    <definedName name="_fullprecision">1</definedName>
    <definedName name="_FY1">#REF!</definedName>
    <definedName name="_g">#REF!</definedName>
    <definedName name="_gbp03">#REF!</definedName>
    <definedName name="_gfg2">#REF!</definedName>
    <definedName name="_gla1"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rp12">#REF!</definedName>
    <definedName name="_Grp13">#REF!</definedName>
    <definedName name="_Grp14">#REF!</definedName>
    <definedName name="_Grp15">#REF!</definedName>
    <definedName name="_Grp2">#REF!</definedName>
    <definedName name="_GSRATES_1">"H2000010120001231GBPEUR1100001"</definedName>
    <definedName name="_GSRATES_10">"CF3000012003033120030101"</definedName>
    <definedName name="_GSRATES_100">"CT300001Latest          "</definedName>
    <definedName name="_GSRATES_11">"CF3000012001102420001024"</definedName>
    <definedName name="_GSRATES_12">"CT30000120011024        "</definedName>
    <definedName name="_GSRATES_13">"CF3000122000123120000101"</definedName>
    <definedName name="_GSRATES_14">"CF3000012000093020000101"</definedName>
    <definedName name="_GSRATES_15">"CT30000120070920        "</definedName>
    <definedName name="_GSRATES_16">"CT30000120030331        "</definedName>
    <definedName name="_GSRATES_17">"CF3000012002123120020101"</definedName>
    <definedName name="_GSRATES_18">"CF3000012003033120030101"</definedName>
    <definedName name="_GSRATES_19">"CF3000012002033120020101"</definedName>
    <definedName name="_GSRATES_2">"H2000010120001231GBPEUR5500001"</definedName>
    <definedName name="_GSRATES_20">"HY1      Latest  GBPUSD1000001"</definedName>
    <definedName name="_GSRATES_21">"H2001123120031231USDGBP5000001"</definedName>
    <definedName name="_GSRATES_22">"H2001123120031231USDGBP5000001"</definedName>
    <definedName name="_GSRATES_23">"H2002093020020930USDGBP1000001"</definedName>
    <definedName name="_GSRATES_24">"HD1      20021231CADUSD1500001"</definedName>
    <definedName name="_GSRATES_3">"H2001010120011231GBPEUR5500001"</definedName>
    <definedName name="_GSRATES_4">"CF3000012002063020010630"</definedName>
    <definedName name="_GSRATES_5">"CF30000920020930        "</definedName>
    <definedName name="_GSRATES_6">"CF30000920010930        "</definedName>
    <definedName name="_GSRATES_7">"CF50000120020930        "</definedName>
    <definedName name="_GSRATES_8">"CT30000120020930        "</definedName>
    <definedName name="_GSRATES_9">"CF5000012003033120020101"</definedName>
    <definedName name="_GSRATES_COUNT">3</definedName>
    <definedName name="_GSRATES_COUNT1">13</definedName>
    <definedName name="_h">#REF!</definedName>
    <definedName name="_h1">{"'표지'!$B$5"}</definedName>
    <definedName name="_h2">{"'표지'!$B$5"}</definedName>
    <definedName name="_h3">{"'표지'!$B$5"}</definedName>
    <definedName name="_h4">{"'표지'!$B$5"}</definedName>
    <definedName name="_h5">{"'표지'!$B$5"}</definedName>
    <definedName name="_H8">{"'표지'!$B$5"}</definedName>
    <definedName name="_hkd02">#REF!</definedName>
    <definedName name="_hkd03">#REF!</definedName>
    <definedName name="_hkd04">#REF!</definedName>
    <definedName name="_hq1">#REF!</definedName>
    <definedName name="_htt1">{"'표지'!$B$5"}</definedName>
    <definedName name="_i">#REF!</definedName>
    <definedName name="_I65537">#REF!</definedName>
    <definedName name="_I8">{"'Sheet3'!$CL$329:$CU$335"}</definedName>
    <definedName name="_idr03">#REF!</definedName>
    <definedName name="_ILF2000">#REF!</definedName>
    <definedName name="_ILF99">#REF!</definedName>
    <definedName name="_ILT1">#REF!</definedName>
    <definedName name="_indstd">-1</definedName>
    <definedName name="_infl">7</definedName>
    <definedName name="_inflation">7</definedName>
    <definedName name="_INR1">#REF!</definedName>
    <definedName name="_INR2">#REF!</definedName>
    <definedName name="_int1">#REF!</definedName>
    <definedName name="_int2">#REF!</definedName>
    <definedName name="_Int256">#REF!</definedName>
    <definedName name="_Inv1" hidden="1">{#N/A,#N/A,TRUE,"CPRD";#N/A,#N/A,TRUE,"BCCPDR";#N/A,#N/A,TRUE,"EWRD";#N/A,#N/A,TRUE,"5100";#N/A,#N/A,TRUE,"5110"}</definedName>
    <definedName name="_inv2">#REF!</definedName>
    <definedName name="_irr2">#REF!</definedName>
    <definedName name="_IS2">#REF!</definedName>
    <definedName name="_isma30360">3</definedName>
    <definedName name="_isma360">3</definedName>
    <definedName name="_iv16386">#REF!</definedName>
    <definedName name="_iv17500">#REF!</definedName>
    <definedName name="_iv18000">#REF!</definedName>
    <definedName name="_iv30000">#REF!</definedName>
    <definedName name="_iz5000">#REF!</definedName>
    <definedName name="_j">#REF!</definedName>
    <definedName name="_J2">0</definedName>
    <definedName name="_jan23">#REF!</definedName>
    <definedName name="_jkj1">#REF!</definedName>
    <definedName name="_jlk">#REF!</definedName>
    <definedName name="_jp2">#REF!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_3">#REF!</definedName>
    <definedName name="_Ke1" hidden="1">#REF!</definedName>
    <definedName name="_Ke2" hidden="1">#REF!</definedName>
    <definedName name="_keu2">#REF!</definedName>
    <definedName name="_keu3">#REF!</definedName>
    <definedName name="_KEY" hidden="1">#REF!</definedName>
    <definedName name="_Key_ys13" hidden="1">#N/A</definedName>
    <definedName name="_Key1">#REF!</definedName>
    <definedName name="_Key1.">#REF!</definedName>
    <definedName name="_key12">#REF!</definedName>
    <definedName name="_Key2">#REF!</definedName>
    <definedName name="_Key2.">#REF!</definedName>
    <definedName name="_Key3" hidden="1">#REF!</definedName>
    <definedName name="_Keyys2" hidden="1">#N/A</definedName>
    <definedName name="_l">#REF!</definedName>
    <definedName name="_lbg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_lbg2_3">#REF!</definedName>
    <definedName name="_LEA1">#REF!</definedName>
    <definedName name="_LG2" hidden="1">{#N/A,#N/A,TRUE,"매출진척-1";#N/A,#N/A,TRUE,"매출진척-2";#N/A,#N/A,TRUE,"제품실적";#N/A,#N/A,TRUE,"RAC";#N/A,#N/A,TRUE,"PAC ";#N/A,#N/A,TRUE,"재고현황";#N/A,#N/A,TRUE,"공지사항"}</definedName>
    <definedName name="_LG2_3">#REF!</definedName>
    <definedName name="_LIB1">#REF!</definedName>
    <definedName name="_LIB2">#REF!</definedName>
    <definedName name="_lib94">6.8</definedName>
    <definedName name="_lib95">5.8</definedName>
    <definedName name="_LIB96">6</definedName>
    <definedName name="_LWK1">{"'NPL @ 30 June 00'!$B$22"}</definedName>
    <definedName name="_lz5000">#REF!</definedName>
    <definedName name="_m">#REF!</definedName>
    <definedName name="_M199" hidden="1">{#N/A,#N/A,FALSE,"Aging Summary";#N/A,#N/A,FALSE,"Ratio Analysis";#N/A,#N/A,FALSE,"Test 120 Day Accts";#N/A,#N/A,FALSE,"Tickmarks"}</definedName>
    <definedName name="_ma67">#REF!</definedName>
    <definedName name="_ma71">#REF!</definedName>
    <definedName name="_ma74">#REF!</definedName>
    <definedName name="_MailOriginal">#REF!</definedName>
    <definedName name="_MAR9091">#REF!</definedName>
    <definedName name="_MAT1">#REF!</definedName>
    <definedName name="_MatInverse_In" hidden="1">#REF!</definedName>
    <definedName name="_MatInverse_Out" hidden="1">#REF!</definedName>
    <definedName name="_MatMult_A" hidden="1">#N/A</definedName>
    <definedName name="_MatMult_AxB" hidden="1">#N/A</definedName>
    <definedName name="_MatMult_B" hidden="1">#REF!</definedName>
    <definedName name="_me1">36.2</definedName>
    <definedName name="_me2">40</definedName>
    <definedName name="_MENU">#REF!</definedName>
    <definedName name="_mer1">#REF!</definedName>
    <definedName name="_mer2">#REF!</definedName>
    <definedName name="_mk1">#REF!</definedName>
    <definedName name="_MKT1">#REF!</definedName>
    <definedName name="_MKT10">#REF!</definedName>
    <definedName name="_MKT11">#REF!</definedName>
    <definedName name="_MKT2">#REF!</definedName>
    <definedName name="_MKT3">#REF!</definedName>
    <definedName name="_MKT4">#REF!</definedName>
    <definedName name="_MKT5">#REF!</definedName>
    <definedName name="_MKT6">#REF!</definedName>
    <definedName name="_MKT7">#REF!</definedName>
    <definedName name="_MKT8">#REF!</definedName>
    <definedName name="_MKT9">#REF!</definedName>
    <definedName name="_mnc1">#REF!</definedName>
    <definedName name="_MON1">#REF!</definedName>
    <definedName name="_mor1">#REF!</definedName>
    <definedName name="_MRG2" hidden="1">{"INCOME",#N/A,FALSE,"ProNet";"VALUE",#N/A,FALSE,"ProNet"}</definedName>
    <definedName name="_ms1">#REF!</definedName>
    <definedName name="_msoanchor_1">#REF!</definedName>
    <definedName name="_msocom_1">#REF!</definedName>
    <definedName name="_mth">12</definedName>
    <definedName name="_multi">5</definedName>
    <definedName name="_multistep">5</definedName>
    <definedName name="_mv1">#REF!</definedName>
    <definedName name="_myr03">#REF!</definedName>
    <definedName name="_n">#REF!</definedName>
    <definedName name="_n360">4</definedName>
    <definedName name="_n4">{"EXCELHLP.HLP!1802";5;10;5;10;13;13;13;8;5;5;10;14;13;13;13;13;5;10;14;13;5;10;1;2;24}</definedName>
    <definedName name="_nasd30360">4</definedName>
    <definedName name="_nasd360">4</definedName>
    <definedName name="_net2000">870037</definedName>
    <definedName name="_net2001">979291</definedName>
    <definedName name="_neu1">47</definedName>
    <definedName name="_neu2">"5W20QJUQBT31X9QWPI207CDHB"</definedName>
    <definedName name="_new1" hidden="1">{"Central",#N/A,FALSE,"Total"}</definedName>
    <definedName name="_new2">#REF!</definedName>
    <definedName name="_new3">#REF!</definedName>
    <definedName name="_new4">#REF!</definedName>
    <definedName name="_new5">#REF!</definedName>
    <definedName name="_New6">#REF!</definedName>
    <definedName name="_New7">#REF!</definedName>
    <definedName name="_New8">#REF!</definedName>
    <definedName name="_nm1" hidden="1">{#N/A,#N/A,TRUE,"Monthly BCG";#N/A,#N/A,TRUE,"Qrt BCG";#N/A,#N/A,TRUE,"FY BCG";#N/A,#N/A,TRUE,"1Q BCG";#N/A,#N/A,TRUE,"2Q BCG";#N/A,#N/A,TRUE,"3Q BCG";#N/A,#N/A,TRUE,"4Q BCG"}</definedName>
    <definedName name="_nol1">#REF!</definedName>
    <definedName name="_noneom">0</definedName>
    <definedName name="_Nov99">#REF!</definedName>
    <definedName name="_NSO2">{"'Sheet1'!$L$16"}</definedName>
    <definedName name="_o">#REF!</definedName>
    <definedName name="_o1">#REF!</definedName>
    <definedName name="_O2">#REF!</definedName>
    <definedName name="_ODP1">#REF!</definedName>
    <definedName name="_ODP2">#REF!</definedName>
    <definedName name="_ODP3">#REF!</definedName>
    <definedName name="_ODP4">#REF!</definedName>
    <definedName name="_ODP5">#REF!</definedName>
    <definedName name="_ODP6">#REF!</definedName>
    <definedName name="_ODP7">#REF!</definedName>
    <definedName name="_ODP8">#REF!</definedName>
    <definedName name="_oe1">#REF!</definedName>
    <definedName name="_ok2" hidden="1">{TRUE,TRUE,-0.8,-17,618,355.8,FALSE,FALSE,TRUE,TRUE,0,1,#N/A,1,#N/A,79.1318681318681,23.4090909090909,1,FALSE,FALSE,3,TRUE,1,FALSE,100,"Swvu.qtr._.view.","ACwvu.qtr._.view.",#N/A,FALSE,FALSE,0.5,0.5,0.55,0.55,2,"&amp;RWorldwide","&amp;LPrepared by: Lisa Racine&amp;CSeagate Technology, Inc. Confidential&amp;R&amp;D   &amp;T    Page ________",TRUE,FALSE,FALSE,FALSE,1,60,#N/A,#N/A,"=R1C1:R167C82","=R1:R5","Rwvu.qtr._.view.","Cwvu.qtr._.view.",FALSE,FALSE,FALSE,1,65532,65532,FALSE,FALSE,TRUE,TRUE,TRUE}</definedName>
    <definedName name="_old1">#REF!</definedName>
    <definedName name="_old2">#REF!</definedName>
    <definedName name="_old2_3">#REF!</definedName>
    <definedName name="_old3">#REF!</definedName>
    <definedName name="_old3_3">#REF!</definedName>
    <definedName name="_old4">#REF!</definedName>
    <definedName name="_old4_3">#REF!</definedName>
    <definedName name="_old5">#REF!</definedName>
    <definedName name="_old5_3">#REF!</definedName>
    <definedName name="_old8">#REF!</definedName>
    <definedName name="_old8_3">#REF!</definedName>
    <definedName name="_old9">#REF!</definedName>
    <definedName name="_old9_3">#REF!</definedName>
    <definedName name="_Order1" hidden="1">255</definedName>
    <definedName name="_Order1_1">0</definedName>
    <definedName name="_Order1a" hidden="1">0</definedName>
    <definedName name="_Order2" hidden="1">255</definedName>
    <definedName name="_Order2_1">0</definedName>
    <definedName name="_OUT13300">#N/A</definedName>
    <definedName name="_OUT13502">#N/A</definedName>
    <definedName name="_OUT41301">#N/A</definedName>
    <definedName name="_OUT85116">#N/A</definedName>
    <definedName name="_OUT85125">#N/A</definedName>
    <definedName name="_OUT86106">#N/A</definedName>
    <definedName name="_p">#REF!</definedName>
    <definedName name="_P1">#REF!</definedName>
    <definedName name="_P1M">#REF!</definedName>
    <definedName name="_P2M">#REF!</definedName>
    <definedName name="_P3M">#REF!</definedName>
    <definedName name="_P6M">#REF!</definedName>
    <definedName name="_Parse_In">#REF!</definedName>
    <definedName name="_Parse_Out">#REF!</definedName>
    <definedName name="_Pax1">#REF!</definedName>
    <definedName name="_pcSlicerSheet_Slicer1">#REF!</definedName>
    <definedName name="_pcSlicerSheet1_Slicer2">#REF!</definedName>
    <definedName name="_PEX1">#REF!</definedName>
    <definedName name="_pg1">#REF!</definedName>
    <definedName name="_pg10">#REF!</definedName>
    <definedName name="_pg11">#REF!</definedName>
    <definedName name="_pg12">#REF!</definedName>
    <definedName name="_pg13">#REF!</definedName>
    <definedName name="_pg14">#REF!</definedName>
    <definedName name="_PG15">#REF!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GR003">{"'status'!$B$2:$H$15"}</definedName>
    <definedName name="_pik">6</definedName>
    <definedName name="_pl1">#REF!</definedName>
    <definedName name="_pl2">#REF!</definedName>
    <definedName name="_pl3">#REF!</definedName>
    <definedName name="_PL7" hidden="1">{#N/A,#N/A,TRUE,"대 차 대 조 표"}</definedName>
    <definedName name="_PLO1">#REF!</definedName>
    <definedName name="_pm2">#REF!</definedName>
    <definedName name="_PM3">#REF!</definedName>
    <definedName name="_po" hidden="1">{#N/A,#N/A,FALSE,"ESI";#N/A,#N/A,FALSE,"LTI";#N/A,#N/A,FALSE,"Medical";#N/A,#N/A,FALSE,"DSG";#N/A,#N/A,FALSE,"PI";#N/A,#N/A,FALSE,"OI"}</definedName>
    <definedName name="_pol1">#N/A</definedName>
    <definedName name="_PPAGQ_XMSETTIN">#REF!</definedName>
    <definedName name="_PPOB_?___?__QQ">#REF!</definedName>
    <definedName name="_PPOF_?__QQ">#REF!</definedName>
    <definedName name="_PPOH_?__QQ">#REF!</definedName>
    <definedName name="_PPOM_?___?__QQ">#REF!</definedName>
    <definedName name="_PPOP_?__QQ">#REF!</definedName>
    <definedName name="_PPR_NAME__NAME">#REF!</definedName>
    <definedName name="_PR1">#REF!,#REF!,#REF!,#REF!,#REF!,#REF!</definedName>
    <definedName name="_pra1">#REF!</definedName>
    <definedName name="_prc1">#REF!</definedName>
    <definedName name="_prc2">#REF!</definedName>
    <definedName name="_prc3">#REF!</definedName>
    <definedName name="_PRE1">#REF!</definedName>
    <definedName name="_PRE2">#REF!</definedName>
    <definedName name="_PRI1">#REF!</definedName>
    <definedName name="_PRI2">#REF!</definedName>
    <definedName name="_Print_Area">#REF!</definedName>
    <definedName name="_prn01">#REF!</definedName>
    <definedName name="_PRN1">#REF!</definedName>
    <definedName name="_PRN2">#REF!</definedName>
    <definedName name="_PRR001">{"'status'!$B$2:$H$15"}</definedName>
    <definedName name="_PRR002">{"'status'!$B$2:$H$15"}</definedName>
    <definedName name="_PRR18">{"'status'!$B$2:$H$15"}</definedName>
    <definedName name="_PRR5">{"'status'!$B$2:$H$15"}</definedName>
    <definedName name="_PRR6">{"'status'!$B$2:$H$15"}</definedName>
    <definedName name="_PRT1">#REF!</definedName>
    <definedName name="_PRT2">#REF!</definedName>
    <definedName name="_ps3">g1clear,G1Clear2</definedName>
    <definedName name="_PSM2">#REF!</definedName>
    <definedName name="_PSM3">#REF!</definedName>
    <definedName name="_PSM4">#REF!</definedName>
    <definedName name="_PSP">#REF!</definedName>
    <definedName name="_PT">#REF!</definedName>
    <definedName name="_PTM">#REF!</definedName>
    <definedName name="_pu1">#REF!</definedName>
    <definedName name="_PV2">#REF!</definedName>
    <definedName name="_q">#REF!</definedName>
    <definedName name="_q1" hidden="1">{"inflated_pl",#N/A,FALSE,"P&amp;L"}</definedName>
    <definedName name="_q2" hidden="1">{"PL_no_inflated",#N/A,FALSE,"P&amp;L"}</definedName>
    <definedName name="_Q3">#REF!</definedName>
    <definedName name="_Q5">{"'Standalone List Price Trends'!$A$1:$X$56"}</definedName>
    <definedName name="_Q9">{"'Standalone List Price Trends'!$A$1:$X$56"}</definedName>
    <definedName name="_QRA86106">#N/A</definedName>
    <definedName name="_qrt">4</definedName>
    <definedName name="_qt1">#REF!</definedName>
    <definedName name="_QTD499">#REF!</definedName>
    <definedName name="_qtr1">#REF!</definedName>
    <definedName name="_qtr2">#REF!</definedName>
    <definedName name="_qtr3">#REF!</definedName>
    <definedName name="_qtr4">#REF!</definedName>
    <definedName name="_quarterly">4</definedName>
    <definedName name="_QUO1">#REF!</definedName>
    <definedName name="_qw2">{0,0,0,0;0,0,0,0;0,0,0,0;0,0,0,0;0,0,0,0;0,0,0,0}</definedName>
    <definedName name="_r">#REF!</definedName>
    <definedName name="_R21438C20000">#REF!</definedName>
    <definedName name="_R2D2C3PO">#REF!</definedName>
    <definedName name="_ra15">#REF!</definedName>
    <definedName name="_ra16">#REF!</definedName>
    <definedName name="_rd2" hidden="1">{#N/A,#N/A,FALSE,"Australia";#N/A,#N/A,FALSE,"Austria";#N/A,#N/A,FALSE,"Belgium";#N/A,#N/A,FALSE,"Canada";#N/A,#N/A,FALSE,"France";#N/A,#N/A,FALSE,"Germany";#N/A,#N/A,FALSE,"Hong Kong";#N/A,#N/A,FALSE,"Italy";#N/A,#N/A,FALSE,"Japan";#N/A,#N/A,FALSE,"Korea";#N/A,#N/A,FALSE,"Mexico";#N/A,#N/A,FALSE,"Poland";#N/A,#N/A,FALSE,"Spain";#N/A,#N/A,FALSE,"Switzerland";#N/A,#N/A,FALSE,"UK"}</definedName>
    <definedName name="_ref1">#REF!</definedName>
    <definedName name="_REF12">{0,0,FALSE,0}</definedName>
    <definedName name="_Regression_Int" hidden="1">1</definedName>
    <definedName name="_Regression_Out">#REF!</definedName>
    <definedName name="_Regression_X">#REF!</definedName>
    <definedName name="_Regression_Y">#REF!</definedName>
    <definedName name="_REP" hidden="1">{#N/A,#N/A,FALSE,"ESI";#N/A,#N/A,FALSE,"LTI";#N/A,#N/A,FALSE,"PE";#N/A,#N/A,FALSE,"PI";#N/A,#N/A,FALSE,"OI";#N/A,#N/A,FALSE,"AT";#N/A,#N/A,FALSE,"CAN"}</definedName>
    <definedName name="_Report">"model"</definedName>
    <definedName name="_RNG1">#REF!</definedName>
    <definedName name="_RNG2">#REF!</definedName>
    <definedName name="_RO" hidden="1">{#N/A,#N/A,FALSE,"ESI";#N/A,#N/A,FALSE,"LTI";#N/A,#N/A,FALSE,"Medical";#N/A,#N/A,FALSE,"DSG";#N/A,#N/A,FALSE,"PI";#N/A,#N/A,FALSE,"OI"}</definedName>
    <definedName name="_Ron1" hidden="1">{"Page1",#N/A,FALSE,"CF WKSHT";"Page2",#N/A,FALSE,"CF WKSHT"}</definedName>
    <definedName name="_round">0</definedName>
    <definedName name="_roundtrunc">0</definedName>
    <definedName name="_row2">#REF!</definedName>
    <definedName name="_RVMAIN">#REF!</definedName>
    <definedName name="_rw1">{"'Standalone List Price Trends'!$A$1:$X$56"}</definedName>
    <definedName name="_rw2">{"'Standalone List Price Trends'!$A$1:$X$56"}</definedName>
    <definedName name="_rw3">#REF!</definedName>
    <definedName name="_rw4">{"'Standalone List Price Trends'!$A$1:$X$56"}</definedName>
    <definedName name="_rwo5">#REF!</definedName>
    <definedName name="_s">#REF!</definedName>
    <definedName name="_S_Base">{0.1;0;0.382758620689655;0;0;0;0.258620689655172;0;0.258620689655172}</definedName>
    <definedName name="_S_new_case">{0.1;0;0.45;0;0;0;0;0;0.45}</definedName>
    <definedName name="_s1" hidden="1">{#N/A,#N/A,FALSE,"UNIT";#N/A,#N/A,FALSE,"UNIT";#N/A,#N/A,FALSE,"계정"}</definedName>
    <definedName name="_s10" hidden="1">{#N/A,#N/A,FALSE,"UNIT";#N/A,#N/A,FALSE,"UNIT";#N/A,#N/A,FALSE,"계정"}</definedName>
    <definedName name="_s11" hidden="1">{#N/A,#N/A,FALSE,"UNIT";#N/A,#N/A,FALSE,"UNIT";#N/A,#N/A,FALSE,"계정"}</definedName>
    <definedName name="_s12" hidden="1">{#N/A,#N/A,FALSE,"UNIT";#N/A,#N/A,FALSE,"UNIT";#N/A,#N/A,FALSE,"계정"}</definedName>
    <definedName name="_s13" hidden="1">{#N/A,#N/A,FALSE,"UNIT";#N/A,#N/A,FALSE,"UNIT";#N/A,#N/A,FALSE,"계정"}</definedName>
    <definedName name="_s14" hidden="1">{#N/A,#N/A,FALSE,"UNIT";#N/A,#N/A,FALSE,"UNIT";#N/A,#N/A,FALSE,"계정"}</definedName>
    <definedName name="_s16" hidden="1">{#N/A,#N/A,FALSE,"UNIT";#N/A,#N/A,FALSE,"UNIT";#N/A,#N/A,FALSE,"계정"}</definedName>
    <definedName name="_s17" hidden="1">{#N/A,#N/A,FALSE,"UNIT";#N/A,#N/A,FALSE,"UNIT";#N/A,#N/A,FALSE,"계정"}</definedName>
    <definedName name="_s2" hidden="1">{#N/A,#N/A,FALSE,"UNIT";#N/A,#N/A,FALSE,"UNIT";#N/A,#N/A,FALSE,"계정"}</definedName>
    <definedName name="_s3">#REF!</definedName>
    <definedName name="_s4" hidden="1">{#N/A,#N/A,FALSE,"UNIT";#N/A,#N/A,FALSE,"UNIT";#N/A,#N/A,FALSE,"계정"}</definedName>
    <definedName name="_s5" hidden="1">{#N/A,#N/A,FALSE,"UNIT";#N/A,#N/A,FALSE,"UNIT";#N/A,#N/A,FALSE,"계정"}</definedName>
    <definedName name="_s6" hidden="1">{#N/A,#N/A,FALSE,"UNIT";#N/A,#N/A,FALSE,"UNIT";#N/A,#N/A,FALSE,"계정"}</definedName>
    <definedName name="_s9" hidden="1">{#N/A,#N/A,FALSE,"UNIT";#N/A,#N/A,FALSE,"UNIT";#N/A,#N/A,FALSE,"계정"}</definedName>
    <definedName name="_sal1">#REF!</definedName>
    <definedName name="_SAL3">#REF!</definedName>
    <definedName name="_SAP1">"D3NLZ74Q61JLOCQLRI1RC90QX"</definedName>
    <definedName name="_sb1">#REF!</definedName>
    <definedName name="_SCB1">#REF!</definedName>
    <definedName name="_SCB2">#REF!</definedName>
    <definedName name="_scenchg_count">1</definedName>
    <definedName name="_sch1">#REF!</definedName>
    <definedName name="_Sch10">#REF!</definedName>
    <definedName name="_Sch11">#REF!</definedName>
    <definedName name="_Sch1112">#REF!</definedName>
    <definedName name="_Sch111213">#REF!</definedName>
    <definedName name="_Sch12">#REF!</definedName>
    <definedName name="_Sch123">#REF!</definedName>
    <definedName name="_Sch13">#REF!</definedName>
    <definedName name="_Sch14">#REF!</definedName>
    <definedName name="_Sch15">#REF!</definedName>
    <definedName name="_Sch2">#REF!</definedName>
    <definedName name="_Sch4">#REF!</definedName>
    <definedName name="_Sch5">#REF!</definedName>
    <definedName name="_Sch5678">#REF!</definedName>
    <definedName name="_Sch6">#REF!</definedName>
    <definedName name="_Sch7">#REF!</definedName>
    <definedName name="_Sch8">#REF!</definedName>
    <definedName name="_Sch9">#REF!</definedName>
    <definedName name="_Sch910">#REF!</definedName>
    <definedName name="_SE7">#REF!</definedName>
    <definedName name="_SEC2">#REF!</definedName>
    <definedName name="_SEC4">#REF!</definedName>
    <definedName name="_SEC5">#REF!</definedName>
    <definedName name="_semi">2</definedName>
    <definedName name="_semiannual">2</definedName>
    <definedName name="_sep97">#REF!</definedName>
    <definedName name="_Sex1">#REF!</definedName>
    <definedName name="_sex2">{"'1-TheatreBkgs'!$A$1:$L$102"}</definedName>
    <definedName name="_sex3">{"'1-TheatreBkgs'!$A$1:$L$102"}</definedName>
    <definedName name="_sex4">{"'1-TheatreBkgs'!$A$1:$L$102"}</definedName>
    <definedName name="_sex5">{"'1-TheatreBkgs'!$A$1:$L$102"}</definedName>
    <definedName name="_sex6">{"'1-TheatreBkgs'!$A$1:$L$102"}</definedName>
    <definedName name="_SFL01">#REF!</definedName>
    <definedName name="_sgd02">#REF!</definedName>
    <definedName name="_sgd03">#REF!</definedName>
    <definedName name="_sgd04">#REF!</definedName>
    <definedName name="_sht1">#REF!</definedName>
    <definedName name="_singlestep">4</definedName>
    <definedName name="_sl1">#REF!</definedName>
    <definedName name="_sls8">#REF!</definedName>
    <definedName name="_Snort" hidden="1">#REF!</definedName>
    <definedName name="_Sort">#REF!</definedName>
    <definedName name="_SORT1" hidden="1">#REF!</definedName>
    <definedName name="_Sort2" hidden="1">#REF!</definedName>
    <definedName name="_Sot" hidden="1">#REF!</definedName>
    <definedName name="_SP">#REF!</definedName>
    <definedName name="_SQL1">#REF!</definedName>
    <definedName name="_SQL2">#REF!</definedName>
    <definedName name="_SRS1">#REF!</definedName>
    <definedName name="_SRS2">#REF!</definedName>
    <definedName name="_SSS1" hidden="1">#REF!</definedName>
    <definedName name="_ST1">#REF!</definedName>
    <definedName name="_step">4</definedName>
    <definedName name="_STP1">#REF!</definedName>
    <definedName name="_STP2">#REF!</definedName>
    <definedName name="_STP3">#REF!</definedName>
    <definedName name="_STP4">#REF!</definedName>
    <definedName name="_SUB2">#REF!</definedName>
    <definedName name="_sum1">#REF!</definedName>
    <definedName name="_sum29">"7SQRVDCLIJ0HBJJ152TQXB3C5"</definedName>
    <definedName name="_sum3">#REF!</definedName>
    <definedName name="_sum70">"7SQRVDCLIJ0HBJJ152TQXB3C5"</definedName>
    <definedName name="_sum9">"7SQRVDCLIJ0HBJJ152TQXB3C5"</definedName>
    <definedName name="_t">#REF!</definedName>
    <definedName name="_tab1">#REF!</definedName>
    <definedName name="_Table1_In1">#REF!</definedName>
    <definedName name="_Table1_Out">#REF!</definedName>
    <definedName name="_Table2_In1">#REF!</definedName>
    <definedName name="_Table2_In2">#REF!</definedName>
    <definedName name="_Table2_Out">#REF!</definedName>
    <definedName name="_Table3_In2">#REF!</definedName>
    <definedName name="_TAX1">#REF!</definedName>
    <definedName name="_tax2">#REF!</definedName>
    <definedName name="_tb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OFFSET(#REF!,1,)</definedName>
    <definedName name="_TB2004">#REF!</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bl1">#REF!</definedName>
    <definedName name="_tc1">#REF!</definedName>
    <definedName name="_tc2">#REF!</definedName>
    <definedName name="_tc3">#REF!</definedName>
    <definedName name="_tc4">#REF!</definedName>
    <definedName name="_tc5">#REF!</definedName>
    <definedName name="_tds1">#REF!</definedName>
    <definedName name="_ted2">#REF!</definedName>
    <definedName name="_tes1">"AS2DocumentBrowse"</definedName>
    <definedName name="_tft2">#REF!</definedName>
    <definedName name="_thb02">#REF!</definedName>
    <definedName name="_thb03">#REF!</definedName>
    <definedName name="_thb04">#REF!</definedName>
    <definedName name="_TK0404">{"'Sheet1'!$L$16"}</definedName>
    <definedName name="_TLT1">#REF!</definedName>
    <definedName name="_TM">#REF!</definedName>
    <definedName name="_tm1" hidden="1">{#N/A,#N/A,FALSE,"Pharm";#N/A,#N/A,FALSE,"WWCM"}</definedName>
    <definedName name="_TOP1">#REF!</definedName>
    <definedName name="_TOP10" hidden="1">{#N/A,#N/A,TRUE,"CPRD";#N/A,#N/A,TRUE,"BCCPDR";#N/A,#N/A,TRUE,"EWRD";#N/A,#N/A,TRUE,"5100";#N/A,#N/A,TRUE,"5110"}</definedName>
    <definedName name="_TOT1">#REF!</definedName>
    <definedName name="_ts1">#REF!</definedName>
    <definedName name="_TS123">#REF!</definedName>
    <definedName name="_ts2">#REF!</definedName>
    <definedName name="_tt2">#N/A</definedName>
    <definedName name="_twd02">#REF!</definedName>
    <definedName name="_twd03">#REF!</definedName>
    <definedName name="_twd04">#REF!</definedName>
    <definedName name="_u">#REF!</definedName>
    <definedName name="_UB1">{"'Feb 99'!$A$1:$G$30"}</definedName>
    <definedName name="_UB2">{"'Feb 99'!$A$1:$G$30"}</definedName>
    <definedName name="_UER1">#REF!</definedName>
    <definedName name="_UK1">#REF!</definedName>
    <definedName name="_un1">#REF!</definedName>
    <definedName name="_un2">#REF!</definedName>
    <definedName name="_us30360">2</definedName>
    <definedName name="_USA">2</definedName>
    <definedName name="_usagency">2</definedName>
    <definedName name="_USC">4</definedName>
    <definedName name="_uscorp">4</definedName>
    <definedName name="_uscorporate">4</definedName>
    <definedName name="_usd020531">8.2766</definedName>
    <definedName name="_usl1">#REF!</definedName>
    <definedName name="_USM">3</definedName>
    <definedName name="_usmuni">3</definedName>
    <definedName name="_usmunicipal">3</definedName>
    <definedName name="_UST">1</definedName>
    <definedName name="_ustreasury">1</definedName>
    <definedName name="_Vac1">#REF!</definedName>
    <definedName name="_VAR13300">#N/A</definedName>
    <definedName name="_VAR13502">#N/A</definedName>
    <definedName name="_vio1">#REF!</definedName>
    <definedName name="_vol1">#REF!</definedName>
    <definedName name="_w">#REF!</definedName>
    <definedName name="_w1">#REF!</definedName>
    <definedName name="_wam2">#REF!</definedName>
    <definedName name="_WAS02">#REF!</definedName>
    <definedName name="_WAS03">#REF!</definedName>
    <definedName name="_WCW01">#REF!</definedName>
    <definedName name="_WCW03">#REF!</definedName>
    <definedName name="_WCW04">#REF!</definedName>
    <definedName name="_WCW06">#REF!</definedName>
    <definedName name="_web1">#REF!</definedName>
    <definedName name="_wk1">#REF!</definedName>
    <definedName name="_wk2">#REF!</definedName>
    <definedName name="_wk3">#REF!</definedName>
    <definedName name="_wk4">#REF!</definedName>
    <definedName name="_Worksheet">#REF!</definedName>
    <definedName name="_wpl2" hidden="1">{#N/A,#N/A,FALSE,"Aging Summary";#N/A,#N/A,FALSE,"Ratio Analysis";#N/A,#N/A,FALSE,"Test 120 Day Accts";#N/A,#N/A,FALSE,"Tickmarks"}</definedName>
    <definedName name="_wpl2_3">#REF!</definedName>
    <definedName name="_wr1">#REF!</definedName>
    <definedName name="_wr1_1">#REF!</definedName>
    <definedName name="_wr1_2">#REF!</definedName>
    <definedName name="_wr1_3">#REF!</definedName>
    <definedName name="_wr1_4">#REF!</definedName>
    <definedName name="_wrn.Aging._.and._.Trend._.Analysis">#REF!</definedName>
    <definedName name="_wrn1">#REF!</definedName>
    <definedName name="_wrn2" hidden="1">{#N/A,#N/A,TRUE,"Key Indices";#N/A,#N/A,TRUE,"Mfg Spending";#N/A,#N/A,TRUE,"Mfg Spending Per Unit";#N/A,#N/A,TRUE,"Spending by Organization";#N/A,#N/A,TRUE,"Inventory";#N/A,#N/A,TRUE,"IDM";#N/A,#N/A,TRUE,"Equipment";#N/A,#N/A,TRUE,"Headcount"}</definedName>
    <definedName name="_wrn3">#REF!</definedName>
    <definedName name="_wrn4">#REF!</definedName>
    <definedName name="_wrn9">#REF!</definedName>
    <definedName name="_ww2">#REF!</definedName>
    <definedName name="_WW3">#REF!</definedName>
    <definedName name="_www2">#REF!</definedName>
    <definedName name="_X">#REF!</definedName>
    <definedName name="_x1" hidden="1">#REF!</definedName>
    <definedName name="_x2">#REF!</definedName>
    <definedName name="_xlcn.LinkedTable_AccountMapping1">AccountMapping</definedName>
    <definedName name="_xlcn.LinkedTable_AllocatedMapping1">AllocatedMapping</definedName>
    <definedName name="_xlcn.LinkedTable_DateMapping1">DateMapping</definedName>
    <definedName name="_xlcn.LinkedTable_Table11">#REF!</definedName>
    <definedName name="_xlcn.WorksheetConnection_EmployeeGrantsbyTrancheRepoA1AA312871">#REF!</definedName>
    <definedName name="_xlcn.WorksheetConnection_PCDatabase.xlsxProjectCodes1">#REF!</definedName>
    <definedName name="_xlcn.WorksheetConnection_PCDatabase.xlsxProjListDataUpdates1">#REF!</definedName>
    <definedName name="_XMSETTINGS_">#REF!</definedName>
    <definedName name="_XMSHAPE_">#REF!</definedName>
    <definedName name="_XQ">#REF!</definedName>
    <definedName name="_xz4">{0,0,0,0;0,0,0,0;0,0,0,0;0,0,0,0;0,0,0,0;0,0,0,0}</definedName>
    <definedName name="_Z">#REF!</definedName>
    <definedName name="_Z04">#REF!</definedName>
    <definedName name="_Z04_3">#REF!</definedName>
    <definedName name="_Z05">#REF!</definedName>
    <definedName name="_Z05_3">#REF!</definedName>
    <definedName name="_Z5.5_Discounted_Cash_Flow_2">#REF!</definedName>
    <definedName name="_za1">#REF!</definedName>
    <definedName name="_Zanalys">#REF!</definedName>
    <definedName name="_Zbaladj">#REF!</definedName>
    <definedName name="_Zbs_model">#REF!</definedName>
    <definedName name="_Zcomp">#REF!</definedName>
    <definedName name="_Zcomp1">#REF!</definedName>
    <definedName name="_Zcomps">#REF!</definedName>
    <definedName name="_Zcomps1">#REF!</definedName>
    <definedName name="_Zcovrge">#REF!</definedName>
    <definedName name="_Zdealcomp">#REF!</definedName>
    <definedName name="_Zdeals">#REF!</definedName>
    <definedName name="_ZEBITDA_Sensitivity">{0;0;0;0;5;1;0.75;0;0;0;2;FALSE;FALSE;FALSE;FALSE;FALSE;#N/A;1;100;#N/A;#N/A;"";""}</definedName>
    <definedName name="_ZEITF">#REF!</definedName>
    <definedName name="_ZEITF_bs">#REF!</definedName>
    <definedName name="_ZEITF_det">#REF!</definedName>
    <definedName name="_zh6">7.56</definedName>
    <definedName name="_ZHowmet_LTM">#REF!</definedName>
    <definedName name="_ZHowmet_LTM2">#REF!</definedName>
    <definedName name="_ZIPOmodel">#REF!</definedName>
    <definedName name="_Zismodel">#REF!</definedName>
    <definedName name="_ZISsumm">#REF!</definedName>
    <definedName name="_Zmodel">#REF!</definedName>
    <definedName name="_Znotes">#REF!</definedName>
    <definedName name="_Zp1">#REF!</definedName>
    <definedName name="_Zp2">#REF!</definedName>
    <definedName name="_Zpage_1">#REF!</definedName>
    <definedName name="_Zpage_2">#REF!</definedName>
    <definedName name="_ZPAGE_6">#REF!</definedName>
    <definedName name="_ZPAGE_7">#REF!</definedName>
    <definedName name="_ZPAGE_8">#REF!</definedName>
    <definedName name="_Zpage1">#REF!</definedName>
    <definedName name="_Zprint_all">#REF!</definedName>
    <definedName name="_Zprint_area">#REF!</definedName>
    <definedName name="_Zprint1">#REF!</definedName>
    <definedName name="_Zprint2">#REF!</definedName>
    <definedName name="_Zprint3">#REF!</definedName>
    <definedName name="_Zroea">#REF!</definedName>
    <definedName name="_ZSensitivity_Table">{0;0;0;0;5;1;0.75;0;0;0;2;FALSE;FALSE;FALSE;FALSE;FALSE;#N/A;1;100;#N/A;#N/A;"";""}</definedName>
    <definedName name="_Zsource">#REF!</definedName>
    <definedName name="_Zsource2">#REF!</definedName>
    <definedName name="_Zsummary">#REF!</definedName>
    <definedName name="_zx3">#REF!</definedName>
    <definedName name="_zz04">#REF!</definedName>
    <definedName name="_배부">#REF!</definedName>
    <definedName name="_배부진">#REF!</definedName>
    <definedName name="_배부현황">#REF!</definedName>
    <definedName name="_상각액">#REF!</definedName>
    <definedName name="_상각액진">#REF!</definedName>
    <definedName name="_전부">#REF!</definedName>
    <definedName name="_종합">#REF!</definedName>
    <definedName name="Ⅱ" hidden="1">{"'Sheet1'!$A$1:$H$36"}</definedName>
    <definedName name="A">#REF!</definedName>
    <definedName name="a_1">#REF!</definedName>
    <definedName name="a_2">#REF!</definedName>
    <definedName name="A_3">#N/A</definedName>
    <definedName name="A_4">#N/A</definedName>
    <definedName name="A_400">#REF!</definedName>
    <definedName name="A_5">#N/A</definedName>
    <definedName name="A_6">#N/A</definedName>
    <definedName name="A_6A">#N/A</definedName>
    <definedName name="A_7">#N/A</definedName>
    <definedName name="A_8">#N/A</definedName>
    <definedName name="A_9">#N/A</definedName>
    <definedName name="A_value">#REF!</definedName>
    <definedName name="A_valueneu">#REF!</definedName>
    <definedName name="A¶E¸AOE­¸e">#REF!</definedName>
    <definedName name="A1.">#REF!</definedName>
    <definedName name="a123s123" hidden="1">#REF!</definedName>
    <definedName name="A1misc.questions">#REF!</definedName>
    <definedName name="A1환율9703">#REF!</definedName>
    <definedName name="A3_AL">{"'Feb 99'!$A$1:$G$30"}</definedName>
    <definedName name="A3II" hidden="1">#REF!</definedName>
    <definedName name="A5fml">INDIRECT("'A5'!$3:$3")</definedName>
    <definedName name="a654645454545">#REF!</definedName>
    <definedName name="a654645454545_1">#REF!</definedName>
    <definedName name="a654645454545_2">#REF!</definedName>
    <definedName name="aa" hidden="1">#REF!</definedName>
    <definedName name="aa.2" hidden="1">#REF!</definedName>
    <definedName name="aa\">{"'Sheet1'!$A$1:$H$36"}</definedName>
    <definedName name="aa_1">#REF!</definedName>
    <definedName name="aa_2">#REF!</definedName>
    <definedName name="aa_3">#REF!</definedName>
    <definedName name="aa_4">#REF!</definedName>
    <definedName name="aa_5">#REF!</definedName>
    <definedName name="aaa">#REF!</definedName>
    <definedName name="AAA_DOCTOPS" hidden="1">"AAA_SET"</definedName>
    <definedName name="AAA_dtemplate">"OFF"</definedName>
    <definedName name="AAA_duser" hidden="1">"OFF"</definedName>
    <definedName name="AAA_Options">"NYN"</definedName>
    <definedName name="AAA_u999998">"nlfoote@970721231427"</definedName>
    <definedName name="AAA_u999999">"nlfoote@970721231348"</definedName>
    <definedName name="aaaa">#REF!</definedName>
    <definedName name="aaaa1">#REF!</definedName>
    <definedName name="aaaaa" hidden="1">{#N/A,#N/A,FALSE,"Aging Summary";#N/A,#N/A,FALSE,"Ratio Analysis";#N/A,#N/A,FALSE,"Test 120 Day Accts";#N/A,#N/A,FALSE,"Tickmarks"}</definedName>
    <definedName name="aaaaa_3">#REF!</definedName>
    <definedName name="aaaaaa">#REF!</definedName>
    <definedName name="aaaaaaa" hidden="1">{#N/A,#N/A,FALSE,"REPORT"}</definedName>
    <definedName name="aaaaaaaaaa" hidden="1">{#N/A,#N/A,FALSE,"Aging Summary";#N/A,#N/A,FALSE,"Ratio Analysis";#N/A,#N/A,FALSE,"Test 120 Day Accts";#N/A,#N/A,FALSE,"Tickmarks"}</definedName>
    <definedName name="aaaaaaaaaa_3">#REF!</definedName>
    <definedName name="aaaaaaaaaaa" hidden="1">{#N/A,#N/A,FALSE,"Aging Summary";#N/A,#N/A,FALSE,"Ratio Analysis";#N/A,#N/A,FALSE,"Test 120 Day Accts";#N/A,#N/A,FALSE,"Tickmarks"}</definedName>
    <definedName name="aaaaaaaaaaa_3">#REF!</definedName>
    <definedName name="aaaaaaaaaaaaa" hidden="1">{#N/A,#N/A,FALSE,"Aging Summary";#N/A,#N/A,FALSE,"Ratio Analysis";#N/A,#N/A,FALSE,"Test 120 Day Accts";#N/A,#N/A,FALSE,"Tickmarks"}</definedName>
    <definedName name="aaaaaaaaaaaaa_3">#REF!</definedName>
    <definedName name="aaaaaaaaaaaaa12" hidden="1">{#N/A,#N/A,FALSE,"Aging Summary";#N/A,#N/A,FALSE,"Ratio Analysis";#N/A,#N/A,FALSE,"Test 120 Day Accts";#N/A,#N/A,FALSE,"Tickmarks"}</definedName>
    <definedName name="aaaaaaaaaaaaa12_3">#REF!</definedName>
    <definedName name="aaaaaaaaaaaaaa">1</definedName>
    <definedName name="aaaaaaaaaaaaaaa" hidden="1">{#N/A,#N/A,FALSE,"Pharm";#N/A,#N/A,FALSE,"WWCM"}</definedName>
    <definedName name="aaaaaaaaaaaaaaaa">#REF!()</definedName>
    <definedName name="aaaaaaaaaaaaaaaaaaaaaaaaaaaasssssssssssssssss">#REF!</definedName>
    <definedName name="AAAAS" hidden="1">{#N/A,#N/A,FALSE,"정공"}</definedName>
    <definedName name="aab">#REF!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#REF!</definedName>
    <definedName name="AACLEARSIGHT">#REF!</definedName>
    <definedName name="aad">#REF!</definedName>
    <definedName name="aadadsaSA">#REF!</definedName>
    <definedName name="aaddd" hidden="1">{#N/A,#N/A,FALSE,"REPORT"}</definedName>
    <definedName name="aadge">#REF!</definedName>
    <definedName name="aads">#REF!</definedName>
    <definedName name="aae">#REF!</definedName>
    <definedName name="aaf">#REF!</definedName>
    <definedName name="AAFAFA">#REF!</definedName>
    <definedName name="aag">#REF!</definedName>
    <definedName name="aah">#REF!</definedName>
    <definedName name="aalla">#REF!</definedName>
    <definedName name="AAODFRESH">#REF!</definedName>
    <definedName name="AAODRELIM">#REF!</definedName>
    <definedName name="AAODSPRAY">#REF!</definedName>
    <definedName name="Aas" hidden="1">{#N/A,#N/A,FALSE,"을지 (4)";#N/A,#N/A,FALSE,"을지 (5)";#N/A,#N/A,FALSE,"을지 (6)"}</definedName>
    <definedName name="aasd">#REF!</definedName>
    <definedName name="aasd_1">#REF!</definedName>
    <definedName name="aasd_2">#REF!</definedName>
    <definedName name="aasd_3">#REF!</definedName>
    <definedName name="aasd_4">#REF!</definedName>
    <definedName name="AASPOT_WASH">#REF!</definedName>
    <definedName name="AATOTALWASH">#REF!</definedName>
    <definedName name="AAWAXPAX">#REF!</definedName>
    <definedName name="ab">#REF!</definedName>
    <definedName name="abab" hidden="1">{#N/A,#N/A,FALSE,"Pharm";#N/A,#N/A,FALSE,"WWCM"}</definedName>
    <definedName name="ABB">#REF!</definedName>
    <definedName name="abbreviations" hidden="1">{"'매출'!$A$1:$I$22"}</definedName>
    <definedName name="abc">#REF!</definedName>
    <definedName name="ABC_3">#REF!</definedName>
    <definedName name="abcd" hidden="1">{"page1",#N/A,FALSE,"A";"page2",#N/A,FALSE,"A"}</definedName>
    <definedName name="abcd1">#REF!</definedName>
    <definedName name="abcde">#REF!</definedName>
    <definedName name="ABCDEF" hidden="1">{#N/A,#N/A,FALSE,"정공"}</definedName>
    <definedName name="abcdefg">#REF!</definedName>
    <definedName name="abcdefghi">#REF!</definedName>
    <definedName name="abcdefghijkl">#REF!</definedName>
    <definedName name="ABCD관리" hidden="1">{#N/A,#N/A,FALSE,"정공"}</definedName>
    <definedName name="Abrisa">#REF!</definedName>
    <definedName name="absorp">#REF!</definedName>
    <definedName name="ABSTRACT">#REF!</definedName>
    <definedName name="ac" hidden="1">{#N/A,#N/A,FALSE,"Aging Summary";#N/A,#N/A,FALSE,"Ratio Analysis";#N/A,#N/A,FALSE,"Test 120 Day Accts";#N/A,#N/A,FALSE,"Tickmarks"}</definedName>
    <definedName name="ac_3">#REF!</definedName>
    <definedName name="AC_PA">#REF!</definedName>
    <definedName name="ACBU">#REF!</definedName>
    <definedName name="Acc" hidden="1">{#N/A,#N/A,TRUE,"Condensed IS";#N/A,#N/A,TRUE,"Condensed BS";#N/A,#N/A,TRUE,"Outlook";#N/A,#N/A,TRUE,"Condensed CF";#N/A,#N/A,TRUE,"Condensed CF - qtr"}</definedName>
    <definedName name="ACC_CASH">#REF!</definedName>
    <definedName name="acc_name">#REF!</definedName>
    <definedName name="acc_num">#REF!</definedName>
    <definedName name="accel">#REF!</definedName>
    <definedName name="accelarate">"3-May-2012"</definedName>
    <definedName name="Access_Button">"Vacation_VACATION98_List"</definedName>
    <definedName name="Access_Button1">"Headcount_Workbook_Schedules_List"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Code">""""</definedName>
    <definedName name="AccessDatabase" hidden="1">"J:\chassan\stores\Domestic Totals.mdb"</definedName>
    <definedName name="ACCOUNT">#REF!</definedName>
    <definedName name="Account_Balance">#REF!</definedName>
    <definedName name="Account_Balance_1">#REF!</definedName>
    <definedName name="Account_Fm">#REF!</definedName>
    <definedName name="Account_From">#REF!</definedName>
    <definedName name="Account_List">#REF!</definedName>
    <definedName name="Account_To">#REF!</definedName>
    <definedName name="AccountedPeriodType1">#REF!</definedName>
    <definedName name="ACCOUNTEDPERIODTYPE2">#REF!</definedName>
    <definedName name="ACCOUNTEDPERIODTYPE3">#REF!</definedName>
    <definedName name="ACCOUNTEDPERIODTYPE4">#REF!</definedName>
    <definedName name="ACCOUNTEDPERIODTYPE5">#REF!</definedName>
    <definedName name="ACCOUNTEDPERIODTYPE6">#REF!</definedName>
    <definedName name="accounting">#REF!</definedName>
    <definedName name="Accounting_FooterType">"NONE"</definedName>
    <definedName name="AccountNumber">#REF!</definedName>
    <definedName name="accounts">#REF!</definedName>
    <definedName name="ACCOUNTS_PAYABLE">#REF!</definedName>
    <definedName name="Accounts_Receivable">#REF!</definedName>
    <definedName name="Accounts_to_be_tallied">#REF!</definedName>
    <definedName name="ACCOUNTSEGMENT1">#REF!</definedName>
    <definedName name="accrdate">#REF!</definedName>
    <definedName name="Accruals">#REF!</definedName>
    <definedName name="AccrualsPaid">#REF!</definedName>
    <definedName name="ACCRUED_DO">#REF!</definedName>
    <definedName name="ACCRUED_DOA">#REF!</definedName>
    <definedName name="ACCRUED_FED">#REF!</definedName>
    <definedName name="ACCRUED_FEDA">#REF!</definedName>
    <definedName name="ACCRUED_STATE">#REF!</definedName>
    <definedName name="ACCRUED_STATEA">#REF!</definedName>
    <definedName name="ACCSFromA5">#REF!</definedName>
    <definedName name="Acct">#REF!</definedName>
    <definedName name="ACCT_CODE">#N/A</definedName>
    <definedName name="accts">#REF!</definedName>
    <definedName name="Accumulated_Dep___Building_improvement">#REF!</definedName>
    <definedName name="ACK">#REF!</definedName>
    <definedName name="acob">{"'Form'!$A$2:$J$81"}</definedName>
    <definedName name="acq">#REF!</definedName>
    <definedName name="AcqTaxes">#REF!</definedName>
    <definedName name="acquiror">#REF!</definedName>
    <definedName name="ACTEOH">#N/A</definedName>
    <definedName name="Action">#REF!</definedName>
    <definedName name="ActiveArea">"VPM"</definedName>
    <definedName name="ActiveBldgIDNumbers">#REF!</definedName>
    <definedName name="ActiveCustomers">#REF!</definedName>
    <definedName name="ACTIVITY">#REF!</definedName>
    <definedName name="ACTJ">#REF!</definedName>
    <definedName name="ACTJ.">#REF!</definedName>
    <definedName name="ACTPROD">#REF!</definedName>
    <definedName name="Actual">#REF!</definedName>
    <definedName name="Actual_Entries">#REF!</definedName>
    <definedName name="Actual_Source_Practice">#REF!</definedName>
    <definedName name="ActualStart">#REF!</definedName>
    <definedName name="ACwvu.All.">#REF!</definedName>
    <definedName name="ACwvu.IMSD._.Only.">#REF!</definedName>
    <definedName name="ACwvu.incearn." hidden="1">#REF!</definedName>
    <definedName name="ACwvu.inputs._.raw._.data.">#REF!</definedName>
    <definedName name="ACwvu.qtr._.view." hidden="1">#REF!</definedName>
    <definedName name="ad" hidden="1">{"CHART",#N/A,FALSE,"Arch Communications"}</definedName>
    <definedName name="ad_3">#REF!</definedName>
    <definedName name="Ad_Rate__Cost_per_millions___CPM__Assumptions">#REF!</definedName>
    <definedName name="ada">{"'Trend_Total'!$A$7:$V$10","'Trend_Total'!$A$1:$V$4"}</definedName>
    <definedName name="adad">#REF!</definedName>
    <definedName name="adad_3">#REF!</definedName>
    <definedName name="adadd">#REF!</definedName>
    <definedName name="ADD">#REF!</definedName>
    <definedName name="Add_l_info_FooterType">"EXTERNAL"</definedName>
    <definedName name="ADDA">#REF!</definedName>
    <definedName name="AddFormula">#REF!</definedName>
    <definedName name="addg">#REF!</definedName>
    <definedName name="Addi">#REF!</definedName>
    <definedName name="Additions">{"'Sheet1'!$A$5:$E$42"}</definedName>
    <definedName name="ADDITIONS_FURNITURE___FIXTURES">#REF!</definedName>
    <definedName name="ADDITIONS_TO_TOOLS_JIGS__INSTRUMENTS">#REF!</definedName>
    <definedName name="ADDLSVC">#REF!</definedName>
    <definedName name="ADDRESS">#REF!</definedName>
    <definedName name="addressee">#REF!</definedName>
    <definedName name="ADF">#REF!</definedName>
    <definedName name="adf3qrqer" hidden="1">{#N/A,#N/A,FALSE,"Aging Summary";#N/A,#N/A,FALSE,"Ratio Analysis";#N/A,#N/A,FALSE,"Test 120 Day Accts";#N/A,#N/A,FALSE,"Tickmarks"}</definedName>
    <definedName name="adf3qrqer_3">#REF!</definedName>
    <definedName name="adfadfasfdadf">#REF!</definedName>
    <definedName name="adfads">#REF!</definedName>
    <definedName name="adfads_1">#REF!</definedName>
    <definedName name="adfads_2">#REF!</definedName>
    <definedName name="adfads_3">#REF!</definedName>
    <definedName name="adfads_4">#REF!</definedName>
    <definedName name="adfafadf">#REF!</definedName>
    <definedName name="adfafadf_1">#REF!</definedName>
    <definedName name="adfafadf_2">#REF!</definedName>
    <definedName name="adfafadf_3">#REF!</definedName>
    <definedName name="adfafadf_4">#REF!</definedName>
    <definedName name="adfas">#REF!</definedName>
    <definedName name="adfas_1">#REF!</definedName>
    <definedName name="adfas_2">#REF!</definedName>
    <definedName name="adfas_3">#REF!</definedName>
    <definedName name="adfas_4">#REF!</definedName>
    <definedName name="adfasd">#REF!</definedName>
    <definedName name="adfasd_1">#REF!</definedName>
    <definedName name="adfasd_2">#REF!</definedName>
    <definedName name="adfasd_3">#REF!</definedName>
    <definedName name="adfasd_4">#REF!</definedName>
    <definedName name="adfasf">#REF!</definedName>
    <definedName name="adfasf_1">#REF!</definedName>
    <definedName name="adfasf_2">#REF!</definedName>
    <definedName name="adfasf_3">#REF!</definedName>
    <definedName name="adfasf_4">#REF!</definedName>
    <definedName name="adfasfadfda">#REF!</definedName>
    <definedName name="adfasfasdfasfdasdf">#REF!</definedName>
    <definedName name="adfdfdf">#REF!</definedName>
    <definedName name="adff">#REF!</definedName>
    <definedName name="adfg" hidden="1">{#N/A,#N/A,TRUE,"Monthly BCG";#N/A,#N/A,TRUE,"Monthly w|o Wireless";#N/A,#N/A,TRUE,"Monthly Wireless"}</definedName>
    <definedName name="adfg1">#REF!</definedName>
    <definedName name="adfgx" hidden="1">{#N/A,#N/A,TRUE,"Monthly BCG";#N/A,#N/A,TRUE,"Monthly w|o Wireless";#N/A,#N/A,TRUE,"Monthly Wireless"}</definedName>
    <definedName name="ADFH">#REF!</definedName>
    <definedName name="ADHAFSD">#REF!</definedName>
    <definedName name="ADJ">#REF!</definedName>
    <definedName name="Adj_Bank_Balance">#REF!</definedName>
    <definedName name="AdjCost">#REF!</definedName>
    <definedName name="adjustments">#REF!</definedName>
    <definedName name="adkjfksjfd">3</definedName>
    <definedName name="ADLJK">#REF!</definedName>
    <definedName name="ADM_FormCLocation">"\\SPRFS4002\TAX\AA\DATA\TAX\Clients\AA-STD\SS\Ctp2000\20001FmC.xls"</definedName>
    <definedName name="ADM_Logged">2</definedName>
    <definedName name="ADM_PioneerDevelopers">"The year is 2000AD. This is a new milestone in the history of Arthur Andersen's Corporate Tax Division, Singapore. The pioneer developers are Simon Sia, Mel Lum, Julie Ong, Winston Lim and David Wong. After 6 months, its finally ready!!"</definedName>
    <definedName name="ADMIN_EXP">#REF!</definedName>
    <definedName name="ADMINISTRATIVE_EXPENSES">#REF!</definedName>
    <definedName name="adrga">#REF!</definedName>
    <definedName name="ADRincr">1.0875</definedName>
    <definedName name="ADS" hidden="1">{#N/A,#N/A,FALSE,"REPORT"}</definedName>
    <definedName name="adSDSAdsa">#REF!</definedName>
    <definedName name="adsew">#REF!</definedName>
    <definedName name="ADSF" hidden="1">{#N/A,#N/A,TRUE,"매출진척-1";#N/A,#N/A,TRUE,"매출진척-2";#N/A,#N/A,TRUE,"제품실적";#N/A,#N/A,TRUE,"RAC";#N/A,#N/A,TRUE,"PAC ";#N/A,#N/A,TRUE,"재고현황";#N/A,#N/A,TRUE,"공지사항"}</definedName>
    <definedName name="adsf_1">#REF!</definedName>
    <definedName name="adsf_2">#REF!</definedName>
    <definedName name="adsf_3">#REF!</definedName>
    <definedName name="adsf_4">#REF!</definedName>
    <definedName name="adsf_5">#REF!</definedName>
    <definedName name="adsfadf">{"'Staffing'!$A$1:$D$62"}</definedName>
    <definedName name="adsfadsf" hidden="1">255</definedName>
    <definedName name="adsfasd">#REF!</definedName>
    <definedName name="adsfasd_1">#REF!</definedName>
    <definedName name="adsfasd_2">#REF!</definedName>
    <definedName name="adsfasd_3">#REF!</definedName>
    <definedName name="adsfasd_4">#REF!</definedName>
    <definedName name="adsfaw">#REF!</definedName>
    <definedName name="adsfca">#REF!</definedName>
    <definedName name="adsfeklj">#REF!</definedName>
    <definedName name="adsfg">#REF!</definedName>
    <definedName name="adsfkl">#REF!</definedName>
    <definedName name="adsga">#REF!</definedName>
    <definedName name="adsgah">#REF!</definedName>
    <definedName name="adsgawe">#REF!</definedName>
    <definedName name="adsjfk">17</definedName>
    <definedName name="adssdfad">#REF!</definedName>
    <definedName name="adv_affiliates">#REF!</definedName>
    <definedName name="adv_ahna">#REF!</definedName>
    <definedName name="adv_consol">#REF!</definedName>
    <definedName name="adv_Parent">#REF!</definedName>
    <definedName name="adv_unconsol">#REF!</definedName>
    <definedName name="advancetax">#REF!</definedName>
    <definedName name="advexp.">#REF!</definedName>
    <definedName name="AdvOthers">#REF!</definedName>
    <definedName name="advr">#REF!</definedName>
    <definedName name="adwdlkj">#REF!</definedName>
    <definedName name="ae" hidden="1">{"20 Years",#N/A,FALSE,"P&amp;Ls";"2001",#N/A,FALSE,"P&amp;Ls"}</definedName>
    <definedName name="aebtv">#REF!</definedName>
    <definedName name="aebtv_1">#REF!</definedName>
    <definedName name="aedfadf">#REF!</definedName>
    <definedName name="aefe">#REF!</definedName>
    <definedName name="aegseg">#REF!</definedName>
    <definedName name="aem">#REF!</definedName>
    <definedName name="AETH">#REF!</definedName>
    <definedName name="AETH_1">#REF!</definedName>
    <definedName name="aewfwe">#REF!</definedName>
    <definedName name="aey">#REF!</definedName>
    <definedName name="aeyae">#REF!</definedName>
    <definedName name="aeyrq">#REF!</definedName>
    <definedName name="aeyt">#REF!</definedName>
    <definedName name="aezeazez">#REF!</definedName>
    <definedName name="AF">{0}</definedName>
    <definedName name="af_1">#REF!</definedName>
    <definedName name="af_2">#REF!</definedName>
    <definedName name="af_3">#REF!</definedName>
    <definedName name="af_4">#REF!</definedName>
    <definedName name="afa">#REF!</definedName>
    <definedName name="afa_1">#REF!</definedName>
    <definedName name="afa_2">#REF!</definedName>
    <definedName name="afa_3">#REF!</definedName>
    <definedName name="afa_4">#REF!</definedName>
    <definedName name="AFAFASF">#REF!</definedName>
    <definedName name="afasd">#REF!</definedName>
    <definedName name="afasd_1">#REF!</definedName>
    <definedName name="afasd_2">#REF!</definedName>
    <definedName name="afasd_3">#REF!</definedName>
    <definedName name="afasd_4">#REF!</definedName>
    <definedName name="afd">#REF!</definedName>
    <definedName name="afda">#REF!</definedName>
    <definedName name="afdadfsas">#REF!</definedName>
    <definedName name="AFDADSFDAS" hidden="1">{#N/A,#N/A,FALSE,"REPORT"}</definedName>
    <definedName name="afdkljaf">#REF!</definedName>
    <definedName name="afds">#REF!</definedName>
    <definedName name="afdssaffds">#REF!</definedName>
    <definedName name="Afferguson">#REF!</definedName>
    <definedName name="Affirmed">#REF!</definedName>
    <definedName name="afgagagadg">#REF!</definedName>
    <definedName name="afgagagadg_1">#REF!</definedName>
    <definedName name="afgagagadg_2">#REF!</definedName>
    <definedName name="afgagagadg_3">#REF!</definedName>
    <definedName name="afgagagadg_4">#REF!</definedName>
    <definedName name="afge">#REF!</definedName>
    <definedName name="AFGH">#REF!</definedName>
    <definedName name="afjjfa">#REF!</definedName>
    <definedName name="afmd">#REF!</definedName>
    <definedName name="africa" hidden="1">{#N/A,#N/A,FALSE,"CNS";#N/A,#N/A,FALSE,"Serz";#N/A,#N/A,FALSE,"Ace"}</definedName>
    <definedName name="afterallowanceA">#REF!</definedName>
    <definedName name="afterallowanceB">#REF!</definedName>
    <definedName name="AG" hidden="1">#REF!</definedName>
    <definedName name="agag">#REF!</definedName>
    <definedName name="agdump">#REF!</definedName>
    <definedName name="agdump.">#REF!</definedName>
    <definedName name="age">#REF!</definedName>
    <definedName name="AGE_REPDT">#REF!</definedName>
    <definedName name="age1New">#REF!</definedName>
    <definedName name="Aged_as_at">#REF!</definedName>
    <definedName name="agedump">#REF!</definedName>
    <definedName name="agency">#REF!</definedName>
    <definedName name="agencydump">#REF!</definedName>
    <definedName name="agencydump.">#REF!</definedName>
    <definedName name="AGENCYLY">#REF!</definedName>
    <definedName name="AGENCYLY.">#REF!</definedName>
    <definedName name="AGENCYPLAN">#REF!</definedName>
    <definedName name="AGENCYPLAN.">#REF!</definedName>
    <definedName name="ageNew">#REF!</definedName>
    <definedName name="ageos">#REF!</definedName>
    <definedName name="AgeR">#REF!</definedName>
    <definedName name="AgeR1">#REF!</definedName>
    <definedName name="AgeR2">#REF!</definedName>
    <definedName name="AgeR3">#REF!</definedName>
    <definedName name="AgeR4">#REF!</definedName>
    <definedName name="AgeR5">#REF!</definedName>
    <definedName name="AgeR6">#REF!</definedName>
    <definedName name="agestock">#REF!</definedName>
    <definedName name="agfsdg">#REF!</definedName>
    <definedName name="Aging">#REF!</definedName>
    <definedName name="Aging_3">#REF!</definedName>
    <definedName name="Aginh" hidden="1">{#N/A,#N/A,FALSE,"Aging Summary";#N/A,#N/A,FALSE,"Ratio Analysis";#N/A,#N/A,FALSE,"Test 120 Day Accts";#N/A,#N/A,FALSE,"Tickmarks"}</definedName>
    <definedName name="agne">#REF!</definedName>
    <definedName name="agpar">#REF!</definedName>
    <definedName name="AGSDFAGDFG" hidden="1">{#N/A,#N/A,FALSE,"Pharm";#N/A,#N/A,FALSE,"WWCM"}</definedName>
    <definedName name="agsdgdgasdg">#REF!</definedName>
    <definedName name="agseg">#REF!</definedName>
    <definedName name="AHDFHADH" hidden="1">{#N/A,#N/A,FALSE,"Pharm";#N/A,#N/A,FALSE,"WWCM"}</definedName>
    <definedName name="AHG">#REF!</definedName>
    <definedName name="ahge">#REF!</definedName>
    <definedName name="AHM">#REF!</definedName>
    <definedName name="ahs">BLCH</definedName>
    <definedName name="AI">#REF!</definedName>
    <definedName name="AII">#REF!</definedName>
    <definedName name="AIRcpd">#REF!</definedName>
    <definedName name="AIRcvd">#REF!</definedName>
    <definedName name="AJ">#REF!</definedName>
    <definedName name="AJAJA">#REF!</definedName>
    <definedName name="ajalfdj">{"'vert'!$A$1:$T$117"}</definedName>
    <definedName name="AJHFkjDGHF">#REF!</definedName>
    <definedName name="AJV">#REF!</definedName>
    <definedName name="akdlfj">{"'Data Summary'!$A$1:$O$26"}</definedName>
    <definedName name="akdsjfkajdf">5</definedName>
    <definedName name="al">Allx3,Allx4,Allx5</definedName>
    <definedName name="Alarm">#REF!</definedName>
    <definedName name="Albert">#REF!</definedName>
    <definedName name="ALC_M" hidden="1">#REF!</definedName>
    <definedName name="ALE">#REF!</definedName>
    <definedName name="Alena" hidden="1">{#N/A,#N/A,TRUE,"R&amp;D";#N/A,#N/A,TRUE,"Drct exp";#N/A,#N/A,TRUE,"OPEX";#N/A,#N/A,TRUE,"R&amp;D";#N/A,#N/A,TRUE,"S&amp;M";#N/A,#N/A,TRUE,"G&amp;A"}</definedName>
    <definedName name="alena1" hidden="1">{#N/A,#N/A,TRUE,"CPRD";#N/A,#N/A,TRUE,"BCCPDR";#N/A,#N/A,TRUE,"EWRD";#N/A,#N/A,TRUE,"5100";#N/A,#N/A,TRUE,"5110"}</definedName>
    <definedName name="AlenaA" hidden="1">{#N/A,#N/A,TRUE,"R&amp;D";#N/A,#N/A,TRUE,"Drct exp";#N/A,#N/A,TRUE,"OPEX";#N/A,#N/A,TRUE,"R&amp;D";#N/A,#N/A,TRUE,"S&amp;M";#N/A,#N/A,TRUE,"G&amp;A"}</definedName>
    <definedName name="alex" hidden="1">{#N/A,#N/A,FALSE,"REPORT"}</definedName>
    <definedName name="alexan" hidden="1">{#N/A,#N/A,FALSE,"REPORT"}</definedName>
    <definedName name="alexwhy">clra1b1,clra1b2,clra1b3,clra1b4,clra1b5,clra1b6,clra1b7,clra1b8</definedName>
    <definedName name="ALI">{"'Feb 99'!$A$1:$G$30"}</definedName>
    <definedName name="Alignment">"a1"</definedName>
    <definedName name="all">#REF!</definedName>
    <definedName name="ALL___0">#REF!</definedName>
    <definedName name="All_Delay">#REF!</definedName>
    <definedName name="ALL_FA">#REF!</definedName>
    <definedName name="Allocation">{"'Aug Rev Area'!$A$4:$J$120"}</definedName>
    <definedName name="allow" hidden="1">{#N/A,#N/A,TRUE,"JE Entry";#N/A,#N/A,TRUE,"Recap";#N/A,#N/A,TRUE,"Furniture &amp; Fixtures";#N/A,#N/A,TRUE,"Equipment";#N/A,#N/A,TRUE,"Computer Equipment";#N/A,#N/A,TRUE,"Software";#N/A,#N/A,TRUE,"Leasehold"}</definedName>
    <definedName name="Allowance">{"'Trend_Total'!$A$7:$V$10","'Trend_Total'!$A$1:$V$4"}</definedName>
    <definedName name="allowcy">#REF!</definedName>
    <definedName name="allowly">#REF!</definedName>
    <definedName name="Allsort">#REF!</definedName>
    <definedName name="AllTables">{1}</definedName>
    <definedName name="AllTables_SIS_original">{1}</definedName>
    <definedName name="AlltheData">#REF!</definedName>
    <definedName name="alltheDatawithtitle">#REF!</definedName>
    <definedName name="allx">Allx3,Allx4,Allx5</definedName>
    <definedName name="alp">#REF!</definedName>
    <definedName name="alt_boxsize">#REF!</definedName>
    <definedName name="alter" hidden="1">{#N/A,#N/A,TRUE,"91AMTNOL";#N/A,#N/A,TRUE,"92AMTNOL";#N/A,#N/A,TRUE,"93AMTNOL"}</definedName>
    <definedName name="alyson">#REF!</definedName>
    <definedName name="alyson_1">#REF!</definedName>
    <definedName name="alyson_3">#REF!</definedName>
    <definedName name="alyson1">#REF!</definedName>
    <definedName name="ALㅓ머" hidden="1">{#N/A,#N/A,FALSE,"UNIT";#N/A,#N/A,FALSE,"UNIT";#N/A,#N/A,FALSE,"계정"}</definedName>
    <definedName name="americas">#REF!</definedName>
    <definedName name="AMEX">#REF!</definedName>
    <definedName name="amfv" hidden="1">#REF!</definedName>
    <definedName name="AMFV123" hidden="1">#REF!</definedName>
    <definedName name="amfv2" hidden="1">#REF!</definedName>
    <definedName name="amfv2013" hidden="1">#REF!</definedName>
    <definedName name="AMG_AS">#REF!</definedName>
    <definedName name="AMG_PA">#REF!</definedName>
    <definedName name="AML_FooterType">"INTERNAL"</definedName>
    <definedName name="AMORT">#REF!</definedName>
    <definedName name="amortis">#REF!</definedName>
    <definedName name="Amount">#REF!</definedName>
    <definedName name="amp">#REF!</definedName>
    <definedName name="amt">#REF!</definedName>
    <definedName name="Amtek">#REF!</definedName>
    <definedName name="amtos">#REF!</definedName>
    <definedName name="anadty">#REF!</definedName>
    <definedName name="Analysis" hidden="1">{#N/A,#N/A,FALSE,"Aging Summary";#N/A,#N/A,FALSE,"Ratio Analysis";#N/A,#N/A,FALSE,"Test 120 Day Accts";#N/A,#N/A,FALSE,"Tickmarks"}</definedName>
    <definedName name="anaspun">#REF!</definedName>
    <definedName name="and">#REF!</definedName>
    <definedName name="ANFB">#REF!</definedName>
    <definedName name="anise">#REF!</definedName>
    <definedName name="anise2">#REF!</definedName>
    <definedName name="anisev">#REF!</definedName>
    <definedName name="anisey">#REF!</definedName>
    <definedName name="Anixer">#REF!</definedName>
    <definedName name="AnnAvail">#REF!</definedName>
    <definedName name="AnnCapacity">#REF!</definedName>
    <definedName name="année">1999</definedName>
    <definedName name="AnnéePbmt">2001</definedName>
    <definedName name="ANNEX">#REF!</definedName>
    <definedName name="ANNEX_1">#REF!</definedName>
    <definedName name="annexure_1">#REF!</definedName>
    <definedName name="Annexure_I">#REF!</definedName>
    <definedName name="ANNEXURE1">#REF!</definedName>
    <definedName name="Annexure2">#REF!</definedName>
    <definedName name="AnnexurePART1">#REF!</definedName>
    <definedName name="AnnII">#REF!</definedName>
    <definedName name="AnnIIIa">#REF!</definedName>
    <definedName name="AnnIIIb">#REF!</definedName>
    <definedName name="AnnIIIc">#REF!</definedName>
    <definedName name="Annual">#REF!</definedName>
    <definedName name="annualleave">#REF!</definedName>
    <definedName name="AnnVI">#REF!</definedName>
    <definedName name="AnnVIIa">#REF!</definedName>
    <definedName name="AnnVIII">#REF!</definedName>
    <definedName name="AnnX">#REF!</definedName>
    <definedName name="AnnXI">#REF!</definedName>
    <definedName name="AnnXIc">#REF!</definedName>
    <definedName name="AnnXIIb">#REF!</definedName>
    <definedName name="AnnXIIc">#REF!</definedName>
    <definedName name="AnnXIV">#REF!</definedName>
    <definedName name="AnnXV">#REF!</definedName>
    <definedName name="anscount" hidden="1">2</definedName>
    <definedName name="ANTHONY">#REF!</definedName>
    <definedName name="anushka" hidden="1">#REF!</definedName>
    <definedName name="anx">#REF!</definedName>
    <definedName name="ANZ_CC">#REF!</definedName>
    <definedName name="AOC">#REF!</definedName>
    <definedName name="AOCNFTHSDLR" hidden="1">{#N/A,#N/A,FALSE,"정공"}</definedName>
    <definedName name="aomnc">#REF!</definedName>
    <definedName name="aone">#REF!</definedName>
    <definedName name="AP">#REF!</definedName>
    <definedName name="AP_Discount_Std">60%</definedName>
    <definedName name="AP_PrePay_Detail">#REF!</definedName>
    <definedName name="App">#REF!</definedName>
    <definedName name="Appendix">#REF!</definedName>
    <definedName name="Appendix111">#REF!</definedName>
    <definedName name="appendix4">#REF!</definedName>
    <definedName name="Application">#REF!</definedName>
    <definedName name="APPLICATION_OF_FUNDS">#REF!</definedName>
    <definedName name="approach">#REF!</definedName>
    <definedName name="AppsUsername1">#REF!</definedName>
    <definedName name="APPSUSERNAME2">#REF!</definedName>
    <definedName name="APPSUSERNAME3">#REF!</definedName>
    <definedName name="APPSUSERNAME4">#REF!</definedName>
    <definedName name="APPSUSERNAME5">#REF!</definedName>
    <definedName name="APPSUSERNAME6">#REF!</definedName>
    <definedName name="Apr_01">#REF!</definedName>
    <definedName name="Apr_18">#REF!</definedName>
    <definedName name="Apr_19">#REF!</definedName>
    <definedName name="Apr_20">#REF!</definedName>
    <definedName name="Apr_21">#REF!</definedName>
    <definedName name="apraud">#REF!</definedName>
    <definedName name="APRDATA?">#REF!</definedName>
    <definedName name="aprhkd">#REF!</definedName>
    <definedName name="APRIL">#REF!</definedName>
    <definedName name="April_control_totals">#REF!</definedName>
    <definedName name="aprsgd">#REF!</definedName>
    <definedName name="aprthb">#REF!</definedName>
    <definedName name="aprtwd">#REF!</definedName>
    <definedName name="aptech">#REF!</definedName>
    <definedName name="APWREFVIDENTIFIER">"'='COHR Historical PE'!$D$2"</definedName>
    <definedName name="aq">#REF!</definedName>
    <definedName name="AQE">{"'표지'!$B$5"}</definedName>
    <definedName name="aqqqq">{"'Sheet1'!$A$1:$H$36"}</definedName>
    <definedName name="aqz" hidden="1">{#N/A,#N/A,FALSE,"KMC최종회의(7월) 자료"}</definedName>
    <definedName name="AR">#REF!</definedName>
    <definedName name="AR_AHNA">#REF!</definedName>
    <definedName name="AR_Cons">#REF!</definedName>
    <definedName name="AR_INTER">#REF!</definedName>
    <definedName name="AR_Parent">#REF!</definedName>
    <definedName name="AR_SNS">#REF!</definedName>
    <definedName name="AR_Unconsol">#REF!</definedName>
    <definedName name="ARA_Threshold">#REF!</definedName>
    <definedName name="ARB51A">#REF!</definedName>
    <definedName name="ARBS" hidden="1">{#N/A,#N/A,FALSE,"BS";#N/A,#N/A,FALSE,"PL";#N/A,#N/A,FALSE,"처분";#N/A,#N/A,FALSE,"현금";#N/A,#N/A,FALSE,"매출";#N/A,#N/A,FALSE,"원가";#N/A,#N/A,FALSE,"경영"}</definedName>
    <definedName name="ARC">#REF!</definedName>
    <definedName name="ArchiIMA1">"Image 55"</definedName>
    <definedName name="ARDASD">#REF!</definedName>
    <definedName name="Area">#REF!</definedName>
    <definedName name="area1">#REF!</definedName>
    <definedName name="area2">#REF!</definedName>
    <definedName name="area3">#REF!</definedName>
    <definedName name="areya">#REF!</definedName>
    <definedName name="arga">#REF!</definedName>
    <definedName name="ARP">#REF!</definedName>
    <definedName name="ARP_Threshold">#REF!</definedName>
    <definedName name="arstjj">#REF!</definedName>
    <definedName name="arstjj_1">#REF!</definedName>
    <definedName name="ARTISAN">#REF!</definedName>
    <definedName name="arvind">#REF!</definedName>
    <definedName name="arvindmills">#REF!</definedName>
    <definedName name="arwegvfr">#REF!</definedName>
    <definedName name="arwegvfr_1">#REF!</definedName>
    <definedName name="arwegvfr_2">#REF!</definedName>
    <definedName name="arwegvfr_3">#REF!</definedName>
    <definedName name="arwegvfr_4">#REF!</definedName>
    <definedName name="aryaey">#REF!</definedName>
    <definedName name="as" hidden="1">{#N/A,#N/A,FALSE,"Qrt Fcst";#N/A,#N/A,FALSE,"Qrt Fcst vs Plan &amp; PY";#N/A,#N/A,FALSE,"FY Fcst vs Plan &amp; PY";#N/A,#N/A,FALSE,"EVA CAP";#N/A,#N/A,FALSE,"EVA NOPAT"}</definedName>
    <definedName name="AS_PA">#REF!</definedName>
    <definedName name="AS2Doc">"AS2DocumentBrowse"</definedName>
    <definedName name="AS2DocOpenMode" hidden="1">"AS2DocumentEdit"</definedName>
    <definedName name="AS2DocOpenMode_1">"AS2DocumentBrowse"</definedName>
    <definedName name="AS2DocOpenMode2">"AS2DocumentBrowse"</definedName>
    <definedName name="AS2DocOpenMode3" hidden="1">"AS2DocumentBrowse"</definedName>
    <definedName name="AS2HasNoAutoHeaderFooter" hidden="1">" "</definedName>
    <definedName name="AS2LinkLS" hidden="1">#REF!</definedName>
    <definedName name="AS2NamedRange" hidden="1">2</definedName>
    <definedName name="AS2NamedRange_1">74</definedName>
    <definedName name="AS2ReportLS" hidden="1">1</definedName>
    <definedName name="AS2StaticLS">#REF!</definedName>
    <definedName name="AS2SyncStepLS" hidden="1">0</definedName>
    <definedName name="as2t">#REF!</definedName>
    <definedName name="AS2TaxWorkpaper">" "</definedName>
    <definedName name="AS2TickmarkLS">#REF!</definedName>
    <definedName name="as2tickmarklssls" hidden="1">#REF!</definedName>
    <definedName name="AS2VersionLS" hidden="1">300</definedName>
    <definedName name="asaaaa">#REF!</definedName>
    <definedName name="asaaaaaa">#REF!</definedName>
    <definedName name="ASAH">#REF!</definedName>
    <definedName name="asas" hidden="1">{#N/A,#N/A,FALSE,"Pharm";#N/A,#N/A,FALSE,"WWCM"}</definedName>
    <definedName name="asasa">#REF!</definedName>
    <definedName name="asasf">#REF!</definedName>
    <definedName name="ascxf" hidden="1">{#N/A,#N/A,FALSE,"Aging Summary";#N/A,#N/A,FALSE,"Ratio Analysis";#N/A,#N/A,FALSE,"Test 120 Day Accts";#N/A,#N/A,FALSE,"Tickmarks"}</definedName>
    <definedName name="ascxf_3">#REF!</definedName>
    <definedName name="asd">#REF!</definedName>
    <definedName name="asd_1">#REF!</definedName>
    <definedName name="asd_2">#REF!</definedName>
    <definedName name="asd_3">#REF!</definedName>
    <definedName name="asd_4">#REF!</definedName>
    <definedName name="asd123qwe" hidden="1">#REF!</definedName>
    <definedName name="asda">#REF!</definedName>
    <definedName name="asda_1">#REF!</definedName>
    <definedName name="asda_2">#REF!</definedName>
    <definedName name="asda_3">#REF!</definedName>
    <definedName name="asda_4">#REF!</definedName>
    <definedName name="asdafwf">#REF!</definedName>
    <definedName name="ASDAH">#REF!</definedName>
    <definedName name="asdas">#REF!</definedName>
    <definedName name="asdas_1">#REF!</definedName>
    <definedName name="asdas_2">#REF!</definedName>
    <definedName name="asdas_3">#REF!</definedName>
    <definedName name="asdas_4">#REF!</definedName>
    <definedName name="asdasdfasdg">#REF!</definedName>
    <definedName name="asdasdfasdg_1">#REF!</definedName>
    <definedName name="asdasdfasdg_2">#REF!</definedName>
    <definedName name="asdasdfasdg_3">#REF!</definedName>
    <definedName name="asdasdfasdg_4">#REF!</definedName>
    <definedName name="asdasdfy">#REF!</definedName>
    <definedName name="asdasdfy_1">#REF!</definedName>
    <definedName name="asdasdfy_2">#REF!</definedName>
    <definedName name="asdasdfy_3">#REF!</definedName>
    <definedName name="asdasdfy_4">#REF!</definedName>
    <definedName name="asdasdg">#REF!</definedName>
    <definedName name="asdasdg_1">#REF!</definedName>
    <definedName name="asdasdg_2">#REF!</definedName>
    <definedName name="asdasdg_3">#REF!</definedName>
    <definedName name="asdasdg_4">#REF!</definedName>
    <definedName name="asdassd">#REF!</definedName>
    <definedName name="asdassd_1">#REF!</definedName>
    <definedName name="asdassd_2">#REF!</definedName>
    <definedName name="asdassd_3">#REF!</definedName>
    <definedName name="asdassd_4">#REF!</definedName>
    <definedName name="asdaw">#REF!</definedName>
    <definedName name="asddf">#REF!</definedName>
    <definedName name="asddf_1">#REF!</definedName>
    <definedName name="asddf_2">#REF!</definedName>
    <definedName name="asddf_3">#REF!</definedName>
    <definedName name="asddf_4">#REF!</definedName>
    <definedName name="asdf" hidden="1">{"CHART",#N/A,FALSE,"Arch Communications"}</definedName>
    <definedName name="asdf_1">#REF!</definedName>
    <definedName name="asdf_2">#REF!</definedName>
    <definedName name="asdf_3">#REF!</definedName>
    <definedName name="asdf_4">#REF!</definedName>
    <definedName name="asdfa">#REF!</definedName>
    <definedName name="asdfa_1">#REF!</definedName>
    <definedName name="asdfa_2">#REF!</definedName>
    <definedName name="asdfa_3">#REF!</definedName>
    <definedName name="asdfa_4">#REF!</definedName>
    <definedName name="asdfad">#REF!</definedName>
    <definedName name="asdfad_1">#REF!</definedName>
    <definedName name="asdfad_2">#REF!</definedName>
    <definedName name="asdfad_3">#REF!</definedName>
    <definedName name="asdfad_4">#REF!</definedName>
    <definedName name="asdfadf">#REF!</definedName>
    <definedName name="asdfadf_1">#REF!</definedName>
    <definedName name="asdfadf_2">#REF!</definedName>
    <definedName name="asdfadf_3">#REF!</definedName>
    <definedName name="asdfadf_4">#REF!</definedName>
    <definedName name="asdfadg">#REF!</definedName>
    <definedName name="asdfadsfas">#REF!</definedName>
    <definedName name="asdfadsfas_1">#REF!</definedName>
    <definedName name="asdfadsfas_2">#REF!</definedName>
    <definedName name="asdfadsfas_3">#REF!</definedName>
    <definedName name="asdfadsfas_4">#REF!</definedName>
    <definedName name="asdfafdas">#REF!</definedName>
    <definedName name="asdfafds" hidden="1">#REF!</definedName>
    <definedName name="asdfas">#REF!</definedName>
    <definedName name="asdfasd">#REF!</definedName>
    <definedName name="asdfasd_1">#REF!</definedName>
    <definedName name="asdfasd_2">#REF!</definedName>
    <definedName name="asdfasd_3">#REF!</definedName>
    <definedName name="asdfasd_4">#REF!</definedName>
    <definedName name="asdfasdd">#REF!</definedName>
    <definedName name="asdfasdd_1">#REF!</definedName>
    <definedName name="asdfasdd_2">#REF!</definedName>
    <definedName name="asdfasdd_3">#REF!</definedName>
    <definedName name="asdfasdd_4">#REF!</definedName>
    <definedName name="asdfasddfa">#REF!</definedName>
    <definedName name="asdfasddfa_1">#REF!</definedName>
    <definedName name="asdfasddfa_2">#REF!</definedName>
    <definedName name="asdfasddfa_3">#REF!</definedName>
    <definedName name="asdfasddfa_4">#REF!</definedName>
    <definedName name="asdfasdf">#REF!</definedName>
    <definedName name="asdfasdfasdf">#REF!</definedName>
    <definedName name="asdfasdfasdfa">binary</definedName>
    <definedName name="asdfasdff">{"'1-TheatreBkgs'!$A$1:$L$102"}</definedName>
    <definedName name="asdfasdfg">#REF!</definedName>
    <definedName name="asdfasdfg_1">#REF!</definedName>
    <definedName name="asdfasdfg_2">#REF!</definedName>
    <definedName name="asdfasdfg_3">#REF!</definedName>
    <definedName name="asdfasdfg_4">#REF!</definedName>
    <definedName name="asdfasfasf">#REF!</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asfsa">binary</definedName>
    <definedName name="asdfd">#REF!</definedName>
    <definedName name="asdfd_1">#REF!</definedName>
    <definedName name="asdfd_2">#REF!</definedName>
    <definedName name="asdfd_3">#REF!</definedName>
    <definedName name="asdfd_4">#REF!</definedName>
    <definedName name="asdfdaf">#REF!</definedName>
    <definedName name="asdfdaf_1">#REF!</definedName>
    <definedName name="asdfdaf_2">#REF!</definedName>
    <definedName name="asdfdaf_3">#REF!</definedName>
    <definedName name="asdfdaf_4">#REF!</definedName>
    <definedName name="asdfds">#REF!</definedName>
    <definedName name="asdfdssa">#REF!</definedName>
    <definedName name="asdfe">#REF!</definedName>
    <definedName name="asdff">#REF!</definedName>
    <definedName name="asdffasd">#REF!</definedName>
    <definedName name="asdffasd_1">#REF!</definedName>
    <definedName name="asdffasd_2">#REF!</definedName>
    <definedName name="asdffasd_3">#REF!</definedName>
    <definedName name="asdffasd_4">#REF!</definedName>
    <definedName name="asdfg" hidden="1">#REF!</definedName>
    <definedName name="asdfgg" hidden="1">#REF!</definedName>
    <definedName name="asdfgh" hidden="1">#REF!</definedName>
    <definedName name="asdfghjk" hidden="1">#REF!</definedName>
    <definedName name="asdfjaksdjf">3</definedName>
    <definedName name="asdfn">#REF!</definedName>
    <definedName name="asdfs">#REF!</definedName>
    <definedName name="asdfsd">binary</definedName>
    <definedName name="asdfsda">#REF!</definedName>
    <definedName name="asdfsda_1">#REF!</definedName>
    <definedName name="asdfsda_2">#REF!</definedName>
    <definedName name="asdfsda_3">#REF!</definedName>
    <definedName name="asdfsda_4">#REF!</definedName>
    <definedName name="asdfsds">{"'OCT  VOIDS'!$A$1:$G$33","'OCT '!$A$1:$G$48","'OCT Adj'!$A$1:$L$37"}</definedName>
    <definedName name="ASDFTG" hidden="1">#REF!</definedName>
    <definedName name="asdg">{"'1-TheatreBkgs'!$A$1:$L$102"}</definedName>
    <definedName name="asdgaerghawergt">#REF!</definedName>
    <definedName name="asdgaerghawergt_1">#REF!</definedName>
    <definedName name="asdgaerghawergt_2">#REF!</definedName>
    <definedName name="asdgaerghawergt_3">#REF!</definedName>
    <definedName name="asdgaerghawergt_4">#REF!</definedName>
    <definedName name="asdgaew">#REF!</definedName>
    <definedName name="asdgasdfasdfas">#REF!</definedName>
    <definedName name="asdgasdfasdfas_1">#REF!</definedName>
    <definedName name="asdgasdfasdfas_2">#REF!</definedName>
    <definedName name="asdgasdfasdfas_3">#REF!</definedName>
    <definedName name="asdgasdfasdfas_4">#REF!</definedName>
    <definedName name="asdgasrgasdf">#REF!</definedName>
    <definedName name="asdgasrgasdf_1">#REF!</definedName>
    <definedName name="asdgasrgasdf_2">#REF!</definedName>
    <definedName name="asdgasrgasdf_3">#REF!</definedName>
    <definedName name="asdgasrgasdf_4">#REF!</definedName>
    <definedName name="ASDGS">#REF!</definedName>
    <definedName name="ASDGSD" hidden="1">{#N/A,#N/A,FALSE,"REPORT"}</definedName>
    <definedName name="asdha">#REF!</definedName>
    <definedName name="asdhfjkashfds">#REF!</definedName>
    <definedName name="ASDJFK">5</definedName>
    <definedName name="asdkfjak">1</definedName>
    <definedName name="asdmasd">#REF!</definedName>
    <definedName name="asdr5">#REF!</definedName>
    <definedName name="asds">#REF!</definedName>
    <definedName name="asdsda">#REF!</definedName>
    <definedName name="asdsda_1">#REF!</definedName>
    <definedName name="asdsda_2">#REF!</definedName>
    <definedName name="asdsda_3">#REF!</definedName>
    <definedName name="asdsda_4">#REF!</definedName>
    <definedName name="asdsdf">#REF!</definedName>
    <definedName name="asdsdf_1">#REF!</definedName>
    <definedName name="asdsdf_2">#REF!</definedName>
    <definedName name="asdsdf_3">#REF!</definedName>
    <definedName name="asdsdf_4">#REF!</definedName>
    <definedName name="asdt" hidden="1">{#N/A,#N/A,FALSE,"Pharm";#N/A,#N/A,FALSE,"WWCM"}</definedName>
    <definedName name="asdtf">{"'Standalone List Price Trends'!$A$1:$X$56"}</definedName>
    <definedName name="asdtff">{"'Standalone List Price Trends'!$A$1:$X$56"}</definedName>
    <definedName name="ASE" hidden="1">{#N/A,#N/A,FALSE,"초도품";#N/A,#N/A,FALSE,"초도품 (2)";#N/A,#N/A,FALSE,"초도품 (3)";#N/A,#N/A,FALSE,"초도품 (4)";#N/A,#N/A,FALSE,"초도품 (5)";#N/A,#N/A,FALSE,"초도품 (6)"}</definedName>
    <definedName name="AseaBrownBove">#REF!</definedName>
    <definedName name="aservb" hidden="1">#REF!</definedName>
    <definedName name="asewa" hidden="1">{#N/A,#N/A,FALSE,"KMC최종회의(7월) 자료"}</definedName>
    <definedName name="asf" hidden="1">{#N/A,#N/A,TRUE,"Monthly BCG";#N/A,#N/A,TRUE,"Qrt BCG";#N/A,#N/A,TRUE,"FY BCG";#N/A,#N/A,TRUE,"1Q BCG";#N/A,#N/A,TRUE,"2Q BCG";#N/A,#N/A,TRUE,"3Q BCG";#N/A,#N/A,TRUE,"4Q BCG"}</definedName>
    <definedName name="asfa">#REF!</definedName>
    <definedName name="asfa_1">#REF!</definedName>
    <definedName name="asfa1">#REF!</definedName>
    <definedName name="asfa1_1">#REF!</definedName>
    <definedName name="asfads">#REF!</definedName>
    <definedName name="asfads_1">#REF!</definedName>
    <definedName name="asfads_2">#REF!</definedName>
    <definedName name="asfads_3">#REF!</definedName>
    <definedName name="asfads_4">#REF!</definedName>
    <definedName name="asfaeq4rwegfta">#REF!</definedName>
    <definedName name="asfaeq4rwegfta_1">#REF!</definedName>
    <definedName name="asfaeq4rwegfta_2">#REF!</definedName>
    <definedName name="asfaeq4rwegfta_3">#REF!</definedName>
    <definedName name="asfaeq4rwegfta_4">#REF!</definedName>
    <definedName name="asfd">#REF!</definedName>
    <definedName name="asfd1">{"'Sheet1'!$A$1:$J$121"}</definedName>
    <definedName name="ASFDASDG" hidden="1">{#N/A,#N/A,FALSE,"REPORT"}</definedName>
    <definedName name="asfdasfdsafdasf">#REF!</definedName>
    <definedName name="asfdf">#REF!</definedName>
    <definedName name="asfdf_1">#REF!</definedName>
    <definedName name="asfdf_2">#REF!</definedName>
    <definedName name="asfdf_3">#REF!</definedName>
    <definedName name="asfdf_4">#REF!</definedName>
    <definedName name="asffghujyki" hidden="1">{#N/A,#N/A,FALSE,"Pharm";#N/A,#N/A,FALSE,"WWCM"}</definedName>
    <definedName name="asfgs">#REF!</definedName>
    <definedName name="ASFGSATW" hidden="1">{#N/A,#N/A,FALSE,"Pharm";#N/A,#N/A,FALSE,"WWCM"}</definedName>
    <definedName name="asfrtewy" hidden="1">{#N/A,#N/A,FALSE,"Pharm";#N/A,#N/A,FALSE,"WWCM"}</definedName>
    <definedName name="asfsaf">binary</definedName>
    <definedName name="asfsd">#REF!</definedName>
    <definedName name="asfsd_1">#REF!</definedName>
    <definedName name="asfsd_2">#REF!</definedName>
    <definedName name="asfsd_3">#REF!</definedName>
    <definedName name="asfsd_4">#REF!</definedName>
    <definedName name="asfsdf">#REF!</definedName>
    <definedName name="ASFSDFA">#REF!</definedName>
    <definedName name="ASG">#REF!</definedName>
    <definedName name="ASGDFG">#REF!</definedName>
    <definedName name="asggdasgasdg">{"'Standalone List Price Trends'!$A$1:$X$56"}</definedName>
    <definedName name="ashland">#REF!</definedName>
    <definedName name="Ashokhhhot">#REF!</definedName>
    <definedName name="ASIA_PLASTIC_in_KUSD">#REF!</definedName>
    <definedName name="ask">#REF!</definedName>
    <definedName name="askfdjaksjf">2</definedName>
    <definedName name="askfdjksjdf">5</definedName>
    <definedName name="asqdq">#REF!</definedName>
    <definedName name="asregregseer">#REF!</definedName>
    <definedName name="asregregseer_1">#REF!</definedName>
    <definedName name="asregregseer_2">#REF!</definedName>
    <definedName name="asregregseer_3">#REF!</definedName>
    <definedName name="asregregseer_4">#REF!</definedName>
    <definedName name="ass">#REF!</definedName>
    <definedName name="ASSA" hidden="1">{#N/A,#N/A,FALSE,"1";#N/A,#N/A,FALSE,"2";#N/A,#N/A,FALSE,"16 - 17";#N/A,#N/A,FALSE,"18 - 19";#N/A,#N/A,FALSE,"26";#N/A,#N/A,FALSE,"27";#N/A,#N/A,FALSE,"28"}</definedName>
    <definedName name="ASSEMBLY">#REF!</definedName>
    <definedName name="Assembly.">#REF!</definedName>
    <definedName name="ASSEMBLY..">#REF!</definedName>
    <definedName name="ASSEMBLY_DETAIL">#REF!</definedName>
    <definedName name="Assess97">#REF!</definedName>
    <definedName name="Assess98">#REF!</definedName>
    <definedName name="asset">#REF!</definedName>
    <definedName name="Asset_Type">#REF!</definedName>
    <definedName name="Asset_Use_Pct">#REF!</definedName>
    <definedName name="ASSETBYGL">#REF!</definedName>
    <definedName name="assetclass">#REF!</definedName>
    <definedName name="assets">#REF!</definedName>
    <definedName name="ASSETS.DM">#REF!</definedName>
    <definedName name="Assets_FooterType">"INTERNAL"</definedName>
    <definedName name="Assets_Output1_FooterType">"INTERNAL"</definedName>
    <definedName name="Assets_Output2_FooterType">"INTERNAL"</definedName>
    <definedName name="Assets_Output3_FooterType">"INTERNAL"</definedName>
    <definedName name="Assets_Output4_FooterType">"INTERNAL"</definedName>
    <definedName name="Assets_Output5_FooterType">"INTERNAL"</definedName>
    <definedName name="assettable">#REF!</definedName>
    <definedName name="AssetType">#REF!</definedName>
    <definedName name="AssetType2">#REF!</definedName>
    <definedName name="ASSS">#REF!</definedName>
    <definedName name="asssdsd">#REF!</definedName>
    <definedName name="assssss">#REF!</definedName>
    <definedName name="assumption">#REF!</definedName>
    <definedName name="Assumptions_2">{"'Form'!$A$2:$J$81"}</definedName>
    <definedName name="Assumptions_Network">#REF!</definedName>
    <definedName name="AST_NO_LAST">#REF!</definedName>
    <definedName name="AST_NO_START">#REF!</definedName>
    <definedName name="asw">#REF!</definedName>
    <definedName name="aswedrt" hidden="1">#REF!</definedName>
    <definedName name="at">#REF!</definedName>
    <definedName name="ATSeXToEUR" hidden="1">1/EUReXToATS</definedName>
    <definedName name="ATTACH">#REF!</definedName>
    <definedName name="ATTEND">#REF!</definedName>
    <definedName name="ATXQAVersion">2</definedName>
    <definedName name="au">#REF!</definedName>
    <definedName name="au_1">#REF!</definedName>
    <definedName name="aud">#REF!</definedName>
    <definedName name="AUD.MN">#REF!</definedName>
    <definedName name="Auditing_and_accounitng_issues">#REF!</definedName>
    <definedName name="AuditTrailKey">#REF!</definedName>
    <definedName name="aug">#REF!</definedName>
    <definedName name="Aug_18">#REF!</definedName>
    <definedName name="Aug_19">#REF!</definedName>
    <definedName name="Aug_20">#REF!</definedName>
    <definedName name="Aug_21">#REF!</definedName>
    <definedName name="augaud">#REF!</definedName>
    <definedName name="AUGDATA?">#REF!</definedName>
    <definedName name="aughkd">#REF!</definedName>
    <definedName name="augsgd">#REF!</definedName>
    <definedName name="augthb">#REF!</definedName>
    <definedName name="augtwd">#REF!</definedName>
    <definedName name="August_Control_Totals">#REF!</definedName>
    <definedName name="AUST">#REF!</definedName>
    <definedName name="AUSTR_Aug03">#REF!</definedName>
    <definedName name="AUSTRALIA">#REF!</definedName>
    <definedName name="AUSTRIA">#REF!</definedName>
    <definedName name="aut">#REF!</definedName>
    <definedName name="AUTO">#REF!</definedName>
    <definedName name="AUto1">#REF!</definedName>
    <definedName name="Autocomplete">#REF!</definedName>
    <definedName name="AUTODATA">#REF!</definedName>
    <definedName name="AUTOPRINT_1">#REF!</definedName>
    <definedName name="AUTOPRINT_2">#REF!</definedName>
    <definedName name="Avail">#REF!</definedName>
    <definedName name="ave">#REF!</definedName>
    <definedName name="ave_ln_change">#REF!</definedName>
    <definedName name="ave_vol">#REF!</definedName>
    <definedName name="average_exchange_rate">#REF!</definedName>
    <definedName name="averagebal">#REF!</definedName>
    <definedName name="avgot">#REF!</definedName>
    <definedName name="aw" hidden="1">{"Admin.",#N/A,FALSE,"ccs";"Alloc.",#N/A,FALSE,"ccs";"BS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ards">#REF!</definedName>
    <definedName name="awdfv">#REF!</definedName>
    <definedName name="awdfv_1">#REF!</definedName>
    <definedName name="awe">#REF!</definedName>
    <definedName name="awea">#REF!</definedName>
    <definedName name="aweftg">#REF!</definedName>
    <definedName name="aweftg_1">#REF!</definedName>
    <definedName name="awerg">#REF!</definedName>
    <definedName name="awerg_1">#REF!</definedName>
    <definedName name="AWES" hidden="1">#REF!</definedName>
    <definedName name="awp">#REF!</definedName>
    <definedName name="aws">#REF!</definedName>
    <definedName name="awser">#REF!</definedName>
    <definedName name="ax">#REF!</definedName>
    <definedName name="axcdf" hidden="1">{#N/A,#N/A,FALSE,"정공"}</definedName>
    <definedName name="AXD" hidden="1">{#N/A,#N/A,FALSE,"초도품";#N/A,#N/A,FALSE,"초도품 (2)";#N/A,#N/A,FALSE,"초도품 (3)";#N/A,#N/A,FALSE,"초도품 (4)";#N/A,#N/A,FALSE,"초도품 (5)";#N/A,#N/A,FALSE,"초도품 (6)"}</definedName>
    <definedName name="axedoc">#REF!</definedName>
    <definedName name="aXFNN">#REF!</definedName>
    <definedName name="axxs" hidden="1">{#N/A,#N/A,FALSE,"KMC최종회의(7월) 자료"}</definedName>
    <definedName name="AY">#REF!</definedName>
    <definedName name="AYER">#REF!</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dsd">Allx3,Allx4,Allx5</definedName>
    <definedName name="azeazr" hidden="1">{#N/A,#N/A,FALSE,"Sales Graph";#N/A,#N/A,FALSE,"BUC Graph";#N/A,#N/A,FALSE,"P&amp;L - YTD"}</definedName>
    <definedName name="azerety" hidden="1">{#N/A,#N/A,FALSE,"Pharm";#N/A,#N/A,FALSE,"WWCM"}</definedName>
    <definedName name="Aㅠ219">#REF!</definedName>
    <definedName name="b">#REF!</definedName>
    <definedName name="b_1">#REF!</definedName>
    <definedName name="B_10">#REF!</definedName>
    <definedName name="b_2">#REF!</definedName>
    <definedName name="B_20">#REF!</definedName>
    <definedName name="B_3">#N/A</definedName>
    <definedName name="b_4">#REF!</definedName>
    <definedName name="B_40">#REF!</definedName>
    <definedName name="b_5">#REF!</definedName>
    <definedName name="B_50">#REF!</definedName>
    <definedName name="B_60">#REF!</definedName>
    <definedName name="B_70">#REF!</definedName>
    <definedName name="B_90">#REF!</definedName>
    <definedName name="B_JEMU">#REF!</definedName>
    <definedName name="B_TOTAL">#REF!</definedName>
    <definedName name="B_TOTALT">#REF!</definedName>
    <definedName name="B_value">#REF!</definedName>
    <definedName name="B_valuenue">#REF!</definedName>
    <definedName name="b3.">#REF!</definedName>
    <definedName name="B52.1">#REF!</definedName>
    <definedName name="ba" hidden="1">{#N/A,#N/A,FALSE,"Aging Summary";#N/A,#N/A,FALSE,"Ratio Analysis";#N/A,#N/A,FALSE,"Test 120 Day Accts";#N/A,#N/A,FALSE,"Tickmarks"}</definedName>
    <definedName name="ba_3">#REF!</definedName>
    <definedName name="BABL">#REF!</definedName>
    <definedName name="BACK">#REF!</definedName>
    <definedName name="Back_1">#REF!</definedName>
    <definedName name="Back_2">#REF!</definedName>
    <definedName name="Back_3">#REF!</definedName>
    <definedName name="Back_4">#REF!</definedName>
    <definedName name="Back_5">#REF!</definedName>
    <definedName name="back2">#REF!</definedName>
    <definedName name="back2a">#REF!</definedName>
    <definedName name="back6">#REF!</definedName>
    <definedName name="back7">#REF!</definedName>
    <definedName name="Backlog_Commissioned">"Backlog - Commissioned"</definedName>
    <definedName name="Backlog_Commissioned_Q2">"Backlog - Commissioned by Q2"</definedName>
    <definedName name="Backlog_Commissioned_Qtr">"Backlog - Commissioned by Q3"</definedName>
    <definedName name="Backlog_Non_Commissioned">"Backlog - Non-Commissioned"</definedName>
    <definedName name="Backlog_Non_Commissioned_Q2">"Backlog - Non-Commissioned by Q2"</definedName>
    <definedName name="Backlog_Non_Commissioned_Qtr">"Backlog - Non-Commissioned by Q3"</definedName>
    <definedName name="BACKUP">#REF!</definedName>
    <definedName name="BAGS">#REF!</definedName>
    <definedName name="Bajaj">#REF!</definedName>
    <definedName name="Bajajauto">#REF!</definedName>
    <definedName name="bak">#REF!</definedName>
    <definedName name="BAL">#REF!</definedName>
    <definedName name="bal_bf">#REF!</definedName>
    <definedName name="bal_cf">#REF!</definedName>
    <definedName name="bal_cfC">#REF!</definedName>
    <definedName name="bal_cfD">#REF!</definedName>
    <definedName name="BALANCE_FINAL">#REF!</definedName>
    <definedName name="BALANCE_MONTH">#REF!</definedName>
    <definedName name="BALANCE_MONTH1">#REF!</definedName>
    <definedName name="Balance_Sheet">#REF!</definedName>
    <definedName name="Balance_Sheet.">#REF!</definedName>
    <definedName name="BalanceSheetDates">#REF!</definedName>
    <definedName name="balg1">#REF!</definedName>
    <definedName name="balg2">#REF!</definedName>
    <definedName name="balg3">#REF!</definedName>
    <definedName name="ballapurindus">#REF!</definedName>
    <definedName name="ban" hidden="1">{#N/A,#N/A,FALSE,"P.C.B"}</definedName>
    <definedName name="Bang1">#REF!</definedName>
    <definedName name="Bang2">#REF!</definedName>
    <definedName name="Bangladesh">#REF!</definedName>
    <definedName name="bank">#REF!</definedName>
    <definedName name="BankAccounts">#REF!</definedName>
    <definedName name="BankCR">#REF!</definedName>
    <definedName name="bankdr">#REF!</definedName>
    <definedName name="bankofbaroda">#REF!</definedName>
    <definedName name="bankofindia">#REF!</definedName>
    <definedName name="bankofrajas">#REF!</definedName>
    <definedName name="BANKS">#REF!</definedName>
    <definedName name="bar" hidden="1">{#N/A,#N/A,FALSE,"Aging Summary";#N/A,#N/A,FALSE,"Ratio Analysis";#N/A,#N/A,FALSE,"Test 120 Day Accts";#N/A,#N/A,FALSE,"Tickmarks"}</definedName>
    <definedName name="Barolo">#REF!</definedName>
    <definedName name="Base_Currency">#REF!</definedName>
    <definedName name="base_salary">#REF!</definedName>
    <definedName name="base_shares">#REF!</definedName>
    <definedName name="BASE_YEAR">#REF!</definedName>
    <definedName name="BASEOS">#REF!</definedName>
    <definedName name="BaseRateLine1">#REF!</definedName>
    <definedName name="BaseRateLine1_98">#REF!</definedName>
    <definedName name="BaseRateLine2">#REF!</definedName>
    <definedName name="BaseRateLine2_98">#REF!</definedName>
    <definedName name="BaseRateLine3">#REF!</definedName>
    <definedName name="BaseRateLine3_98">#REF!</definedName>
    <definedName name="BaseRateLine4">#REF!</definedName>
    <definedName name="BaseRateLine4_98">#REF!</definedName>
    <definedName name="BaseRateLine5">#REF!</definedName>
    <definedName name="BaseRateLine5_98">#REF!</definedName>
    <definedName name="BaseRateLine6">#REF!</definedName>
    <definedName name="BaseRateLine6_98">#REF!</definedName>
    <definedName name="Bases_FooterType">"INTERNAL"</definedName>
    <definedName name="BaseYear">#REF!</definedName>
    <definedName name="basia_1">#REF!</definedName>
    <definedName name="basic">#REF!,#REF!,#REF!,#REF!</definedName>
    <definedName name="Basic_info_FooterType">"INTERNAL"</definedName>
    <definedName name="basis">#REF!</definedName>
    <definedName name="basis___0">#REF!</definedName>
    <definedName name="basis_2">#REF!</definedName>
    <definedName name="basis_3">#REF!</definedName>
    <definedName name="basis_4">#REF!</definedName>
    <definedName name="BASIS_YEAR">#REF!</definedName>
    <definedName name="Bat">#REF!</definedName>
    <definedName name="Batch">#REF!</definedName>
    <definedName name="Batch1">#REF!</definedName>
    <definedName name="Batch11">#REF!</definedName>
    <definedName name="Batch12">#REF!</definedName>
    <definedName name="Batch13">#REF!</definedName>
    <definedName name="Batch2">#REF!</definedName>
    <definedName name="Batch3">#REF!</definedName>
    <definedName name="Batch4">#REF!</definedName>
    <definedName name="Batch5">#REF!</definedName>
    <definedName name="Batch6">#REF!</definedName>
    <definedName name="Batch7">#REF!</definedName>
    <definedName name="bayerabs">#REF!</definedName>
    <definedName name="bb" hidden="1">{#N/A,#N/A,TRUE,"Condensed IS";#N/A,#N/A,TRUE,"Condensed BS";#N/A,#N/A,TRUE,"Outlook";#N/A,#N/A,TRUE,"Condensed CF";#N/A,#N/A,TRUE,"Condensed CF - qtr"}</definedName>
    <definedName name="bb_1">#REF!</definedName>
    <definedName name="bb_2">#REF!</definedName>
    <definedName name="bb_3">#REF!</definedName>
    <definedName name="bb_4">#REF!</definedName>
    <definedName name="bb_5">#REF!</definedName>
    <definedName name="bbb">#REF!</definedName>
    <definedName name="bbbb" hidden="1">{#N/A,#N/A,TRUE,"CPRD";#N/A,#N/A,TRUE,"BCCPDR";#N/A,#N/A,TRUE,"EWRD";#N/A,#N/A,TRUE,"5100";#N/A,#N/A,TRUE,"5110"}</definedName>
    <definedName name="bbbbb" hidden="1">{#N/A,#N/A,FALSE,"Aging Summary";#N/A,#N/A,FALSE,"Ratio Analysis";#N/A,#N/A,FALSE,"Test 120 Day Accts";#N/A,#N/A,FALSE,"Tickmarks"}</definedName>
    <definedName name="bbbbb_3">#REF!</definedName>
    <definedName name="BBBBBB" hidden="1">{#N/A,#N/A,FALSE,"REPORT"}</definedName>
    <definedName name="BBBBBBBBB" hidden="1">{#N/A,#N/A,FALSE,"REPORT"}</definedName>
    <definedName name="bbbbbbbbbbbbb" hidden="1">{#N/A,#N/A,FALSE,"Pharm";#N/A,#N/A,FALSE,"WWCM"}</definedName>
    <definedName name="bbbbbbbbbbbbbbb" hidden="1">{#N/A,#N/A,FALSE,"Aging Summary";#N/A,#N/A,FALSE,"Ratio Analysis";#N/A,#N/A,FALSE,"Test 120 Day Accts";#N/A,#N/A,FALSE,"Tickmarks"}</definedName>
    <definedName name="bbbbbbbbbbbbbbb_3">#REF!</definedName>
    <definedName name="BBLAPR02OCTF">#REF!</definedName>
    <definedName name="BBLAUG01A">#REF!</definedName>
    <definedName name="BBLAUG01JLF">#REF!</definedName>
    <definedName name="BBLAUG01OCTF">#REF!</definedName>
    <definedName name="BBLAUG02OCTF">#REF!</definedName>
    <definedName name="BBLDEC01A">#REF!</definedName>
    <definedName name="BBLDEC01OCTF">#REF!</definedName>
    <definedName name="BBLDEC02OCTF">#REF!</definedName>
    <definedName name="BBLFEB02OCTF">#REF!</definedName>
    <definedName name="BBLFY00A">#REF!</definedName>
    <definedName name="BBLFY01A">#REF!</definedName>
    <definedName name="BBLFY01JLF">#REF!</definedName>
    <definedName name="BBLFY01OCTF">#REF!</definedName>
    <definedName name="BBLFY02OCTF">#REF!</definedName>
    <definedName name="BBLFY98A">#REF!</definedName>
    <definedName name="BBLFY99A">#REF!</definedName>
    <definedName name="BBLJAN01A">#REF!</definedName>
    <definedName name="BBLJAN01OCTF">#REF!</definedName>
    <definedName name="BBLJAN02OCTF">#REF!</definedName>
    <definedName name="BBLJUL02OCTF">#REF!</definedName>
    <definedName name="BBLJUN02OCTF">#REF!</definedName>
    <definedName name="BBLLOBAPR02OCTF">#REF!</definedName>
    <definedName name="BBLLOBAUG01A">#REF!</definedName>
    <definedName name="BBLLOBAUG01JLF">#REF!</definedName>
    <definedName name="BBLLOBAUG01OCTF">#REF!</definedName>
    <definedName name="BBLLOBAUG02OCTF">#REF!</definedName>
    <definedName name="BBLLOBDEC01A">#REF!</definedName>
    <definedName name="BBLLOBDEC01OCTF">#REF!</definedName>
    <definedName name="BBLLOBDEC02OCTF">#REF!</definedName>
    <definedName name="BBLLOBFEB02OCTF">#REF!</definedName>
    <definedName name="BBLLOBFY00A">#REF!</definedName>
    <definedName name="BBLLOBFY01A">#REF!</definedName>
    <definedName name="BBLLOBFY01JLF">#REF!</definedName>
    <definedName name="BBLLOBFY01OCTF">#REF!</definedName>
    <definedName name="BBLLOBFY02OCTF">#REF!</definedName>
    <definedName name="BBLLOBFY98A">#REF!</definedName>
    <definedName name="BBLLOBFY99A">#REF!</definedName>
    <definedName name="BBLLOBJAN01A">#REF!</definedName>
    <definedName name="BBLLOBJAN01OCTF">#REF!</definedName>
    <definedName name="BBLLOBJAN02OCTF">#REF!</definedName>
    <definedName name="BBLLOBJUL02OCTF">#REF!</definedName>
    <definedName name="BBLLOBJUN02OCTF">#REF!</definedName>
    <definedName name="BBLLOBMAR02OCTF">#REF!</definedName>
    <definedName name="BBLLOBMAY02OCTF">#REF!</definedName>
    <definedName name="BBLLOBNOV01A">#REF!</definedName>
    <definedName name="BBLLOBNOV01OCTF">#REF!</definedName>
    <definedName name="BBLLOBNOV02OCTF">#REF!</definedName>
    <definedName name="BBLLOBOCT01A">#REF!</definedName>
    <definedName name="BBLLOBOCT01JLF">#REF!</definedName>
    <definedName name="BBLLOBOCT01OCTF">#REF!</definedName>
    <definedName name="BBLLOBOCT02OCTF">#REF!</definedName>
    <definedName name="BBLLOBQ100A">#REF!</definedName>
    <definedName name="BBLLOBQ101A">#REF!</definedName>
    <definedName name="BBLLOBQ102JLF">#REF!</definedName>
    <definedName name="BBLLOBQ102OCTF">#REF!</definedName>
    <definedName name="BBLLOBQ198A">#REF!</definedName>
    <definedName name="BBLLOBQ199A">#REF!</definedName>
    <definedName name="BBLLOBQ200A">#REF!</definedName>
    <definedName name="BBLLOBQ201A">#REF!</definedName>
    <definedName name="BBLLOBQ202OCTF">#REF!</definedName>
    <definedName name="BBLLOBQ298A">#REF!</definedName>
    <definedName name="BBLLOBQ299A">#REF!</definedName>
    <definedName name="BBLLOBQ300A">#REF!</definedName>
    <definedName name="BBLLOBQ301A">#REF!</definedName>
    <definedName name="BBLLOBQ301JLF">#REF!</definedName>
    <definedName name="BBLLOBQ301OCTF">#REF!</definedName>
    <definedName name="BBLLOBQ302OCTF">#REF!</definedName>
    <definedName name="BBLLOBQ398A">#REF!</definedName>
    <definedName name="BBLLOBQ399A">#REF!</definedName>
    <definedName name="BBLLOBQ400A">#REF!</definedName>
    <definedName name="BBLLOBQ401A">#REF!</definedName>
    <definedName name="BBLLOBQ401JLF">#REF!</definedName>
    <definedName name="BBLLOBQ401OCTF">#REF!</definedName>
    <definedName name="BBLLOBQ402OCTF">#REF!</definedName>
    <definedName name="BBLLOBQ498A">#REF!</definedName>
    <definedName name="BBLLOBQ499A">#REF!</definedName>
    <definedName name="BBLLOBSEP01A">#REF!</definedName>
    <definedName name="BBLLOBSEP01JLF">#REF!</definedName>
    <definedName name="BBLLOBSEP01OCTF">#REF!</definedName>
    <definedName name="BBLLOBSEP02OCTF">#REF!</definedName>
    <definedName name="BBLMAR02OCTF">#REF!</definedName>
    <definedName name="BBLMAY02OCTF">#REF!</definedName>
    <definedName name="BBLNOV01A">#REF!</definedName>
    <definedName name="BBLNOV01OCTF">#REF!</definedName>
    <definedName name="BBLNOV02OCTF">#REF!</definedName>
    <definedName name="BBLOCT01A">#REF!</definedName>
    <definedName name="BBLOCT01JLF">#REF!</definedName>
    <definedName name="BBLOCT01OCTF">#REF!</definedName>
    <definedName name="BBLOCT02OCTF">#REF!</definedName>
    <definedName name="BBLQ100A">#REF!</definedName>
    <definedName name="BBLQ101A">#REF!</definedName>
    <definedName name="BBLQ102JLF">#REF!</definedName>
    <definedName name="BBLQ102OCTF">#REF!</definedName>
    <definedName name="BBLQ198A">#REF!</definedName>
    <definedName name="BBLQ199A">#REF!</definedName>
    <definedName name="BBLQ200A">#REF!</definedName>
    <definedName name="BBLQ201A">#REF!</definedName>
    <definedName name="BBLQ202OCTF">#REF!</definedName>
    <definedName name="BBLQ298A">#REF!</definedName>
    <definedName name="BBLQ299A">#REF!</definedName>
    <definedName name="BBLQ300A">#REF!</definedName>
    <definedName name="BBLQ301A">#REF!</definedName>
    <definedName name="BBLQ301JLF">#REF!</definedName>
    <definedName name="BBLQ301OCTF">#REF!</definedName>
    <definedName name="BBLQ398A">#REF!</definedName>
    <definedName name="BBLQ399A">#REF!</definedName>
    <definedName name="BBLQ400A">#REF!</definedName>
    <definedName name="BBLQ401A">#REF!</definedName>
    <definedName name="BBLQ401JLF">#REF!</definedName>
    <definedName name="BBLQ401OCTF">#REF!</definedName>
    <definedName name="BBLQ402OCTF">#REF!</definedName>
    <definedName name="BBLQ498A">#REF!</definedName>
    <definedName name="BBLQ499A">#REF!</definedName>
    <definedName name="BBLSEP01A">#REF!</definedName>
    <definedName name="BBLSEP01JLF">#REF!</definedName>
    <definedName name="BBLSEP01OCTF">#REF!</definedName>
    <definedName name="BBLSEP02OCTF">#REF!</definedName>
    <definedName name="BBY">#REF!</definedName>
    <definedName name="bcd" hidden="1">{#N/A,#N/A,TRUE,"Condensed IS";#N/A,#N/A,TRUE,"Condensed BS";#N/A,#N/A,TRUE,"Outlook";#N/A,#N/A,TRUE,"Condensed CF";#N/A,#N/A,TRUE,"Condensed CF - qtr"}</definedName>
    <definedName name="BCopyToRange">#REF!</definedName>
    <definedName name="bcrclcl100rt">#REF!</definedName>
    <definedName name="bcrclcl100rtrkrk">#REF!</definedName>
    <definedName name="BCriteria">#REF!</definedName>
    <definedName name="bd">"1/1/2005"</definedName>
    <definedName name="Bda">#REF!</definedName>
    <definedName name="BDATE">#REF!</definedName>
    <definedName name="bdc">"2005年1月1日"</definedName>
    <definedName name="be">#REF!</definedName>
    <definedName name="Bear">#REF!</definedName>
    <definedName name="Bear_1">#REF!</definedName>
    <definedName name="Bear_2">#REF!</definedName>
    <definedName name="Bear_3">#REF!</definedName>
    <definedName name="Bear_4">#REF!</definedName>
    <definedName name="BEFeXToEUR" hidden="1">1/EUReXToBEF</definedName>
    <definedName name="Beforeadjust.95">#REF!</definedName>
    <definedName name="Beforeadjust.96">#REF!</definedName>
    <definedName name="Beforeadjust.97">#REF!</definedName>
    <definedName name="Beforeadjust.98.10">#REF!</definedName>
    <definedName name="Beforeadjust.98.11">#REF!</definedName>
    <definedName name="Beg_Bal">#REF!</definedName>
    <definedName name="BEGIN">#REF!</definedName>
    <definedName name="Begin_Cell">#REF!</definedName>
    <definedName name="BEGINNING_DATE">#REF!</definedName>
    <definedName name="BEL">{"'subnets'!$A$1:$F$20"}</definedName>
    <definedName name="benefit" hidden="1">{#N/A,#N/A,FALSE,"R&amp;D Quick Calc";#N/A,#N/A,FALSE,"DOE Fee Schedule"}</definedName>
    <definedName name="Benefits">350</definedName>
    <definedName name="BEO.MN">#REF!</definedName>
    <definedName name="berry">#REF!</definedName>
    <definedName name="berry_1">#REF!</definedName>
    <definedName name="berry_3">#REF!</definedName>
    <definedName name="berry1">#REF!</definedName>
    <definedName name="Beth">#REF!</definedName>
    <definedName name="Beurteilung">#REF!</definedName>
    <definedName name="Beurteilung_1">#REF!</definedName>
    <definedName name="Beurteilung_2">#REF!</definedName>
    <definedName name="bew" hidden="1">{#N/A,#N/A,FALSE,"Taxblinc";#N/A,#N/A,FALSE,"Rsvsacls"}</definedName>
    <definedName name="BEx0017DGUEDPCFJUPUZOOLJCS2B">#REF!</definedName>
    <definedName name="BEx001CNWHJ5RULCSFM36ZCGJ1UH">#REF!</definedName>
    <definedName name="BEx001SXRBNNZ2539U01DEHSLLNK">#REF!</definedName>
    <definedName name="BEx004791UAJIJSN57OT7YBLNP82">#REF!</definedName>
    <definedName name="BEx008P2NVFDLBHL7IZ5WTMVOQ1F">#REF!</definedName>
    <definedName name="BEx009G00IN0JUIAQ4WE9NHTMQE2">#REF!</definedName>
    <definedName name="BEx00ASHD6R485Q6KPVFAZ1BXDCN" hidden="1">#REF!</definedName>
    <definedName name="BEx00DXTY2JDVGWQKV8H7FG4SV30">#REF!</definedName>
    <definedName name="BEx00GHLTYRH5N2S6P78YW1CD30N">#REF!</definedName>
    <definedName name="BEx00JC31DY11L45SEU4B10BIN6W">#REF!</definedName>
    <definedName name="BEx00KZHZBHP3TDV1YMX4B19B95O">#REF!</definedName>
    <definedName name="BEx00MBY8XXUOHIZ4LHXHPD7WYD5">#REF!</definedName>
    <definedName name="BEx01HY6E3GJ66ABU5ABN26V6Q13">#REF!</definedName>
    <definedName name="BEx01PW5YQKEGAR8JDDI5OARYXDF">#REF!</definedName>
    <definedName name="BEx01XJ94SHJ1YQ7ORPW0RQGKI2H">#REF!</definedName>
    <definedName name="BEx02DF3MR0HI8O0JXOYMJELCU14">#REF!</definedName>
    <definedName name="BEx02Q08R9G839Q4RFGG9026C7PX">#REF!</definedName>
    <definedName name="BEx02SEL3Z1QWGAHXDPUA9WLTTPS">#REF!</definedName>
    <definedName name="BEx02Y3KJZH5BGDM9QEZ1PVVI114">#REF!</definedName>
    <definedName name="BEx0313GRLLASDTVPW5DHTXHE74M">#REF!</definedName>
    <definedName name="BEx1F0SOZ3H5XUHXD7O01TCR8T6J">#REF!</definedName>
    <definedName name="BEx1F9HL824UCNCVZ2U62J4KZCX8">#REF!</definedName>
    <definedName name="BEx1FEVSJKTI1Q1Z874QZVFSJSVA">#REF!</definedName>
    <definedName name="BEx1FGDRUHHLI1GBHELT4PK0LY4V">#REF!</definedName>
    <definedName name="BEx1FJZ7GKO99IYTP6GGGF7EUL3Z">#REF!</definedName>
    <definedName name="BEx1FZV2CM77TBH1R6YYV9P06KA2">#REF!</definedName>
    <definedName name="BEx1G59AY8195JTUM6P18VXUFJ3E">#REF!</definedName>
    <definedName name="BEx1G9WFJ3LGY3GK76YO208RBSLR">#REF!</definedName>
    <definedName name="BEx1GG1PQ60G5AY11J82W7WR4BVH" hidden="1">#REF!</definedName>
    <definedName name="BEx1GVMRHFXUP6XYYY9NR12PV5TF">#REF!</definedName>
    <definedName name="BEx1H6KIT7BHUH6MDDWC935V9N47">#REF!</definedName>
    <definedName name="BEx1HDGOOJ3SKHYMWUZJ1P0RQZ9N">#REF!</definedName>
    <definedName name="BEx1HDM5ZXSJG6JQEMSFV52PZ10V">#REF!</definedName>
    <definedName name="BEx1HETBBZVN5F43LKOFMC4QB0CR">#REF!</definedName>
    <definedName name="BEx1HGWNWPLNXICOTP90TKQVVE4E">#REF!</definedName>
    <definedName name="BEx1HGWUBENRPW6WUKKQO0V5I9C2">#REF!</definedName>
    <definedName name="BEx1HIPLJZABY0EMUOTZN0EQMDPU">#REF!</definedName>
    <definedName name="BEx1HO94JIRX219MPWMB5E5XZ04X">#REF!</definedName>
    <definedName name="BEx1HQNF6KHM21E3XLW0NMSSEI9S">#REF!</definedName>
    <definedName name="BEx1HSLNWIW4S97ZBYY7I7M5YVH4">#REF!</definedName>
    <definedName name="BEx1I4QKTILCKZUSOJCVZN7SNHL5">#REF!</definedName>
    <definedName name="BEx1IE0ZP7RIFM9FI24S9I6AAJ14">#REF!</definedName>
    <definedName name="BEx1IGQ5B697MNDOE06MVSR0H58E">#REF!</definedName>
    <definedName name="BEx1IKRPW8MLB9Y485M1TL2IT9SH">#REF!</definedName>
    <definedName name="BEx1J07FUDCUKJV9A0GHY1NBXESA">#REF!</definedName>
    <definedName name="BEx1J0CSSHDJGBJUHVOEMCF2P4DL">#REF!</definedName>
    <definedName name="BEx1J61RRF9LJ3V3R5OY3WJ6VBWR">#REF!</definedName>
    <definedName name="BEx1J7E8VCGLPYU82QXVUG5N3ZAI">#REF!</definedName>
    <definedName name="BEx1JGE2YQWH8S25USOY08XVGO0D">#REF!</definedName>
    <definedName name="BEx1JJJC9T1W7HY4V7HP1S1W4JO1">#REF!</definedName>
    <definedName name="BEx1JKKZSJ7DI4PTFVI9VVFMB1X2">#REF!</definedName>
    <definedName name="BEx1JUBQFRVMASSFK4B3V0AD7YP9">#REF!</definedName>
    <definedName name="BEx1JXBM5W4YRWNQ0P95QQS6JWD6">#REF!</definedName>
    <definedName name="BEx1KGY9QEHZ9QSARMQUTQKRK4UX">#REF!</definedName>
    <definedName name="BEx1KKP1ELIF2UII2FWVGL7M1X7J">#REF!</definedName>
    <definedName name="BEx1KMHT9KOPKLGYOZ7HLY6YAE65" hidden="1">#REF!</definedName>
    <definedName name="BEx1KUVWMB0QCWA3RBE4CADFVRIS">#REF!</definedName>
    <definedName name="BEx1L2DT53P4PS7GX7OE5A2WT3T2">#REF!</definedName>
    <definedName name="BEx1L2OG1SDFK2TPXELJ77YP4NI2">#REF!</definedName>
    <definedName name="BEx1L6Q60MWRDJB4L20LK0XPA0Z2">#REF!</definedName>
    <definedName name="BEx1LD63FP2Z4BR9TKSHOZW9KKZ5">#REF!</definedName>
    <definedName name="BEx1LDMB9RW982DUILM2WPT5VWQ3">#REF!</definedName>
    <definedName name="BEx1LRPGDQCOEMW8YT80J1XCDCIV">#REF!</definedName>
    <definedName name="BEx1LRUSJW4JG54X07QWD9R27WV9">#REF!</definedName>
    <definedName name="BEx1M1WBK5T0LP1AK2JYV6W87ID6">#REF!</definedName>
    <definedName name="BEx1M51HHDYGIT8PON7U8ICL2S95">#REF!</definedName>
    <definedName name="BEx1MTRKKVCHOZ0YGID6HZ49LJTO">#REF!</definedName>
    <definedName name="BEx1MZ0HC1VMEGKQ0GJRIXKX185U">#REF!</definedName>
    <definedName name="BEx1N3CUJ3UX61X38ZAJVPEN4KMC">#REF!</definedName>
    <definedName name="BEx1NM34KQTO1LDNSAFD1L82UZFG">#REF!</definedName>
    <definedName name="BEx1NO6TXZVOGCUWCCRTXRXWW0XL">#REF!</definedName>
    <definedName name="BEx1NS8EU5P9FQV3S0WRTXI5L361">#REF!</definedName>
    <definedName name="BEx1NUBX5VUYZFKQH69FN6BTLWCR">#REF!</definedName>
    <definedName name="BEx1NZ4K1L8UON80Y2A4RASKWGNP">#REF!</definedName>
    <definedName name="BEx1OHPITHYSGUU29Z0T7EUKZXFM">#REF!</definedName>
    <definedName name="BEx1OLAZ915OGYWP0QP1QQWDLCRX">#REF!</definedName>
    <definedName name="BEx1OO5ER042IS6IC4TLDI75JNVH">#REF!</definedName>
    <definedName name="BEx1OTE54CBSUT8FWKRALEDCUWN4">#REF!</definedName>
    <definedName name="BEx1OVSMPADTX95QUOX34KZQ8EDY">#REF!</definedName>
    <definedName name="BEx1OW8PURFBM988GS9S6YXOH1ZF">#REF!</definedName>
    <definedName name="BEx1OX544IO9FQJI7YYQGZCEHB3O">#REF!</definedName>
    <definedName name="BEx1OY6SVEUT2EQ26P7EKEND342G">#REF!</definedName>
    <definedName name="BEx1OYN1LPIPI12O9G6F7QAOS9T4">#REF!</definedName>
    <definedName name="BEx1P1HHKJA799O3YZXQAX6KFH58">#REF!</definedName>
    <definedName name="BEx1P34W467WGPOXPK292QFJIPHJ">#REF!</definedName>
    <definedName name="BEx1P7S1J4TKGVJ43C2Q2R3M9WRB">#REF!</definedName>
    <definedName name="BEx1PA11BLPVZM8RC5BL46WX8YB5">#REF!</definedName>
    <definedName name="BEx1PBZ4BEFIPGMQXT9T8S4PZ2IM">#REF!</definedName>
    <definedName name="BEx1PC9V1JDXDBT6ZVB4S7DQP4AV">#REF!</definedName>
    <definedName name="BEx1PLF2CFSXBZPVI6CJ534EIJDN">#REF!</definedName>
    <definedName name="BEx1PMWZB2DO6EM9BKLUICZJ65HD">#REF!</definedName>
    <definedName name="BEx1Q8N692G6EGZ4XT4F1BK31X1L">#REF!</definedName>
    <definedName name="BEx1QA54J2A4I7IBQR19BTY28ZMR">#REF!</definedName>
    <definedName name="BEx1QMQAHG3KQUK59DVM68SWKZIZ">#REF!</definedName>
    <definedName name="BEx1R9YFKJCMSEST8OVCAO5E47FO">#REF!</definedName>
    <definedName name="BEx1RBGC06B3T52OIC0EQ1KGVP1I">#REF!</definedName>
    <definedName name="BEx1RQFTJ3R8L7YR2CRV7JQHXBCC">#REF!</definedName>
    <definedName name="BEx1RRC7X4NI1CU4EO5XYE2GVARJ">#REF!</definedName>
    <definedName name="BEx1RZA1NCGT832L7EMR7GMF588W">#REF!</definedName>
    <definedName name="BEx1S0XGIPUSZQUCSGWSK10GKW7Y">#REF!</definedName>
    <definedName name="BEx1S5VFNKIXHTTCWSV60UC50EZ8">#REF!</definedName>
    <definedName name="BEx1SCRLR075EGLXSP4ZSDMJQW6O">#REF!</definedName>
    <definedName name="BEx1SK3U02H0RGKEYXW7ZMCEOF3V">#REF!</definedName>
    <definedName name="BEx1SSI3TUD5T4WCXYSEWRDUWH4Y">#REF!</definedName>
    <definedName name="BEx1SSNEZINBJT29QVS62VS1THT4">#REF!</definedName>
    <definedName name="BEx1SVNCHNANBJIDIQVB8AFK4HAN">#REF!</definedName>
    <definedName name="BEx1T2ZRP1AAN9XQ8S7WV3NLE7W4">#REF!</definedName>
    <definedName name="BEx1THZ2YTFQR8J38HMX3PPVH3U2">#REF!</definedName>
    <definedName name="BEx1TJ0WLS9O7KNSGIPWTYHDYI1D">#REF!</definedName>
    <definedName name="BEx1U15M7LVVFZENH830B2BGWC04">#REF!</definedName>
    <definedName name="BEx1U7WFO8OZKB1EBF4H386JW91L">#REF!</definedName>
    <definedName name="BEx1U87938YR9N6HYI24KVBKLOS3">#REF!</definedName>
    <definedName name="BEx1UESH4KDWHYESQU2IE55RS3LI">#REF!</definedName>
    <definedName name="BEx1UHN2Y15NUCWD9AHXCC0P3JTA">#REF!</definedName>
    <definedName name="BEx1UI8N9KTCPSOJ7RDW0T8UEBNP">#REF!</definedName>
    <definedName name="BEx1UML0HHJFHA5TBOYQ24I3RV1W">#REF!</definedName>
    <definedName name="BEx1UOJ7RLE0WZHRC228EH9L0NO3">#REF!</definedName>
    <definedName name="BEx1UUDIQPZ23XQ79GUL0RAWRSCK">#REF!</definedName>
    <definedName name="BEx1UUJ0546L6HCHE7O3D0F6OE9S">#REF!</definedName>
    <definedName name="BEx1V67SEV778NVW68J8W5SND1J7">#REF!</definedName>
    <definedName name="BEx1V6NVAB63OK7NMA3WUI5XWWB2">#REF!</definedName>
    <definedName name="BEx1VDPKARJ6CHGP7VDAAN7HCHEY">#REF!</definedName>
    <definedName name="BEx1VI1WDX5LP6NH9X2Q4I8KXYGA">#REF!</definedName>
    <definedName name="BEx1VIY9SQLRESD11CC4PHYT0XSG">#REF!</definedName>
    <definedName name="BEx1VTFWT7ECGV8Z5UCHJRYBDUUF">#REF!</definedName>
    <definedName name="BEx1WC67EH10SC38QWX3WEA5KH3A">#REF!</definedName>
    <definedName name="BEx1WGYTKZZIPM1577W5FEYKFH3V">#REF!</definedName>
    <definedName name="BEx1WHPURIV3D3PTJJ359H1OP7ZV">#REF!</definedName>
    <definedName name="BEx1WLWY2CR1WRD694JJSWSDFAIR">#REF!</definedName>
    <definedName name="BEx1WMD1LWPWRIK6GGAJRJAHJM8I">#REF!</definedName>
    <definedName name="BEx1WR0D41MR174LBF3P9E3K0J51">#REF!</definedName>
    <definedName name="BEx1WUB1FAS5PHU33TJ60SUHR618">#REF!</definedName>
    <definedName name="BEx1WX04G0INSPPG9NTNR3DYR6PZ">#REF!</definedName>
    <definedName name="BEx1X3LHU9DPG01VWX2IF65TRATF">#REF!</definedName>
    <definedName name="BEx1XDC4YXIBM86GCE0N3IYFW6NI">#REF!</definedName>
    <definedName name="BEx1XK8AAMO0AH0Z1OUKW30CA7EQ">#REF!</definedName>
    <definedName name="BEx1XL4MZ7C80495GHQRWOBS16PQ">#REF!</definedName>
    <definedName name="BEx1Y2IGS2K95E1M51PEF9KJZ0KB">#REF!</definedName>
    <definedName name="BEx1Y3PKK83X2FN9SAALFHOWKMRQ">#REF!</definedName>
    <definedName name="BEx1YL3DJ7Y4AZ01ERCOGW0FJ26T">#REF!</definedName>
    <definedName name="BEx1Z2RYHSVD1H37817SN93VMURZ">#REF!</definedName>
    <definedName name="BEx3AMAKWI6458B67VKZO56MCNJW">#REF!</definedName>
    <definedName name="BEx3AOOVM42G82TNF53W0EKXLUSI">#REF!</definedName>
    <definedName name="BEx3AZH9W4SUFCAHNDOQ728R9V4L">#REF!</definedName>
    <definedName name="BEx3BFIGMTA1KX46VVCIZZGA0QKK" hidden="1">#REF!</definedName>
    <definedName name="BEx3BNR9ES4KY7Q1DK83KC5NDGL8">#REF!</definedName>
    <definedName name="BEx3BQR5VZXNQ4H949ORM8ESU3B3">#REF!</definedName>
    <definedName name="BEx3BTLL3ASJN134DLEQTQM70VZM">#REF!</definedName>
    <definedName name="BEx3BW5CTV0DJU5AQS3ZQFK2VLF3">#REF!</definedName>
    <definedName name="BEx3BYP0FG369M7G3JEFLMMXAKTS">#REF!</definedName>
    <definedName name="BEx3C2QR0WUD19QSVO8EMIPNQJKH">#REF!</definedName>
    <definedName name="BEx3CCS3VNR1KW2R7DKSQFZ17QW0">#REF!</definedName>
    <definedName name="BEx3CKFCCPZZ6ROLAT5C1DZNIC1U">#REF!</definedName>
    <definedName name="BEx3CO0SVO4WLH0DO43DCHYDTH1P">#REF!</definedName>
    <definedName name="BEx3D9G6QTSPF9UYI4X0XY0VE896">#REF!</definedName>
    <definedName name="BEx3DCQU9PBRXIMLO62KS5RLH447">#REF!</definedName>
    <definedName name="BEx3EDM088D1V98F25JF1P487UXF">#REF!</definedName>
    <definedName name="BEx3EF99FD6QNNCNOKDEE67JHTUJ">#REF!</definedName>
    <definedName name="BEx3EHCSERZ2O2OAG8Y95UPG2IY9">#REF!</definedName>
    <definedName name="BEx3EJR3TCJDYS7ZXNDS5N9KTGIK">#REF!</definedName>
    <definedName name="BEx3ELJTTBS6P05CNISMGOJOA60V">#REF!</definedName>
    <definedName name="BEx3EQSLJBDDJRHNX19PBFCKNY2I">#REF!</definedName>
    <definedName name="BEx3EUUAX947Q5N6MY6W0KSNY78Y">#REF!</definedName>
    <definedName name="BEx3FFDBGD5NYYOVAR8AWUPUSFOX" hidden="1">#REF!</definedName>
    <definedName name="BEx3FHMD1P5XBCH23ZKIFO6ZTCNB">#REF!</definedName>
    <definedName name="BEx3FI2G3YYIACQHXNXEA15M8ZK5">#REF!</definedName>
    <definedName name="BEx3FJ9MHSLDK8W91GO85FX1GX57">#REF!</definedName>
    <definedName name="BEx3FR251HFU7A33PU01SJUENL2B">#REF!</definedName>
    <definedName name="BEx3FX7EJL47JSLSWP3EOC265WAE">#REF!</definedName>
    <definedName name="BEx3G201R8NLJ6FIHO2QS0SW9QVV">#REF!</definedName>
    <definedName name="BEx3G2LL2II66XY5YCDPG4JE13A3">#REF!</definedName>
    <definedName name="BEx3G2WA0DTYY9D8AGHHOBTPE2B2">#REF!</definedName>
    <definedName name="BEx3GCXR6IAS0B6WJ03GJVH7CO52">#REF!</definedName>
    <definedName name="BEx3GE4YEEZCREJX98A7B7PS09L8">#REF!</definedName>
    <definedName name="BEx3GEVV18SEQDI1JGY7EN6D1GT1">#REF!</definedName>
    <definedName name="BEx3GHKYBZJQ9YR3HCQWI6F7BEGP" hidden="1">#REF!</definedName>
    <definedName name="BEx3GKFH64MKQX61S7DYTZ15JCPY">#REF!</definedName>
    <definedName name="BEx3GMJ1Y6UU02DLRL0QXCEKDA6C">#REF!</definedName>
    <definedName name="BEx3GN4LY0135CBDIN1TU2UEODGF">#REF!</definedName>
    <definedName name="BEx3GPDH2AH4QKT4OOSN563XUHBD">#REF!</definedName>
    <definedName name="BEx3H1NTWZ59NSWJIVIK4FDTN6AD">#REF!</definedName>
    <definedName name="BEx3H5UX2GZFZZT657YR76RHW5I6">#REF!</definedName>
    <definedName name="BEx3HEJSU5GVFUX8RX7QP7HVUSRF">#REF!</definedName>
    <definedName name="BEx3HMSEFOP6DBM4R97XA6B7NFG6">#REF!</definedName>
    <definedName name="BEx3HWJ5SQSD2CVCQNR183X44FR8">#REF!</definedName>
    <definedName name="BEx3I09YVXO0G4X7KGSA4WGORM35">#REF!</definedName>
    <definedName name="BEx3I4RSUJZR5QQ4AZJIA3C6P2R5">#REF!</definedName>
    <definedName name="BEx3ICF1GY8HQEBIU9S43PDJ90BX">#REF!</definedName>
    <definedName name="BEx3ILK0JNGME2SO75O1Y7O6KYAM">#REF!</definedName>
    <definedName name="BEx3ISG6G9DAH5OB9ILI6PFIUWXC">#REF!</definedName>
    <definedName name="BEx3IYAH2DEBFWO8F94H4MXE3RLY">#REF!</definedName>
    <definedName name="BEx3IZXXSYEW50379N2EAFWO8DZV">#REF!</definedName>
    <definedName name="BEx3J1VZVGTKT4ATPO9O5JCSFTTR">#REF!</definedName>
    <definedName name="BEx3J5XOZSYTU22NJ5SWWGQC85A4">#REF!</definedName>
    <definedName name="BEx3JB15C80WTR4YNNEN63MMR87K">#REF!</definedName>
    <definedName name="BEx3JC2TY7JNAAC3L7QHVPQXLGQ8">#REF!</definedName>
    <definedName name="BEx3JX23SYDIGOGM4Y0CQFBW8ZBV">#REF!</definedName>
    <definedName name="BEx3JXCXCVBZJGV5VEG9MJEI01AL">#REF!</definedName>
    <definedName name="BEx3JYK2N7X59TPJSKYZ77ENY8SS">#REF!</definedName>
    <definedName name="BEx3K3774998OCHR2478692OHN9O" hidden="1">#REF!</definedName>
    <definedName name="BEx3K4EII7GU1CG0BN7UL15M6J8Z">#REF!</definedName>
    <definedName name="BEx3K4ZXQUQ2KYZF74B84SO48XMW">#REF!</definedName>
    <definedName name="BEx3KE54CD2H1RXRYVCVZ9Z2I9WJ">#REF!</definedName>
    <definedName name="BEx3KEFXUCVNVPH7KSEGAZYX13B5">#REF!</definedName>
    <definedName name="BEx3KFXUAF6YXAA47B7Q6X9B3VGB">#REF!</definedName>
    <definedName name="BEx3KGU73H5QQUPQRBINA4X2F8UF">#REF!</definedName>
    <definedName name="BEx3KIXQYOGMPK4WJJAVBRX4NR28">#REF!</definedName>
    <definedName name="BEx3KJOMVOSFZVJUL3GKCNP6DQDS">#REF!</definedName>
    <definedName name="BEx3KN4SF5ECDGMUCQVJ976X106V">#REF!</definedName>
    <definedName name="BEx3KP2VRBMORK0QEAZUYCXL3DHJ">#REF!</definedName>
    <definedName name="BEx3L4IN3LI4C26SITKTGAH27CDU">#REF!</definedName>
    <definedName name="BEx3L4YQ0J7ZU0M5QM6YIPCEYC9K">#REF!</definedName>
    <definedName name="BEx3L60DJOR7NQN42G7YSAODP1EX">#REF!</definedName>
    <definedName name="BEx3L7D0PI38HWZ7VADU16C9E33D">#REF!</definedName>
    <definedName name="BEx3LM1PR4Y7KINKMTMKR984GX8Q">#REF!</definedName>
    <definedName name="BEx3LPCEZ1C0XEKNCM3YT09JWCUO">#REF!</definedName>
    <definedName name="BEx3M1MR1K1NQD03H74BFWOK4MWQ">#REF!</definedName>
    <definedName name="BEx3M4H77MYUKOOD31H9F80NMVK8">#REF!</definedName>
    <definedName name="BEx3M9VFX329PZWYC4DMZ6P3W9R2">#REF!</definedName>
    <definedName name="BEx3MCQ0VEBV0CZXDS505L38EQ8N">#REF!</definedName>
    <definedName name="BEx3MEYV5LQY0BAL7V3CFAFVOM3T">#REF!</definedName>
    <definedName name="BEx3MREOFWJQEYMCMBL7ZE06NBN6">#REF!</definedName>
    <definedName name="BEx3MXJRL0O1FQSVE3I5Y6XXY1D2">#REF!</definedName>
    <definedName name="BEx3NIZ6CTJX92EVC47MASDZHFMB">#REF!</definedName>
    <definedName name="BEx3NKXF7GYXHBK75UI6MDRUSU0J">#REF!</definedName>
    <definedName name="BEx3NLIZ7PHF2XE59ECZ3MD04ZG1">#REF!</definedName>
    <definedName name="BEx3NMQ4BVC94728AUM7CCX7UHTU">#REF!</definedName>
    <definedName name="BEx3NR2I4OUFP3Z2QZEDU2PIFIDI">#REF!</definedName>
    <definedName name="BEx3O19B8FTTAPVT5DZXQGQXWFR8">#REF!</definedName>
    <definedName name="BEx3O85IKWARA6NCJOLRBRJFMEWW">#REF!</definedName>
    <definedName name="BEx3OJZSCGFRW7SVGBFI0X9DNVMM">#REF!</definedName>
    <definedName name="BEx3ORSBUXAF21MKEY90YJV9AY9A">#REF!</definedName>
    <definedName name="BEx3OV8BH6PYNZT7C246LOAU9SVX">#REF!</definedName>
    <definedName name="BEx3OXRYJZUEY6E72UJU0PHLMYAR">#REF!</definedName>
    <definedName name="BEx3P59TTRSGQY888P5C1O7M2PQT">#REF!</definedName>
    <definedName name="BEx3PDNRRNKD5GOUBUQFXAHIXLD9">#REF!</definedName>
    <definedName name="BEx3PDT8GNPWLLN02IH1XPV90XYK">#REF!</definedName>
    <definedName name="BEx3PKEMDW8KZEP11IL927C5O7I2">#REF!</definedName>
    <definedName name="BEx3PKJZ1Z7L9S6KV8KXVS6B2FX4">#REF!</definedName>
    <definedName name="BEx3PMNG53Z5HY138H99QOMTX8W3">#REF!</definedName>
    <definedName name="BEx3PP1RRSFZ8UC0JC9R91W6LNKW">#REF!</definedName>
    <definedName name="BEx3PVXYZC8WB9ZJE7OCKUXZ46EA">#REF!</definedName>
    <definedName name="BEx3Q0QLS9RRAFYGQJ7RH72K3G5K">#REF!</definedName>
    <definedName name="BEx3Q0VWPU5EQECK7MQ47TYJ3SWW">#REF!</definedName>
    <definedName name="BEx3Q7BZ9PUXK2RLIOFSIS9AHU1B">#REF!</definedName>
    <definedName name="BEx3Q8J42S9VU6EAN2Y28MR6DF88">#REF!</definedName>
    <definedName name="BEx3QEDFOYFY5NBTININ5W4RLD4Q">#REF!</definedName>
    <definedName name="BEx3QIKJ3U962US1Q564NZDLU8LD">#REF!</definedName>
    <definedName name="BEx3QR9D45DHW50VQ7Y3Q1AXPOB9">#REF!</definedName>
    <definedName name="BEx3QSWT2S5KWG6U2V9711IYDQBM">#REF!</definedName>
    <definedName name="BEx3QVGG7Q2X4HZHJAM35A8T3VR7">#REF!</definedName>
    <definedName name="BEx3QXPFZC7RVZNC4K1PD5EWOD2F">#REF!</definedName>
    <definedName name="BEx3R0JUB9YN8PHPPQTAMIT1IHWK">#REF!</definedName>
    <definedName name="BEx3R81NFRO7M81VHVKOBFT0QBIL">#REF!</definedName>
    <definedName name="BEx3RHC2ZD5UFS6QD4OPFCNNMWH1">#REF!</definedName>
    <definedName name="BEx3RQ10QIWBAPHALAA91BUUCM2X">#REF!</definedName>
    <definedName name="BEx3RV4E1WT43SZBUN09RTB8EK1O">#REF!</definedName>
    <definedName name="BEx3RXYU0QLFXSFTM5EB20GD03W5">#REF!</definedName>
    <definedName name="BEx3RYKLC3QQO3XTUN7BEW2AQL98">#REF!</definedName>
    <definedName name="BEx3S4UZW2EQID5BXVPJTV3089W6" hidden="1">#REF!</definedName>
    <definedName name="BEx3SICJ45BYT6FHBER86PJT25FC">#REF!</definedName>
    <definedName name="BEx3SJ3LB5QN70P2WLMV0IRIA74P">#REF!</definedName>
    <definedName name="BEx3SMUCMJVGQ2H4EHQI5ZFHEF0P">#REF!</definedName>
    <definedName name="BEx3SN56F03CPDRDA7LZ763V0N4I">#REF!</definedName>
    <definedName name="BEx3SPE6N1ORXPRCDL3JPZD73Z9F">#REF!</definedName>
    <definedName name="BEx3T29ZTULQE0OMSMWUMZDU9ZZ0">#REF!</definedName>
    <definedName name="BEx3T6MJ1QDJ929WMUDVZ0O3UW0Y">#REF!</definedName>
    <definedName name="BEx3TPCSI16OAB2L9M9IULQMQ9J9">#REF!</definedName>
    <definedName name="BEx3U2JIGFV1Y83HZ2CTC6G5V87V">#REF!</definedName>
    <definedName name="BEx3U4C9BZYMPIAVEO9ZDE9HVHRR">#REF!</definedName>
    <definedName name="BEx3U64YUOZ419BAJS2W78UMATAW">#REF!</definedName>
    <definedName name="BEx3U94WCEA5DKMWBEX1GU0LKYG2">#REF!</definedName>
    <definedName name="BEx3U9VZ8SQVYS6ZA038J7AP7ZGW">#REF!</definedName>
    <definedName name="BEx3UGXE7Z3SRNO684FGPYEK2X78">#REF!</definedName>
    <definedName name="BEx3UIQ5WRJBGNTFCCLOR4N7B1OQ">#REF!</definedName>
    <definedName name="BEx3UJMIX2NUSSWGMSI25A5DM4CH">#REF!</definedName>
    <definedName name="BEx3UKOCOQG7S1YQ436S997K1KWV">#REF!</definedName>
    <definedName name="BEx3UYM19VIXLA0EU7LB9NHA77PB">#REF!</definedName>
    <definedName name="BEx3VML7CG70HPISMVYIUEN3711Q">#REF!</definedName>
    <definedName name="BEx56ZID5H04P9AIYLP1OASFGV56">#REF!</definedName>
    <definedName name="BEx57ODWQA22EXS48QUG5O3EG6QO" hidden="1">#REF!</definedName>
    <definedName name="BEx587EYSS57E3PI8DT973HLJM9E">#REF!</definedName>
    <definedName name="BEx587KFQ3VKCOCY1SA5F24PQGUI">#REF!</definedName>
    <definedName name="BEx58BGPA6ZIRAVDRQMMZBJTTPRT">#REF!</definedName>
    <definedName name="BEx58O780PQ05NF0Z1SKKRB3N099">#REF!</definedName>
    <definedName name="BEx58XHO7ZULLF2EUD7YIS0MGQJ5">#REF!</definedName>
    <definedName name="BEx58ZW0HAIGIPEX9CVA1PQQTR6X">#REF!</definedName>
    <definedName name="BEx5954XGSMLVN4OSO1G9Q14MFJN" hidden="1">#REF!</definedName>
    <definedName name="BEx59BA1KH3RG6K1LHL7YS2VB79N">#REF!</definedName>
    <definedName name="BEx59E9WABJP2TN71QAIKK79HPK9">#REF!</definedName>
    <definedName name="BEx59P7MAPNU129ZTC5H3EH892G1">#REF!</definedName>
    <definedName name="BEx5A11WZRQSIE089QE119AOX9ZG">#REF!</definedName>
    <definedName name="BEx5A2JVFQNHTXZEQIACY0CMTGT9">#REF!</definedName>
    <definedName name="BEx5A5UKM5A9JT76356XY0K03S2O">#REF!</definedName>
    <definedName name="BEx5A7CIGCOTHJKHGUBDZG91JGPZ">#REF!</definedName>
    <definedName name="BEx5A8UFLT2SWVSG5COFA9B8P376">#REF!</definedName>
    <definedName name="BEx5AFFTN3IXIBHDKM0FYC4OFL1S">#REF!</definedName>
    <definedName name="BEx5AOFIO8KVRHIZ1RII337AA8ML">#REF!</definedName>
    <definedName name="BEx5APRZ66L5BWHFE8E4YYNEDTI4">#REF!</definedName>
    <definedName name="BEx5AUVDSQ35VO4BD9AKKGBM5S7D">#REF!</definedName>
    <definedName name="BEx5AWYYAJKRMMO4U9V6CF2G5838">#REF!</definedName>
    <definedName name="BEx5B4RHHX0J1BF2FZKEA0SPP29O">#REF!</definedName>
    <definedName name="BEx5B5YMSWP0OVI5CIQRP5V18D0C">#REF!</definedName>
    <definedName name="BEx5B825RW35M5H0UB2IZGGRS4ER">#REF!</definedName>
    <definedName name="BEx5BAWPMY0TL684WDXX6KKJLRCN">#REF!</definedName>
    <definedName name="BEx5BBI61U4Y65GD0ARMTALPP7SJ">#REF!</definedName>
    <definedName name="BEx5BDR56MEV4IHY6CIH2SVNG1UB">#REF!</definedName>
    <definedName name="BEx5BESZC5H329SKHGJOHZFILYJJ">#REF!</definedName>
    <definedName name="BEx5BHSQ42B50IU1TEQFUXFX9XQD">#REF!</definedName>
    <definedName name="BEx5BIULSFG6U8HFVXQ84KW1HQBG">#REF!</definedName>
    <definedName name="BEx5BKSM4UN4C1DM3EYKM79MRC5K">#REF!</definedName>
    <definedName name="BEx5BNN8NPH9KVOBARB9CDD9WLB6">#REF!</definedName>
    <definedName name="BEx5BTMZEC8BUF2ST4Q0P1T3MSDZ">#REF!</definedName>
    <definedName name="BEx5BTXRHJWCAI7EK0EDFB9BRXBT">#REF!</definedName>
    <definedName name="BEx5BYFMZ80TDDN2EZO8CF39AIAC">#REF!</definedName>
    <definedName name="BEx5C2BWFW6SHZBFDEISKGXHZCQW">#REF!</definedName>
    <definedName name="BEx5C49ZFH8TO9ZU55729C3F7XG7">#REF!</definedName>
    <definedName name="BEx5C8GZQK13G60ZM70P63I5OS0L">#REF!</definedName>
    <definedName name="BEx5CAPTVN2NBT3UOMA1UFAL1C2R">#REF!</definedName>
    <definedName name="BEx5CEM3SYF9XP0ZZVE0GEPCLV3F">#REF!</definedName>
    <definedName name="BEx5CFYQ0F1Z6P8SCVJ0I3UPVFE4">#REF!</definedName>
    <definedName name="BEx5CINUDCSDCAJSNNV7XVNU8Q79">#REF!</definedName>
    <definedName name="BEx5CNLUIOYU8EODGA03Z3547I9T">#REF!</definedName>
    <definedName name="BEx5CONNAIA4RPH9P78M16JN594T">#REF!</definedName>
    <definedName name="BEx5CPEKNSJORIPFQC2E1LTRYY8L">#REF!</definedName>
    <definedName name="BEx5CSUOL05D8PAM2TRDA9VRJT1O">#REF!</definedName>
    <definedName name="BEx5CUNFOO4YDFJ22HCMI2QKIGKM">#REF!</definedName>
    <definedName name="BEx5D8L47OF0WHBPFWXGZINZWUBZ">#REF!</definedName>
    <definedName name="BEx5DAJAHQ2SKUPCKSCR3PYML67L">#REF!</definedName>
    <definedName name="BEx5DC18JM1KJCV44PF18E0LNRKA">#REF!</definedName>
    <definedName name="BEx5DJIZBTNS011R9IIG2OQ2L6ZX">#REF!</definedName>
    <definedName name="BEx5DQ9OAGU6E7ZUGNXLJDUV9G15">#REF!</definedName>
    <definedName name="BEx5DTEVMOT0VJ33NTSK18LM8DKF">#REF!</definedName>
    <definedName name="BEx5E123OLO9WQUOIRIDJ967KAGK">#REF!</definedName>
    <definedName name="BEx5E2UU5NES6W779W2OZTZOB4O7">#REF!</definedName>
    <definedName name="BEx5E4CSE5G83J5K32WENF7BXL82">#REF!</definedName>
    <definedName name="BEx5EDSKZHJZB1GHGSHJOZBQIUHY">#REF!</definedName>
    <definedName name="BEx5ELQL9B0VR6UT18KP11DHOTFX">#REF!</definedName>
    <definedName name="BEx5ER4TJTFPN7IB1MNEB1ZFR5M6">#REF!</definedName>
    <definedName name="BEx5F6V72QTCK7O39Y59R0EVM6CW">#REF!</definedName>
    <definedName name="BEx5F9PQVNX4FVI239FARMERXLYM">#REF!</definedName>
    <definedName name="BEx5FGLQVACD5F5YZG4DGSCHCGO2">#REF!</definedName>
    <definedName name="BEx5FLJWHLW3BTZILDPN5NMA449V">#REF!</definedName>
    <definedName name="BEx5FNI2O10YN2SI1NO4X5GP3GTF">#REF!</definedName>
    <definedName name="BEx5FO8YRFSZCG3L608EHIHIHFY4">#REF!</definedName>
    <definedName name="BEx5FQNA6V4CNYSH013K45RI4BCV">#REF!</definedName>
    <definedName name="BEx5FVQPPEU32CPNV9RRQ9MNLLVE">#REF!</definedName>
    <definedName name="BEx5G08KGMG5X2AQKDGPFYG5GH94">#REF!</definedName>
    <definedName name="BEx5G1A8TFN4C4QII35U9DKYNIS8">#REF!</definedName>
    <definedName name="BEx5G1L0QO91KEPDMV1D8OT4BT73">#REF!</definedName>
    <definedName name="BEx5G86DZL1VYUX6KWODAP3WFAWP">#REF!</definedName>
    <definedName name="BEx5G8BV2GIOCM3C7IUFK8L04A6M">#REF!</definedName>
    <definedName name="BEx5GID9MVBUPFFT9M8K8B5MO9NV">#REF!</definedName>
    <definedName name="BEx5GN0EWA9SCQDPQ7NTUQH82QVK">#REF!</definedName>
    <definedName name="BEx5GNBCU4WZ74I0UXFL9ZG2XSGJ">#REF!</definedName>
    <definedName name="BEx5GUCTYC7QCWGWU5BTO7Y7HDZX">#REF!</definedName>
    <definedName name="BEx5GYUPJULJQ624TEESYFG1NFOH">#REF!</definedName>
    <definedName name="BEx5H0NEE0AIN5E2UHJ9J9ISU9N1">#REF!</definedName>
    <definedName name="BEx5H1UJSEUQM2K8QHQXO5THVHSO">#REF!</definedName>
    <definedName name="BEx5HAOT9XWUF7XIFRZZS8B9F5TZ">#REF!</definedName>
    <definedName name="BEx5HE4XRF9BUY04MENWY9CHHN5H">#REF!</definedName>
    <definedName name="BEx5HFHMABAT0H9KKS754X4T304E">#REF!</definedName>
    <definedName name="BEx5HGDZ7MX1S3KNXLRL9WU565V4">#REF!</definedName>
    <definedName name="BEx5HJZ9FAVNZSSBTAYRPZDYM9NU">#REF!</definedName>
    <definedName name="BEx5HMTVN9Z5CWJ4B4GRX3ZYM4YI">#REF!</definedName>
    <definedName name="BEx5HORX6SRPD9I5127PYWMH813O" hidden="1">#REF!</definedName>
    <definedName name="BEx5HUBM8G3IUK3RG80H9XDWO7NT">#REF!</definedName>
    <definedName name="BEx5HZ9JMKHNLFWLVUB1WP5B39BL">#REF!</definedName>
    <definedName name="BEx5I244LQHZTF3XI66J8705R9XX">#REF!</definedName>
    <definedName name="BEx5I8PBP4LIXDGID5BP0THLO0AQ">#REF!</definedName>
    <definedName name="BEx5I8USVUB3JP4S9OXGMZVMOQXR">#REF!</definedName>
    <definedName name="BEx5I9GDQSYIAL65UQNDMNFQCS9Y">#REF!</definedName>
    <definedName name="BEx5IBUPG9AWNW5PK7JGRGEJ4OLM">#REF!</definedName>
    <definedName name="BEx5IC06RVN8BSAEPREVKHKLCJ2L">#REF!</definedName>
    <definedName name="BEx5IFQZA5QDGMOXOUY4XS9JY43A">#REF!</definedName>
    <definedName name="BEx5J0FFP1KS4NGY20AEJI8VREEA">#REF!</definedName>
    <definedName name="BEx5JF3ZXLDIS8VNKDCY7ZI7H1CI">#REF!</definedName>
    <definedName name="BEx5JHCZJ8G6OOOW6EF3GABXKH6F">#REF!</definedName>
    <definedName name="BEx5JJB6W446THXQCRUKD3I7RKLP">#REF!</definedName>
    <definedName name="BEx5JJWTMI37U3RDEJOYLO93RJ6Z">#REF!</definedName>
    <definedName name="BEx5JMLR5DPVS5INSOU31PQB3O5F">#REF!</definedName>
    <definedName name="BEx5JNCT8Z7XSSPD5EMNAJELCU2V">#REF!</definedName>
    <definedName name="BEx5JQCNT9Y4RM306CHC8IPY3HBZ">#REF!</definedName>
    <definedName name="BEx5JU3M3MVJSX56IX7W5K0OHFF9">#REF!</definedName>
    <definedName name="BEx5K08PYKE6JOKBYIB006TX619P">#REF!</definedName>
    <definedName name="BEx5K51DSERT1TR7B4A29R41W4NX">#REF!</definedName>
    <definedName name="BEx5K7FOZ36M0WUOJOSUZMODOC7Q">#REF!</definedName>
    <definedName name="BEx5KYER580I4T7WTLMUN7NLNP5K">#REF!</definedName>
    <definedName name="BEx5LHLB3M6K4ZKY2F42QBZT30ZH">#REF!</definedName>
    <definedName name="BEx5LRMNU3HXIE1BUMDHRU31F7JJ">#REF!</definedName>
    <definedName name="BEx5LSJ1LPUAX3ENSPECWPG4J7D1">#REF!</definedName>
    <definedName name="BEx5LTKQ8RQWJE4BC88OP928893U">#REF!</definedName>
    <definedName name="BEx5MB9BR71LZDG7XXQ2EO58JC5F">#REF!</definedName>
    <definedName name="BEx5MLQZM68YQSKARVWTTPINFQ2C">#REF!</definedName>
    <definedName name="BEx5MVXTKNBXHNWTL43C670E4KXC">#REF!</definedName>
    <definedName name="BEx5N4XI4PWB1W9PMZ4O5R0HWTYD">#REF!</definedName>
    <definedName name="BEx5NA68N6FJFX9UJXK4M14U487F">#REF!</definedName>
    <definedName name="BEx5NDME4XMKQL3GQ66UEHO1U3ZS">#REF!</definedName>
    <definedName name="BEx5NIKBG2GDJOYGE3WCXKU7YY51">#REF!</definedName>
    <definedName name="BEx5NV06L5J5IMKGOMGKGJ4PBZCD">#REF!</definedName>
    <definedName name="BEx5NZSSQ6PY99ZX2D7Q9IGOR34W">#REF!</definedName>
    <definedName name="BEx5O3ZUQ2OARA1CDOZ3NC4UE5AA">#REF!</definedName>
    <definedName name="BEx5OAFS0NJ2CB86A02E1JYHMLQ1">#REF!</definedName>
    <definedName name="BEx5OG4RPU8W1ETWDWM234NYYYEN">#REF!</definedName>
    <definedName name="BEx5OKMMBAH19P7ZO41LOL09WCHY">#REF!</definedName>
    <definedName name="BEx5OP9Y43F99O2IT69MKCCXGL61">#REF!</definedName>
    <definedName name="BEx5OVF1OZYL8P0B2J8BN7RBUCAL">#REF!</definedName>
    <definedName name="BEx5P9Y9RDXNUAJ6CZ2LHMM8IM7T">#REF!</definedName>
    <definedName name="BEx5PCCKVI5Q3B261M57LR0GS3J1">#REF!</definedName>
    <definedName name="BEx5PHWB2C0D5QLP3BZIP3UO7DIZ">#REF!</definedName>
    <definedName name="BEx5PJP02W68K2E46L5C5YBSNU6T">#REF!</definedName>
    <definedName name="BEx5PLCA8DOMAU315YCS5275L2HS">#REF!</definedName>
    <definedName name="BEx5PRXMZ5M65Z732WNNGV564C2J">#REF!</definedName>
    <definedName name="BEx5QPSW4IPLH50WSR87HRER05RF">#REF!</definedName>
    <definedName name="BEx73V0EP8EMNRC3EZJJKKVKWQVB">#REF!</definedName>
    <definedName name="BEx741WJHIJVXUX131SBXTVW8D71">#REF!</definedName>
    <definedName name="BEx74ESIB9Y8KGETIERMKU5PLCQR">#REF!</definedName>
    <definedName name="BEx74Q6H3O7133AWQXWC21MI2UFT">#REF!</definedName>
    <definedName name="BEx74W6BJ8ENO3J25WNM5H5APKA3">#REF!</definedName>
    <definedName name="BEx755GRRD9BL27YHLH5QWIYLWB7">#REF!</definedName>
    <definedName name="BEx758GOQI9GPXHT395FJA2PEX6I">#REF!</definedName>
    <definedName name="BEx759D1D5SXS5ELLZVBI0SXYUNF">#REF!</definedName>
    <definedName name="BEx75BB2QPI3XW6UMXHCTSB2XAEA">#REF!</definedName>
    <definedName name="BEx75GJZSZHUDN6OOAGQYFUDA2LP">#REF!</definedName>
    <definedName name="BEx75GURI46C1M1QJ8NMS60T1Y6F" hidden="1">#REF!</definedName>
    <definedName name="BEx75HGCCV5K4UCJWYV8EV9AG5YT">#REF!</definedName>
    <definedName name="BEx75PZT8TY5P13U978NVBUXKHT4">#REF!</definedName>
    <definedName name="BEx75T55F7GML8V1DMWL26WRT006">#REF!</definedName>
    <definedName name="BEx75VJGR07JY6UUWURQ4PJ29UKC">#REF!</definedName>
    <definedName name="BEx76V7AUIG8C5S3WIMFONFJ714L">#REF!</definedName>
    <definedName name="BEx7741OUGLA0WJQLQRUJSL4DE00">#REF!</definedName>
    <definedName name="BEx774N83DXLJZ54Q42PWIJZ2DN1">#REF!</definedName>
    <definedName name="BEx779QNIY3061ZV9BR462WKEGRW">#REF!</definedName>
    <definedName name="BEx77G19QU9A95CNHE6QMVSQR2T3">#REF!</definedName>
    <definedName name="BEx77HTZPBPOQGA966WQ6T27JO7L">#REF!</definedName>
    <definedName name="BEx77P0S3GVMS7BJUL9OWUGJ1B02">#REF!</definedName>
    <definedName name="BEx77QDESURI6WW5582YXSK3A972">#REF!</definedName>
    <definedName name="BEx77VBI9XOPFHKEWU5EHQ9J675Y">#REF!</definedName>
    <definedName name="BEx7809GQOCLHSNH95VOYIX7P1TV">#REF!</definedName>
    <definedName name="BEx780K8XAXUHGVZGZWQ74DK4CI3">#REF!</definedName>
    <definedName name="BEx78226TN58UE0CTY98YEDU0LSL">#REF!</definedName>
    <definedName name="BEx787WO1A1ABWVX7U41X104JWPZ">#REF!</definedName>
    <definedName name="BEx7881ZZBWHRAX6W2GY19J8MGEQ">#REF!</definedName>
    <definedName name="BEx78HHRIWDLHQX2LG0HWFRYEL1T">#REF!</definedName>
    <definedName name="BEx78HHTEBO5SCUPMUN9YB9IOWJY">#REF!</definedName>
    <definedName name="BEx78QMXZ2P1ZB3HJ9O50DWHCMXR">#REF!</definedName>
    <definedName name="BEx78SFO5VR28677DWZEMDN7G86X">#REF!</definedName>
    <definedName name="BEx78SFOYH1Z0ZDTO47W2M60TW6K">#REF!</definedName>
    <definedName name="BEx79C7TH5TQCOUXCUYWPFX948EL" hidden="1">#REF!</definedName>
    <definedName name="BEx79JK3E6JO8MX4O35A5G8NZCC8">#REF!</definedName>
    <definedName name="BEx79OCP4HQ6XP8EWNGEUDLOZBBS">#REF!</definedName>
    <definedName name="BEx79SEAYKUZB0H4LYBCD6WWJBG2">#REF!</definedName>
    <definedName name="BEx79SJRHTLS9PYM69O9BWW1FMJK">#REF!</definedName>
    <definedName name="BEx79YJJLBELICW9F9FRYSCQ101L">#REF!</definedName>
    <definedName name="BEx79YUC7B0V77FSBGIRCY1BR4VK">#REF!</definedName>
    <definedName name="BEx7A06T3RC2891FUX05G3QPRAUE">#REF!</definedName>
    <definedName name="BEx7A4DVFDRN5XGLHSTWKJ373HYJ">#REF!</definedName>
    <definedName name="BEx7A9S3JA1X7FH4CFSQLTZC4691">#REF!</definedName>
    <definedName name="BEx7ABA2C9IWH5VSLVLLLCY62161">#REF!</definedName>
    <definedName name="BEx7AE4LPLX8N85BYB0WCO5S7ZPV">#REF!</definedName>
    <definedName name="BEx7ALBKBENN6YCI5733X4G3WTLX">#REF!</definedName>
    <definedName name="BEx7ASD1I654MEDCO6GGWA95PXSC">#REF!</definedName>
    <definedName name="BEx7AVCX9S5RJP3NSZ4QM4E6ERDT">#REF!</definedName>
    <definedName name="BEx7AVYIGP0930MV5JEBWRYCJN68">#REF!</definedName>
    <definedName name="BEx7B6LH6917TXOSAAQ6U7HVF018">#REF!</definedName>
    <definedName name="BEx7BPH7YLK25CE0H5HIA3LJFBQJ">#REF!</definedName>
    <definedName name="BEx7BPXFZXJ79FQ0E8AQE21PGVHA">#REF!</definedName>
    <definedName name="BEx7C04AM39DQMC1TIX7CFZ2ADHX">#REF!</definedName>
    <definedName name="BEx7C40F0PQURHPI6YQ39NFIR86Z">#REF!</definedName>
    <definedName name="BEx7C93VR7SYRIJS1JO8YZKSFAW9">#REF!</definedName>
    <definedName name="BEx7CCPC6R1KQQZ2JQU6EFI1G0RM">#REF!</definedName>
    <definedName name="BEx7CIJST9GLS2QD383UK7VUDTGL">#REF!</definedName>
    <definedName name="BEx7CO8T2XKC7GHDSYNAWTZ9L7YR">#REF!</definedName>
    <definedName name="BEx7CRJITLWFVDY9PU6L0ZV1MXLX">#REF!</definedName>
    <definedName name="BEx7CW1CF00DO8A36UNC2X7K65C2">#REF!</definedName>
    <definedName name="BEx7CW6NFRL2P4XWP0MWHIYA97KF">#REF!</definedName>
    <definedName name="BEx7CX31PQIAIKXDJOVEV84CDJPA" hidden="1">#REF!</definedName>
    <definedName name="BEx7D5RWKRS4W71J4NZ6ZSFHPKFT">#REF!</definedName>
    <definedName name="BEx7D8H1TPOX1UN17QZYEV7Q58GA">#REF!</definedName>
    <definedName name="BEx7D9820E3Y3H7C19K6B4WEM1V8">#REF!</definedName>
    <definedName name="BEx7DGF13H2074LRWFZQ45PZ6JPX">#REF!</definedName>
    <definedName name="BEx7DKLYN2T23R8ZK1KD1NGT9L5M">#REF!</definedName>
    <definedName name="BEx7DKWUXEDIISSX4GDD4YYT887F">#REF!</definedName>
    <definedName name="BEx7DMUYR2HC26WW7AOB1TULERMB">#REF!</definedName>
    <definedName name="BEx7DVJTRV44IMJIBFXELE67SZ7S">#REF!</definedName>
    <definedName name="BEx7DVUMFCI5INHMVFIJ44RTTSTT">#REF!</definedName>
    <definedName name="BEx7E2QT2U8THYOKBPXONB1B47WH">#REF!</definedName>
    <definedName name="BEx7E5QP7W6UKO74F5Y0VJ741HS5">#REF!</definedName>
    <definedName name="BEx7E6N29HGH3I47AFB2DCS6MVS6">#REF!</definedName>
    <definedName name="BEx7EBA8IYHQKT7IQAOAML660SYA">#REF!</definedName>
    <definedName name="BEx7EI6C8MCRZFEQYUBE5FSUTIHK">#REF!</definedName>
    <definedName name="BEx7EI6DL1Z6UWLFBXAKVGZTKHWJ">#REF!</definedName>
    <definedName name="BEx7EQKHX7GZYOLXRDU534TT4H64">#REF!</definedName>
    <definedName name="BEx7ERRNTYLA37U1S0E4MWJ5JX8H" hidden="1">#REF!</definedName>
    <definedName name="BEx7ETV6L1TM7JSXJIGK3FC6RVZW">#REF!</definedName>
    <definedName name="BEx7EWK9GUVV6FXWYIGH0TAI4V2O">#REF!</definedName>
    <definedName name="BEx7EYYLHMBYQTH6I377FCQS7CSX">#REF!</definedName>
    <definedName name="BEx7F5US4H1GVOWX929LYPXQZQW9" hidden="1">#REF!</definedName>
    <definedName name="BEx7FCATSK9FAP52DPEBJDLSBRLX">#REF!</definedName>
    <definedName name="BEx7FCLG1RYI2SNOU1Y2GQZNZSWA">#REF!</definedName>
    <definedName name="BEx7FN32ZGWOAA4TTH79KINTDWR9">#REF!</definedName>
    <definedName name="BEx7G82CKM3NIY1PHNFK28M09PCH">#REF!</definedName>
    <definedName name="BEx7G9V3R1WQUJY4X5R6YRG4FIR7">#REF!</definedName>
    <definedName name="BEx7GR3ENYWRXXS5IT0UMEGOLGUH">#REF!</definedName>
    <definedName name="BEx7GSAL6P7TASL8MB63RFST1LJL">#REF!</definedName>
    <definedName name="BEx7H0JD6I5I8WQLLWOYWY5YWPQE">#REF!</definedName>
    <definedName name="BEx7H14XCXH7WEXEY1HVO53A6AGH">#REF!</definedName>
    <definedName name="BEx7H2MWQ6NTR03AT661PVD0HJG7">#REF!</definedName>
    <definedName name="BEx7HFTIA8AC8BR8HKIN81VE1SGW">#REF!</definedName>
    <definedName name="BEx7HGVBEF4LEIF6RC14N3PSU461">#REF!</definedName>
    <definedName name="BEx7HPK8OXP38K8FZK9DVC5O0AFQ" hidden="1">#REF!</definedName>
    <definedName name="BEx7HQ5T9FZ42QWS09UO4DT42Y0R">#REF!</definedName>
    <definedName name="BEx7HRCZE3CVGON1HV07MT5MNDZ3">#REF!</definedName>
    <definedName name="BEx7HWGE2CANG5M17X4C8YNC3N8F">#REF!</definedName>
    <definedName name="BEx7HZ00NV8TP4ATBR02UT5EJ7UX">#REF!</definedName>
    <definedName name="BEx7I1P5EVW8K1THTCH1AG2TI8F9">#REF!</definedName>
    <definedName name="BEx7I8FZ96C5JAHXS18ZV0912LZP">#REF!</definedName>
    <definedName name="BEx7IBVYN47SFZIA0K4MDKQZNN9V">#REF!</definedName>
    <definedName name="BEx7IH4VBQK7SLYNF5QVWHATK2WP" hidden="1">#REF!</definedName>
    <definedName name="BEx7IV2IJ5WT7UC0UG7WP0WF2JZI">#REF!</definedName>
    <definedName name="BEx7IXGU74GE5E4S6W4Z13AR092Y">#REF!</definedName>
    <definedName name="BEx7J4IHIRO9DOZHSMW0MADBORKV">#REF!</definedName>
    <definedName name="BEx7J4YL8Q3BI1MLH16YYQ18IJRD">#REF!</definedName>
    <definedName name="BEx7JBJXEDKNH1WPV5CJLSK0BI44">#REF!</definedName>
    <definedName name="BEx7JH3HGBPI07OHZ5LFYK0UFZQR">#REF!</definedName>
    <definedName name="BEx7JV194190CNM6WWGQ3UBJ3CHH">#REF!</definedName>
    <definedName name="BEx7K7GZ607XQOGB81A1HINBTGOZ">#REF!</definedName>
    <definedName name="BEx7KEYPBDXSNROH8M6CDCBN6B50">#REF!</definedName>
    <definedName name="BEx7KIK6XLF1TBF0X4M0D94CPE8G">#REF!</definedName>
    <definedName name="BEx7KSAS8BZT6H8OQCZ5DNSTMO07">#REF!</definedName>
    <definedName name="BEx7KWHTBD21COXVI4HNEQH0Z3L8">#REF!</definedName>
    <definedName name="BEx7KXUGRMRSUXCM97Z7VRZQ9JH2">#REF!</definedName>
    <definedName name="BEx7KYLI8M2T8RVBDMHEH5Z3BF2V" hidden="1">#REF!</definedName>
    <definedName name="BEx7L21IQVP1N1TTQLRMANSSLSLE">#REF!</definedName>
    <definedName name="BEx7L5C6U8MP6IZ67BD649WQYJEK">#REF!</definedName>
    <definedName name="BEx7L8HEYEVTATR0OG5JJO647KNI">#REF!</definedName>
    <definedName name="BEx7L8XOV64OMS15ZFURFEUXLMWF">#REF!</definedName>
    <definedName name="BEx7L9OK1XNTN3JB1E20YXX42I7G">#REF!</definedName>
    <definedName name="BEx7LFDKA41CCQKCB9EUHJUYNTQN">#REF!</definedName>
    <definedName name="BEx7LJVFQACL9F4DRS9YZQ9R2N30">#REF!</definedName>
    <definedName name="BEx7LLO4UWG7YKFRTTPJS57CQ7JU">#REF!</definedName>
    <definedName name="BEx7MAUI1JJFDIJGDW4RWY5384LY">#REF!</definedName>
    <definedName name="BEx7MJZO3UKAMJ53UWOJ5ZD4GGMQ">#REF!</definedName>
    <definedName name="BEx7MT4MFNXIVQGAT6D971GZW7CA">#REF!</definedName>
    <definedName name="BEx7NHPEVM0TENIDBV59A9Z8BX5W">#REF!</definedName>
    <definedName name="BEx7NI062THZAM6I8AJWTFJL91CS">#REF!</definedName>
    <definedName name="BEx904S75BPRYMHF0083JF7ES4NG">#REF!</definedName>
    <definedName name="BEx90HDD4RWF7JZGA8GCGG7D63MG">#REF!</definedName>
    <definedName name="BEx90VGH5H09ON2QXYC9WIIEU98T">#REF!</definedName>
    <definedName name="BEx9175B70QXYAU5A8DJPGZQ46L9">#REF!</definedName>
    <definedName name="BEx91AQQRTV87AO27VWHSFZAD4ZR">#REF!</definedName>
    <definedName name="BEx91L8FLL5CWLA2CDHKCOMGVDZN">#REF!</definedName>
    <definedName name="BEx91N14ZL6VKEQJACAUF4FA8KPM" hidden="1">#REF!</definedName>
    <definedName name="BEx91OTVH9ZDBC3QTORU8RZX4EOC">#REF!</definedName>
    <definedName name="BEx91QH5JRZKQP1GPN2SQMR3CKAG">#REF!</definedName>
    <definedName name="BEx91ROALDNHO7FI4X8L61RH4UJE">#REF!</definedName>
    <definedName name="BEx91TMID71GVYH0U16QM1RV3PX0">#REF!</definedName>
    <definedName name="BEx91VF2D78PAF337E3L2L81K9W2">#REF!</definedName>
    <definedName name="BEx921PNZ46VORG2VRMWREWIC0SE">#REF!</definedName>
    <definedName name="BEx92D3OXE5BBJXFP5H40OS8OMNZ" hidden="1">#REF!</definedName>
    <definedName name="BEx92DPEKL5WM5A3CN8674JI0PR3">#REF!</definedName>
    <definedName name="BEx92ER2RMY93TZK0D9L9T3H0GI5">#REF!</definedName>
    <definedName name="BEx92FI04PJT4LI23KKIHRXWJDTT">#REF!</definedName>
    <definedName name="BEx92HR14HQ9D5JXCSPA4SS4RT62">#REF!</definedName>
    <definedName name="BEx92HWA2D6A5EX9MFG68G0NOMSN">#REF!</definedName>
    <definedName name="BEx92PUBDIXAU1FW5ZAXECMAU0LN">#REF!</definedName>
    <definedName name="BEx92S35TX1QFVJQ1XHUXYIJTPDS">#REF!</definedName>
    <definedName name="BEx92S8MHFFIVRQ2YSHZNQGOFUHD">#REF!</definedName>
    <definedName name="BEx939BMR8FKMAJOO1WKXN5UEE3J">#REF!</definedName>
    <definedName name="BEx93B9OULL2YGC896XXYAAJSTRK">#REF!</definedName>
    <definedName name="BEx93FRKF99NRT3LH99UTIH7AAYF">#REF!</definedName>
    <definedName name="BEx93M7FSHP50OG34A4W8W8DF12U">#REF!</definedName>
    <definedName name="BEx93OLWY2O3PRA74U41VG5RXT4Q">#REF!</definedName>
    <definedName name="BEx93RWFAF6YJGYUTITVM445C02U">#REF!</definedName>
    <definedName name="BEx93SY9RWG3HUV4YXQKXJH9FH14">#REF!</definedName>
    <definedName name="BEx93TJUX3U0FJDBG6DDSNQ91R5J">#REF!</definedName>
    <definedName name="BEx942UCRHMI4B0US31HO95GSC2X">#REF!</definedName>
    <definedName name="BEx948U50BH1QSJ45WZU429P1YBG" hidden="1">#REF!</definedName>
    <definedName name="BEx948ZFFQWVIDNG4AZAUGGGEB5U">#REF!</definedName>
    <definedName name="BEx949VTL8KUM1W7HODXDWP2WZ71">#REF!</definedName>
    <definedName name="BEx94CKXG92OMURH41SNU6IOHK4J">#REF!</definedName>
    <definedName name="BEx94GXG30CIVB6ZQN3X3IK6BZXQ">#REF!</definedName>
    <definedName name="BEx94HZ5LURYM9ST744ALV6ZCKYP">#REF!</definedName>
    <definedName name="BEx94IQ75E90YUMWJ9N591LR7DQQ">#REF!</definedName>
    <definedName name="BEx94L9TBK45AUQSX1IUZ86U1GPQ">#REF!</definedName>
    <definedName name="BEx94N7W5T3U7UOE97D6OVIBUCXS">#REF!</definedName>
    <definedName name="BEx953PB6S6ECMD8N0JSW0CBG0DA">#REF!</definedName>
    <definedName name="BEx955NIAWX5OLAHMTV6QFUZPR30">#REF!</definedName>
    <definedName name="BEx9581TYVI2M5TT4ISDAJV4W7Z6">#REF!</definedName>
    <definedName name="BEx95NHF4RVUE0YDOAFZEIVBYJXD">#REF!</definedName>
    <definedName name="BEx95QBZMG0E2KQ9BERJ861QLYN3">#REF!</definedName>
    <definedName name="BEx95QHBVDN795UNQJLRXG3RDU49">#REF!</definedName>
    <definedName name="BEx95TBVUWV7L7OMFMZDQEXGVHU6">#REF!</definedName>
    <definedName name="BEx95U89DZZSVO39TGS62CX8G9N4">#REF!</definedName>
    <definedName name="BEx95WBRSXCO3YGQ9ZULWVCO37D2">#REF!</definedName>
    <definedName name="BEx9602K2GHNBUEUVT9ONRQU1GMD">#REF!</definedName>
    <definedName name="BEx962BL3Y4LA53EBYI64ZYMZE8U">#REF!</definedName>
    <definedName name="BEx9697K03I3OT3WUNMMM7RT6D3I">#REF!</definedName>
    <definedName name="BEx96KR21O7H9R29TN0S45Y3QPUK">#REF!</definedName>
    <definedName name="BEx96S3GOKSY580253BIIF5HVUG5">#REF!</definedName>
    <definedName name="BEx96SUFKHHFE8XQ6UUO6ILDOXHO">#REF!</definedName>
    <definedName name="BEx96UN4YWXBDEZ1U1ZUIPP41Z7I">#REF!</definedName>
    <definedName name="BEx970MYCPJ6DQ44TKLOIGZO5LHH">#REF!</definedName>
    <definedName name="BEx9789YDW0WV4VZJW1HGS78C9OY">#REF!</definedName>
    <definedName name="BEx978KSD61YJH3S9DGO050R2EHA">#REF!</definedName>
    <definedName name="BEx97H9O1NAKAPK4MX4PKO34ICL5">#REF!</definedName>
    <definedName name="BEx97HVA5F2I0D6ID81KCUDEQOIH">#REF!</definedName>
    <definedName name="BEx97MNUZQ1Z0AO2FL7XQYVNCPR7">#REF!</definedName>
    <definedName name="BEx97NPQBACJVD9K1YXI08RTW9E2">#REF!</definedName>
    <definedName name="BEx97RWQLXS0OORDCN69IGA58CWU">#REF!</definedName>
    <definedName name="BEx97VYCLCY8CN8AUPWAT1BZHQP6">#REF!</definedName>
    <definedName name="BEx97YNGGDFIXHTMGFL2IHAQX9MI">#REF!</definedName>
    <definedName name="BEx981HW73BUZWT14TBTZHC0ZTJ4">#REF!</definedName>
    <definedName name="BEx9871KU0N99P0900EAK69VFYT2">#REF!</definedName>
    <definedName name="BEx98DS9FN94WJJ37VFL7BTY99V6">#REF!</definedName>
    <definedName name="BEx98IFKNJFGZFLID1YTRFEG1SXY">#REF!</definedName>
    <definedName name="BEx9915UVD4G7RA3IMLFZ0LG3UA2">#REF!</definedName>
    <definedName name="BEx992CZON8AO7U7V88VN1JBO0MG">#REF!</definedName>
    <definedName name="BEx9952469XMFGSPXL7CMXHPJF90">#REF!</definedName>
    <definedName name="BEx99B77I7TUSHRR4HIZ9FU2EIUT">#REF!</definedName>
    <definedName name="BEx99H1OOSC3UOJYUW50O7KVSGE4">#REF!</definedName>
    <definedName name="BEx99Q6PH5F3OQKCCAAO75PYDEFN">#REF!</definedName>
    <definedName name="BEx99WBYT2D6UUC1PT7A40ENYID4">#REF!</definedName>
    <definedName name="BEx99XOGHOM28CNCYKQWYGL56W2S">#REF!</definedName>
    <definedName name="BEx99ZRZ4I7FHDPGRAT5VW7NVBPU">#REF!</definedName>
    <definedName name="BEx9A6DBZ4EGCFU8UV68UZFQEJM6">#REF!</definedName>
    <definedName name="BEx9AH0BYC91WIOM8321F9CPLGO8">#REF!</definedName>
    <definedName name="BEx9AT5E3ZSHKSOL35O38L8HF9TH">#REF!</definedName>
    <definedName name="BEx9AV8W1FAWF5BHATYEN47X12JN">#REF!</definedName>
    <definedName name="BEx9B8A5186FNTQQNLIO5LK02ABI">#REF!</definedName>
    <definedName name="BEx9B8VR20E2CILU4CDQUQQ9ONXK">#REF!</definedName>
    <definedName name="BEx9B917EUP13X6FQ3NPQL76XM5V">#REF!</definedName>
    <definedName name="BEx9BAJ5WYEQ623HUT9NNCMP3RUG">#REF!</definedName>
    <definedName name="BEx9BYSYW7QCPXS2NAVLFAU5Y2Z2">#REF!</definedName>
    <definedName name="BEx9C4SR46TJDW09TSC1DMX8EC0L">#REF!</definedName>
    <definedName name="BEx9C590HJ2O31IWJB73C1HR74AI">#REF!</definedName>
    <definedName name="BEx9CCQRMYYOGIOYTOM73VKDIPS1">#REF!</definedName>
    <definedName name="BEx9CLVRWZGGIM0FUSPN4NH4QWRX">#REF!</definedName>
    <definedName name="BEx9CZ2H84WOIX6YZMGKSPJ8LEHL">#REF!</definedName>
    <definedName name="BEx9D1BC9FT19KY0INAABNDBAMR1">#REF!</definedName>
    <definedName name="BEx9D27V9ANOQA2Y1SKSCUP46GEP">#REF!</definedName>
    <definedName name="BEx9DN6ZMF18Q39MPMXSDJTZQNJ3">#REF!</definedName>
    <definedName name="BEx9DUU8DALPSCW66GTMQRPXZ6GL">#REF!</definedName>
    <definedName name="BEx9E14TDNSEMI784W0OTIEQMWN6">#REF!</definedName>
    <definedName name="BEx9E2BZ2B1R41FMGJCJ7JLGLUAJ">#REF!</definedName>
    <definedName name="BEx9E6TTMOTICG2OVYYPHRGBDWCP">#REF!</definedName>
    <definedName name="BEx9EG9KBJ77M8LEOR9ITOKN5KXY">#REF!</definedName>
    <definedName name="BEx9EMK6HAJJMVYZTN5AUIV7O1E6">#REF!</definedName>
    <definedName name="BEx9EQLVZHYQ1TPX7WH3SOWXCZLE">#REF!</definedName>
    <definedName name="BEx9ETLU0EK5LGEM1QCNYN2S8O5F">#REF!</definedName>
    <definedName name="BEx9F0Y2ESUNE3U7TQDLMPE9BO67">#REF!</definedName>
    <definedName name="BEx9F5W18ZGFOKGRE8PR6T1MO6GT">#REF!</definedName>
    <definedName name="BEx9F78N4HY0XFGBQ4UJRD52L1EI">#REF!</definedName>
    <definedName name="BEx9FF16LOQP5QIR4UHW5EIFGQB8">#REF!</definedName>
    <definedName name="BEx9FJTSRCZ3ZXT3QVBJT5NF8T7V">#REF!</definedName>
    <definedName name="BEx9FLMLANSZNUGGQ59XZDWALZFC">#REF!</definedName>
    <definedName name="BEx9FO0W4QZF52YMV038EZ2XMVA5">#REF!</definedName>
    <definedName name="BEx9FQKIHIZJ9SJTT0JMUOXTGBTR">#REF!</definedName>
    <definedName name="BEx9FRBEEYPS5HLS3XT34AKZN94G">#REF!</definedName>
    <definedName name="BEx9FRM7AZCHS0C6BMIKIZ2B1KF3">#REF!</definedName>
    <definedName name="BEx9G3WR3COU33LB70UIFLEWXHUB">#REF!</definedName>
    <definedName name="BEx9GDY4D8ZPQJCYFIMYM0V0C51Y">#REF!</definedName>
    <definedName name="BEx9GGCF6WTDRW73ML2ZUPT3RCS1">#REF!</definedName>
    <definedName name="BEx9GGY04V0ZWI6O9KZH4KSBB389">#REF!</definedName>
    <definedName name="BEx9GHP2JZBL0JVTPOSG4OOIW18P">#REF!</definedName>
    <definedName name="BEx9GM6R4E316SBYWLCTRSTKLK1I" hidden="1">#REF!</definedName>
    <definedName name="BEx9GNOPB6OZ2RH3FCDNJR38RJOS">#REF!</definedName>
    <definedName name="BEx9GUQALUWCD30UKUQGSWW8KBQ7">#REF!</definedName>
    <definedName name="BEx9GWZ575OHCCK5CYWGQ3CE3YMG">#REF!</definedName>
    <definedName name="BEx9GY6BVFQGCLMOWVT6PIC9WP5X">#REF!</definedName>
    <definedName name="BEx9GZ2P3FDHKXEBXX2VS0BG2NP2">#REF!</definedName>
    <definedName name="BEx9H04IB14E1437FF2OIRRWBSD7">#REF!</definedName>
    <definedName name="BEx9H5O1KDZJCW91Q29VRPY5YS6P">#REF!</definedName>
    <definedName name="BEx9H87V5IQ3FUGEY3QRXLOYVV0C">#REF!</definedName>
    <definedName name="BEx9H8YR0E906F1JXZMBX3LNT004">#REF!</definedName>
    <definedName name="BEx9I5XNAS8R8S7ZHYY215Q9S9MM">#REF!</definedName>
    <definedName name="BEx9I8XIG7E5NB48QQHXP23FIN60">#REF!</definedName>
    <definedName name="BEx9IM9KAJ6MAJNWYUBTQ4C5BTU5">#REF!</definedName>
    <definedName name="BEx9IQRF01ATLVK0YE60ARKQJ68L">#REF!</definedName>
    <definedName name="BEx9IT5QNZWKM6YQ5WER0DC2PMMU">#REF!</definedName>
    <definedName name="BEx9IW5MFLXTVCJHVUZTUH93AXOS">#REF!</definedName>
    <definedName name="BEx9IXCSPSZC80YZUPRCYTG326KV">#REF!</definedName>
    <definedName name="BEx9IZR39NHDGOM97H4E6F81RTQW">#REF!</definedName>
    <definedName name="BEx9J6CH5E7YZPER7HXEIOIKGPCA">#REF!</definedName>
    <definedName name="BEx9JJTZKVUJAVPTRE0RAVTEH41G">#REF!</definedName>
    <definedName name="BEx9JLBYK239B3F841C7YG1GT7ST">#REF!</definedName>
    <definedName name="BExAVN4Q3C9JIFR5T19FPEBSMS7S">#REF!</definedName>
    <definedName name="BExAW4IIW5D0MDY6TJ3G4FOLPYIR">#REF!</definedName>
    <definedName name="BExAX410NB4F2XOB84OR2197H8M5">#REF!</definedName>
    <definedName name="BExAX410S0477QWIYXDITJG3RAE9">#REF!</definedName>
    <definedName name="BExAX8TNG8LQ5Q4904SAYQIPGBSV">#REF!</definedName>
    <definedName name="BExAY0EAT2LXR5MFGM0DLIB45PLO">#REF!</definedName>
    <definedName name="BExAYE6LNIEBR9DSNI5JGNITGKIT">#REF!</definedName>
    <definedName name="BExAYHMLXGGO25P8HYB2S75DEB4F">#REF!</definedName>
    <definedName name="BExAYITQJ20OXCIQ1TXO203KB8NU">#REF!</definedName>
    <definedName name="BExAYKXAUWGDOPG952TEJ2UKZKWN">#REF!</definedName>
    <definedName name="BExAYP9TDTI2MBP6EYE0H39CPMXN">#REF!</definedName>
    <definedName name="BExAYPPWJPWDKU59O051WMGB7O0J">#REF!</definedName>
    <definedName name="BExAYR2JZCJBUH6F1LZC2A7JIVRJ">#REF!</definedName>
    <definedName name="BExAYTGVRD3DLKO75RFPMBKCIWB8">#REF!</definedName>
    <definedName name="BExAYVV67DAY58M1RR66ZFH34YX6">#REF!</definedName>
    <definedName name="BExAYY9H9COOT46HJLPVDLTO12UL">#REF!</definedName>
    <definedName name="BExAZ49A3Y0DNXJ6FXVKQ1VMRQFO">#REF!</definedName>
    <definedName name="BExAZCNEGB4JYHC8CZ51KTN890US">#REF!</definedName>
    <definedName name="BExAZFCI302YFYRDJYQDWQQL0Q0O">#REF!</definedName>
    <definedName name="BExAZLHLST9OP89R1HJMC1POQG8H">#REF!</definedName>
    <definedName name="BExAZMDYMIAA7RX1BMCKU1VLBRGY">#REF!</definedName>
    <definedName name="BExAZNL6BHI8DCQWXOX4I2P839UX">#REF!</definedName>
    <definedName name="BExAZRMWSONMCG9KDUM4KAQ7BONM">#REF!</definedName>
    <definedName name="BExAZTFG4SJRG4TW6JXRF7N08JFI">#REF!</definedName>
    <definedName name="BExAZUS4A8OHDZK0MWAOCCCKTH73">#REF!</definedName>
    <definedName name="BExAZX6FECVK3E07KXM2XPYKGM6U">#REF!</definedName>
    <definedName name="BExB012NJ8GASTNNPBRRFTLHIOC9">#REF!</definedName>
    <definedName name="BExB072HHXVMUC0VYNGG48GRSH5Q">#REF!</definedName>
    <definedName name="BExB0FRDEYDEUEAB1W8KD6D965XA">#REF!</definedName>
    <definedName name="BExB0KPCN7YJORQAYUCF4YKIKPMC">#REF!</definedName>
    <definedName name="BExB0WE4PI3NOBXXVO9CTEN4DIU2">#REF!</definedName>
    <definedName name="BExB10QNIVITUYS55OAEKK3VLJFE">#REF!</definedName>
    <definedName name="BExB15ZDRY4CIJ911DONP0KCY9KU">#REF!</definedName>
    <definedName name="BExB16VQY0O0RLZYJFU3OFEONVTE">#REF!</definedName>
    <definedName name="BExB1CQ95XCWQTMXEUT13VVEGD5S">#REF!</definedName>
    <definedName name="BExB1FKNY2UO4W5FUGFHJOA2WFGG">#REF!</definedName>
    <definedName name="BExB1GMD0PIDGTFBGQOPRWQSP9I4">#REF!</definedName>
    <definedName name="BExB1Q29OO6LNFNT1EQLA3KYE7MX">#REF!</definedName>
    <definedName name="BExB1TNRV5EBWZEHYLHI76T0FVA7">#REF!</definedName>
    <definedName name="BExB1W243LCPS4F4B8R4NQ6QU3TE">#REF!</definedName>
    <definedName name="BExB1WI6M8I0EEP1ANUQZCFY24EV">#REF!</definedName>
    <definedName name="BExB203OWC9QZA3BYOKQ18L4FUJE">#REF!</definedName>
    <definedName name="BExB2CJHTU7C591BR4WRL5L2F2K6">#REF!</definedName>
    <definedName name="BExB2K1AV4PGNS1O6C7D7AO411AX">#REF!</definedName>
    <definedName name="BExB2MA3S1RGA4UR5VCHQ7LM6PE8">#REF!</definedName>
    <definedName name="BExB2O2UYHKI324YE324E1N7FVIB">#REF!</definedName>
    <definedName name="BExB2ODN7VYO5I39WNVVT7JY12F1" hidden="1">#REF!</definedName>
    <definedName name="BExB2Q0VJ0MU2URO3JOVUAVHEI3V">#REF!</definedName>
    <definedName name="BExB30IP1DNKNQ6PZ5ERUGR5MK4Z">#REF!</definedName>
    <definedName name="BExB3JZUOXIWM0P0A5GHKTSSOS7W">#REF!</definedName>
    <definedName name="BExB3X6KN4J0KWSEVEYE6GOW5ME8" hidden="1">#REF!</definedName>
    <definedName name="BExB442RX0T3L6HUL6X5T21CENW6">#REF!</definedName>
    <definedName name="BExB4ADD0L7417CII901XTFKXD1J">#REF!</definedName>
    <definedName name="BExB4DO1V1NL2AVK5YE1RSL5RYHL">#REF!</definedName>
    <definedName name="BExB4DYU06HCGRIPBSWRCXK804UM">#REF!</definedName>
    <definedName name="BExB4Z3EZBGYYI33U0KQ8NEIH8PY">#REF!</definedName>
    <definedName name="BExB51HPIB8XVFH86WEOWS7KA3K3">#REF!</definedName>
    <definedName name="BExB55368XW7UX657ZSPC6BFE92S">#REF!</definedName>
    <definedName name="BExB57MZEPL2SA2ONPK66YFLZWJU">#REF!</definedName>
    <definedName name="BExB5833OAOJ22VK1YK47FHUSVK2">#REF!</definedName>
    <definedName name="BExB58JDIHS42JZT9DJJMKA8QFCO">#REF!</definedName>
    <definedName name="BExB58U5FQC5JWV9CGC83HLLZUZI">#REF!</definedName>
    <definedName name="BExB5EDO9XUKHF74X3HAU2WPPHZH">#REF!</definedName>
    <definedName name="BExB5G6EH68AYEP1UT0GHUEL3SLN">#REF!</definedName>
    <definedName name="BExB5QYVEZWFE5DQVHAM760EV05X">#REF!</definedName>
    <definedName name="BExB5U9IRH14EMOE0YGIE3WIVLFS">#REF!</definedName>
    <definedName name="BExB5VWYMOV6BAIH7XUBBVPU7MMD">#REF!</definedName>
    <definedName name="BExB610DZWIJP1B72U9QM42COH2B">#REF!</definedName>
    <definedName name="BExB615O9SAK2EB0H5L8TNQMAZIF">#REF!</definedName>
    <definedName name="BExB62CUSAWK8FTKNUAFFJ2G9FXG">#REF!</definedName>
    <definedName name="BExB67WDHLQ6G71TUTUQ5514A89K">#REF!</definedName>
    <definedName name="BExB6C3FUAKK9ML5T767NMWGA9YB">#REF!</definedName>
    <definedName name="BExB6C8X6JYRLKZKK17VE3QUNL3D">#REF!</definedName>
    <definedName name="BExB6HN3QRFPXM71MDUK21BKM7PF">#REF!</definedName>
    <definedName name="BExB6IZMHCZ3LB7N73KD90YB1HBZ">#REF!</definedName>
    <definedName name="BExB6JADVTKWFS7AFJAHRSM2PHRP">#REF!</definedName>
    <definedName name="BExB6PVRAPIKN1VCA0XQE0NGYP7K">#REF!</definedName>
    <definedName name="BExB719SGNX4Y8NE6JEXC555K596">#REF!</definedName>
    <definedName name="BExB7265DCHKS7V2OWRBXCZTEIW9">#REF!</definedName>
    <definedName name="BExB74PS5P9G0P09Y6DZSCX0FLTJ">#REF!</definedName>
    <definedName name="BExB78RH79J0MIF7H8CAZ0CFE88Q">#REF!</definedName>
    <definedName name="BExB7BLX5VM7XDQKFZBF5W0MP5YD">#REF!</definedName>
    <definedName name="BExB7ELT09HGDVO5BJC1ZY9D09GZ">#REF!</definedName>
    <definedName name="BExB806PAXX70XUTA3ZI7OORD78R">#REF!</definedName>
    <definedName name="BExB8HF4UBVZKQCSRFRUQL2EE6VL">#REF!</definedName>
    <definedName name="BExB8HKHKZ1ORJZUYGG2M4VSCC39">#REF!</definedName>
    <definedName name="BExB8MYO1RKVPX6RM9GOYO4D4KY9">#REF!</definedName>
    <definedName name="BExB8QPH8DC5BESEVPSMBCWVN6PO">#REF!</definedName>
    <definedName name="BExB8U5N0D85YR8APKN3PPKG0FWP">#REF!</definedName>
    <definedName name="BExB9DHI5I2TJ2LXYPM98EE81L27">#REF!</definedName>
    <definedName name="BExB9NZ3ZIB1V7JIWY5QELC2PMJ5">#REF!</definedName>
    <definedName name="BExB9Q2MZZHBGW8QQKVEYIMJBPIE">#REF!</definedName>
    <definedName name="BExB9YRJH21P0HUYARO0R7TTXPJ7">#REF!</definedName>
    <definedName name="BExBA1GON0EZRJ20UYPILAPLNQWM">#REF!</definedName>
    <definedName name="BExBA69ASGYRZW1G1DYIS9QRRTBN">#REF!</definedName>
    <definedName name="BExBA6K42582A14WFFWQ3Q8QQWB6">#REF!</definedName>
    <definedName name="BExBA8I5D4R8R2PYQ1K16TWGTOEP">#REF!</definedName>
    <definedName name="BExBA93PE0DGUUTA7LLSIGBIXWE5">#REF!</definedName>
    <definedName name="BExBAGLGHYHE2LZK3KRJ2PGFO8IP" hidden="1">#REF!</definedName>
    <definedName name="BExBAI8X0FKDQJ6YZJQDTTG4ZCWY">#REF!</definedName>
    <definedName name="BExBAKN7XIBAXCF9PCNVS038PCQO">#REF!</definedName>
    <definedName name="BExBAKXZ7PBW3DDKKA5MWC1ZUC7O">#REF!</definedName>
    <definedName name="BExBAO8NLXZXHO6KCIECSFCH3RR0">#REF!</definedName>
    <definedName name="BExBAOOT1KBSIEISN1ADL4RMY879">#REF!</definedName>
    <definedName name="BExBAVKX8Q09370X1GCZWJ4E91YJ">#REF!</definedName>
    <definedName name="BExBAW6JEEVHYHKPLVDEJLA2TVUV">#REF!</definedName>
    <definedName name="BExBAX2X2ENJYO4QTR5VAIQ86L7B">#REF!</definedName>
    <definedName name="BExBAZ13D3F1DVJQ6YJ8JGUYEYJE">#REF!</definedName>
    <definedName name="BExBB1FFA0KZYBP7BEBCSKD6VTF0">#REF!</definedName>
    <definedName name="BExBBTG649R9I0CT042JLL8LXV18">#REF!</definedName>
    <definedName name="BExBBUCJQRR74Q7GPWDEZXYK2KJL">#REF!</definedName>
    <definedName name="BExBBV8XVMD9CKZY711T0BN7H3PM">#REF!</definedName>
    <definedName name="BExBC78HXWXHO3XAB6E8NVTBGLJS">#REF!</definedName>
    <definedName name="BExBCKKJTIRKC1RZJRTK65HHLX4W">#REF!</definedName>
    <definedName name="BExBCLMEPAN3XXX174TU8SS0627Q">#REF!</definedName>
    <definedName name="BExBCN4CE60GSBMZIW5KQ0NTRFJC">#REF!</definedName>
    <definedName name="BExBCRBEYR2KZ8FAQFZ2NHY13WIY">#REF!</definedName>
    <definedName name="BExBD4I559NXSV6J07Q343TKYMVJ">#REF!</definedName>
    <definedName name="BExBDBZQLTX3OGFYGULQFK5WEZU5">#REF!</definedName>
    <definedName name="BExBDJS9TUEU8Z84IV59E5V4T8K6">#REF!</definedName>
    <definedName name="BExBDKOMSVH4XMH52CFJ3F028I9R">#REF!</definedName>
    <definedName name="BExBDSRXVZQ0W5WXQMP5XD00GRRL">#REF!</definedName>
    <definedName name="BExBDUVGK3E1J4JY9ZYTS7V14BLY">#REF!</definedName>
    <definedName name="BExBE162OSBKD30I7T1DKKPT3I9I">#REF!</definedName>
    <definedName name="BExBE5YPUY1T7N7DHMMIGGXK8TMP">#REF!</definedName>
    <definedName name="BExBEC9ATLQZF86W1M3APSM4HEOH">#REF!</definedName>
    <definedName name="BExBEFPEY2JR9JJE6IOAF2OFWR4M">#REF!</definedName>
    <definedName name="BExBETC9XL80NWYBNGAD28ZJ7WRL">#REF!</definedName>
    <definedName name="BExBEYFQJE9YK12A6JBMRFKEC7RN">#REF!</definedName>
    <definedName name="BExBF4FI26ZUMWTVCYZ58E6KJ8Y8">#REF!</definedName>
    <definedName name="BExBF74MQ866DAGP7TYQGBFTZRPR">#REF!</definedName>
    <definedName name="BExBG1ED81J2O4A2S5F5Y3BPHMCR">#REF!</definedName>
    <definedName name="BExCR3J5GNCUPD9UM79D4PDXWT4U">#REF!</definedName>
    <definedName name="BExCRLIHS7466WFJ3RPIUGGXYESZ">#REF!</definedName>
    <definedName name="BExCRS3VKYCEVDF4FL01C1XUB567">#REF!</definedName>
    <definedName name="BExCRWWI5ZMTSWBS61IYSC4UI0H9" hidden="1">#REF!</definedName>
    <definedName name="BExCS1EDDUEAEWHVYXHIP9I1WCJH">#REF!</definedName>
    <definedName name="BExCS6SLRCBH006GNRE27HFRHP40">#REF!</definedName>
    <definedName name="BExCS7ZPMHFJ4UJDAL8CQOLSZ13B">#REF!</definedName>
    <definedName name="BExCS8W4NJUZH9S1CYB6XSDLEPBW">#REF!</definedName>
    <definedName name="BExCSAE1M6G20R41J0Y24YNN0YC1">#REF!</definedName>
    <definedName name="BExCSAE2JW38IT96FPX22TUK89WH">#REF!</definedName>
    <definedName name="BExCSAOUZOYKHN7HV511TO8VDJ02">#REF!</definedName>
    <definedName name="BExCSMOFTXSUEC1T46LR1UPYRCX5">#REF!</definedName>
    <definedName name="BExCSSDG3TM6TPKS19E9QYJEELZ6">#REF!</definedName>
    <definedName name="BExCSZV7U67UWXL2HKJNM5W1E4OO">#REF!</definedName>
    <definedName name="BExCT0GRTZF5FFX5LZT829PHWMTK">#REF!</definedName>
    <definedName name="BExCT4NSDT61OCH04Y2QIFIOP75H">#REF!</definedName>
    <definedName name="BExCTW8G3VCZ55S09HTUGXKB1P2M">#REF!</definedName>
    <definedName name="BExCTYS2KX0QANOLT8LGZ9WV3S3T">#REF!</definedName>
    <definedName name="BExCTZZ9JNES4EDHW97NP0EGQALX">#REF!</definedName>
    <definedName name="BExCU0A1V6NMZQ9ASYJ8QIVQ5UR2">#REF!</definedName>
    <definedName name="BExCU2834920JBHSPCRC4UF80OLL">#REF!</definedName>
    <definedName name="BExCU8O54I3P3WRYWY1CRP3S78QY">#REF!</definedName>
    <definedName name="BExCUARNXXTH6ZTS98FYJV7PCSGZ">#REF!</definedName>
    <definedName name="BExCUDRJO23YOKT8GPWOVQ4XEHF5">#REF!</definedName>
    <definedName name="BExCUPAXFR16YMWL30ME3F3BSRDZ">#REF!</definedName>
    <definedName name="BExCUR94DHCE47PUUWEMT5QZOYR2">#REF!</definedName>
    <definedName name="BExCV634L7SVHGB0UDDTRRQ2Q72H">#REF!</definedName>
    <definedName name="BExCVBXGSXT9FWJRG62PX9S1RK83">#REF!</definedName>
    <definedName name="BExCVHBNLOHNFS0JAV3I1XGPNH9W">#REF!</definedName>
    <definedName name="BExCVI86R31A2IOZIEBY1FJLVILD">#REF!</definedName>
    <definedName name="BExCVKGZXE0I9EIXKBZVSGSEY2RR">#REF!</definedName>
    <definedName name="BExCVV44WY5807WGMTGKPW0GT256">#REF!</definedName>
    <definedName name="BExCVZ5PN4V6MRBZ04PZJW3GEF8S">#REF!</definedName>
    <definedName name="BExCW13R0GWJYGXZBNCPAHQN4NR2">#REF!</definedName>
    <definedName name="BExCW37AJQ22HZN4J8IZBPSVTUTS">#REF!</definedName>
    <definedName name="BExCW9Y5HWU4RJTNX74O6L24VGCK">#REF!</definedName>
    <definedName name="BExCWPDPESGZS07QGBLSBWDNVJLZ">#REF!</definedName>
    <definedName name="BExCWTVKHIVCRHF8GC39KI58YM5K">#REF!</definedName>
    <definedName name="BExCX2KGRZBRVLZNM8SUSIE6A0RL">#REF!</definedName>
    <definedName name="BExCX3X451T70LZ1VF95L7W4Y4TM">#REF!</definedName>
    <definedName name="BExCX4NZ2N1OUGXM7EV0U7VULJMM">#REF!</definedName>
    <definedName name="BExCXILMURGYMAH6N5LF5DV6K3GM">#REF!</definedName>
    <definedName name="BExCXQUFBMXQ1650735H48B1AZT3">#REF!</definedName>
    <definedName name="BExCXUQP121593HQ2W9UQYQ6W8F4">#REF!</definedName>
    <definedName name="BExCXWU7HH6SPEKHTDW4VIJOMA5G">#REF!</definedName>
    <definedName name="BExCY2DQO9VLA77Q7EG3T0XNXX4F">#REF!</definedName>
    <definedName name="BExCY6VMJ68MX3C981R5Q0BX5791">#REF!</definedName>
    <definedName name="BExCY7RYH2PNF2AG4323SEPEY53K">#REF!</definedName>
    <definedName name="BExCYAH2SAZCPW6XCB7V7PMMCAWO">#REF!</definedName>
    <definedName name="BExCYJBB52X8B3AREHCC1L5QNPX7">#REF!</definedName>
    <definedName name="BExCYPRC5HJE6N2XQTHCT6NXGP8N">#REF!</definedName>
    <definedName name="BExCYUK0I3UEXZNFDW71G6Z6D8XR">#REF!</definedName>
    <definedName name="BExCYXJWQSEEYU4NMNR519R6S9CZ">#REF!</definedName>
    <definedName name="BExCYYQW3ASN78FM8UVJMM1W3BG7">#REF!</definedName>
    <definedName name="BExCZA527W0V1OVQWOLECFTPM58C">#REF!</definedName>
    <definedName name="BExCZFZCXMLY5DWESYJ9NGTJYQ8M">#REF!</definedName>
    <definedName name="BExCZJ4P8WS0BDT31WDXI0ROE7D6">#REF!</definedName>
    <definedName name="BExCZKH6NI0EE02L995IFVBD1J59">#REF!</definedName>
    <definedName name="BExCZUD9FEOJBKDJ51Z3JON9LKJ8">#REF!</definedName>
    <definedName name="BExD0508DAALLU00PHFPBC8SRRKT">#REF!</definedName>
    <definedName name="BExD0HALIN0JR4JTPGDEVAEE5EX5">#REF!</definedName>
    <definedName name="BExD0LCCDPG16YLY5WQSZF1XI5DA">#REF!</definedName>
    <definedName name="BExD0P8F7KQMFSYM4625F10ZH3V4">#REF!</definedName>
    <definedName name="BExD0RMWSB4TRECEHTH6NN4K9DFZ">#REF!</definedName>
    <definedName name="BExD0U6KG10QGVDI1XSHK0J10A2V">#REF!</definedName>
    <definedName name="BExD13RUIBGRXDL4QDZ305UKUR12">#REF!</definedName>
    <definedName name="BExD14DETV5R4OOTMAXD5NAKWRO3">#REF!</definedName>
    <definedName name="BExD17YV2ZYAEDMHIU0NC8D9N73J">#REF!</definedName>
    <definedName name="BExD1OAU9OXQAZA4D70HP72CU6GB">#REF!</definedName>
    <definedName name="BExD1VY0WEBJA9S0W9VT8DSQ19GL">#REF!</definedName>
    <definedName name="BExD1Y1JV61416YA1XRQHKWPZIE7">#REF!</definedName>
    <definedName name="BExD2CFHIRMBKN5KXE5QP4XXEWFS">#REF!</definedName>
    <definedName name="BExD2DMHH1HWXQ9W0YYMDP8AAX8Q">#REF!</definedName>
    <definedName name="BExD2HTPC7IWBAU6OSQ67MQA8BYZ">#REF!</definedName>
    <definedName name="BExD2L9OUUE5A2OUUCI7ZFK5MZ2E">#REF!</definedName>
    <definedName name="BExD363H2VGFIQUCE6LS4AC5J0ZT">#REF!</definedName>
    <definedName name="BExD3A588E939V61P1XEW0FI5Q0S">#REF!</definedName>
    <definedName name="BExD3CJJDKVR9M18XI3WDZH80WL6">#REF!</definedName>
    <definedName name="BExD3ESD9WYJIB3TRDPJ1CKXRAVL">#REF!</definedName>
    <definedName name="BExD3F368X5S25MWSUNIV57RDB57">#REF!</definedName>
    <definedName name="BExD3IJ5IT335SOSNV9L85WKAOSI">#REF!</definedName>
    <definedName name="BExD3KBVUY57GMMQTOFEU6S6G1AY">#REF!</definedName>
    <definedName name="BExD3NMR7AW2Z6V8SC79VQR37NA6">#REF!</definedName>
    <definedName name="BExD3QXA2UQ2W4N7NYLUEOG40BZB">#REF!</definedName>
    <definedName name="BExD3SKQDUZT567HEBV8XSIXJ9NT">#REF!</definedName>
    <definedName name="BExD3U2N041TEJ7GCN005UTPHNXY">#REF!</definedName>
    <definedName name="BExD3ZGVOX34J0JDH85MUK7JNMJO">#REF!</definedName>
    <definedName name="BExD407RLI2ZDWS8ON1TEYHERNCL">#REF!</definedName>
    <definedName name="BExD40O0CFTNJFOFMMM1KH0P7BUI">#REF!</definedName>
    <definedName name="BExD4BR9HJ3MWWZ5KLVZWX9FJAUS">#REF!</definedName>
    <definedName name="BExD4F1WTKT3H0N9MF4H1LX7MBSY">#REF!</definedName>
    <definedName name="BExD4H5GQWXBS6LUL3TSP36DVO38">#REF!</definedName>
    <definedName name="BExD4JJSS3QDBLABCJCHD45SRNPI">#REF!</definedName>
    <definedName name="BExD4R1I0MKF033I5LPUYIMTZ6E8">#REF!</definedName>
    <definedName name="BExD4WVTPZYC2GA9OICSGDKG3943">#REF!</definedName>
    <definedName name="BExD50MT3M6XZLNUP9JL93EG6D9R">#REF!</definedName>
    <definedName name="BExD5EV7KDSVF1CJT38M4IBPFLPY">#REF!</definedName>
    <definedName name="BExD5FRK547OESJRYAW574DZEZ7J">#REF!</definedName>
    <definedName name="BExD5I5X2YA2YNCTCDSMEL4CWF4N">#REF!</definedName>
    <definedName name="BExD5QUSRFJWRQ1ZM50WYLCF74DF">#REF!</definedName>
    <definedName name="BExD5SSUIF6AJQHBHK8PNMFBPRYB">#REF!</definedName>
    <definedName name="BExD623C9LRX18BE0W2V6SZLQUXX">#REF!</definedName>
    <definedName name="BExD6CQA7UMJBXV7AIFAIHUF2ICX">#REF!</definedName>
    <definedName name="BExD6FKVK8WJWNYPVENR7Q8Q30PK">#REF!</definedName>
    <definedName name="BExD6GMP0LK8WKVWMIT1NNH8CHLF">#REF!</definedName>
    <definedName name="BExD6H2TE0WWAUIWVSSCLPZ6B88N">#REF!</definedName>
    <definedName name="BExD6MRUB5Z78TWFKFJF1K3HNQ1X">#REF!</definedName>
    <definedName name="BExD71LTOE015TV5RSAHM8NT8GVW">#REF!</definedName>
    <definedName name="BExD73USXVADC7EHGHVTQNCT06ZA">#REF!</definedName>
    <definedName name="BExD76952WC61WB7DC9SWP4D9ESY">#REF!</definedName>
    <definedName name="BExD7GAIGULTB3YHM1OS9RBQOTEC">#REF!</definedName>
    <definedName name="BExD7IE1DHIS52UFDCTSKPJQNRD5">#REF!</definedName>
    <definedName name="BExD7IUBGUWHYC9UNZ1IY5XFYKQN">#REF!</definedName>
    <definedName name="BExD7JQOJ35HGL8U2OCEI2P2JT7I">#REF!</definedName>
    <definedName name="BExD7KSDKNDNH95NDT3S7GM3MUU2">#REF!</definedName>
    <definedName name="BExD7NC5SPFMJCBCOFBOGELL3GRL">#REF!</definedName>
    <definedName name="BExD8H5O087KQVWIVPUUID5VMGMS">#REF!</definedName>
    <definedName name="BExD8OCLZMFN5K3VZYI4Q4ITVKUA">#REF!</definedName>
    <definedName name="BExD8UHPNQ6AFINO2GOCEL2B70EZ">#REF!</definedName>
    <definedName name="BExD91ZG0KRFTSVHRHJ4BHV9HSNJ">#REF!</definedName>
    <definedName name="BExD93C1R6LC0631ECHVFYH0R0PD">#REF!</definedName>
    <definedName name="BExD97TXIO0COVNN4OH3DEJ33YLM">#REF!</definedName>
    <definedName name="BExD99RZ1RFIMK6O1ZHSPJ68X9Y5">#REF!</definedName>
    <definedName name="BExD9BQ6LGXBUJ55WSIECG0HIP4D">#REF!</definedName>
    <definedName name="BExD9L0ID3VSOU609GKWYTA5BFMA">#REF!</definedName>
    <definedName name="BExD9M7SEMG0JK2FUTTZXWIEBTKB">#REF!</definedName>
    <definedName name="BExD9MNYBYB1AICQL5165G472IE2">#REF!</definedName>
    <definedName name="BExD9PNSYT7GASEGUVL48MUQ02WO">#REF!</definedName>
    <definedName name="BExD9TK2MIWFH5SKUYU9ZKF4NPHQ">#REF!</definedName>
    <definedName name="BExD9W97B73VZOX9SBWGH3JKGLE2" hidden="1">#REF!</definedName>
    <definedName name="BExDA5ZRHLWVSIXZJY7BR68NLH3G" hidden="1">#REF!</definedName>
    <definedName name="BExDA6LD9061UULVKUUI4QP8SK13">#REF!</definedName>
    <definedName name="BExDAD6PZZRQ3MOPV9G0QAZ66KPD">#REF!</definedName>
    <definedName name="BExDAGMVMNLQ6QXASB9R6D8DIT12">#REF!</definedName>
    <definedName name="BExDATYYDMKUH6BNIAWKWRVL7DCS">#REF!</definedName>
    <definedName name="BExDAYBHU9ADLXI8VRC7F608RVGM">#REF!</definedName>
    <definedName name="BExDBDR1XR0FV0CYUCB2OJ7CJCZU">#REF!</definedName>
    <definedName name="BExDC7F818VN0S18ID7XRCRVYPJ4">#REF!</definedName>
    <definedName name="BExDCL7K96PC9VZYB70ZW3QPVIJE">#REF!</definedName>
    <definedName name="BExDCP3UZ3C2O4C1F7KMU0Z9U32N">#REF!</definedName>
    <definedName name="BExENE1VDFSAMBNCUVUJNJ2HS7WJ" hidden="1">#REF!</definedName>
    <definedName name="BExEOBX3WECDMYCV9RLN49APTXMM">#REF!</definedName>
    <definedName name="BExEOM3YV59MTPUDPWT9CARM5YKS">#REF!</definedName>
    <definedName name="BExEONWP08ULRF40YOGT47O21B3T">#REF!</definedName>
    <definedName name="BExEOQWKPIE6ZZRZ8IE9PAH33AQS">#REF!</definedName>
    <definedName name="BExEP4E4F36662JDI0TOD85OP7X9">#REF!</definedName>
    <definedName name="BExEPN9VIYI0FVL0HLZQXJFO6TT0">#REF!</definedName>
    <definedName name="BExEPYT6VDSMR8MU2341Q5GM2Y9V">#REF!</definedName>
    <definedName name="BExEQ2EMWMD17Y7NCI4UNO0GOUJK">#REF!</definedName>
    <definedName name="BExEQ2ENYLMY8K1796XBB31CJHNN">#REF!</definedName>
    <definedName name="BExEQ2PFE4N40LEPGDPS90WDL6BN">#REF!</definedName>
    <definedName name="BExEQ2PFURT24NQYGYVE8NKX1EGA">#REF!</definedName>
    <definedName name="BExEQB8ZWXO6IIGOEPWTLOJGE2NR">#REF!</definedName>
    <definedName name="BExEQBZX0EL6LIKPY01197ACK65H">#REF!</definedName>
    <definedName name="BExEQDXZALJLD4OBF74IKZBR13SR">#REF!</definedName>
    <definedName name="BExEQFLE2RPWGMWQAI4JMKUEFRPT">#REF!</definedName>
    <definedName name="BExEQLVYSGSYRAKZK8Z0QLLF7G2K">#REF!</definedName>
    <definedName name="BExEQTZAP8R69U31W4LKGTKKGKQE">#REF!</definedName>
    <definedName name="BExER2O72H1F9WV6S1J04C15PXX7">#REF!</definedName>
    <definedName name="BExERNSS1TQUR6I9FGRALYTE0CFQ">#REF!</definedName>
    <definedName name="BExERRUIKIOATPZ9U4HQ0V52RJAU">#REF!</definedName>
    <definedName name="BExERSANFNM1O7T65PC5MJ301YET">#REF!</definedName>
    <definedName name="BExERWCEBKQRYWRQLYJ4UCMMKTHG">#REF!</definedName>
    <definedName name="BExES44RHHDL3V7FLV6M20834WF1">#REF!</definedName>
    <definedName name="BExES4A7VE2X3RYYTVRLKZD4I7WU">#REF!</definedName>
    <definedName name="BExES6ZC8R7PHJ21OVJFLIR7DY30">#REF!</definedName>
    <definedName name="BExESI2IXIELPLL09301UIJ59X0R">#REF!</definedName>
    <definedName name="BExESMKD95A649M0WRSG6CXXP326">#REF!</definedName>
    <definedName name="BExESOYP8MNCF9C9XMGD9NIO2DHH">#REF!</definedName>
    <definedName name="BExESR27ZXJG5VMY4PR9D940VS7T">#REF!</definedName>
    <definedName name="BExESZ03KXL8DQ2591HLR56ZML94">#REF!</definedName>
    <definedName name="BExESZAW5N443NRTKIP59OEI1CR6">#REF!</definedName>
    <definedName name="BExET3HXQ60A4O2OLKX8QNXRI6LQ">#REF!</definedName>
    <definedName name="BExETA3B1FCIOA80H94K90FWXQKE">#REF!</definedName>
    <definedName name="BExETAZOYT4CJIT8RRKC9F2HJG1D">#REF!</definedName>
    <definedName name="BExETF6QD5A9GEINE1KZRRC2LXWM">#REF!</definedName>
    <definedName name="BExETQ9XRXLUACN82805SPSPNKHI">#REF!</definedName>
    <definedName name="BExETR0YRMOR63E6DHLEHV9QVVON">#REF!</definedName>
    <definedName name="BExETVTGY38YXYYF7N73OYN6FYY3">#REF!</definedName>
    <definedName name="BExEU60A1U7NBTOAEDQAL9RNN2R6">#REF!</definedName>
    <definedName name="BExEUC5KVITDJ18RD7EXV9HZAXT4" hidden="1">#REF!</definedName>
    <definedName name="BExEULLDHPM8KXPMAV0YT0FYQCO0">#REF!</definedName>
    <definedName name="BExEUNE4T242Y59C6MS28MXEUGCP">#REF!</definedName>
    <definedName name="BExEUTJ7WGSZAKNIE678K6VVBMB0">#REF!</definedName>
    <definedName name="BExEV2TP7NA3ZR6RJGH5ER370OUM">#REF!</definedName>
    <definedName name="BExEV69USLNYO2QRJRC0J92XUF00">#REF!</definedName>
    <definedName name="BExEV6KNTQOCFD7GV726XQEVQ7R6">#REF!</definedName>
    <definedName name="BExEV6VGM4POO9QT9KH3QA3VYCWM">#REF!</definedName>
    <definedName name="BExEVET98G3FU6QBF9LHYWSAMV0O">#REF!</definedName>
    <definedName name="BExEVNCUT0PDUYNJH7G6BSEWZOT2">#REF!</definedName>
    <definedName name="BExEVPGF4V5J0WQRZKUM8F9TTKZJ">#REF!</definedName>
    <definedName name="BExEVPWH8S9GER9M14SPIT6XZ8SG">#REF!</definedName>
    <definedName name="BExEVVLIEVWYRF2UUC1H0H5QU1CP">#REF!</definedName>
    <definedName name="BExEVWCKO8T84GW9Z3X47915XKSH">#REF!</definedName>
    <definedName name="BExEVZSJWMZ5L2ZE7AZC57CXKW6T">#REF!</definedName>
    <definedName name="BExEW0JL1GFFCXMDGW54CI7Y8FZN">#REF!</definedName>
    <definedName name="BExEW68M9WL8214QH9C7VCK7BN08">#REF!</definedName>
    <definedName name="BExEW8HFKH6F47KIHYBDRUEFZ2ZZ">#REF!</definedName>
    <definedName name="BExEWLO75K95C6IRKHXSP7VP81T4">#REF!</definedName>
    <definedName name="BExEWNBGQS1U2LW3W84T4LSJ9K00">#REF!</definedName>
    <definedName name="BExEWO7STL7HNZSTY8VQBPTX1WK6">#REF!</definedName>
    <definedName name="BExEWQ0M1N3KMKTDJ73H10QSG4W1">#REF!</definedName>
    <definedName name="BExEX1K1G1XOATOHE1L56FPNFKEH">#REF!</definedName>
    <definedName name="BExEX73L5U8LOUK1PKINTHURZSZ2">#REF!</definedName>
    <definedName name="BExEX7UNGH8R3K4267QO5BXNLPO2">#REF!</definedName>
    <definedName name="BExEX85F3OSW8NSCYGYPS9372Z1Q">#REF!</definedName>
    <definedName name="BExEX9HWY2G6928ZVVVQF77QCM2C">#REF!</definedName>
    <definedName name="BExEXBQWAYKMVBRJRHB8PFCSYFVN">#REF!</definedName>
    <definedName name="BExEXRBZ0DI9E2UFLLKYWGN66B61">#REF!</definedName>
    <definedName name="BExEXV878GC00CL9Y3PMG1EPV93S">#REF!</definedName>
    <definedName name="BExEYLG9FL9V1JPPNZ3FUDNSEJ4V">#REF!</definedName>
    <definedName name="BExEYOW8C1B3OUUCIGEC7L8OOW1Z">#REF!</definedName>
    <definedName name="BExEYUQJXZT6N5HJH8ACJF6SRWEE">#REF!</definedName>
    <definedName name="BExEZ1S6VZCG01ZPLBSS9Z1SBOJ2">#REF!</definedName>
    <definedName name="BExEZGBFNJR8DLPN0V11AU22L6WY">#REF!</definedName>
    <definedName name="BExEZNYN4RJEH991QXFETE16HI4H">#REF!</definedName>
    <definedName name="BExEZOEPVQ8C2TEM23W2T7CJ7Z7C">#REF!</definedName>
    <definedName name="BExEZSGGSAF9QN04SZZEXG94PY3I">#REF!</definedName>
    <definedName name="BExEZSLYNYUB1PTK9QTJX26XMIH7">#REF!</definedName>
    <definedName name="BExF02Y3V3QEPO2XLDSK47APK9XJ">#REF!</definedName>
    <definedName name="BExF09OS91RT7N7IW8JLMZ121ZP3">#REF!</definedName>
    <definedName name="BExF0LOEHV42P2DV7QL8O7HOQ3N9">#REF!</definedName>
    <definedName name="BExF0WRM9VO25RLSO03ZOCE8H7K5">#REF!</definedName>
    <definedName name="BExF0ZRI7W4RSLIDLHTSM0AWXO3S">#REF!</definedName>
    <definedName name="BExF14ENQHDDJ6BI9GUW6FA5QPDY">#REF!</definedName>
    <definedName name="BExF19CT3MMZZ2T5EWMDNG3UOJ01">#REF!</definedName>
    <definedName name="BExF1M38U6NX17YJA8YU359B5Z4M">#REF!</definedName>
    <definedName name="BExF1MU4W3NPEY0OHRDWP5IANCBB">#REF!</definedName>
    <definedName name="BExF1MZN8MWMOKOARHJ1QAF9HPGT">#REF!</definedName>
    <definedName name="BExF1R1D5CNBISJOPHOYMPVHPTX4">#REF!</definedName>
    <definedName name="BExF1US4ZIQYSU5LBFYNRA9N0K2O">#REF!</definedName>
    <definedName name="BExF2B9KRLBBIEC0UVZ66BI5FN6J">#REF!</definedName>
    <definedName name="BExF2CWZN6E87RGTBMD4YQI2QT7R">#REF!</definedName>
    <definedName name="BExF2DYO1WQ7GMXSTAQRDBW1NSFG">#REF!</definedName>
    <definedName name="BExF2MSWNUY9Z6BZJQZ538PPTION">#REF!</definedName>
    <definedName name="BExF2QZYWHTYGUTTXR15CKCV3LS7">#REF!</definedName>
    <definedName name="BExF2T8Y6TSJ74RMSZOA9CEH4OZ6">#REF!</definedName>
    <definedName name="BExF31N3YM4F37EOOY8M8VI1KXN8">#REF!</definedName>
    <definedName name="BExF37C1YKBT79Z9SOJAG5MXQGTU">#REF!</definedName>
    <definedName name="BExF3A6HPA6DGYALZNHHJPMCUYZR">#REF!</definedName>
    <definedName name="BExF3I9T44X7DV9HHV51DVDDPPZG">#REF!</definedName>
    <definedName name="BExF3JMFX5DILOIFUDIO1HZUK875">#REF!</definedName>
    <definedName name="BExF3LV9CUBICNV2O2E5KBVIJUSX" hidden="1">#REF!</definedName>
    <definedName name="BExF3NTC4BGZEM6B87TCFX277QCS">#REF!</definedName>
    <definedName name="BExF3Q7NI90WT31QHYSJDIG0LLLJ">#REF!</definedName>
    <definedName name="BExF3QD55TIY1MSBSRK9TUJKBEWO">#REF!</definedName>
    <definedName name="BExF3QT8J6RIF1L3R700MBSKIOKW">#REF!</definedName>
    <definedName name="BExF42SSBVPMLK2UB3B7FPEIY9TU">#REF!</definedName>
    <definedName name="BExF4HXSWB50BKYPWA0HTT8W56H6">#REF!</definedName>
    <definedName name="BExF4KHF04IWW4LQ95FHQPFE4Y9K">#REF!</definedName>
    <definedName name="BExF4LU2NV3A47BCWPM3EZXUEH37">#REF!</definedName>
    <definedName name="BExF4MVQM5Y0QRDLDFSKWWTF709C">#REF!</definedName>
    <definedName name="BExF4PVMZYV36E8HOYY06J81AMBI">#REF!</definedName>
    <definedName name="BExF4SF9NEX1FZE9N8EXT89PM54D">#REF!</definedName>
    <definedName name="BExF52GTGP8MHGII4KJ8TJGR8W8U">#REF!</definedName>
    <definedName name="BExF57K7L3UC1I2FSAWURR4SN0UN">#REF!</definedName>
    <definedName name="BExF5D96JEPDW6LV89G2REZJ1ES7">#REF!</definedName>
    <definedName name="BExF5HR2GFV7O8LKG9SJ4BY78LYA">#REF!</definedName>
    <definedName name="BExF5ZFO2A29GHWR5ES64Z9OS16J">#REF!</definedName>
    <definedName name="BExF62A3MLH813NID28ONGARJH2X">#REF!</definedName>
    <definedName name="BExF63S045JO7H2ZJCBTBVH3SUIF">#REF!</definedName>
    <definedName name="BExF642TEGTXCI9A61ZOONJCB0U1">#REF!</definedName>
    <definedName name="BExF67O951CF8UJF3KBDNR0E83C1">#REF!</definedName>
    <definedName name="BExF6EV7I35NVMIJGYTB6E24YVPA">#REF!</definedName>
    <definedName name="BExF6FGUF393KTMBT40S5BYAFG00">#REF!</definedName>
    <definedName name="BExF6GNYXWY8A0SY4PW1B6KJMMTM">#REF!</definedName>
    <definedName name="BExF6IB8K74Z0AFT05GPOKKZW7C9">#REF!</definedName>
    <definedName name="BExF6NUXJI11W2IAZNAM1QWC0459">#REF!</definedName>
    <definedName name="BExF6RR76KNVIXGJOVFO8GDILKGZ">#REF!</definedName>
    <definedName name="BExF6ZE8D5CMPJPRWT6S4HM56LPF">#REF!</definedName>
    <definedName name="BExF76FV8SF7AJK7B35AL7VTZF6D">#REF!</definedName>
    <definedName name="BExF7EOIMC1OYL1N7835KGOI0FIZ">#REF!</definedName>
    <definedName name="BExF7K88K7ASGV6RAOAGH52G04VR">#REF!</definedName>
    <definedName name="BExF7KTRNDA4PDEWXLZOSGH6HBTK">#REF!</definedName>
    <definedName name="BExF7OVDRP3LHNAF2CX4V84CKKIR">#REF!</definedName>
    <definedName name="BExF7QO41X2A2SL8UXDNP99GY7U9">#REF!</definedName>
    <definedName name="BExF81GI8B8WBHXFTET68A9358BR">#REF!</definedName>
    <definedName name="BExF91F9EY2QWUVHB02O42OI5VJA">#REF!</definedName>
    <definedName name="BExF974BG77G8CGZUKOT46BKS3JY">#REF!</definedName>
    <definedName name="BExGL97US0Y3KXXASUTVR26XLT70">#REF!</definedName>
    <definedName name="BExGLC7R4C33RO0PID97ZPPVCW4M">#REF!</definedName>
    <definedName name="BExGLFIF7HCFSHNQHKEV6RY0WCO3">#REF!</definedName>
    <definedName name="BExGLTARRL0J772UD2TXEYAVPY6E">#REF!</definedName>
    <definedName name="BExGLVP1IU8K5A8J1340XFMYPR88">#REF!</definedName>
    <definedName name="BExGLYE6RZTAAWHJBG2QFJPTDS2Q">#REF!</definedName>
    <definedName name="BExGM06W6F9M898F25U5GS310ZDJ">#REF!</definedName>
    <definedName name="BExGM4DZ65OAQP7MA4LN6QMYZOFF">#REF!</definedName>
    <definedName name="BExGMCXCWEC9XNUOEMZ61TMI6CUO">#REF!</definedName>
    <definedName name="BExGMJDGIH0MEPC2TUSFUCY2ROTB">#REF!</definedName>
    <definedName name="BExGMKPW2HPKN0M0XKF3AZ8YP0D6">#REF!</definedName>
    <definedName name="BExGMOM6BJIMIN7C4IHRF1V8A96K">#REF!</definedName>
    <definedName name="BExGMP2F175LGL6QVSJGP6GKYHHA">#REF!</definedName>
    <definedName name="BExGMP7QPV1K0HGEJ78M3SJKOXMJ">#REF!</definedName>
    <definedName name="BExGMPIIP8GKML2VVA8OEFL43NCS">#REF!</definedName>
    <definedName name="BExGMZ3SRIXLXMWBVOXXV3M4U4YL">#REF!</definedName>
    <definedName name="BExGMZ3UBN48IXU1ZEFYECEMZ1IM">#REF!</definedName>
    <definedName name="BExGN4I0QATXNZCLZJM1KH1OIJQH">#REF!</definedName>
    <definedName name="BExGN7HXECFUQS2XNA6RF790L4W9">#REF!</definedName>
    <definedName name="BExGN9FZ2RWCMSY1YOBJKZMNIM9R">#REF!</definedName>
    <definedName name="BExGNDSIMTHOCXXG6QOGR6DA8SGG">#REF!</definedName>
    <definedName name="BExGNN2YQ9BDAZXT2GLCSAPXKIM7">#REF!</definedName>
    <definedName name="BExGNSS0CKRPKHO25R3TDBEL2NHX">#REF!</definedName>
    <definedName name="BExGNYH0MO8NOVS85L15G0RWX4GW">#REF!</definedName>
    <definedName name="BExGNZO44DEG8CGIDYSEGDUQ531R">#REF!</definedName>
    <definedName name="BExGO2O0V6UYDY26AX8OSN72F77N">#REF!</definedName>
    <definedName name="BExGO2YUBOVLYHY1QSIHRE1KLAFV">#REF!</definedName>
    <definedName name="BExGO70E2O70LF46V8T26YFPL4V8">#REF!</definedName>
    <definedName name="BExGO8D1R9I69SERTZT2W3SLEZNA" hidden="1">#REF!</definedName>
    <definedName name="BExGOB25QJMQCQE76MRW9X58OIOO">#REF!</definedName>
    <definedName name="BExGODAZKJ9EXMQZNQR5YDBSS525">#REF!</definedName>
    <definedName name="BExGODR8ZSMUC11I56QHSZ686XV5">#REF!</definedName>
    <definedName name="BExGOT6UXUX5FVTAYL9SOBZ1D0II">#REF!</definedName>
    <definedName name="BExGOXJDHUDPDT8I8IVGVW9J0R5Q">#REF!</definedName>
    <definedName name="BExGPHGT5KDOCMV2EFS4OVKTWBRD">#REF!</definedName>
    <definedName name="BExGPID72Y4Y619LWASUQZKZHJNC">#REF!</definedName>
    <definedName name="BExGPPENQIANVGLVQJ77DK5JPRTB">#REF!</definedName>
    <definedName name="BExGQ1ZU4967P72AHF4V1D0FOL5C">#REF!</definedName>
    <definedName name="BExGQ36ZOMR9GV8T05M605MMOY3Y">#REF!</definedName>
    <definedName name="BExGQ61DTJ0SBFMDFBAK3XZ9O0ZO">#REF!</definedName>
    <definedName name="BExGQ6SG9XEOD0VMBAR22YPZWSTA">#REF!</definedName>
    <definedName name="BExGQBFLMJJ9B8UZOREEHXFHK7N2">#REF!</definedName>
    <definedName name="BExGQGJ1A7LNZUS8QSMOG8UNGLMK">#REF!</definedName>
    <definedName name="BExGQPO7ENFEQC0NC6MC9OZR2LHY">#REF!</definedName>
    <definedName name="BExGQX0H4EZMXBJTKJJE4ICJWN5O">#REF!</definedName>
    <definedName name="BExGQXB9MZOQ756QKBX37UVT0E1N">#REF!</definedName>
    <definedName name="BExGR4CW3WRIID17GGX4MI9ZDHFE">#REF!</definedName>
    <definedName name="BExGR65GJX27MU2OL6NI5PB8XVB4">#REF!</definedName>
    <definedName name="BExGR6LQ97HETGS3CT96L4IK0JSH">#REF!</definedName>
    <definedName name="BExGR9ATP2LVT7B9OCPSLJ11H9SX">#REF!</definedName>
    <definedName name="BExGRP6OL44LJTNKNI09G040YBUV">#REF!</definedName>
    <definedName name="BExGRUKVVKDL8483WI70VN2QZDGD">#REF!</definedName>
    <definedName name="BExGRY6DV7SFO3FUC935DBI9JHHD">#REF!</definedName>
    <definedName name="BExGS2IWR5DUNJ1U9PAKIV8CMBNI">#REF!</definedName>
    <definedName name="BExGS69P9FFTEOPDS0MWFKF45G47">#REF!</definedName>
    <definedName name="BExGS6F1JFHM5MUJ1RFO50WP6D05">#REF!</definedName>
    <definedName name="BExGSA5YB5ZGE4NHDVCZ55TQAJTL">#REF!</definedName>
    <definedName name="BExGSCEUCQQVDEEKWJ677QTGUVTE">#REF!</definedName>
    <definedName name="BExGSE7JOEA0YCHSJZ9200QPDIJS">#REF!</definedName>
    <definedName name="BExGSQY65LH1PCKKM5WHDW83F35O">#REF!</definedName>
    <definedName name="BExGSYW1GKISF0PMUAK3XJK9PEW9">#REF!</definedName>
    <definedName name="BExGT0DZJB6LSF6L693UUB9EY1VQ">#REF!</definedName>
    <definedName name="BExGT26Q34RZH81QA2RSEHCYR7DV">#REF!</definedName>
    <definedName name="BExGTGVFIF8HOQXR54SK065A8M4K">#REF!</definedName>
    <definedName name="BExGTIYX3OWPIINOGY1E4QQYSKHP">#REF!</definedName>
    <definedName name="BExGTKGUN0KUU3C0RL2LK98D8MEK">#REF!</definedName>
    <definedName name="BExGTS3XVUCQ4VU4J7CHKKFVT00J">#REF!</definedName>
    <definedName name="BExGTZ046J7VMUG4YPKFN2K8TWB7">#REF!</definedName>
    <definedName name="BExGU2G9OPRZRIU9YGF6NX9FUW0J">#REF!</definedName>
    <definedName name="BExGU6HTKLRZO8UOI3DTAM5RFDBA">#REF!</definedName>
    <definedName name="BExGUDDZXFFQHAF4UZF8ZB1HO7H6">#REF!</definedName>
    <definedName name="BExGUIBXBRHGM97ZX6GBA4ZDQ79C">#REF!</definedName>
    <definedName name="BExGUM8D91UNPCOO4TKP9FGX85TF">#REF!</definedName>
    <definedName name="BExGUQF9N9FKI7S0H30WUAEB5LPD">#REF!</definedName>
    <definedName name="BExGUR6BA03XPBK60SQUW197GJ5X">#REF!</definedName>
    <definedName name="BExGUU0WEI69F8ZIXWN595TGXFHG">#REF!</definedName>
    <definedName name="BExGUVIP60TA4B7X2PFGMBFUSKGX">#REF!</definedName>
    <definedName name="BExGUZKF06F209XL1IZWVJEQ82EE">#REF!</definedName>
    <definedName name="BExGV2EVT380QHD4AP2RL9MR8L5L">#REF!</definedName>
    <definedName name="BExGVV6OOLDQ3TXZK51TTF3YX0WN">#REF!</definedName>
    <definedName name="BExGW0KVS7U0C87XFZ78QW991IEV">#REF!</definedName>
    <definedName name="BExGW2Z7AMPG6H9EXA9ML6EZVGGA">#REF!</definedName>
    <definedName name="BExGW9VCZCEM8UBOIWLGP86VDXAM">#REF!</definedName>
    <definedName name="BExGWABG5VT5XO1A196RK61AXA8C">#REF!</definedName>
    <definedName name="BExGWCV8916MRBLI113C5KK5RGE6">#REF!</definedName>
    <definedName name="BExGWEO0JDG84NYLEAV5NSOAGMJZ">#REF!</definedName>
    <definedName name="BExGWF441V08QGC7WOV8ZNCY11L7">#REF!</definedName>
    <definedName name="BExGWLEOC70Z8QAJTPT2PDHTNM4L">#REF!</definedName>
    <definedName name="BExGWNCXLCRTLBVMTXYJ5PHQI6SS">#REF!</definedName>
    <definedName name="BExGX6U988MCFIGDA1282F92U9AA">#REF!</definedName>
    <definedName name="BExGX7FTB1CKAT5HUW6H531FIY6I">#REF!</definedName>
    <definedName name="BExGX8HHCYSAHDCEWOG9XLCU18N6">#REF!</definedName>
    <definedName name="BExGX9DVACJQIZ4GH6YAD2A7F70O">#REF!</definedName>
    <definedName name="BExGXDVP2S2Y8Z8Q43I78RCIK3DD">#REF!</definedName>
    <definedName name="BExGXJ9W5JU7TT9S0BKL5Y6VVB39">#REF!</definedName>
    <definedName name="BExGXWB73RJ4BASBQTQ8EY0EC1EB">#REF!</definedName>
    <definedName name="BExGXZ0ABB43C7SMRKZHWOSU9EQX">#REF!</definedName>
    <definedName name="BExGY6SU3SYVCJ3AG2ITY59SAZ5A">#REF!</definedName>
    <definedName name="BExGY6YA4P5KMY2VHT0DYK3YTFAX">#REF!</definedName>
    <definedName name="BExGY8G88PVVRYHPHRPJZFSX6HSC">#REF!</definedName>
    <definedName name="BExGYC718HTZ80PNKYPVIYGRJVF6">#REF!</definedName>
    <definedName name="BExGYCHSO0W2KLD88V9TBXYCB1L2">#REF!</definedName>
    <definedName name="BExGYCNATXZY2FID93B17YWIPPRD">#REF!</definedName>
    <definedName name="BExGYGJJJ3BBCQAOA51WHP01HN73">#REF!</definedName>
    <definedName name="BExGYOS6TV2C72PLRFU8RP1I58GY">#REF!</definedName>
    <definedName name="BExGZ7NXZ0IBS44C2NZ9VMD6T6K2">#REF!</definedName>
    <definedName name="BExGZJ78ZWZCVHZ3BKEKFJZ6MAEO">#REF!</definedName>
    <definedName name="BExGZOLH2QV73J3M9IWDDPA62TP4">#REF!</definedName>
    <definedName name="BExGZP1PWGFKVVVN4YDIS22DZPCR">#REF!</definedName>
    <definedName name="BExGZSN7ZY4H4Y4ZES4HRPL3BQ7C">#REF!</definedName>
    <definedName name="BExH00L21GZX5YJJGVMOAWBERLP5">#REF!</definedName>
    <definedName name="BExH02ZD6VAY1KQLAQYBBI6WWIZB">#REF!</definedName>
    <definedName name="BExH08Z6LQCGGSGSAILMHX4X7JMD">#REF!</definedName>
    <definedName name="BExH0KD6K5TIVDAUTBFJHT7L0CK4">#REF!</definedName>
    <definedName name="BExH0KT9Z8HEVRRQRGQ8YHXRLIJA">#REF!</definedName>
    <definedName name="BExH0M0FDN12YBOCKL3XL2Z7T7Y8">#REF!</definedName>
    <definedName name="BExH0O9G06YPZ5TN9RYT326I1CP2">#REF!</definedName>
    <definedName name="BExH0WNJAKTJRCKMTX8O4KNMIIJM">#REF!</definedName>
    <definedName name="BExH12Y4WX542WI3ZEM15AK4UM9J">#REF!</definedName>
    <definedName name="BExH17LBRAZL0WM7YCDNY03IMU7H">#REF!</definedName>
    <definedName name="BExH1FDTQXR9QQ31WDB7OPXU7MPT">#REF!</definedName>
    <definedName name="BExH1FOMEUIJNIDJAUY0ZQFBJSY9">#REF!</definedName>
    <definedName name="BExH1JFFHEBFX9BWJMNIA3N66R3Z">#REF!</definedName>
    <definedName name="BExH1X2EVHQZO4SJDS6V4BMEG17U">#REF!</definedName>
    <definedName name="BExH1Z0GIUSVTF2H1G1I3PDGBNK2">#REF!</definedName>
    <definedName name="BExH21K9JXIGJ8KW8BD49KVNV5KU">#REF!</definedName>
    <definedName name="BExH225UTM6S9FW4MUDZS7F1PQSH">#REF!</definedName>
    <definedName name="BExH23271RF7AYZ542KHQTH68GQ7">#REF!</definedName>
    <definedName name="BExH27UV451VYAQXLHQCYRJ80UTX" hidden="1">#REF!</definedName>
    <definedName name="BExH2GJQR4JALNB314RY0LDI49VH">#REF!</definedName>
    <definedName name="BExH2JZR49T7644JFVE7B3N7RZM9">#REF!</definedName>
    <definedName name="BExH2UHF0QTJG107MULYB16WBJM9">#REF!</definedName>
    <definedName name="BExH2WKXV8X5S2GSBBTWGI0NLNAH">#REF!</definedName>
    <definedName name="BExH2XS1UFYFGU0S0EBXX90W2WE8">#REF!</definedName>
    <definedName name="BExH2XS2TND9SB0GC295R4FP6K5Y">#REF!</definedName>
    <definedName name="BExH2Y2U5RJ4ADJQCUONWLPQ4O3D">#REF!</definedName>
    <definedName name="BExH2ZA0SZ4SSITL50NA8LZ3OEX6">#REF!</definedName>
    <definedName name="BExH31Z3JNVJPESWKXHILGXZHP2M">#REF!</definedName>
    <definedName name="BExH3E9HZ3QJCDZW7WI7YACFQCHE">#REF!</definedName>
    <definedName name="BExH3F5VGP2F59IO7540AO5R866X">#REF!</definedName>
    <definedName name="BExH3IRB6764RQ5HBYRLH6XCT29X">#REF!</definedName>
    <definedName name="BExIFSNE4C29HU57VY9DRA8ZHJMI">#REF!</definedName>
    <definedName name="BExIG2U8V6RSB47SXLCQG3Q68YRO">#REF!</definedName>
    <definedName name="BExIGJBO8R13LV7CZ7C1YCP974NN">#REF!</definedName>
    <definedName name="BExIGWT86FPOEYTI8GXCGU5Y3KGK">#REF!</definedName>
    <definedName name="BExIHBHXA7E7VUTBVHXXXCH3A5CL">#REF!</definedName>
    <definedName name="BExIHPQCQTGEW8QOJVIQ4VX0P6DX">#REF!</definedName>
    <definedName name="BExII1KN91Q7DLW0UB7W2TJ5ACT9">#REF!</definedName>
    <definedName name="BExII50LI8I0CDOOZEMIVHVA2V95">#REF!</definedName>
    <definedName name="BExIIRXXR0K667L884UAGFW27GC7">#REF!</definedName>
    <definedName name="BExIIXMY38TQD12CVV4S57L3I809">#REF!</definedName>
    <definedName name="BExIIY37NEVU2LGS1JE4VR9AN6W4">#REF!</definedName>
    <definedName name="BExIIYJAGXR8TPZ1KCYM7EGJ79UW">#REF!</definedName>
    <definedName name="BExIJ3160YCWGAVEU0208ZGXXG3P">#REF!</definedName>
    <definedName name="BExIJFGZJ5ED9D6KAY4PGQYLELAX">#REF!</definedName>
    <definedName name="BExIJQK80ZEKSTV62E59AYJYUNLI">#REF!</definedName>
    <definedName name="BExIJRLX3M0YQLU1D5Y9V7HM5QNM">#REF!</definedName>
    <definedName name="BExIJV22J0QA7286KNPMHO1ZUCB3">#REF!</definedName>
    <definedName name="BExIJVI6OC7B6ZE9V4PAOYZXKNER">#REF!</definedName>
    <definedName name="BExIJWK0NGTGQ4X7D5VIVXD14JHI">#REF!</definedName>
    <definedName name="BExIJWPCIYINEJUTXU74VK7WG031">#REF!</definedName>
    <definedName name="BExIKE34VRI8LNA43PRAXOK0ENZ0">#REF!</definedName>
    <definedName name="BExIKEZIEF8HC349HWGDSJ2Q7A36">#REF!</definedName>
    <definedName name="BExIKHDUJVOICOBVB5XBI3FWKHDH">#REF!</definedName>
    <definedName name="BExIKHTXPZR5A8OHB6HDP6QWDHAD">#REF!</definedName>
    <definedName name="BExIKMMJOETSAXJYY1SIKM58LMA2">#REF!</definedName>
    <definedName name="BExIKRF6AQ6VOO9KCIWSM6FY8M7D">#REF!</definedName>
    <definedName name="BExIKS68I5YRWZPC1BZV3DUUIRB4">#REF!</definedName>
    <definedName name="BExIKTYZESFT3LC0ASFMFKSE0D1X">#REF!</definedName>
    <definedName name="BExIKUPVWA74ZNT6LY91VBTADMDP">#REF!</definedName>
    <definedName name="BExIKXVA6M8K0PTRYAGXS666L335">#REF!</definedName>
    <definedName name="BExIL0PMZ2SXK9R6MLP43KBU1J2P">#REF!</definedName>
    <definedName name="BExILAAXRTRAD18K74M6MGUEEPUM">#REF!</definedName>
    <definedName name="BExILG5F338C0FFLMVOKMKF8X5ZP">#REF!</definedName>
    <definedName name="BExILGQTQM0HOD0BJI90YO7GOIN3">#REF!</definedName>
    <definedName name="BExILZMLDONDP3BQR1XX8OZBA26V">#REF!</definedName>
    <definedName name="BExIM9DBUB7ZGF4B20FVUO9QGOX2">#REF!</definedName>
    <definedName name="BExIMGK9Z94TFPWWZFMD10HV0IF6">#REF!</definedName>
    <definedName name="BExIMPEGKG18TELVC33T4OQTNBWC">#REF!</definedName>
    <definedName name="BExIN3CAS48A9U3QM15BDRQ58ST1">#REF!</definedName>
    <definedName name="BExIN4OR435DL1US13JQPOQK8GD5">#REF!</definedName>
    <definedName name="BExINI6A7H3KSFRFA6UBBDPKW37F">#REF!</definedName>
    <definedName name="BExINIMK8XC3JOBT2EXYFHHH52H0">#REF!</definedName>
    <definedName name="BExINLX401ZKEGWU168DS4JUM2J6">#REF!</definedName>
    <definedName name="BExINMYYJO1FTV1CZF6O5XCFAMQX">#REF!</definedName>
    <definedName name="BExINP2H4KI05FRFV5PKZFE00HKO">#REF!</definedName>
    <definedName name="BExINRM3RDJMCEBSQIW8EXKYO81W">#REF!</definedName>
    <definedName name="BExINZELVWYGU876QUUZCIMXPBQC">#REF!</definedName>
    <definedName name="BExIOCQUQHKUU1KONGSDOLQTQEIC">#REF!</definedName>
    <definedName name="BExIOFL8Y5O61VLKTB4H20IJNWS1">#REF!</definedName>
    <definedName name="BExIOMBXRW5NS4ZPYX9G5QREZ5J6">#REF!</definedName>
    <definedName name="BExIORA3GK78T7C7SNBJJUONJ0LS">#REF!</definedName>
    <definedName name="BExIORFDXP4AVIEBLSTZ8ETSXMNM">#REF!</definedName>
    <definedName name="BExIOTZ5EFZ2NASVQ05RH15HRSW6">#REF!</definedName>
    <definedName name="BExIP8YNN6UUE1GZ223SWH7DLGKO">#REF!</definedName>
    <definedName name="BExIPAB4AOL592OJCC1CFAXTLF1A">#REF!</definedName>
    <definedName name="BExIPB25DKX4S2ZCKQN7KWSC3JBF">#REF!</definedName>
    <definedName name="BExIPDLT8JYAMGE5HTN4D1YHZF3V">#REF!</definedName>
    <definedName name="BExIPG040Q08EWIWL6CAVR3GRI43">#REF!</definedName>
    <definedName name="BExIPKNFUDPDKOSH5GHDVNA8D66S">#REF!</definedName>
    <definedName name="BExIPQ6ZMIIPESOVQ5GP432OHGZ2" hidden="1">#REF!</definedName>
    <definedName name="BExIQ1VS9A2FHVD9TUHKG9K8EVVP">#REF!</definedName>
    <definedName name="BExIQ3J19L30PSQ2CXNT6IHW0I7V">#REF!</definedName>
    <definedName name="BExIQ3OJ7M04XCY276IO0LJA5XUK">#REF!</definedName>
    <definedName name="BExIQ5S19ITB0NDRUN4XV7B905ED">#REF!</definedName>
    <definedName name="BExIQ9TMQT2EIXSVQW7GVSOAW2VJ">#REF!</definedName>
    <definedName name="BExIQBMDE1L6J4H27K1FMSHQKDSE">#REF!</definedName>
    <definedName name="BExIQE65LVXUOF3UZFO7SDHFJH22">#REF!</definedName>
    <definedName name="BExIQG9OO2KKBOWTMD1OXY36TEGA">#REF!</definedName>
    <definedName name="BExIQX1XBB31HZTYEEVOBSE3C5A6">#REF!</definedName>
    <definedName name="BExIQYP5T1TPAQYW7QU1Q98BKX7W">#REF!</definedName>
    <definedName name="BExIR2ALYRP9FW99DK2084J7IIDC">#REF!</definedName>
    <definedName name="BExIR8FQETPTQYW37DBVDWG3J4JW">#REF!</definedName>
    <definedName name="BExIR9HK7JX1L2CH2BEDXZVSIE9V">#REF!</definedName>
    <definedName name="BExIRRBGTY01OQOI3U5SW59RFDFI">#REF!</definedName>
    <definedName name="BExIS4T0DRF57HYO7OGG72KBOFOI">#REF!</definedName>
    <definedName name="BExIS6LQR6L9T3OTO7YCPQXAXAAB">#REF!</definedName>
    <definedName name="BExIS77BJDDK18PGI9DSEYZPIL7P">#REF!</definedName>
    <definedName name="BExIS8USL1T3Z97CZ30HJ98E2GXQ">#REF!</definedName>
    <definedName name="BExISC5B700MZUBFTQ9K4IKTF7HR">#REF!</definedName>
    <definedName name="BExISDHXS49S1H56ENBPRF1NLD5C">#REF!</definedName>
    <definedName name="BExISM1JLV54A21A164IURMPGUMU">#REF!</definedName>
    <definedName name="BExISMSDNG7ESGQW6WLIBMK3TR05">#REF!</definedName>
    <definedName name="BExISRFKJYUZ4AKW44IJF7RF9Y90">#REF!</definedName>
    <definedName name="BExIT1MK8TBAK3SNP36A8FKDQSOK">#REF!</definedName>
    <definedName name="BExITARLBMSZP0MDTHM5NAQG2OGL">#REF!</definedName>
    <definedName name="BExITBNYANV2S8KD56GOGCKW393R">#REF!</definedName>
    <definedName name="BExITPWD1VUWCL7Z872QJZR77JCP">#REF!</definedName>
    <definedName name="BExITU8WGDQKG9M3M9GZUIUHPXV6">#REF!</definedName>
    <definedName name="BExIUD4OJGH65NFNQ4VMCE3R4J1X">#REF!</definedName>
    <definedName name="BExIUEX7HWR9L9GED1OOUUPR3P4L">#REF!</definedName>
    <definedName name="BExIUH68665UA0TLLT6TB2JGW5PQ">#REF!</definedName>
    <definedName name="BExIUTB5OAAXYW0OFMP0PS40SPOB">#REF!</definedName>
    <definedName name="BExIUUT2MHIOV6R3WHA0DPM1KBKY">#REF!</definedName>
    <definedName name="BExIUYPDT1AM6MWGWQS646PIZIWC">#REF!</definedName>
    <definedName name="BExIV0I2O9F8D1UK1SI8AEYR6U0A">#REF!</definedName>
    <definedName name="BExIV194L8SHVHAKVDYUJVIUW6R6">#REF!</definedName>
    <definedName name="BExIV2LM38XPLRTWT0R44TMQ59E5">#REF!</definedName>
    <definedName name="BExIV3HY4S0YRV1F7XEMF2YHAR2I">#REF!</definedName>
    <definedName name="BExIV6HUZFRIFLXW2SICKGTAH1PV">#REF!</definedName>
    <definedName name="BExIVC6WZMHRBRGIBUVX0CO2RK05">#REF!</definedName>
    <definedName name="BExIVCXWL6H5LD9DHDIA4F5U9TQL">#REF!</definedName>
    <definedName name="BExIVMOIPSEWSIHIDDLOXESQ28A0">#REF!</definedName>
    <definedName name="BExIVNVNJX9BYDLC88NG09YF5XQ6">#REF!</definedName>
    <definedName name="BExIVQVKLMGSRYT1LFZH0KUIA4OR">#REF!</definedName>
    <definedName name="BExIVYTFI35KNR2XSA6N8OJYUTUR">#REF!</definedName>
    <definedName name="BExIW5ET7UTUGQAD7BE9WK5UKMGC">#REF!</definedName>
    <definedName name="BExIWB3SY3WRIVIOF988DNNODBOA">#REF!</definedName>
    <definedName name="BExIWB99CG0H52LRD6QWPN4L6DV2">#REF!</definedName>
    <definedName name="BExIWG1W7XP9DFYYSZAIOSHM0QLQ">#REF!</definedName>
    <definedName name="BExIWH3KUK94B7833DD4TB0Y6KP9">#REF!</definedName>
    <definedName name="BExIWHJTVQN56LBQLQAVYJGZCPS0">#REF!</definedName>
    <definedName name="BExIWKE9MGIDWORBI43AWTUNYFAN">#REF!</definedName>
    <definedName name="BExIX2Z84RME31393YA6EYKRVQ2O">#REF!</definedName>
    <definedName name="BExIX34PM5DBTRHRQWP6PL6WIX88">#REF!</definedName>
    <definedName name="BExIX5OAP9KSUE5SIZCW9P39Q4WE">#REF!</definedName>
    <definedName name="BExIXD6399WJZEAZPLMO25J76HES">#REF!</definedName>
    <definedName name="BExIXGRJPVJMUDGSG7IHPXPNO69B">#REF!</definedName>
    <definedName name="BExIXM5R87ZL3FHALWZXYCPHGX3E">#REF!</definedName>
    <definedName name="BExIXS036ZCKT2Z8XZKLZ8PFWQGL">#REF!</definedName>
    <definedName name="BExIXY5CF9PFM0P40AZ4U51TMWV0">#REF!</definedName>
    <definedName name="BExIXZSN4DWU517ZB4WMVMRAR3HE">#REF!</definedName>
    <definedName name="BExIY81EI7OC24JR1VQXFYGLHSLP">#REF!</definedName>
    <definedName name="BExIYEXJBK8JDWIRSVV4RJSKZVV1">#REF!</definedName>
    <definedName name="BExIYI2RH0K4225XO970K2IQ1E79">#REF!</definedName>
    <definedName name="BExIYMPZ0KS2KOJFQAUQJ77L7701">#REF!</definedName>
    <definedName name="BExIYP9Q6FV9T0R9G3UDKLS4TTYX">#REF!</definedName>
    <definedName name="BExIYZGLDQ1TN7BIIN4RLDP31GIM">#REF!</definedName>
    <definedName name="BExIZ4K0EZJK6PW3L8SVKTJFSWW9">#REF!</definedName>
    <definedName name="BExIZAECOEZGBAO29QMV14E6XDIV">#REF!</definedName>
    <definedName name="BExIZCNBH93LVDIIAY9B4MWHN361">#REF!</definedName>
    <definedName name="BExIZEW6V56Z1L9CVD468PF9QXFC">#REF!</definedName>
    <definedName name="BExIZKVXYD5O2JBU81F2UFJZLLSI">#REF!</definedName>
    <definedName name="BExIZPZDHC8HGER83WHCZAHOX7LK">#REF!</definedName>
    <definedName name="BExIZY2PUZ0OF9YKK1B13IW0VS6G">#REF!</definedName>
    <definedName name="BExJ08KBRR2XMWW3VZMPSQKXHZUH">#REF!</definedName>
    <definedName name="BExJ0DYJWXGE7DA39PYL3WM05U9O">#REF!</definedName>
    <definedName name="BExJ0MY8SY5J5V50H3UKE78ODTVB">#REF!</definedName>
    <definedName name="BExJ0YC98G37ML4N8FLP8D95EFRF">#REF!</definedName>
    <definedName name="BExKCDYKAEV45AFXHVHZZ62E5BM3">#REF!</definedName>
    <definedName name="BExKCKUPO1556XM0MBY04D7J82Z9">#REF!</definedName>
    <definedName name="BExKDKO0W4AGQO1V7K6Q4VM750FT">#REF!</definedName>
    <definedName name="BExKDKTIAQ7LCSQ3XYHWTHO28IB6">#REF!</definedName>
    <definedName name="BExKDLF10G7W77J87QWH3ZGLUCLW">#REF!</definedName>
    <definedName name="BExKDVWOO6AMGIS1X6TOB2DQHHFV">#REF!</definedName>
    <definedName name="BExKDZNGRB0559FQ2ZQSBRUKF4EA">#REF!</definedName>
    <definedName name="BExKEFE0I3MT6ZLC4T1L9465HKTN">#REF!</definedName>
    <definedName name="BExKEGVZQ8GF7R5FF4ES3RCKIOJR">#REF!</definedName>
    <definedName name="BExKEK6O5BVJP4VY02FY7JNAZ6BT">#REF!</definedName>
    <definedName name="BExKEKXK6E6QX339ELPXDIRZSJE0">#REF!</definedName>
    <definedName name="BExKEO880D5ALIR2KE8XFUC6CIV7">#REF!</definedName>
    <definedName name="BExKEOOIBMP7N8033EY2CJYCBX6H">#REF!</definedName>
    <definedName name="BExKEW0RR5LA3VC46A2BEOOMQE56">#REF!</definedName>
    <definedName name="BExKF9CZW4FPPY0XBJCLUW9Q3CM1">#REF!</definedName>
    <definedName name="BExKFA3VI1CZK21SM0N3LZWT9LA1">#REF!</definedName>
    <definedName name="BExKFINBFV5J2NFRCL4YUO3YF0ZE">#REF!</definedName>
    <definedName name="BExKFISRBFACTAMJSALEYMY66F6X">#REF!</definedName>
    <definedName name="BExKFOSK5DJ151C4E8544UWMYTOC">#REF!</definedName>
    <definedName name="BExKFYJC4EVEV54F82K6VKP7Q3OU">#REF!</definedName>
    <definedName name="BExKG4IYHBKQQ8J8FN10GB2IKO33">#REF!</definedName>
    <definedName name="BExKGF0L44S78D33WMQ1A75TRKB9">#REF!</definedName>
    <definedName name="BExKGFRN31B3G20LMQ4LRF879J68">#REF!</definedName>
    <definedName name="BExKGJD3U3ADZILP20U3EURP0UQP">#REF!</definedName>
    <definedName name="BExKGNK5YGKP0YHHTAAOV17Z9EIM">#REF!</definedName>
    <definedName name="BExKGV77YH9YXIQTRKK2331QGYKF">#REF!</definedName>
    <definedName name="BExKGXWBKQUL7R9G46CNGFDOLZ3M">#REF!</definedName>
    <definedName name="BExKH3FTZ5VGTB86W9M4AB39R0G8">#REF!</definedName>
    <definedName name="BExKH3FV5U5O6XZM7STS3NZKQFGJ">#REF!</definedName>
    <definedName name="BExKHAMUH8NR3HRV0V6FHJE3ROLN">#REF!</definedName>
    <definedName name="BExKHCFKOWFHO2WW0N7Y5XDXEWAO">#REF!</definedName>
    <definedName name="BExKHIVLONZ46HLMR50DEXKEUNEP">#REF!</definedName>
    <definedName name="BExKHKDK2PRBCUJS8TEDP8K3VODQ">#REF!</definedName>
    <definedName name="BExKHPM9XA0ADDK7TUR0N38EXWEP">#REF!</definedName>
    <definedName name="BExKHWT82UZ3TGDIJKLYIZIMFDN8">#REF!</definedName>
    <definedName name="BExKI4076KXCDE5KXL79KT36OKLO">#REF!</definedName>
    <definedName name="BExKI7LO70WYISR7Q0Y1ZDWO9M3B">#REF!</definedName>
    <definedName name="BExKIGQV6TXIZG039HBOJU62WP2U">#REF!</definedName>
    <definedName name="BExKIJQKVWRACP36VTUX4J4J7G4Q">#REF!</definedName>
    <definedName name="BExKILE008SF3KTAN8WML3XKI1NZ">#REF!</definedName>
    <definedName name="BExKINSBB6RS7I489QHMCOMU4Z2X">#REF!</definedName>
    <definedName name="BExKIU87ZKSOC2DYZWFK6SAK9I8E">#REF!</definedName>
    <definedName name="BExKJ449HLYX2DJ9UF0H9GTPSQ73">#REF!</definedName>
    <definedName name="BExKJELX2RUC8UEC56IZPYYZXHA7">#REF!</definedName>
    <definedName name="BExKJINMXS61G2TZEXCJAWVV4F57">#REF!</definedName>
    <definedName name="BExKJK5ME8KB7HA0180L7OUZDDGV">#REF!</definedName>
    <definedName name="BExKJN5IF0VMDILJ5K8ZENF2QYV1">#REF!</definedName>
    <definedName name="BExKJTFYBF70XSG0D3KR3SGOMP1A">#REF!</definedName>
    <definedName name="BExKJUSJPFUIK20FTVAFJWR2OUYX">#REF!</definedName>
    <definedName name="BExKK8VP5RS3D0UXZVKA37C4SYBP">#REF!</definedName>
    <definedName name="BExKKIM9NPF6B3SPMPIQB27HQME4">#REF!</definedName>
    <definedName name="BExKKIX1BCBQ4R3K41QD8NTV0OV0">#REF!</definedName>
    <definedName name="BExKKLGTY4E2KQ3TMNSYJ1Y1T6P7">#REF!</definedName>
    <definedName name="BExKKQ3ZWADYV03YHMXDOAMU90EB">#REF!</definedName>
    <definedName name="BExKKUGD2HMJWQEYZ8H3X1BMXFS9">#REF!</definedName>
    <definedName name="BExKKX05KCZZZPKOR1NE5A8RGVT4">#REF!</definedName>
    <definedName name="BExKLD6S9L66QYREYHBE5J44OK7X">#REF!</definedName>
    <definedName name="BExKLEZIPCUD1B3YA0NS6DE99X42">#REF!</definedName>
    <definedName name="BExKLEZK32L28GYJWVO63BZ5E1JD">#REF!</definedName>
    <definedName name="BExKLLKVVHT06LA55JB2FC871DC5">#REF!</definedName>
    <definedName name="BExKLLVNT5QQOCRNQFO3EJDHK2YJ">#REF!</definedName>
    <definedName name="BExKLOVM4Y3RDB8WLGFMDHQU08H0">#REF!</definedName>
    <definedName name="BExKM6EPPRV6XJ5PK87NYUNONLFG" hidden="1">#REF!</definedName>
    <definedName name="BExKMKCHPUXFK3CD5R383LA9JHL7">#REF!</definedName>
    <definedName name="BExKMWBX4EH3EYJ07UFEM08NB40Z">#REF!</definedName>
    <definedName name="BExKNBGV2IR3S7M0BX4810KZB4V3">#REF!</definedName>
    <definedName name="BExKNCTBZTSY3MO42VU5PLV6YUHZ">#REF!</definedName>
    <definedName name="BExKNGV2YY749C42AQ2T9QNIE5C3">#REF!</definedName>
    <definedName name="BExKNV8UOHVWEHDJWI2WMJ9X6QHZ">#REF!</definedName>
    <definedName name="BExKNZLD7UATC1MYRNJD8H2NH4KU">#REF!</definedName>
    <definedName name="BExKNZQUKQQG2Y97R74G4O4BJP1L">#REF!</definedName>
    <definedName name="BExKO06X0EAD3ABEG1E8PWLDWHBA">#REF!</definedName>
    <definedName name="BExKO2AHHSGNI1AZOIOW21KPXKPE">#REF!</definedName>
    <definedName name="BExKO2FXWJWC5IZLDN8JHYILQJ2N">#REF!</definedName>
    <definedName name="BExKO438WZ8FKOU00NURGFMOYXWN">#REF!</definedName>
    <definedName name="BExKOATWHWMEY2LJ0UMDQO8ALW6B">#REF!</definedName>
    <definedName name="BExKODIZGWW2EQD0FEYW6WK6XLCM">#REF!</definedName>
    <definedName name="BExKOKVFAHSC8COFQ8UGFZL7EC8W">#REF!</definedName>
    <definedName name="BExKOPO2HPWVQGAKW8LOZMPIDEFG">#REF!</definedName>
    <definedName name="BExKP23RLJUZL3JRHOFQAOQ58PIT">#REF!</definedName>
    <definedName name="BExKPCFY2ZKXQ9GP1XXPX7I178KG">#REF!</definedName>
    <definedName name="BExKPEZP0QTKOTLIMMIFSVTHQEEK">#REF!</definedName>
    <definedName name="BExKPLQJX0HJ8OTXBXH9IC9J2V0W">#REF!</definedName>
    <definedName name="BExKPN8C7GN36ZJZHLOB74LU6KT0">#REF!</definedName>
    <definedName name="BExKPX9VZ1J5021Q98K60HMPJU58">#REF!</definedName>
    <definedName name="BExKQ4BCFRVNY6F8K9DK2YVB6GLE">#REF!</definedName>
    <definedName name="BExKQECQDKHNI9Q0CW7UN82VGTIE">#REF!</definedName>
    <definedName name="BExKQJGAAWNM3NT19E9I0CQDBTU0">#REF!</definedName>
    <definedName name="BExKQK1Q9L08BFCXMDU762FDOPK9" hidden="1">#REF!</definedName>
    <definedName name="BExKQM5GJ1ZN5REKFE7YVBQ0KXWF">#REF!</definedName>
    <definedName name="BExKQOEA7HV9U5DH9C8JXFD62EKH">#REF!</definedName>
    <definedName name="BExKQQ71278061G7ZFYGPWOMOMY2">#REF!</definedName>
    <definedName name="BExKQQY1EFD9CD8EZDCDCWC9AR2S">#REF!</definedName>
    <definedName name="BExKQTXRG3ECU8NT47UR7643LO5G">#REF!</definedName>
    <definedName name="BExKQVL7HPOIZ4FHANDFMVOJLEPR">#REF!</definedName>
    <definedName name="BExKR32XG1WY77WDT8KW9FJPGQTU">#REF!</definedName>
    <definedName name="BExKR8RZSEHW184G0Z56B4EGNU72">#REF!</definedName>
    <definedName name="BExKRAKP6M8ETKPGVN2DSJ4K55TK">#REF!</definedName>
    <definedName name="BExKRDVDLPO5SACVKAVXJVGDP4IW">#REF!</definedName>
    <definedName name="BExKRERQ5LD5EY60EY1WT8IIU279">#REF!</definedName>
    <definedName name="BExKRFINZQF2DQT1211KE8MRJKDI">#REF!</definedName>
    <definedName name="BExKRJKDX37VP7AYUC6CFO4BVA8X">#REF!</definedName>
    <definedName name="BExKRVUSQ6PA7ZYQSTEQL3X7PB9P">#REF!</definedName>
    <definedName name="BExKRY3KZ7F7RB2KH8HXSQ85IEQO">#REF!</definedName>
    <definedName name="BExKS0HW58QL5Y58KS69YPWJ4WK1">#REF!</definedName>
    <definedName name="BExKSA37DZTCK6H13HPIKR0ZFVL8">#REF!</definedName>
    <definedName name="BExKSFMOMSZYDE0WNC94F40S6636">#REF!</definedName>
    <definedName name="BExKSHQ9K79S8KYUWIV5M5LAHHF1">#REF!</definedName>
    <definedName name="BExKSIS3VA1NCEFCZZSIK8B3YIBZ">#REF!</definedName>
    <definedName name="BExKSJTWG9L3FCX8FLK4EMUJMF27">#REF!</definedName>
    <definedName name="BExKSPZ1N7EQ24YXIHDU66YSAV7H">#REF!</definedName>
    <definedName name="BExKSU0MKNAVZYYPKCYTZDWQX4R8">#REF!</definedName>
    <definedName name="BExKSX60G1MUS689FXIGYP2F7C62">#REF!</definedName>
    <definedName name="BExKSZPNI7PS5MPKC6FP6QUV8NMN" hidden="1">#REF!</definedName>
    <definedName name="BExKT2UZ7Y2VWF5NQE18SJRLD2RN">#REF!</definedName>
    <definedName name="BExKT3GJFNGAM09H5F615E36A38C">#REF!</definedName>
    <definedName name="BExKTPXS18YKTBWAV060MXJCYQ4Q">#REF!</definedName>
    <definedName name="BExKTQZGN8GI3XGSEXMPCCA3S19H">#REF!</definedName>
    <definedName name="BExKTSMQ0K1KKIMHTNKF4SMQ85P6">#REF!</definedName>
    <definedName name="BExKTUKYYU0F6TUW1RXV24LRAZFE">#REF!</definedName>
    <definedName name="BExKTUVQP8RW39W1DXS9PBKPAKRV">#REF!</definedName>
    <definedName name="BExKU3FBLHQBIUTN6XEZW5GC9OG1">#REF!</definedName>
    <definedName name="BExKU82I99FEUIZLODXJDOJC96CQ">#REF!</definedName>
    <definedName name="BExKUDM0DFSCM3D91SH0XLXJSL18">#REF!</definedName>
    <definedName name="BExKUIEN780J6JTQHNPYZHL1O139">#REF!</definedName>
    <definedName name="BExKULEKJLA77AUQPDUHSM94Y76Z">#REF!</definedName>
    <definedName name="BExKV08R85MKI3MAX9E2HERNQUNL">#REF!</definedName>
    <definedName name="BExKV4AAUNNJL5JWD7PX6BFKVS6O">#REF!</definedName>
    <definedName name="BExKV6JBFAFIE1HXHEJGR1KI73NJ">#REF!</definedName>
    <definedName name="BExKVDVK6HN74GQPTXICP9BFC8CF">#REF!</definedName>
    <definedName name="BExKVFZ3ZZGIC1QI8XN6BYFWN0ZY">#REF!</definedName>
    <definedName name="BExKVG4KGO28KPGTAFL1R8TTZ10N">#REF!</definedName>
    <definedName name="BExKW0CSH7DA02YSNV64PSEIXB2P">#REF!</definedName>
    <definedName name="BExKWDJICEU8VAJ1S82EDOVH2DZ1">#REF!</definedName>
    <definedName name="BExM9NUG3Q31X01AI9ZJCZIX25CS">#REF!</definedName>
    <definedName name="BExM9OG182RP30MY23PG49LVPZ1C">#REF!</definedName>
    <definedName name="BExMA64MW1S18NH8DCKPCCEI5KCB">#REF!</definedName>
    <definedName name="BExMALEWFUEM8Y686IT03ECURUBR">#REF!</definedName>
    <definedName name="BExMAMB9NU3OZZOL0Y9EPGEJT9J0">#REF!</definedName>
    <definedName name="BExMAR3XSK6RSFLHP7ZX1EWGHASI">#REF!</definedName>
    <definedName name="BExMAXJS82ZJ8RS22VLE0V0LDUII">#REF!</definedName>
    <definedName name="BExMB4QRS0R3MTB4CMUHFZ84LNZQ">#REF!</definedName>
    <definedName name="BExMBC35WKQY5CWQJLV4D05O6971">#REF!</definedName>
    <definedName name="BExMBFTZV4Q1A5KG25C1N9PHQNSW">#REF!</definedName>
    <definedName name="BExMBK6ISK3U7KHZKUJXIDKGF6VW">#REF!</definedName>
    <definedName name="BExMBYPQDG9AYDQ5E8IECVFREPO6">#REF!</definedName>
    <definedName name="BExMC8AZUTX8LG89K2JJR7ZG62XX">#REF!</definedName>
    <definedName name="BExMC9NGLQK5D9VVDQST4ZLO36OO">#REF!</definedName>
    <definedName name="BExMCA96YR10V72G2R0SCIKPZLIZ">#REF!</definedName>
    <definedName name="BExMCB5JU5I2VQDUBS4O42BTEVKI">#REF!</definedName>
    <definedName name="BExMCFSQFSEMPY5IXDIRKZDASDBR">#REF!</definedName>
    <definedName name="BExMCI71FFAZ37XMQBP5AAJHNWD6">#REF!</definedName>
    <definedName name="BExMCMZOEYWVOOJ98TBHTTCS7XB8">#REF!</definedName>
    <definedName name="BExMCS8EF2W3FS9QADNKREYSI8P0">#REF!</definedName>
    <definedName name="BExMCUS7GSOM96J0HJ7EH0FFM2AC">#REF!</definedName>
    <definedName name="BExMCYTT6TVDWMJXO1NZANRTVNAN">#REF!</definedName>
    <definedName name="BExMD1TODBFD52U9LF5UOUXHWPVL">#REF!</definedName>
    <definedName name="BExMD5F6IAV108XYJLXUO9HD0IT6">#REF!</definedName>
    <definedName name="BExMDANV66W9T3XAXID40XFJ0J93">#REF!</definedName>
    <definedName name="BExMDGD1KQP7NNR78X2ZX4FCBQ1S">#REF!</definedName>
    <definedName name="BExMDIRDK0DI8P86HB7WPH8QWLSQ">#REF!</definedName>
    <definedName name="BExMDPI2FVMORSWDDCVAJ85WYAYO">#REF!</definedName>
    <definedName name="BExMDUWB7VWHFFR266QXO46BNV2S">#REF!</definedName>
    <definedName name="BExME2U47N8LZG0BPJ49ANY5QVV2">#REF!</definedName>
    <definedName name="BExME4HKNCH8BGQXZ0JI6JQ8VS65">#REF!</definedName>
    <definedName name="BExME88DH5DUKMUFI9FNVECXFD2E">#REF!</definedName>
    <definedName name="BExME9A7MOGAK7YTTQYXP5DL6VYA">#REF!</definedName>
    <definedName name="BExMEMX0QZHPRL7ERTYJM5UVDB6F">#REF!</definedName>
    <definedName name="BExMEOV9YFRY5C3GDLU60GIX10BY">#REF!</definedName>
    <definedName name="BExMEP0JSQSEJY4770CXKEHM8ZMX">#REF!</definedName>
    <definedName name="BExMETYO7BNSXDZWASPS35OD0JKB">#REF!</definedName>
    <definedName name="BExMEXK5BE9MJ62ZRJY0T09Q53RH">#REF!</definedName>
    <definedName name="BExMEY09ESM4H2YGKEQQRYUD114R">#REF!</definedName>
    <definedName name="BExMF4G4IUPQY1Y5GEY5N3E04CL6">#REF!</definedName>
    <definedName name="BExMF9UIGYMOAQK0ELUWP0S0HZZY">#REF!</definedName>
    <definedName name="BExMFDLBSWFMRDYJ2DZETI3EXKN2">#REF!</definedName>
    <definedName name="BExMFF8KMT147IH1T9ZWF263ITF5">#REF!</definedName>
    <definedName name="BExMFLDTMRTCHKA37LQW67BG8D5C">#REF!</definedName>
    <definedName name="BExMFNMTHL6UK0LB2LWSLQ9GIOFQ">#REF!</definedName>
    <definedName name="BExMG9NSK30KD01QX0UBN2VNRTG4">#REF!</definedName>
    <definedName name="BExMGDEL2D3PHUBIM162SYO352QY">#REF!</definedName>
    <definedName name="BExMGG3PFIHPHX7NXB7HDFI3N12L">#REF!</definedName>
    <definedName name="BExMH3H9TW5TJCNU5Z1EWXP3BAEP">#REF!</definedName>
    <definedName name="BExMH4Z826JFUM1Z0Y8JM74DAAFC">#REF!</definedName>
    <definedName name="BExMHOWPB34KPZ76M2KIX2C9R2VB">#REF!</definedName>
    <definedName name="BExMHSSYC6KVHA3QDTSYPN92TWMI">#REF!</definedName>
    <definedName name="BExMI0WA793SF41LQ40A28U8OXQY">#REF!</definedName>
    <definedName name="BExMI3AJ9477KDL4T9DHET4LJJTW">#REF!</definedName>
    <definedName name="BExMI6L9KX05GAK523JFKICJMTA5">#REF!</definedName>
    <definedName name="BExMI6QQ20XHD0NWJUN741B37182">#REF!</definedName>
    <definedName name="BExMI8JB94SBD9EMNJEK7Y2T6GYU">#REF!</definedName>
    <definedName name="BExMI8OS85YTW3KYVE4YD0R7Z6UV">#REF!</definedName>
    <definedName name="BExMIBOOZU40JS3F89OMPSRCE9MM">#REF!</definedName>
    <definedName name="BExMIIQ5MBWSIHTFWAQADXMZC22Q">#REF!</definedName>
    <definedName name="BExMIL4I2GE866I25CR5JBLJWJ6A">#REF!</definedName>
    <definedName name="BExMINTM4ICUY8N84NTAN56HOG13" hidden="1">#REF!</definedName>
    <definedName name="BExMIRKIPF27SNO82SPFSB3T5U17">#REF!</definedName>
    <definedName name="BExMIV0KC8555D5E42ZGWG15Y0MO">#REF!</definedName>
    <definedName name="BExMIZT6AN7E6YMW2S87CTCN2UXH">#REF!</definedName>
    <definedName name="BExMJ15T9F3475M0896SG60TN0SR">#REF!</definedName>
    <definedName name="BExMJFP0B3WN57IMIJ1BJZOTN3VQ">#REF!</definedName>
    <definedName name="BExMJHCAZSQOCVSCCV4HY2A1VDS1">#REF!</definedName>
    <definedName name="BExMJNC8ZFB9DRFOJ961ZAJ8U3A8">#REF!</definedName>
    <definedName name="BExMJTBV8A3D31W2IQHP9RDFPPHQ">#REF!</definedName>
    <definedName name="BExMK2BK4ARRGKLMCDEFU4YFQQNJ">#REF!</definedName>
    <definedName name="BExMK2RTXN4QJWEUNX002XK8VQP8">#REF!</definedName>
    <definedName name="BExMKAKDTZA8TPUPIFF0M8EW2OH4">#REF!</definedName>
    <definedName name="BExMKBGQDUZ8AWXYHA3QVMSDVZ3D">#REF!</definedName>
    <definedName name="BExMKBM1467553LDFZRRKVSHN374">#REF!</definedName>
    <definedName name="BExMKD3YV6CVP5490KNBAIXELODZ">#REF!</definedName>
    <definedName name="BExMKDUVRTHLJ36OK2OGC6JGBSHE">#REF!</definedName>
    <definedName name="BExMKGK5FJUC0AU8MABRGDC5ZM70">#REF!</definedName>
    <definedName name="BExMKTW7R5SOV4PHAFGHU3W73DYE">#REF!</definedName>
    <definedName name="BExMKU7051J2W1RQXGZGE62NBRUZ">#REF!</definedName>
    <definedName name="BExMKUN3WPECJR2XRID2R7GZRGNX">#REF!</definedName>
    <definedName name="BExMKZ535P011X4TNV16GCOH4H21">#REF!</definedName>
    <definedName name="BExML3XQNDIMX55ZCHHXKUV3D6E6">#REF!</definedName>
    <definedName name="BExML5QGSWHLI18BGY4CGOTD3UWH">#REF!</definedName>
    <definedName name="BExMLO5Z61RE85X8HHX2G4IU3AZW">#REF!</definedName>
    <definedName name="BExMLVI7UORSHM9FMO8S2EI0TMTS">#REF!</definedName>
    <definedName name="BExMM5UCOT2HSSN0ZIPZW55GSOVO">#REF!</definedName>
    <definedName name="BExMM7HS06KH4JYFT22ZDAX82QS7">#REF!</definedName>
    <definedName name="BExMM8ZRS5RQ8H1H55RVPVTDL5NL">#REF!</definedName>
    <definedName name="BExMMH8EAZB09XXQ5X4LR0P4NHG9">#REF!</definedName>
    <definedName name="BExMMIQH5BABNZVCIQ7TBCQ10AY5">#REF!</definedName>
    <definedName name="BExMMNIZ2T7M22WECMUQXEF4NJ71">#REF!</definedName>
    <definedName name="BExMMPMIOU7BURTV0L1K6ACW9X73">#REF!</definedName>
    <definedName name="BExMMQ835AJDHS4B419SS645P67Q">#REF!</definedName>
    <definedName name="BExMMQIUVPCOBISTEJJYNCCLUCPY">#REF!</definedName>
    <definedName name="BExMMTIXETA5VAKBSOFDD5SRU887">#REF!</definedName>
    <definedName name="BExMMV0P6P5YS3C35G0JYYHI7992">#REF!</definedName>
    <definedName name="BExMNDR4V2VG5RFZDGTAGD3Q9PPG">#REF!</definedName>
    <definedName name="BExMNJLFWZBRN9PZF1IO9CYWV1B2">#REF!</definedName>
    <definedName name="BExMNKCJ0FA57YEUUAJE43U1QN5P">#REF!</definedName>
    <definedName name="BExMNKN5D1WEF2OOJVP6LZ6DLU3Y">#REF!</definedName>
    <definedName name="BExMNPAI2PRN3LS0FR6E5YISPYT8">#REF!</definedName>
    <definedName name="BExMNR38HMPLWAJRQ9MMS3ZAZ9IU">#REF!</definedName>
    <definedName name="BExMNRDZULKJMVY2VKIIRM2M5A1M">#REF!</definedName>
    <definedName name="BExMO9IOWKTWHO8LQJJQI5P3INWY">#REF!</definedName>
    <definedName name="BExMO9IPI4NV2CZMYBQ9OH7ZZQJD">#REF!</definedName>
    <definedName name="BExMOI29DOEK5R1A5QZPUDKF7N6T">#REF!</definedName>
    <definedName name="BExMPAJ5AJAXGKGK3F6H3ODS6RF4">#REF!</definedName>
    <definedName name="BExMPAJA6EA4S18U6I2KOJTBSJJM">#REF!</definedName>
    <definedName name="BExMPD2X55FFBVJ6CBUKNPROIOEU">#REF!</definedName>
    <definedName name="BExMPGZ848E38FUH1JBQN97DGWAT">#REF!</definedName>
    <definedName name="BExMPMTICOSMQENOFKQ18K0ZT4S8">#REF!</definedName>
    <definedName name="BExMPMZ07II0R4KGWQQ7PGS3RZS4">#REF!</definedName>
    <definedName name="BExMPOBH04JMDO6Z8DMSEJZM4ANN">#REF!</definedName>
    <definedName name="BExMPSD77XQ3HA6A4FZOJK8G2JP3">#REF!</definedName>
    <definedName name="BExMQ4I3Q7F0BMPHSFMFW9TZ87UD">#REF!</definedName>
    <definedName name="BExMQ4SWDWI4N16AZ0T5CJ6HH8WC">#REF!</definedName>
    <definedName name="BExMQ71WHW50GVX45JU951AGPLFQ">#REF!</definedName>
    <definedName name="BExMQB3G5O917WKYC3976Q90PFXO">#REF!</definedName>
    <definedName name="BExMQGXSLPT4A6N47LE6FBVHWBOF">#REF!</definedName>
    <definedName name="BExMQOQH9FLD9AHNK6ONDI4CZUDT">#REF!</definedName>
    <definedName name="BExMQSBR7PL4KLB1Q4961QO45Y4G">#REF!</definedName>
    <definedName name="BExMR1MA4I1X77714ZEPUVC8W398">#REF!</definedName>
    <definedName name="BExMR8YQHA7N77HGHY4Y6R30I3XT">#REF!</definedName>
    <definedName name="BExMRENOIARWRYOIVPDIEBVNRDO7">#REF!</definedName>
    <definedName name="BExMRMASET6X83RU8PTUK9P9QCRP">#REF!</definedName>
    <definedName name="BExMRQHUEHGF2FS4LCB0THFELGDI">#REF!</definedName>
    <definedName name="BExMRRJNUMGRSDD5GGKKGEIZ6FTS">#REF!</definedName>
    <definedName name="BExMRU3ACIU0RD2BNWO55LH5U2BR">#REF!</definedName>
    <definedName name="BExMS92SWD5VUORWXYLUFD25S44C">#REF!</definedName>
    <definedName name="BExMSQRCC40AP8BDUPL2I2DNC210">#REF!</definedName>
    <definedName name="BExO4J9LR712G00TVA82VNTG8O7H">#REF!</definedName>
    <definedName name="BExO55G2KVZ7MIJ30N827CLH0I2A">#REF!</definedName>
    <definedName name="BExO5A8PZD9EUHC5CMPU6N3SQ15L">#REF!</definedName>
    <definedName name="BExO5XMAHL7CY3X0B1OPKZ28DCJ5">#REF!</definedName>
    <definedName name="BExO5XMARM7OBQMA2JXIDYYS0C15" hidden="1">#REF!</definedName>
    <definedName name="BExO63M31ARNSM93ZV3D9LQ50WDW">#REF!</definedName>
    <definedName name="BExO66LZJKY4PTQVREELI6POS4AY">#REF!</definedName>
    <definedName name="BExO6LLHCYTF7CIVHKAO0NMET14Q">#REF!</definedName>
    <definedName name="BExO7DM8H8ZJVJAUG6FABELP1ORQ">#REF!</definedName>
    <definedName name="BExO7OK41M0SKZ4GO2CUUQAHQDP2">#REF!</definedName>
    <definedName name="BExO7OUQS3XTUQ2LDKGQ8AAQ3OJJ">#REF!</definedName>
    <definedName name="BExO7RUSODZC2NQZMT2AFSMV2ONF">#REF!</definedName>
    <definedName name="BExO80ZSU4W2ZGGO5NXNI0YT3HHH">#REF!</definedName>
    <definedName name="BExO83U7KD9DG2XH1NU543NZCQK8">#REF!</definedName>
    <definedName name="BExO85HMYXZJ7SONWBKKIAXMCI3C">#REF!</definedName>
    <definedName name="BExO863922O4PBGQMUNEQKGN3K96">#REF!</definedName>
    <definedName name="BExO89ZIOXN0HOKHY24F7HDZ87UT">#REF!</definedName>
    <definedName name="BExO8CDTBCABLEUD6PE2UM2EZ6C4">#REF!</definedName>
    <definedName name="BExO8IZ05ZG0XVOL3W41KBQE176A">#REF!</definedName>
    <definedName name="BExO8NMCIMSQ97XPNSTOILN2EBKC">#REF!</definedName>
    <definedName name="BExO8UTAGQWDBQZEEF4HUNMLQCVU">#REF!</definedName>
    <definedName name="BExO8V42TK89K44DJ2V0X8MZE94Z">#REF!</definedName>
    <definedName name="BExO937E20IHMGQOZMECL3VZC7OX">#REF!</definedName>
    <definedName name="BExO94UTJKQQ7TJTTJRTSR70YVJC">#REF!</definedName>
    <definedName name="BExO9J3A438976RXIUX5U9SU5T55">#REF!</definedName>
    <definedName name="BExO9RS5RXFJ1911HL3CCK6M74EP">#REF!</definedName>
    <definedName name="BExO9SDRI1M6KMHXSG3AE5L0F2U3">#REF!</definedName>
    <definedName name="BExO9V2U2YXAY904GYYGU6TD8Y7M">#REF!</definedName>
    <definedName name="BExOAQ3GKCT7YZW1EMVU3EILSZL2">#REF!</definedName>
    <definedName name="BExOB0AC2B1NB9PJCQDJCYFV5AP9">#REF!</definedName>
    <definedName name="BExOB8TQW0QYZHI9S87WOYPRKWHI">#REF!</definedName>
    <definedName name="BExOB9KT2THGV4SPLDVFTFXS4B14">#REF!</definedName>
    <definedName name="BExOBEZ0IE2WBEYY3D3CMRI72N1K">#REF!</definedName>
    <definedName name="BExOBIPU8760ITY0C8N27XZ3KWEF">#REF!</definedName>
    <definedName name="BExOBM0I5L0MZ1G4H9MGMD87SBMZ">#REF!</definedName>
    <definedName name="BExOBOUXMP88KJY2BX2JLUJH5N0K">#REF!</definedName>
    <definedName name="BExOBP0FKQ4SVR59FB48UNLKCOR6">#REF!</definedName>
    <definedName name="BExOBYAVUCQ0IGM0Y6A75QHP0Q1A">#REF!</definedName>
    <definedName name="BExOC3UEHB1CZNINSQHZANWJYKR8">#REF!</definedName>
    <definedName name="BExOCBSF3XGO9YJ23LX2H78VOUR7">#REF!</definedName>
    <definedName name="BExOCKXFMOW6WPFEVX1I7R7FNDSS">#REF!</definedName>
    <definedName name="BExOCPVJQE1W6OCZQ42V1O0X7Q2C" hidden="1">#REF!</definedName>
    <definedName name="BExOCYEXOB95DH5NOB0M5NOYX398">#REF!</definedName>
    <definedName name="BExOD4ERMDMFD8X1016N4EXOUR0S">#REF!</definedName>
    <definedName name="BExOD55RS7BQUHRQ6H3USVGKR0P7">#REF!</definedName>
    <definedName name="BExODEWDDEABM4ZY3XREJIBZ8IVP">#REF!</definedName>
    <definedName name="BExODNLAA1L7WQ9ZQX6A1ZOXK9VR">#REF!</definedName>
    <definedName name="BExODZFEIWV26E8RFU7XQYX1J458">#REF!</definedName>
    <definedName name="BExOEBKG55EROA2VL360A06LKASE">#REF!</definedName>
    <definedName name="BExOEDIHZJX7B90YUY2QSQ30DA2Z">#REF!</definedName>
    <definedName name="BExOERG5LWXYYEN1DY1H2FWRJS9T">#REF!</definedName>
    <definedName name="BExOEV1S6JJVO5PP4BZ20SNGZR7D">#REF!</definedName>
    <definedName name="BExOFCKWLGCXTO9GXLSIDEW6EW6H">#REF!</definedName>
    <definedName name="BExOFEDNCYI2TPTMQ8SJN3AW4YMF">#REF!</definedName>
    <definedName name="BExOFGH5B8QO3FZRLVHHLTZP5BTP">#REF!</definedName>
    <definedName name="BExOFNYWTHHUNBGJMZW33BLK7RT1">#REF!</definedName>
    <definedName name="BExOFSRJG0K9JQ7AQNZXASHJGQBL">#REF!</definedName>
    <definedName name="BExOFVLXVD6RVHSQO8KZOOACSV24">#REF!</definedName>
    <definedName name="BExOG2SW3XOGP9VAPQ3THV3VWV12">#REF!</definedName>
    <definedName name="BExOG45J81K4OPA40KW5VQU54KY3">#REF!</definedName>
    <definedName name="BExOGFE2SCL8HHT4DFAXKLUTJZOG">#REF!</definedName>
    <definedName name="BExOGT6D0LJ3C22RDW8COECKB1J5">#REF!</definedName>
    <definedName name="BExOGTMI1HT31M1RGWVRAVHAK7DE">#REF!</definedName>
    <definedName name="BExOGXO9JE5XSE9GC3I6O21UEKAO">#REF!</definedName>
    <definedName name="BExOGZX2S9BGLPFOR4789G01O1UJ">#REF!</definedName>
    <definedName name="BExOH9ICZ13C1LAW8OTYTR9S7ZP3">#REF!</definedName>
    <definedName name="BExOHL75H3OT4WAKKPUXIVXWFVDS">#REF!</definedName>
    <definedName name="BExOHLHXXJL6363CC082M9M5VVXQ">#REF!</definedName>
    <definedName name="BExOHNAO5UDXSO73BK2ARHWKS90Y">#REF!</definedName>
    <definedName name="BExOHR1G1I9A9CI1HG94EWBLWNM2">#REF!</definedName>
    <definedName name="BExOHTQPP8LQ98L6PYUI6QW08YID">#REF!</definedName>
    <definedName name="BExOHX6Q6NJI793PGX59O5EKTP4G">#REF!</definedName>
    <definedName name="BExOI5VMTHH7Y8MQQ1N635CHYI0P">#REF!</definedName>
    <definedName name="BExOIEVCP4Y6VDS23AK84MCYYHRT">#REF!</definedName>
    <definedName name="BExOIHPQIXR0NDR5WD01BZKPKEO3">#REF!</definedName>
    <definedName name="BExOIM7L0Z3LSII9P7ZTV4KJ8RMA">#REF!</definedName>
    <definedName name="BExOIWJVMJ6MG6JC4SPD1L00OHU1">#REF!</definedName>
    <definedName name="BExOIYCN8Z4JK3OOG86KYUCV0ME8">#REF!</definedName>
    <definedName name="BExOJ3AKZ9BCBZT3KD8WMSLK6MN2">#REF!</definedName>
    <definedName name="BExOJ3AM4V6T9D776VPI1YRC84HQ">#REF!</definedName>
    <definedName name="BExOJ7XQK71I4YZDD29AKOOWZ47E">#REF!</definedName>
    <definedName name="BExOJM0W6XGSW5MXPTTX0GNF6SFT">#REF!</definedName>
    <definedName name="BExOJXEUJJ9SYRJXKYYV2NCCDT2R">#REF!</definedName>
    <definedName name="BExOK0EQYM9JUMAGWOUN7QDH7VMZ">#REF!</definedName>
    <definedName name="BExOK4WM9O7QNG6O57FOASI5QSN1">#REF!</definedName>
    <definedName name="BExOKKHOPWUVRJGQJ5ONR2U40JX8">#REF!</definedName>
    <definedName name="BExOKTXMJP351VXKH8VT6SXUNIMF">#REF!</definedName>
    <definedName name="BExOKU8GMLOCNVORDE329819XN67">#REF!</definedName>
    <definedName name="BExOKZ6DMN229VG537OPIC2G1Z5P">#REF!</definedName>
    <definedName name="BExOL0Z3Z7IAMHPB91EO2MF49U57">#REF!</definedName>
    <definedName name="BExOL7KH12VAR0LG741SIOJTLWFD">#REF!</definedName>
    <definedName name="BExOLICXFHJLILCJVFMJE5MGGWKR">#REF!</definedName>
    <definedName name="BExOLOI0WJS3QC12I3ISL0D9AWOF">#REF!</definedName>
    <definedName name="BExOLVE6HULCSQ4803MNGANXNPZR">#REF!</definedName>
    <definedName name="BExOLVJI0YRLG4UGB6EHDOUWYZIR">#REF!</definedName>
    <definedName name="BExOLYZNG5RBD0BTS1OEZJNU92Q5">#REF!</definedName>
    <definedName name="BExOM3HIJ3UZPOKJI68KPBJAHPDC">#REF!</definedName>
    <definedName name="BExOMKPURE33YQ3K1JG9NVQD4W49">#REF!</definedName>
    <definedName name="BExOMP7NGCLUNFK50QD2LPKRG078">#REF!</definedName>
    <definedName name="BExOMQ9I2Y6VBZ2CQYK779WF2GP9">#REF!</definedName>
    <definedName name="BExOMU0A6XMY48SZRYL4WQZD13BI">#REF!</definedName>
    <definedName name="BExOMVT0HSNC59DJP4CLISASGHKL">#REF!</definedName>
    <definedName name="BExON0AX35F2SI0UCVMGWGVIUNI3">#REF!</definedName>
    <definedName name="BExON41U4296DV3DPG6I5EF3OEYF">#REF!</definedName>
    <definedName name="BExON8JOTCQIA7PQ72F7JPM5ZR20">#REF!</definedName>
    <definedName name="BExONB3A7CO4YD8RB41PHC93BQ9M">#REF!</definedName>
    <definedName name="BExONFQH6UUXF8V0GI4BRIST9RFO">#REF!</definedName>
    <definedName name="BExONFQME8LI2AKW9LFXPST5O9PW">#REF!</definedName>
    <definedName name="BExONIL31DZWU7IFVN3VV0XTXJA1">#REF!</definedName>
    <definedName name="BExONJ1BU17R0F5A2UP1UGJBOGKS">#REF!</definedName>
    <definedName name="BExONNZ9VMHVX3J6NLNJY7KZA61O">#REF!</definedName>
    <definedName name="BExONPBS3VER60V9A80ISYWZ1X2J">#REF!</definedName>
    <definedName name="BExONRQ1BAA4F3TXP2MYQ4YCZ09S">#REF!</definedName>
    <definedName name="BExONUVFS8DYQLIVHF8NHUJM2MHR" hidden="1">#REF!</definedName>
    <definedName name="BExOO1WWIZSGB0YTGKESB45TSVMZ">#REF!</definedName>
    <definedName name="BExOO39IOJAVB73EWSEZ6XB0U1PU">#REF!</definedName>
    <definedName name="BExOO4B8FPAFYPHCTYTX37P1TQM5">#REF!</definedName>
    <definedName name="BExOOIULUDOJRMYABWV5CCL906X6">#REF!</definedName>
    <definedName name="BExOOTN0KTXJCL7E476XBN1CJ553">#REF!</definedName>
    <definedName name="BExOP9DEBV5W5P4Q25J3XCJBP5S9">#REF!</definedName>
    <definedName name="BExOPFNYRBL0BFM23LZBJTADNOE4">#REF!</definedName>
    <definedName name="BExOPINVFSIZMCVT9YGT2AODVCX3">#REF!</definedName>
    <definedName name="BExOPPUUGQMJR72ORORQ4O9GT1DR">#REF!</definedName>
    <definedName name="BExOPQGEL15TKHGBCPN2D52TFC4I">#REF!</definedName>
    <definedName name="BExOQ1JN4SAC44RTMZIGHSW023WA">#REF!</definedName>
    <definedName name="BExOQ256YMF115DJL3KBPNKABJ90">#REF!</definedName>
    <definedName name="BExQ19DEUOLC11IW32E2AMVZLFF1">#REF!</definedName>
    <definedName name="BExQ1FD6KISGYU1JWEQ4G243ZPVD">#REF!</definedName>
    <definedName name="BExQ29C73XR33S3668YYSYZAIHTG">#REF!</definedName>
    <definedName name="BExQ2FS228IUDUP2023RA1D4AO4C">#REF!</definedName>
    <definedName name="BExQ2L0XYWLY9VPZWXYYFRIRQRJ1">#REF!</definedName>
    <definedName name="BExQ2M841F5Z1BQYR8DG5FKK0LIU">#REF!</definedName>
    <definedName name="BExQ300G8I8TK45A0MVHV15422EU">#REF!</definedName>
    <definedName name="BExQ30WTQQMS62FOAVN6FHX1K96V">#REF!</definedName>
    <definedName name="BExQ34CU0OPOISHSSKKCL8SZVBSR">#REF!</definedName>
    <definedName name="BExQ36LTPJ04W3LWSGFZ0GS8WCP2">#REF!</definedName>
    <definedName name="BExQ39R28MXSG2SEV956F0KZ20AN">#REF!</definedName>
    <definedName name="BExQ3D1P3M5Z3HLMEZ17E0BLEE4U">#REF!</definedName>
    <definedName name="BExQ3O4W7QF8BOXTUT4IOGF6YKUD">#REF!</definedName>
    <definedName name="BExQ3PXOWSN8561ZR8IEY8ZASI3B">#REF!</definedName>
    <definedName name="BExQ3TZF04IPY0B0UG9CQQ5736UA">#REF!</definedName>
    <definedName name="BExQ404IEEY5RL7ZFNGMBRZL1B8L">#REF!</definedName>
    <definedName name="BExQ42IU9MNDYLODP41DL6YTZMAR">#REF!</definedName>
    <definedName name="BExQ452HF7N1HYPXJXQ8WD6SOWUV">#REF!</definedName>
    <definedName name="BExQ499KBJ5W7A1G293A0K14EVQB">#REF!</definedName>
    <definedName name="BExQ4BTBSHPHVEDRCXC2ROW8PLFC">#REF!</definedName>
    <definedName name="BExQ4DGKF54SRKQUTUT4B1CZSS62">#REF!</definedName>
    <definedName name="BExQ4T74LQ5PYTV1MUQUW75A4BDY">#REF!</definedName>
    <definedName name="BExQ4XJHD7EJCNH7S1MJDZJ2MNWG">#REF!</definedName>
    <definedName name="BExQ5039ZCEWBUJHU682G4S89J03">#REF!</definedName>
    <definedName name="BExQ53U2R85FS3QPUGN8CPNOOQJQ">#REF!</definedName>
    <definedName name="BExQ56Z9W6YHZHRXOFFI8EFA7CDI">#REF!</definedName>
    <definedName name="BExQ5AFFSGHUEYQZX1J7GQLWW0TB">#REF!</definedName>
    <definedName name="BExQ5KX3Z668H1KUCKZ9J24HUQ1F">#REF!</definedName>
    <definedName name="BExQ5SPMSOCJYLAY20NB5A6O32RE">#REF!</definedName>
    <definedName name="BExQ5UICMGTMK790KTLK49MAGXRC">#REF!</definedName>
    <definedName name="BExQ5VEQEIJO7YY80OJTA3XRQYJ9">#REF!</definedName>
    <definedName name="BExQ5YUUK9FD0QGTY4WD0W90O7OL">#REF!</definedName>
    <definedName name="BExQ63793YQ9BH7JLCNRIATIGTRG">#REF!</definedName>
    <definedName name="BExQ6CN1EF2UPZ57ZYMGK8TUJQSS">#REF!</definedName>
    <definedName name="BExQ6M2YXJ8AMRJF3QGHC40ADAHZ">#REF!</definedName>
    <definedName name="BExQ6M8B0X44N9TV56ATUVHGDI00">#REF!</definedName>
    <definedName name="BExQ6POH065GV0I74XXVD0VUPBJW">#REF!</definedName>
    <definedName name="BExQ6W4D4I4JUMUB22SQLZUEG7LM">#REF!</definedName>
    <definedName name="BExQ6WV9KPSMXPPLGZ3KK4WNYTHU">#REF!</definedName>
    <definedName name="BExQ783XTMM2A9I3UKCFWJH1PP2N">#REF!</definedName>
    <definedName name="BExQ79LX01ZPQB8EGD1ZHR2VK2H3">#REF!</definedName>
    <definedName name="BExQ7B3V9MGDK2OIJ61XXFBFLJFZ">#REF!</definedName>
    <definedName name="BExQ7CB046NVPF9ZXDGA7OXOLSLX">#REF!</definedName>
    <definedName name="BExQ7GY4R7269XNPYHVSI30QI7FA">#REF!</definedName>
    <definedName name="BExQ7IWDCGGOO1HTJ97YGO1CK3R9">#REF!</definedName>
    <definedName name="BExQ7JNFIEGS2HKNBALH3Q2N5G7Z">#REF!</definedName>
    <definedName name="BExQ7MY3U2Z1IZ71U5LJUD00VVB4">#REF!</definedName>
    <definedName name="BExQ7Q8NA48KCLWHHK5DJSGZA66P">#REF!</definedName>
    <definedName name="BExQ7XL2Q1GVUFL1F9KK0K0EXMWG">#REF!</definedName>
    <definedName name="BExQ80KTXQOZYNU1PVJP8X7I2ZY2">#REF!</definedName>
    <definedName name="BExQ8469L3ZRZ3KYZPYMSJIDL7Y5">#REF!</definedName>
    <definedName name="BExQ84MJB94HL3BWRN50M4NCB6Z0">#REF!</definedName>
    <definedName name="BExQ8583ZE00NW7T9OF11OT9IA14">#REF!</definedName>
    <definedName name="BExQ87BMQOWO5ESQYLE7QVMKDW5O">#REF!</definedName>
    <definedName name="BExQ8A0RPE3IMIFIZLUE7KD2N21W">#REF!</definedName>
    <definedName name="BExQ8ABK6H1ADV2R2OYT8NFFYG2N">#REF!</definedName>
    <definedName name="BExQ8DM90XJ6GCJIK9LC5O82I2TJ">#REF!</definedName>
    <definedName name="BExQ8G0K46ZORA0QVQTDI7Z8LXGF">#REF!</definedName>
    <definedName name="BExQ8O3WEU8HNTTGKTW5T0QSKCLP">#REF!</definedName>
    <definedName name="BExQ8ZCEDBOBJA3D9LDP5TU2WYGR">#REF!</definedName>
    <definedName name="BExQ94LAW6MAQBWY25WTBFV5PPZJ">#REF!</definedName>
    <definedName name="BExQ97QIPOSSRK978N8P234Y1XA4">#REF!</definedName>
    <definedName name="BExQ9E6FBAXTHGF3RXANFIA77GXP">#REF!</definedName>
    <definedName name="BExQ9F2YH4UUCCMQITJ475B3S3NP">#REF!</definedName>
    <definedName name="BExQ9KX9734KIAK7IMRLHCPYDHO2">#REF!</definedName>
    <definedName name="BExQ9L81FF4I7816VTPFBDWVU4CW">#REF!</definedName>
    <definedName name="BExQ9M4E2ACZOWWWP1JJIQO8AHUM">#REF!</definedName>
    <definedName name="BExQ9UTANMJCK7LJ4OQMD6F2Q01L">#REF!</definedName>
    <definedName name="BExQ9ZLYHWABXAA9NJDW8ZS0UQ9P">#REF!</definedName>
    <definedName name="BExQA0T2TOJ18G3WXFH3BUKFCTOB">#REF!</definedName>
    <definedName name="BExQA324HSCK40ENJUT9CS9EC71B">#REF!</definedName>
    <definedName name="BExQA55GY0STSNBWQCWN8E31ZXCS">#REF!</definedName>
    <definedName name="BExQA9HZIN9XEMHEEVHT99UU9Z82">#REF!</definedName>
    <definedName name="BExQAAP62NPCA038NTRJOTBRH2Y8">#REF!</definedName>
    <definedName name="BExQAELFYH92K8CJL155181UDORO">#REF!</definedName>
    <definedName name="BExQAG8PP8R5NJKNQD1U4QOSD6X5">#REF!</definedName>
    <definedName name="BExQB9GS54OY953SKJXZ2PD2MYYV">#REF!</definedName>
    <definedName name="BExQBDICMZTSA1X73TMHNO4JSFLN">#REF!</definedName>
    <definedName name="BExQBEER6CRCRPSSL61S0OMH57ZA">#REF!</definedName>
    <definedName name="BExQBIGGY5TXI2FJVVZSLZ0LTZYH">#REF!</definedName>
    <definedName name="BExQBM1RUSIQ85LLMM2159BYDPIP">#REF!</definedName>
    <definedName name="BExQBPSOZ47V81YAEURP0NQJNTJH">#REF!</definedName>
    <definedName name="BExQC5TWT21CGBKD0IHAXTIN2QB8">#REF!</definedName>
    <definedName name="BExQC94JL9F5GW4S8DQCAF4WB2DA">#REF!</definedName>
    <definedName name="BExQCJ0MPJN2T5B55EUCIG2AZ0TY">#REF!</definedName>
    <definedName name="BExQCKTD8AT0824LGWREXM1B5D1X">#REF!</definedName>
    <definedName name="BExQD571YWOXKR2SX85K5MKQ0AO2">#REF!</definedName>
    <definedName name="BExQDB6VCHN8PNX8EA6JNIEQ2JC2">#REF!</definedName>
    <definedName name="BExQDE1B6U2Q9B73KBENABP71YM1">#REF!</definedName>
    <definedName name="BExQDGQCN7ZW41QDUHOBJUGQAX40">#REF!</definedName>
    <definedName name="BExQE0D0DPFMLYM0IPVV8YRRQ4LV">#REF!</definedName>
    <definedName name="BExQEC7BRIJ30PTU3UPFOIP2HPE3">#REF!</definedName>
    <definedName name="BExQEMUA4HEFM4OVO8M8MA8PIAW1">#REF!</definedName>
    <definedName name="BExQEQ4XZQFIKUXNU9H7WE7AMZ1U">#REF!</definedName>
    <definedName name="BExQF1OEB07CRAP6ALNNMJNJ3P2D">#REF!</definedName>
    <definedName name="BExQF9X2AQPFJZTCHTU5PTTR0JAH">#REF!</definedName>
    <definedName name="BExQFC0M9KKFMQKPLPEO2RQDB7MM">#REF!</definedName>
    <definedName name="BExQFCWYSLJTC9DRJN0CGM8V2TFV">#REF!</definedName>
    <definedName name="BExQFEEV7627R8TYZCM28C6V6WHE">#REF!</definedName>
    <definedName name="BExQFEK8NUD04X2OBRA275ADPSDL">#REF!</definedName>
    <definedName name="BExQFGYIWDR4W0YF7XR6E4EWWJ02">#REF!</definedName>
    <definedName name="BExQFPNFKA36IAPS22LAUMBDI4KE">#REF!</definedName>
    <definedName name="BExQFPSWEMA8WBUZ4WK20LR13VSU">#REF!</definedName>
    <definedName name="BExQFRG4YA75Q77YALKKS4ASUJ5C">#REF!</definedName>
    <definedName name="BExQFT3L9XHSEMZVXJJB48ZM35IC" hidden="1">#REF!</definedName>
    <definedName name="BExQFVSPOSCCPF1TLJPIWYWYB8A9">#REF!</definedName>
    <definedName name="BExQFWJQXNQAW6LUMOEDS6KMJMYL">#REF!</definedName>
    <definedName name="BExQFXFYCXIXQUHEK3JNRSY6DYYZ">#REF!</definedName>
    <definedName name="BExQG8TYRD2G42UA5ZPCRLNKUDMX">#REF!</definedName>
    <definedName name="BExQGO48J9MPCDQ96RBB9UN9AIGT">#REF!</definedName>
    <definedName name="BExQGPM78ETCBPC7FQIWHR4MEZDJ">#REF!</definedName>
    <definedName name="BExQGSBB6MJWDW7AYWA0MSFTXKRR">#REF!</definedName>
    <definedName name="BExQH0UURAJ13AVO5UI04HSRGVYW">#REF!</definedName>
    <definedName name="BExQH6ZZY0NR8SE48PSI9D0CU1TC">#REF!</definedName>
    <definedName name="BExQH9P2MCXAJOVEO4GFQT6MNW22">#REF!</definedName>
    <definedName name="BExQHCZSBYUY8OKKJXFYWKBBM6AH">#REF!</definedName>
    <definedName name="BExQHPKXZ1K33V2F90NZIQRZYIAW">#REF!</definedName>
    <definedName name="BExQHVF9KD06AG2RXUQJ9X4PVGX4">#REF!</definedName>
    <definedName name="BExQHZBHVN2L4HC7ACTR73T5OCV0">#REF!</definedName>
    <definedName name="BExQI85V9TNLDJT5LTRZS10Y26SG">#REF!</definedName>
    <definedName name="BExQIAPKHVEV8CU1L3TTHJW67FJ5">#REF!</definedName>
    <definedName name="BExQIBB4I3Z6AUU0HYV1DHRS13M4">#REF!</definedName>
    <definedName name="BExQIBWPAXU7HJZLKGJZY3EB7MIS">#REF!</definedName>
    <definedName name="BExQIS8O6R36CI01XRY9ISM99TW9">#REF!</definedName>
    <definedName name="BExQIVJB9MJ25NDUHTCVMSODJY2C">#REF!</definedName>
    <definedName name="BExQJBF7LAX128WR7VTMJC88ZLPG">#REF!</definedName>
    <definedName name="BExQJEVCKX6KZHNCLYXY7D0MX5KN">#REF!</definedName>
    <definedName name="BExQJJYSDX8B0J1QGF2HL071KKA3">#REF!</definedName>
    <definedName name="BExQK1HV6SQQ7CP8H8IUKI9TYXTD">#REF!</definedName>
    <definedName name="BExQK3LE5CSBW1E4H4KHW548FL2R">#REF!</definedName>
    <definedName name="BExQKG6LD6PLNDGNGO9DJXY865BR">#REF!</definedName>
    <definedName name="BExQKIA437K1JO3L898QQADXAY87">#REF!</definedName>
    <definedName name="BExQLE1TOW3A287TQB0AVWENT8O1">#REF!</definedName>
    <definedName name="BExRYOYB4A3E5F6MTROY69LR0PMG">#REF!</definedName>
    <definedName name="BExRYZLA9EW71H4SXQR525S72LLP">#REF!</definedName>
    <definedName name="BExRZ66M8G9FQ0VFP077QSZBSOA5">#REF!</definedName>
    <definedName name="BExRZ8FMQQL46I8AQWU17LRNZD5T">#REF!</definedName>
    <definedName name="BExRZIRRIXRUMZ5GOO95S7460BMP">#REF!</definedName>
    <definedName name="BExRZK9RAHMM0ZLTNSK7A4LDC42D">#REF!</definedName>
    <definedName name="BExRZOGSR69INI6GAEPHDWSNK5Q4">#REF!</definedName>
    <definedName name="BExS0ASQBKRTPDWFK0KUDFOS9LE5">#REF!</definedName>
    <definedName name="BExS0GHQUF6YT0RU3TKDEO8CSJYB">#REF!</definedName>
    <definedName name="BExS0K8IHC45I78DMZBOJ1P13KQA">#REF!</definedName>
    <definedName name="BExS0TIYU5XJ4GTUT28JXN0AL3QT">#REF!</definedName>
    <definedName name="BExS152B2LFCRAUHSLI5T6QRNII0">#REF!</definedName>
    <definedName name="BExS15IJRM0BH4G3NNSN9CGKO4CX">#REF!</definedName>
    <definedName name="BExS15IJV0WW662NXQUVT3FGP4ST">#REF!</definedName>
    <definedName name="BExS194110MR25BYJI3CJ2EGZ8XT">#REF!</definedName>
    <definedName name="BExS1BNVGNSGD4EP90QL8WXYWZ66">#REF!</definedName>
    <definedName name="BExS1UE39N6NCND7MAARSBWXS6HU">#REF!</definedName>
    <definedName name="BExS1Y4X3PW2VRH3YS7GCF5BDYSX">#REF!</definedName>
    <definedName name="BExS226HTWL5WVC76MP5A1IBI8WD">#REF!</definedName>
    <definedName name="BExS26OI2QNNAH2WMDD95Z400048">#REF!</definedName>
    <definedName name="BExS2DF6B4ZUF3VZLI4G6LJ3BF38">#REF!</definedName>
    <definedName name="BExS2QB5FS5LYTFYO4BROTWG3OV5">#REF!</definedName>
    <definedName name="BExS2TLU1HONYV6S3ZD9T12D7CIG">#REF!</definedName>
    <definedName name="BExS318UV9I2FXPQQWUKKX00QLPJ">#REF!</definedName>
    <definedName name="BExS3IHDYGJJVXS9ATPE8QX8LCVE">#REF!</definedName>
    <definedName name="BExS3LBS0SMTHALVM4NRI1BAV1NP">#REF!</definedName>
    <definedName name="BExS3MTQ75VBXDGEBURP6YT8RROE">#REF!</definedName>
    <definedName name="BExS3OMGYO0DFN5186UFKEXZ2RX3">#REF!</definedName>
    <definedName name="BExS3QF74MCG7ROO1T4YVT8XX3HT">#REF!</definedName>
    <definedName name="BExS3SDERJ27OER67TIGOVZU13A2">#REF!</definedName>
    <definedName name="BExS3SO28P2XMMXVSJNU1YT35UFW">#REF!</definedName>
    <definedName name="BExS412BKRGFBRTKMZNCWUENQ9AT" hidden="1">#REF!</definedName>
    <definedName name="BExS46R5WDNU5KL04FKY5LHJUCB8">#REF!</definedName>
    <definedName name="BExS4ASWKM93XA275AXHYP8AG6SU">#REF!</definedName>
    <definedName name="BExS4JN3Y6SVBKILQK0R9HS45Y52">#REF!</definedName>
    <definedName name="BExS4P6S41O6Z6BED77U3GD9PNH1">#REF!</definedName>
    <definedName name="BExS51H0N51UT0FZOPZRCF1GU063">#REF!</definedName>
    <definedName name="BExS54X72TJFC41FJK72MLRR2OO7">#REF!</definedName>
    <definedName name="BExS59F0PA1V2ZC7S5TN6IT41SXP">#REF!</definedName>
    <definedName name="BExS5DRER9US6NXY9ATYT41KZII3">#REF!</definedName>
    <definedName name="BExS5L3TGB8JVW9ROYWTKYTUPW27">#REF!</definedName>
    <definedName name="BExS66DVSZQKZWJIAFTM0V9FRWKC">#REF!</definedName>
    <definedName name="BExS6GKQ96EHVLYWNJDWXZXUZW90">#REF!</definedName>
    <definedName name="BExS6ITKSZFRR01YD5B0F676SYN7">#REF!</definedName>
    <definedName name="BExS6N0LI574IAC89EFW6CLTCQ33">#REF!</definedName>
    <definedName name="BExS6WRDBF3ST86ZOBBUL3GTCR11">#REF!</definedName>
    <definedName name="BExS6XNRKR0C3MTA0LV5B60UB908">#REF!</definedName>
    <definedName name="BExS7AE6OOS8W60CIN0ET08S71N3">#REF!</definedName>
    <definedName name="BExS7TKQYLRZGM93UY3ZJZJBQNFJ">#REF!</definedName>
    <definedName name="BExS7Y2LNGVHSIBKC7C3R6X4LDR6">#REF!</definedName>
    <definedName name="BExS81TE0EY44Y3W2M4Z4MGNP5OM">#REF!</definedName>
    <definedName name="BExS81YPDZDVJJVS15HV2HDXAC3Y">#REF!</definedName>
    <definedName name="BExS82PRVNUTEKQZS56YT2DVF6C2">#REF!</definedName>
    <definedName name="BExS83M3G4FCEUCU6IVC78CNX5C0" hidden="1">#REF!</definedName>
    <definedName name="BExS8BPG5A0GR5AO1U951NDGGR0L">#REF!</definedName>
    <definedName name="BExS8GSUS17UY50TEM2AWF36BR9Z">#REF!</definedName>
    <definedName name="BExS8HJRBVG0XI6PWA9KTMJZMQXK">#REF!</definedName>
    <definedName name="BExS8R51C8RM2FS6V6IRTYO9GA4A">#REF!</definedName>
    <definedName name="BExS8WDX408F60MH1X9B9UZ2H4R7">#REF!</definedName>
    <definedName name="BExS8Z2W2QEC3MH0BZIYLDFQNUIP">#REF!</definedName>
    <definedName name="BExS92DKGRFFCIA9C0IXDOLO57EP">#REF!</definedName>
    <definedName name="BExS96KMKHNNQC2P9VX4NBQJQMPY">#REF!</definedName>
    <definedName name="BExS98OB4321YCHLCQ022PXKTT2W">#REF!</definedName>
    <definedName name="BExS9C9N8GFISC6HUERJ0EI06GB2">#REF!</definedName>
    <definedName name="BExS9DRK6VBDAXL33PCXTFYX0E55" hidden="1">#REF!</definedName>
    <definedName name="BExS9DX13CACP3J8JDREK30JB1SQ">#REF!</definedName>
    <definedName name="BExS9FPRS2KRRCS33SE6WFNF5GYL">#REF!</definedName>
    <definedName name="BExS9WI0A6PSEB8N9GPXF2Z7MWHM">#REF!</definedName>
    <definedName name="BExSA5HP306TN9XJS0TU619DLRR7">#REF!</definedName>
    <definedName name="BExSAAVWQOOIA6B3JHQVGP08HFEM">#REF!</definedName>
    <definedName name="BExSAFJ3IICU2M7QPVE4ARYMXZKX">#REF!</definedName>
    <definedName name="BExSAH6ID8OHX379UXVNGFO8J6KQ">#REF!</definedName>
    <definedName name="BExSAQBHIXGQRNIRGCJMBXUPCZQA">#REF!</definedName>
    <definedName name="BExSAUD2SQVMDQ517BNUFZ4K43V7">#REF!</definedName>
    <definedName name="BExSAUTCT4P7JP57NOR9MTX33QJZ">#REF!</definedName>
    <definedName name="BExSAY9CA9TFXQ9M9FBJRGJO9T9E">#REF!</definedName>
    <definedName name="BExSB4JYKQ3MINI7RAYK5M8BLJDC">#REF!</definedName>
    <definedName name="BExSB978EH7AO115NAKHQXM21J25">#REF!</definedName>
    <definedName name="BExSBM37WRXTJXTQEXH6I8W6KOPR">#REF!</definedName>
    <definedName name="BExSBMOS41ZRLWYLOU29V6Y7YORR">#REF!</definedName>
    <definedName name="BExSBRBXXQMBU1TYDW1BXTEVEPRU">#REF!</definedName>
    <definedName name="BExSBX6ENVNBO1RJLWIQOYW7CLU8">#REF!</definedName>
    <definedName name="BExSC54998WTZ21DSL0R8UN0Y9JH">#REF!</definedName>
    <definedName name="BExSC60N7WR9PJSNC9B7ORCX9NGY">#REF!</definedName>
    <definedName name="BExSC7YP3600SCKLHBPXRWJ3BIDB">#REF!</definedName>
    <definedName name="BExSCE99EZTILTTCE4NJJF96OYYM">#REF!</definedName>
    <definedName name="BExSCHUQZ2HFEWS54X67DIS8OSXZ">#REF!</definedName>
    <definedName name="BExSCOG41SKKG4GYU76WRWW1CTE6">#REF!</definedName>
    <definedName name="BExSCVC9P86YVFMRKKUVRV29MZXZ">#REF!</definedName>
    <definedName name="BExSD233CH4MU9ZMGNRF97ZV7KWU">#REF!</definedName>
    <definedName name="BExSD2U0F3BN6IN9N4R2DTTJG15H">#REF!</definedName>
    <definedName name="BExSD6A6NY15YSMFH51ST6XJY429">#REF!</definedName>
    <definedName name="BExSD9VH6PF6RQ135VOEE08YXPAW">#REF!</definedName>
    <definedName name="BExSDFKO70QOA4MXT55NCI53DQVW">#REF!</definedName>
    <definedName name="BExSDP5Y04WWMX2WWRITWOX8R5I9">#REF!</definedName>
    <definedName name="BExSDSGM203BJTNS9MKCBX453HMD">#REF!</definedName>
    <definedName name="BExSDT20XUFXTDM37M148AXAP7HN">#REF!</definedName>
    <definedName name="BExSDVLT88ZO2VWSJDSHNC0MRMG2">#REF!</definedName>
    <definedName name="BExSEEC2TVTX64BUHTKRLI5KW3B8" hidden="1">#REF!</definedName>
    <definedName name="BExSEEHK1VLWD7JBV9SVVVIKQZ3I">#REF!</definedName>
    <definedName name="BExSEITX53BLVRNIQ14X2EGVDVM5">#REF!</definedName>
    <definedName name="BExSEJKZLX37P3V33TRTFJ30BFRK">#REF!</definedName>
    <definedName name="BExSEMVP8R66ILASSOKUHGGD39PF">#REF!</definedName>
    <definedName name="BExSEP9UVOAI6TMXKNK587PQ3328">#REF!</definedName>
    <definedName name="BExSERZ34ETZF8OI93MYIVZX4RDV">#REF!</definedName>
    <definedName name="BExSF07QFLZCO4P6K6QF05XG7PH1">#REF!</definedName>
    <definedName name="BExSFA93YW8KOTOSVHQQNMY4UBCD">#REF!</definedName>
    <definedName name="BExSFDEH9652X7LPWCG9POH7GSQ8">#REF!</definedName>
    <definedName name="BExSFELNPJYUZX393PKWKNNZYV1N">#REF!</definedName>
    <definedName name="BExSFJ8ZAGQ63A4MVMZRQWLVRGQ5">#REF!</definedName>
    <definedName name="BExSFKQRST2S9KXWWLCXYLKSF4G1">#REF!</definedName>
    <definedName name="BExSFYDRRTAZVPXRWUF5PDQ97WFF">#REF!</definedName>
    <definedName name="BExSFZVPFTXA3F0IJ2NGH1GXX9R7">#REF!</definedName>
    <definedName name="BExSG90Q4ZUU2IPGDYOM169NJV9S">#REF!</definedName>
    <definedName name="BExSG9X3DU845PNXYJGGLBQY2UHG">#REF!</definedName>
    <definedName name="BExSGE45J27MDUUNXW7Z8Q33UAON">#REF!</definedName>
    <definedName name="BExSGE9LY91Q0URHB4YAMX0UAMYI">#REF!</definedName>
    <definedName name="BExSGLB2URTLBCKBB4Y885W925F2">#REF!</definedName>
    <definedName name="BExSGOAYG73SFWOPAQV80P710GID">#REF!</definedName>
    <definedName name="BExSGOWJHRW7FWKLO2EHUOOGHNAF">#REF!</definedName>
    <definedName name="BExSGOWJTAP41ZV5Q23H7MI9C76W">#REF!</definedName>
    <definedName name="BExSGR5JQVX2HQ0PKCGZNSSUM1RV">#REF!</definedName>
    <definedName name="BExSGVHX69GJZHD99DKE4RZ042B1">#REF!</definedName>
    <definedName name="BExSGZJO4J4ZO04E2N2ECVYS9DEZ">#REF!</definedName>
    <definedName name="BExSH1SIPM90VIDBJCWO13SU3VH8">#REF!</definedName>
    <definedName name="BExSHAHFHS7MMNJR8JPVABRGBVIT">#REF!</definedName>
    <definedName name="BExSHGH88QZWW4RNAX4YKAZ5JEBL">#REF!</definedName>
    <definedName name="BExSHJRUVMBDHXO89ZZKJX7CTPZA">#REF!</definedName>
    <definedName name="BExSHOKK1OO3CX9Z28C58E5J1D9W">#REF!</definedName>
    <definedName name="BExSHQD8KYLTQGDXIRKCHQQ7MKIH">#REF!</definedName>
    <definedName name="BExSHVGPIAHXI97UBLI9G4I4M29F">#REF!</definedName>
    <definedName name="BExSI0K2YL3HTCQAD8A7TR4QCUR6">#REF!</definedName>
    <definedName name="BExSIFUDNRWXWIWNGCCFOOD8WIAZ">#REF!</definedName>
    <definedName name="BExTTFKUS1UKDEN7MR5RFC8CRUO4">#REF!</definedName>
    <definedName name="BExTTH2U1OF9JVHRKQLXKLV1JY2L">#REF!</definedName>
    <definedName name="BExTTM698HON40MMA92UE7591ONB">#REF!</definedName>
    <definedName name="BExTTWD2PGX3Y9FR5F2MRNLY1DIY">#REF!</definedName>
    <definedName name="BExTTZNS2PBCR93C9IUW49UZ4I6T">#REF!</definedName>
    <definedName name="BExTU2YFQ25JQ6MEMRHHN66VLTPJ">#REF!</definedName>
    <definedName name="BExTU75IOII1V5O0C9X2VAYYVJUG">#REF!</definedName>
    <definedName name="BExTUA5F7V4LUIIAM17J3A8XF3JE">#REF!</definedName>
    <definedName name="BExTUJ53ANGZ3H1KDK4CR4Q0OD6P">#REF!</definedName>
    <definedName name="BExTUKXSZBM7C57G6NGLWGU4WOHY">#REF!</definedName>
    <definedName name="BExTUSQCFFYZCDNHWHADBC2E1ZP1">#REF!</definedName>
    <definedName name="BExTUVFGOJEYS28JURA5KHQFDU5J">#REF!</definedName>
    <definedName name="BExTUW10U40QCYGHM5NJ3YR1O5SP">#REF!</definedName>
    <definedName name="BExTUWXFQHINU66YG82BI20ATMB5">#REF!</definedName>
    <definedName name="BExTUY9WNSJ91GV8CP0SKJTEIV82">#REF!</definedName>
    <definedName name="BExTUZXAL8MLXG1BSWWY1G32NA3M">#REF!</definedName>
    <definedName name="BExTV67VIM8PV6KO253M4DUBJQLC">#REF!</definedName>
    <definedName name="BExTVELZCF2YA5L6F23BYZZR6WHF">#REF!</definedName>
    <definedName name="BExTVGPIQZ99YFXUC8OONUX5BD42">#REF!</definedName>
    <definedName name="BExTVZQLP9VFLEYQ9280W13X7E8K">#REF!</definedName>
    <definedName name="BExTWB4LA1PODQOH4LDTHQKBN16K">#REF!</definedName>
    <definedName name="BExTWF65CC5H4JTN5KCO0JRU3Q1B">#REF!</definedName>
    <definedName name="BExTWI0Q8AWXUA3ZN7I5V3QK2KM1">#REF!</definedName>
    <definedName name="BExTWJTIA3WUW1PUWXAOP9O8NKLZ">#REF!</definedName>
    <definedName name="BExTWRB89AVOWA6H2SD1KJT4KOBN">#REF!</definedName>
    <definedName name="BExTWW95OX07FNA01WF5MSSSFQLX">#REF!</definedName>
    <definedName name="BExTX476KI0RNB71XI5TYMANSGBG">#REF!</definedName>
    <definedName name="BExTXJ6HBAIXMMWKZTJNFDYVZCAY">#REF!</definedName>
    <definedName name="BExTXK8CL5D56JV0AONWBBXAJUO2">#REF!</definedName>
    <definedName name="BExTXOKPNAOPYU4ODF94BS8WK0NA">#REF!</definedName>
    <definedName name="BExTXT812NQT8GAEGH738U29BI0D">#REF!</definedName>
    <definedName name="BExTXWIP2TFPTQ76NHFOB72NICRZ">#REF!</definedName>
    <definedName name="BExTY5T62H651VC86QM4X7E28JVA">#REF!</definedName>
    <definedName name="BExTYHCJJ2NWRM1RV59FYR41534U">#REF!</definedName>
    <definedName name="BExTYKCEFJ83LZM95M1V7CSFQVEA">#REF!</definedName>
    <definedName name="BExTYPLA9N640MFRJJQPKXT7P88M">#REF!</definedName>
    <definedName name="BExTYWHGJOZQ5GPIBB7JIYCXB587">#REF!</definedName>
    <definedName name="BExTZ7F71SNTOX4LLZCK5R9VUMIJ">#REF!</definedName>
    <definedName name="BExTZ8X5G9S3PA4FPSNK7T69W7QT">#REF!</definedName>
    <definedName name="BExTZ97Y0RMR8V5BI9F2H4MFB77O">#REF!</definedName>
    <definedName name="BExTZFD8VY0TVDHLEQ60WGQ3WY6Z">#REF!</definedName>
    <definedName name="BExTZK5PMCAXJL4DUIGL6H9Y8U4C">#REF!</definedName>
    <definedName name="BExTZKB6L5SXV5UN71YVTCBEIGWY">#REF!</definedName>
    <definedName name="BExTZLICVKK4NBJFEGL270GJ2VQO">#REF!</definedName>
    <definedName name="BExTZO2596CBZKPI7YNA1QQNPAIJ">#REF!</definedName>
    <definedName name="BExTZY8TDV4U7FQL7O10G6VKWKPJ">#REF!</definedName>
    <definedName name="BExU02QNT4LT7H9JPUC4FXTLVGZT">#REF!</definedName>
    <definedName name="BExU03HPA3V2PEFTTJ1EYVGJU0E2">#REF!</definedName>
    <definedName name="BExU0BFJJQO1HJZKI14QGOQ6JROO">#REF!</definedName>
    <definedName name="BExU0FH5WTGW8MRFUFMDDSMJ6YQ5">#REF!</definedName>
    <definedName name="BExU0GDOIL9U33QGU9ZU3YX3V1I4">#REF!</definedName>
    <definedName name="BExU0HKTO8WJDQDWRTUK5TETM3HS">#REF!</definedName>
    <definedName name="BExU0MTJQPE041ZN7H8UKGV6MZT7">#REF!</definedName>
    <definedName name="BExU0XB6XCXI4SZ92YEUFMW4TAXF">#REF!</definedName>
    <definedName name="BExU0Z98UR09K2XF1VLL37ZZHE2U">#REF!</definedName>
    <definedName name="BExU0ZK1YNUFU3VFXQIDBA7W48KH">#REF!</definedName>
    <definedName name="BExU0ZUUFYHLUK4M4E8GLGIBBNT0">#REF!</definedName>
    <definedName name="BExU147D6RPG6ZVTSXRKFSVRHSBG">#REF!</definedName>
    <definedName name="BExU16R10W1SOAPNG4CDJ01T7JRE">#REF!</definedName>
    <definedName name="BExU17CKOR3GNIHDNVLH9L1IOJS9">#REF!</definedName>
    <definedName name="BExU1GXUTLRPJN4MRINLAPHSZQFG">#REF!</definedName>
    <definedName name="BExU1IL9AOHFO85BZB6S60DK3N8H">#REF!</definedName>
    <definedName name="BExU1NOPS09CLFZL1O31RAF9BQNQ">#REF!</definedName>
    <definedName name="BExU1PH9MOEX1JZVZ3D5M9DXB191">#REF!</definedName>
    <definedName name="BExU1QZEEKJA35IMEOLOJ3ODX0ZA">#REF!</definedName>
    <definedName name="BExU1SMNFAXFWWGGZP1DFVC3NIGE">#REF!</definedName>
    <definedName name="BExU1VRURIWWVJ95O40WA23LMTJD">#REF!</definedName>
    <definedName name="BExU1WTPD21WRY89427YGNYH5QWO">#REF!</definedName>
    <definedName name="BExU2B7MQEXXTOZP5GJ6H1M8270Q">#REF!</definedName>
    <definedName name="BExU2M5CK6XK55UIHDVYRXJJJRI4">#REF!</definedName>
    <definedName name="BExU2TXVT25ZTOFQAF6CM53Z1RLF">#REF!</definedName>
    <definedName name="BExU2XZLYIU19G7358W5T9E87AFR">#REF!</definedName>
    <definedName name="BExU39TR5J41TTUUGFT8RBPJKIDA">#REF!</definedName>
    <definedName name="BExU3B66MCKJFSKT3HL8B5EJGVX0">#REF!</definedName>
    <definedName name="BExU3C2KJXZ3ELYHJO8AIL1RKGML">#REF!</definedName>
    <definedName name="BExU3UNI9NR1RNZR07NSLSZMDOQQ">#REF!</definedName>
    <definedName name="BExU401R18N6XKZKL7CNFOZQCM14">#REF!</definedName>
    <definedName name="BExU42QVGY7TK39W1BIN6CDRG2OE">#REF!</definedName>
    <definedName name="BExU44P2AEX6PD8VC4ISCROUCQSP">#REF!</definedName>
    <definedName name="BExU47OZMS6TCWMEHHF0UCSFLLPI">#REF!</definedName>
    <definedName name="BExU4D36E8TXN0M8KSNGEAFYP4DQ">#REF!</definedName>
    <definedName name="BExU4G31RRVLJ3AC6E1FNEFMXM3O">#REF!</definedName>
    <definedName name="BExU4GDVLPUEWBA4MRYRTQAUNO7B">#REF!</definedName>
    <definedName name="BExU4I148DA7PRCCISLWQ6ABXFK6">#REF!</definedName>
    <definedName name="BExU4L101H2KQHVKCKQ4PBAWZV6K">#REF!</definedName>
    <definedName name="BExU4NA00RRRBGRT6TOB0MXZRCRZ">#REF!</definedName>
    <definedName name="BExU4X0KN6NT3VFUW5G4WGKGE86Q">#REF!</definedName>
    <definedName name="BExU51IFNZXPBDES28457LR8X60M">#REF!</definedName>
    <definedName name="BExU529I6YHVOG83TJHWSILIQU1S">#REF!</definedName>
    <definedName name="BExU57YCIKPRD8QWL6EU0YR3NG3J">#REF!</definedName>
    <definedName name="BExU5DSTBWXLN6E59B757KRWRI6E">#REF!</definedName>
    <definedName name="BExU5TDWM8NNDHYPQ7OQODTQ368A">#REF!</definedName>
    <definedName name="BExU5X4OX1V1XHS6WSSORVQPP6Z3">#REF!</definedName>
    <definedName name="BExU5XVPARTFMRYHNUTBKDIL4UJN">#REF!</definedName>
    <definedName name="BExU66KMFBAP8JCVG9VM1RD1TNFF">#REF!</definedName>
    <definedName name="BExU68IOM3CB3TACNAE9565TW7SH">#REF!</definedName>
    <definedName name="BExU6AM82KN21E82HMWVP3LWP9IL">#REF!</definedName>
    <definedName name="BExU6FEU1MRHU98R9YOJC5OKUJ6L">#REF!</definedName>
    <definedName name="BExU6KI9M3L66J8K9097CNXOPQUP">#REF!</definedName>
    <definedName name="BExU6KIAJ663Y8W8QMU4HCF183DF">#REF!</definedName>
    <definedName name="BExU6KT19B4PG6SHXFBGBPLM66KT">#REF!</definedName>
    <definedName name="BExU6PAVKIOAIMQ9XQIHHF1SUAGO">#REF!</definedName>
    <definedName name="BExU6WXXC7SSQDMHSLUN5C2V4IYX">#REF!</definedName>
    <definedName name="BExU73387E74XE8A9UKZLZNJYY65">#REF!</definedName>
    <definedName name="BExU76ZHCJM8I7VSICCMSTC33O6U">#REF!</definedName>
    <definedName name="BExU79J5148FQPY8HVPRZU3JIYXJ">#REF!</definedName>
    <definedName name="BExU7BBTUF8BQ42DSGM94X5TG5GF">#REF!</definedName>
    <definedName name="BExU7HH4EAHFQHT4AXKGWAWZP3I0">#REF!</definedName>
    <definedName name="BExU7MF1ZVPDHOSMCAXOSYICHZ4I">#REF!</definedName>
    <definedName name="BExU7O2BJ6D5YCKEL6FD2EFCWYRX">#REF!</definedName>
    <definedName name="BExU7Q0JS9YIUKUPNSSAIDK2KJAV">#REF!</definedName>
    <definedName name="BExU7ZGIOGTBA0OW6Y89HMFXB97H">#REF!</definedName>
    <definedName name="BExU80I6AE5OU7P7F5V7HWIZBJ4P">#REF!</definedName>
    <definedName name="BExU86NB26MCPYIISZ36HADONGT2">#REF!</definedName>
    <definedName name="BExU885EZZNSZV3GP298UJ8LB7OL">#REF!</definedName>
    <definedName name="BExU8FSAUP9TUZ1NO9WXK80QPHWV">#REF!</definedName>
    <definedName name="BExU8KFLAN778MBN93NYZB0FV30G">#REF!</definedName>
    <definedName name="BExU8QKQD3R8JQPQL43FEYITAOQ3">#REF!</definedName>
    <definedName name="BExU8UX9J2DOKYW8NRK85BO12WAE">#REF!</definedName>
    <definedName name="BExU8UX9JX3XLB47YZ8GFXE0V7R2">#REF!</definedName>
    <definedName name="BExU91DC3DGKPZD6LTER2IRTF89C">#REF!</definedName>
    <definedName name="BExU96M1J7P9DZQ3S9H0C12KGYTW">#REF!</definedName>
    <definedName name="BExU9F05OR1GZ3057R6UL3WPEIYI">#REF!</definedName>
    <definedName name="BExU9GCSO5YILIKG6VAHN13DL75K">#REF!</definedName>
    <definedName name="BExU9KJOZLO15N11MJVN782NFGJ0">#REF!</definedName>
    <definedName name="BExU9LG29XU2K1GNKRO4438JYQZE">#REF!</definedName>
    <definedName name="BExU9RFUQ0SGFHZDR6K893YGVWX8">#REF!</definedName>
    <definedName name="BExU9RW36I5Z6JIXUIUB3PJH86LT">#REF!</definedName>
    <definedName name="BExUA28AO7OWDG3H23Q0CL4B7BHW">#REF!</definedName>
    <definedName name="BExUA4HB4KV9DBW2H9GUWCSGH7GN">#REF!</definedName>
    <definedName name="BExUA5O923FFNEBY8BPO1TU3QGBM">#REF!</definedName>
    <definedName name="BExUA6Q4K25VH452AQ3ZIRBCMS61">#REF!</definedName>
    <definedName name="BExUAFF10A0O0E1VDCWA2R1J34JS">#REF!</definedName>
    <definedName name="BExUAFV4JMBSM2SKBQL9NHL0NIBS">#REF!</definedName>
    <definedName name="BExUAMWQODKBXMRH1QCMJLJBF8M7">#REF!</definedName>
    <definedName name="BExUAX8WS5OPVLCDXRGKTU2QMTFO">#REF!</definedName>
    <definedName name="BExUB8HLEXSBVPZ5AXNQEK96F1N4">#REF!</definedName>
    <definedName name="BExUBCDVZIEA7YT0LPSMHL5ZSERQ">#REF!</definedName>
    <definedName name="BExUBKXBUCN760QYU7Q8GESBWOQH">#REF!</definedName>
    <definedName name="BExUBL83ED0P076RN9RJ8P1MZ299">#REF!</definedName>
    <definedName name="BExUC623BDYEODBN0N4DO6PJQ7NU">#REF!</definedName>
    <definedName name="BExUC8WH8TCKBB5313JGYYQ1WFLT">#REF!</definedName>
    <definedName name="BExUCFCDK6SPH86I6STXX8X3WMC4">#REF!</definedName>
    <definedName name="BExUCLC6AQ5KR6LXSAXV4QQ8ASVG">#REF!</definedName>
    <definedName name="BExUCUHBPZLHGN350IULOQSS2KH1">#REF!</definedName>
    <definedName name="BExUD4IOJ12X3PJG5WXNNGDRCKAP">#REF!</definedName>
    <definedName name="BExUD9WX9BWK72UWVSLYZJLAY5VY">#REF!</definedName>
    <definedName name="BExUDBEUJH9IACZDBL1VAUWPG0QW">#REF!</definedName>
    <definedName name="BExUDCB7BOHXGCE90UCVSOO3H6ZW">#REF!</definedName>
    <definedName name="BExUDEV0CYVO7Y5IQQBEJ6FUY9S6">#REF!</definedName>
    <definedName name="BExUDWOXQGIZW0EAIIYLQUPXF8YV">#REF!</definedName>
    <definedName name="BExUDXAIC17W1FUU8Z10XUAVB7CS">#REF!</definedName>
    <definedName name="BExUE5OMY7OAJQ9WR8C8HG311ORP">#REF!</definedName>
    <definedName name="BExUEFKOQWXXGRNLAOJV2BJ66UB8">#REF!</definedName>
    <definedName name="BExUEJGX3OQQP5KFRJSRCZ70EI9V">#REF!</definedName>
    <definedName name="BExUEYR71COFS2X8PDNU21IPMQEU">#REF!</definedName>
    <definedName name="BExVPRLJ9I6RX45EDVFSQGCPJSOK">#REF!</definedName>
    <definedName name="BExVSL787C8E4HFQZ2NVLT35I2XV">#REF!</definedName>
    <definedName name="BExVSTFTVV14SFGHQUOJL5SQ5TX9">#REF!</definedName>
    <definedName name="BExVT3MPE8LQ5JFN3HQIFKSQ80U4">#REF!</definedName>
    <definedName name="BExVT7TRK3NZHPME2TFBXOF1WBR9">#REF!</definedName>
    <definedName name="BExVT9H0R0T7WGQAAC0HABMG54YM">#REF!</definedName>
    <definedName name="BExVTCMDDEDGLUIMUU6BSFHEWTOP">#REF!</definedName>
    <definedName name="BExVTCMDQMLKRA2NQR72XU6Y54IK">#REF!</definedName>
    <definedName name="BExVTCRV8FQ5U9OYWWL44N6KFNHU">#REF!</definedName>
    <definedName name="BExVTL0IEAU6OEL6LBJYSW8MXRQI">#REF!</definedName>
    <definedName name="BExVTNESHPVG0A0KZ7BRX26MS0PF">#REF!</definedName>
    <definedName name="BExVTRGDYD3PTLZAZMHY3GVSOZA1">#REF!</definedName>
    <definedName name="BExVTTJVTNRSBHBTUZ78WG2JM5MK">#REF!</definedName>
    <definedName name="BExVTXLMYR87BC04D1ERALPUFVPG">#REF!</definedName>
    <definedName name="BExVUJBU4860MGVZQT027NG0LV4B">#REF!</definedName>
    <definedName name="BExVUL9V3H8ZF6Y72LQBBN639YAA">#REF!</definedName>
    <definedName name="BExVUU9KU80WYVTL9KI6CZIT1GUN">#REF!</definedName>
    <definedName name="BExVV5T14N2HZIK7HQ4P2KG09U0J">#REF!</definedName>
    <definedName name="BExVV7R410VYLADLX9LNG63ID6H1">#REF!</definedName>
    <definedName name="BExVVCEED4JEKF59OV0G3T4XFMFO">#REF!</definedName>
    <definedName name="BExVVPFO2J7FMSRPD36909HN4BZJ">#REF!</definedName>
    <definedName name="BExVVQ19AQ3VCARJOC38SF7OYE9Y">#REF!</definedName>
    <definedName name="BExVVQ19TAECID45CS4HXT1RD3AQ">#REF!</definedName>
    <definedName name="BExVVVQ98G2LES4ELUJ9W66671DM" hidden="1">#REF!</definedName>
    <definedName name="BExVW3YV5XGIVJ97UUPDJGJ2P15B">#REF!</definedName>
    <definedName name="BExVW5X571GEYR5SCU1Z2DHKWM79">#REF!</definedName>
    <definedName name="BExVW62FWHX14FQ5UDIGPILQJEZS">#REF!</definedName>
    <definedName name="BExVW6YTKA098AF57M4PHNQ54XMH">#REF!</definedName>
    <definedName name="BExVWINKCH0V0NUWH363SMXAZE62">#REF!</definedName>
    <definedName name="BExVWYOX1MQQ6C5NZJDW6PD5DAMB">#REF!</definedName>
    <definedName name="BExVWYU8EK669NP172GEIGCTVPPA">#REF!</definedName>
    <definedName name="BExVX3MVJ0GHWPP1EL59ZQNKMX0B">#REF!</definedName>
    <definedName name="BExVX3XN2DRJKL8EDBIG58RYQ36R">#REF!</definedName>
    <definedName name="BExVXDZ63PUART77BBR5SI63TPC6">#REF!</definedName>
    <definedName name="BExVXHKI6LFYMGWISMPACMO247HL">#REF!</definedName>
    <definedName name="BExVXLX2BZ5EF2X6R41BTKRJR1NM">#REF!</definedName>
    <definedName name="BExVXSYITCK1ZWNO8GGPMTFW45GB">#REF!</definedName>
    <definedName name="BExVXZ3R9OO1LD5PFQKUE508SBEN">#REF!</definedName>
    <definedName name="BExVY11V7U1SAY4QKYE0PBSPD7LW">#REF!</definedName>
    <definedName name="BExVY1SV37DL5YU59HS4IG3VBCP4">#REF!</definedName>
    <definedName name="BExVY3WFGJKSQA08UF9NCMST928Y">#REF!</definedName>
    <definedName name="BExVY954UOEVQEIC5OFO4NEWVKAQ">#REF!</definedName>
    <definedName name="BExVYHDYIV5397LC02V4FEP8VD6W">#REF!</definedName>
    <definedName name="BExVYOVIZDA18YIQ0A30Q052PCAK">#REF!</definedName>
    <definedName name="BExVYQIXPEM6J4JVP78BRHIC05PV">#REF!</definedName>
    <definedName name="BExVYSH60UOHRRXXO658LADXQR0P">#REF!</definedName>
    <definedName name="BExVYVGWN7SONLVDH9WJ2F1JS264">#REF!</definedName>
    <definedName name="BExVZ4RJG8ERR3HBJ69G6Y893N0Q">#REF!</definedName>
    <definedName name="BExVZ5IFQOOPRSNXT4M7T0F7JATO">#REF!</definedName>
    <definedName name="BExVZ9EO732IK6MNMG17Y1EFTJQC">#REF!</definedName>
    <definedName name="BExVZB1Y5J4UL2LKK0363EU7GIJ1">#REF!</definedName>
    <definedName name="BExVZIEE2IV5NQPZJGBHI28Q19GB">#REF!</definedName>
    <definedName name="BExVZJQVO5LQ0BJH5JEN5NOBIAF6">#REF!</definedName>
    <definedName name="BExVZNXWS91RD7NXV5NE2R3C8WW7">#REF!</definedName>
    <definedName name="BExVZTMYDPRSY7MUPN9YFJ2GJ9TR">#REF!</definedName>
    <definedName name="BExW0386REQRCQCVT9BCX80UPTRY">#REF!</definedName>
    <definedName name="BExW04VH6HXAWOYNDECZ10B268XU">#REF!</definedName>
    <definedName name="BExW0FYP4WXY71CYUG40SUBG9UWU">#REF!</definedName>
    <definedName name="BExW0IYK1SVGJ4OPC46R57QBJAR4">#REF!</definedName>
    <definedName name="BExW0RI61B4VV0ARXTFVBAWRA1C5">#REF!</definedName>
    <definedName name="BExW17JBEWX4H0YWX8INVCPWIRM7">#REF!</definedName>
    <definedName name="BExW1BVUYQTKMOR56MW7RVRX4L1L">#REF!</definedName>
    <definedName name="BExW1F1220628FOMTW5UAATHRJHK">#REF!</definedName>
    <definedName name="BExW1FBVE0XJTNI9K4MKZG2BBB6O">#REF!</definedName>
    <definedName name="BExW1TKA0Z9OP2DTG50GZR5EG8C7">#REF!</definedName>
    <definedName name="BExW1U0JLKQ094DW5MMOI8UHO09V">#REF!</definedName>
    <definedName name="BExW283NP9D366XFPXLGSCI5UB0L">#REF!</definedName>
    <definedName name="BExW2H3C8WJSBW5FGTFKVDVJC4CL">#REF!</definedName>
    <definedName name="BExW2MS5QV2E4U6EGPFFFI3B1T50">#REF!</definedName>
    <definedName name="BExW2MSCKPGF5K3I7TL4KF5ISUOL">#REF!</definedName>
    <definedName name="BExW2PHGJCJ8FFATCHVDWJ3DF1Y1">#REF!</definedName>
    <definedName name="BExW2RVS43VQK9NACLZ8T673MHB7">#REF!</definedName>
    <definedName name="BExW2SMO90FU9W8DVVES6Q4E6BZR">#REF!</definedName>
    <definedName name="BExW36V9N91OHCUMGWJQL3I5P4JK">#REF!</definedName>
    <definedName name="BExW3EIBA1J9Q9NA9VCGZGRS8WV7">#REF!</definedName>
    <definedName name="BExW3FEO8FI8N6AGQKYEG4SQVJWB">#REF!</definedName>
    <definedName name="BExW3GB28STOMJUSZEIA7YKYNS4Y">#REF!</definedName>
    <definedName name="BExW3R8T39ZULKYXCZR39FZI74FJ">#REF!</definedName>
    <definedName name="BExW3T1K638HT5E0Y8MMK108P5JT">#REF!</definedName>
    <definedName name="BExW3XE1MLMB58TP9B8AI6ZSFL00">#REF!</definedName>
    <definedName name="BExW4217ZHL9VO39POSTJOD090WU">#REF!</definedName>
    <definedName name="BExW4BMHTGI9XEXOGYFA5RLT7JM5">#REF!</definedName>
    <definedName name="BExW4GPW71EBF8XPS2QGVQHBCDX3">#REF!</definedName>
    <definedName name="BExW4JKC5837JBPCOJV337ZVYYY3">#REF!</definedName>
    <definedName name="BExW4QR9FV9MP5K610THBSM51RYO">#REF!</definedName>
    <definedName name="BExW4QWPXM98UWX8KNPWWH64KH80">#REF!</definedName>
    <definedName name="BExW4T0AD3ALMOPMUUC0DHD9573W">#REF!</definedName>
    <definedName name="BExW4WLSENTO1GZHLD1FO1DTBRB5">#REF!</definedName>
    <definedName name="BExW4YEIDCZCZ5XOLZ9C1G17F1HB">#REF!</definedName>
    <definedName name="BExW4Z029R9E19ZENN3WEA3VDAD1">#REF!</definedName>
    <definedName name="BExW4ZG69YENV3D26AZT56ZB8H6P">#REF!</definedName>
    <definedName name="BExW5AZNT6IAZGNF2C879ODHY1B8">#REF!</definedName>
    <definedName name="BExW5MZ3GOO4KVBBGCLE3HYOVCDE" hidden="1">#REF!</definedName>
    <definedName name="BExW5OXAVP5SWOJCWXULAHMIS4NT">#REF!</definedName>
    <definedName name="BExW5TVFKIS9TOL0VAOZFZY6G643">#REF!</definedName>
    <definedName name="BExW5WPU27WD4NWZOT0ZEJIDLX5J">#REF!</definedName>
    <definedName name="BExW660AV1TUV2XNUPD65RZR3QOO">#REF!</definedName>
    <definedName name="BExW66LVVZK656PQY1257QMHP2AY">#REF!</definedName>
    <definedName name="BExW6EJPHAP1TWT380AZLXNHR22P">#REF!</definedName>
    <definedName name="BExW6FQWDOMI2L0SS9NAVI2HBGCG">#REF!</definedName>
    <definedName name="BExW6G1PJ38H10DVLL8WPQ736OEB">#REF!</definedName>
    <definedName name="BExW794A74Z5F2K8LVQLD6VSKXUE">#REF!</definedName>
    <definedName name="BExW87L2RTUZKPZC6Q9T4N5A03QA">#REF!</definedName>
    <definedName name="BExW8K0SSIPSKBVP06IJ71600HJZ">#REF!</definedName>
    <definedName name="BExW8NM8DJJESE7GF7VGTO2XO6P1">#REF!</definedName>
    <definedName name="BExW8T0GVY3ZYO4ACSBLHS8SH895">#REF!</definedName>
    <definedName name="BExW8TWU3IFOC3FMOMPMF4TZ1ZBK">#REF!</definedName>
    <definedName name="BExW8YEP73JMMU9HZ08PM4WHJQZ4">#REF!</definedName>
    <definedName name="BExW8YUXPPPNCNRHGA1HOACSS7HE">#REF!</definedName>
    <definedName name="BExW937AT53OZQRHNWQZ5BVH24IE">#REF!</definedName>
    <definedName name="BExW95LN5N0LYFFVP7GJEGDVDLF0">#REF!</definedName>
    <definedName name="BExW967733Q8RAJOHR2GJ3HO8JIW">#REF!</definedName>
    <definedName name="BExW9POK1KIOI0ALS5MZIKTDIYMA">#REF!</definedName>
    <definedName name="BExW9TVLB7OIHTG98I7I4EXBL61S">#REF!</definedName>
    <definedName name="BExXLDE6PN4ESWT3LXJNQCY94NE4">#REF!</definedName>
    <definedName name="BExXLQVPK2H3IF0NDDA5CT612EUK">#REF!</definedName>
    <definedName name="BExXLR6IO70TYTACKQH9M5PGV24J">#REF!</definedName>
    <definedName name="BExXM065WOLYRYHGHOJE0OOFXA4M">#REF!</definedName>
    <definedName name="BExXM3GUNXVDM82KUR17NNUMQCNI">#REF!</definedName>
    <definedName name="BExXMA28M8SH7MKIGETSDA72WUIZ">#REF!</definedName>
    <definedName name="BExXMOLHIAHDLFSA31PUB36SC3I9">#REF!</definedName>
    <definedName name="BExXMSN75TY0IRWSR4PJ7T0ULVHX">#REF!</definedName>
    <definedName name="BExXMT8T5Z3M2JBQN65X2LKH0YQI">#REF!</definedName>
    <definedName name="BExXN1XNO7H60M9X1E7EVWFJDM5N">#REF!</definedName>
    <definedName name="BExXN22ZOTIW49GPLWFYKVM90FNZ">#REF!</definedName>
    <definedName name="BExXN4C031W9DK73MJHKL8YT1QA8">#REF!</definedName>
    <definedName name="BExXN6QAP8UJQVN4R4BQKPP4QK35">#REF!</definedName>
    <definedName name="BExXNBOA39T2X6Y5Y5GZ5DDNA1AX">#REF!</definedName>
    <definedName name="BExXND6872VJ3M2PGT056WQMWBHD">#REF!</definedName>
    <definedName name="BExXNPM24UN2PGVL9D1TUBFRIKR4">#REF!</definedName>
    <definedName name="BExXNWYB165VO9MHARCL5WLCHWS0">#REF!</definedName>
    <definedName name="BExXO278QHQN8JDK5425EJ615ECC">#REF!</definedName>
    <definedName name="BExXOBHOP0WGFHI2Y9AO4L440UVQ">#REF!</definedName>
    <definedName name="BExXOHSAD2NSHOLLMZ2JWA4I3I1R">#REF!</definedName>
    <definedName name="BExXOW6149NZMMQ362CQOEAXDZZW">#REF!</definedName>
    <definedName name="BExXOYPTSBTIR1BBP9TNCK7K0YUR">#REF!</definedName>
    <definedName name="BExXP80B5FGA00JCM7UXKPI3PB7Y">#REF!</definedName>
    <definedName name="BExXP85M4WXYVN1UVHUTOEKEG5XS">#REF!</definedName>
    <definedName name="BExXPELOTHOAG0OWILLAH94OZV5J">#REF!</definedName>
    <definedName name="BExXPS31W1VD2NMIE4E37LHVDF0L">#REF!</definedName>
    <definedName name="BExXPZKYEMVF5JOC14HYOOYQK6JK">#REF!</definedName>
    <definedName name="BExXQ7O4WZM8TDN45WLUR9OW1O5N">#REF!</definedName>
    <definedName name="BExXQ89PA10X79WBWOEP1AJX1OQM">#REF!</definedName>
    <definedName name="BExXQCGQGGYSI0LTRVR73MUO50AW">#REF!</definedName>
    <definedName name="BExXQEEXFHDQ8DSRAJSB5ET6J004">#REF!</definedName>
    <definedName name="BExXQH41O5HZAH8BO6HCFY8YC3TU">#REF!</definedName>
    <definedName name="BExXQIRBLQSLAJTFL7224FCFUTKH">#REF!</definedName>
    <definedName name="BExXQJIEF5R3QQ6D8HO3NGPU0IQC">#REF!</definedName>
    <definedName name="BExXQU00K9ER4I1WM7T9J0W1E7ZC">#REF!</definedName>
    <definedName name="BExXQU00KOR7XLM8B13DGJ1MIQDY">#REF!</definedName>
    <definedName name="BExXQXG18PS8HGBOS03OSTQ0KEYC">#REF!</definedName>
    <definedName name="BExXQXQT4OAFQT5B0YB3USDJOJOB">#REF!</definedName>
    <definedName name="BExXR3FSEXAHSXEQNJORWFCPX86N">#REF!</definedName>
    <definedName name="BExXR3W3FKYQBLR299HO9RZ70C43">#REF!</definedName>
    <definedName name="BExXR46U23CRRBV6IZT982MAEQKI">#REF!</definedName>
    <definedName name="BExXR8OKAVX7O70V5IYG2PRKXSTI">#REF!</definedName>
    <definedName name="BExXRA6N6XCLQM6XDV724ZIH6G93">#REF!</definedName>
    <definedName name="BExXRABZ1CNKCG6K1MR6OUFHF7J9">#REF!</definedName>
    <definedName name="BExXRBOFETC0OTJ6WY3VPMFH03VB">#REF!</definedName>
    <definedName name="BExXRD13K1S9Y3JGR7CXSONT7RJZ">#REF!</definedName>
    <definedName name="BExXRIFB4QQ87QIGA9AG0NXP577K">#REF!</definedName>
    <definedName name="BExXRIQ2JF2CVTRDQX2D9SPH7FTN">#REF!</definedName>
    <definedName name="BExXRKYY27THK0Z1ONG31MHQZAZI">#REF!</definedName>
    <definedName name="BExXRO4A6VUH1F4XV8N1BRJ4896W">#REF!</definedName>
    <definedName name="BExXRO9N1SNJZGKD90P4K7FU1J0P">#REF!</definedName>
    <definedName name="BExXRV5QP3Z0KAQ1EQT9JYT2FV0L">#REF!</definedName>
    <definedName name="BExXRZ20LZZCW8LVGDK0XETOTSAI">#REF!</definedName>
    <definedName name="BExXRZNM651EJ5HJPGKGTVYLAZQ1">#REF!</definedName>
    <definedName name="BExXS63O4OMWMNXXAODZQFSDG33N">#REF!</definedName>
    <definedName name="BExXSBSP1TOY051HSPEPM0AEIO2M">#REF!</definedName>
    <definedName name="BExXSC8RFK5D68FJD2HI4K66SA6I">#REF!</definedName>
    <definedName name="BExXSNHC88W4UMXEOIOOATJAIKZO">#REF!</definedName>
    <definedName name="BExXSTBS08WIA9TLALV3UQ2Z3MRG">#REF!</definedName>
    <definedName name="BExXSVQ2WOJJ73YEO8Q2FK60V4G8">#REF!</definedName>
    <definedName name="BExXTD3VRU5709BMLJPM0MT2CCGX" hidden="1">#REF!</definedName>
    <definedName name="BExXTHLRNL82GN7KZY3TOLO508N7">#REF!</definedName>
    <definedName name="BExXTINFNT7H5O0CVU3JLMC6NRHL">#REF!</definedName>
    <definedName name="BExXTL72MKEQSQH9L2OTFLU8DM2B">#REF!</definedName>
    <definedName name="BExXTM3M4RTCRSX7VGAXGQNPP668">#REF!</definedName>
    <definedName name="BExXTOCF78J7WY6FOVBRY1N2RBBR">#REF!</definedName>
    <definedName name="BExXTP3GYO6Z9RTKKT10XA0UTV3T">#REF!</definedName>
    <definedName name="BExXTZKZ4CG92ZQLIRKEXXH9BFIR">#REF!</definedName>
    <definedName name="BExXU4J2BM2964GD5UZHM752Q4NS">#REF!</definedName>
    <definedName name="BExXU6XDTT7RM93KILIDEYPA9XKF">#REF!</definedName>
    <definedName name="BExXU8VLZA7WLPZ3RAQZGNERUD26">#REF!</definedName>
    <definedName name="BExXUB9RSLSCNN5ETLXY72DAPZZM">#REF!</definedName>
    <definedName name="BExXUFRM82XQIN2T8KGLDQL1IBQW">#REF!</definedName>
    <definedName name="BExXUQEQBF6FI240ZGIF9YXZSRAU">#REF!</definedName>
    <definedName name="BExXUYND6EJO7CJ5KRICV4O1JNWK">#REF!</definedName>
    <definedName name="BExXV6FWG4H3S2QEUJZYIXILNGJ7">#REF!</definedName>
    <definedName name="BExXVK87BMMO6LHKV0CFDNIQVIBS">#REF!</definedName>
    <definedName name="BExXVKZ9WXPGL6IVY6T61IDD771I">#REF!</definedName>
    <definedName name="BExXW0K72T1Y8K1I4VZT87UY9S2G">#REF!</definedName>
    <definedName name="BExXW27MMXHXUXX78SDTBE1JYTHT">#REF!</definedName>
    <definedName name="BExXW2YIM2MYBSHRIX0RP9D4PRMN">#REF!</definedName>
    <definedName name="BExXWBNE4KTFSXKVSRF6WX039WPB">#REF!</definedName>
    <definedName name="BExXWFP5AYE7EHYTJWBZSQ8PQ0YX">#REF!</definedName>
    <definedName name="BExXWG57U8JDJCJYPO85EP142I8W">#REF!</definedName>
    <definedName name="BExXWVFIBQT8OY1O41FRFPFGXQHK">#REF!</definedName>
    <definedName name="BExXWWXHBZHA9J3N8K47F84X0M0L">#REF!</definedName>
    <definedName name="BExXX0DLI5OXC8SXHQ58Z986ULZR">#REF!</definedName>
    <definedName name="BExXX67XIETXS4IYH6LPUWM4DW9I">#REF!</definedName>
    <definedName name="BExXXBM521DL8R4ZX7NZ3DBCUOR5">#REF!</definedName>
    <definedName name="BExXXC7OZI33XZ03NRMEP7VRLQK4">#REF!</definedName>
    <definedName name="BExXXDEVC9CCPSWZMP19EJGBE90Z">#REF!</definedName>
    <definedName name="BExXXEGLJURXXSH2G8UEXQ1LTW2O">#REF!</definedName>
    <definedName name="BExXXF7N11R5QN7VHM4PTV5XYWXA">#REF!</definedName>
    <definedName name="BExXXH5N3NKBQ7BCJPJTBF8CYM2Q">#REF!</definedName>
    <definedName name="BExXXKWLM4D541BH6O8GOJMHFHMW">#REF!</definedName>
    <definedName name="BExXXPPA1Q87XPI97X0OXCPBPDON">#REF!</definedName>
    <definedName name="BExXXVUDA98IZTQ6MANKU4MTTDVR">#REF!</definedName>
    <definedName name="BExXXZLATQAVPE8GOOZFX15NB9JD">#REF!</definedName>
    <definedName name="BExXXZQNZY6IZI45DJXJK0MQZWA7">#REF!</definedName>
    <definedName name="BExXY4DY5FQM3OL3KFLAS6NLUGNW">#REF!</definedName>
    <definedName name="BExXY5QFG6QP94SFT3935OBM8Y4K">#REF!</definedName>
    <definedName name="BExXY7TYEBFXRYUYIFHTN65RJ8EW">#REF!</definedName>
    <definedName name="BExXYD86QYMWF0AXEDNOACCGS3J2">#REF!</definedName>
    <definedName name="BExXYLBHANUXC5FCTDDTGOVD3GQS">#REF!</definedName>
    <definedName name="BExXYMNYAYH3WA2ZCFAYKZID9ZCI">#REF!</definedName>
    <definedName name="BExXYNKBQ7AQKGKTMLFPY13WPU0M" hidden="1">#REF!</definedName>
    <definedName name="BExXYYT12SVN2VDMLVNV4P3ISD8T">#REF!</definedName>
    <definedName name="BExXZ53FPR20OHGHWKU55VITGX2Z">#REF!</definedName>
    <definedName name="BExXZEDWUYH25UZMW2QU2RXFILJE">#REF!</definedName>
    <definedName name="BExXZFVV4YB42AZ3H1I40YG3JAPU">#REF!</definedName>
    <definedName name="BExXZHJ9T2JELF12CHHGD54J1B0C">#REF!</definedName>
    <definedName name="BExXZNJ2X1TK2LRK5ZY3MX49H5T7">#REF!</definedName>
    <definedName name="BExXZOVPCEP495TQSON6PSRQ8XCY">#REF!</definedName>
    <definedName name="BExXZU9S069YZAHL30HZU7JCTZB6">#REF!</definedName>
    <definedName name="BExXZXKH7NBARQQAZM69Z57IH1MM">#REF!</definedName>
    <definedName name="BExY07WSDH5QEVM7BJXJK2ZRAI1O">#REF!</definedName>
    <definedName name="BExY0C3UBVC4M59JIRXVQ8OWAJC1">#REF!</definedName>
    <definedName name="BExY0OE8GFHMLLTEAFIOQTOPEVPB">#REF!</definedName>
    <definedName name="BExY0OJHW85S0VKBA8T4HTYPYBOS">#REF!</definedName>
    <definedName name="BExY0T1E034D7XAXNC6F7540LLIE">#REF!</definedName>
    <definedName name="BExY0VFP3CLFKOPVO5L4OVSG9X78">#REF!</definedName>
    <definedName name="BExY0XTZLHN49J2JH94BYTKBJLT3">#REF!</definedName>
    <definedName name="BExY11FH9TXHERUYGG8FE50U7H7J">#REF!</definedName>
    <definedName name="BExY180UKNW5NIAWD6ZUYTFEH8QS">#REF!</definedName>
    <definedName name="BExY1BH0USOFBHRSK1VGX294SKUK">#REF!</definedName>
    <definedName name="BExY1DPTV4LSY9MEOUGXF8X052NA">#REF!</definedName>
    <definedName name="BExY1GK9ELBEKDD7O6HR6DUO8YGO">#REF!</definedName>
    <definedName name="BExY1NWOXXFV9GGZ3PX444LZ8TVX">#REF!</definedName>
    <definedName name="BExY1SPB11ISC8M4ORC0QE4PWSER">#REF!</definedName>
    <definedName name="BExY1UCL0RND63LLSM9X5SFRG117">#REF!</definedName>
    <definedName name="BExY1WAT3937L08HLHIRQHMP2A3H">#REF!</definedName>
    <definedName name="BExY1YEBOSLMID7LURP8QB46AI91">#REF!</definedName>
    <definedName name="BExY2DJ5WVGFG4O033SMQ3C48L4R" hidden="1">#REF!</definedName>
    <definedName name="BExY2FS4LFX9OHOTQT7SJ2PXAC25">#REF!</definedName>
    <definedName name="BExY2GDPCZPVU0IQ6IJIB1YQQRQ6">#REF!</definedName>
    <definedName name="BExY2GTSZ3VA9TXLY7KW1LIAKJ61">#REF!</definedName>
    <definedName name="BExY2IXBR1SGYZH08T7QHKEFS8HA">#REF!</definedName>
    <definedName name="BExY2Q4B5FUDA5VU4VRUHX327QN0">#REF!</definedName>
    <definedName name="BExY31I9UMUHFKG3SC4VW1HNOP5Y">#REF!</definedName>
    <definedName name="BExY34YBPJUAWMDQD7XKWQLUCPVP">#REF!</definedName>
    <definedName name="BExY3HOSK7YI364K15OX70AVR6F1">#REF!</definedName>
    <definedName name="BExY3HZRQGB143X2UQNCYR3TAR3J">#REF!</definedName>
    <definedName name="BExY3T89AUR83SOAZZ3OMDEJDQ39">#REF!</definedName>
    <definedName name="BExY3ZTN41B82O0HVAMZAS46G18T" hidden="1">#REF!</definedName>
    <definedName name="BExY4MG771JQ84EMIVB6HQGGHZY7">#REF!</definedName>
    <definedName name="BExY4N1QO2TB3ANUA3D7B9W6EMQY" hidden="1">#REF!</definedName>
    <definedName name="BExY4PWCSFB8P3J3TBQB2MD67263">#REF!</definedName>
    <definedName name="BExY4RZW3KK11JLYBA4DWZ92M6LQ">#REF!</definedName>
    <definedName name="BExY4XOVTTNVZ577RLIEC7NZQFIX">#REF!</definedName>
    <definedName name="BExY50JAF5CG01GTHAUS7I4ZLUDC">#REF!</definedName>
    <definedName name="BExY53J7EXFEOFTRNAHLK7IH3ACB">#REF!</definedName>
    <definedName name="BExY53TYAEEYB3JMWU6IZZ00FJJY">#REF!</definedName>
    <definedName name="BExY5515SJTJS3VM80M3YYR0WF37">#REF!</definedName>
    <definedName name="BExY5515WE39FQ3EG5QHG67V9C0O">#REF!</definedName>
    <definedName name="BExY5986WNAD8NFCPXC9TVLBU4FG">#REF!</definedName>
    <definedName name="BExY5DF9MS25IFNWGJ1YAS5MDN8R">#REF!</definedName>
    <definedName name="BExY5ERVGL3UM2MGT8LJ0XPKTZEK">#REF!</definedName>
    <definedName name="BExY5EX6NJFK8W754ZVZDN5DS04K">#REF!</definedName>
    <definedName name="BExY5S3XD1NJT109CV54IFOHVLQ6">#REF!</definedName>
    <definedName name="BExY5TB2VAI3GHKCPXMCVIOM8B8W">#REF!</definedName>
    <definedName name="BExY5X21S9L4HBT5Q2OIE1W6PIM4" hidden="1">#REF!</definedName>
    <definedName name="BExY6KVS1MMZ2R34PGEFR2BMTU9W">#REF!</definedName>
    <definedName name="BExY6Q9YY7LW745GP7CYOGGSPHGE">#REF!</definedName>
    <definedName name="BExZIA3C8LKJTEH3MKQ57KJH5TA2">#REF!</definedName>
    <definedName name="BExZIIHH3QNQE3GFMHEE4UMHY6WQ">#REF!</definedName>
    <definedName name="BExZIYO22G5UXOB42GDLYGVRJ6U7">#REF!</definedName>
    <definedName name="BExZJ59G216MIWI6MR626NF6F07J">#REF!</definedName>
    <definedName name="BExZJ7I9T8XU4MZRKJ1VVU76V2LZ">#REF!</definedName>
    <definedName name="BExZJGNH15T4SBTDDCR2VX0QRV31">#REF!</definedName>
    <definedName name="BExZJMY170JCUU1RWASNZ1HJPRTA">#REF!</definedName>
    <definedName name="BExZJOQR77H0P4SUKVYACDCFBBXO">#REF!</definedName>
    <definedName name="BExZJS6RG34ODDY9HMZ0O34MEMSB">#REF!</definedName>
    <definedName name="BExZK34NR4BAD7HJAP7SQ926UQP3">#REF!</definedName>
    <definedName name="BExZK3FGPHH5H771U7D5XY7XBS6E">#REF!</definedName>
    <definedName name="BExZK7H1V18ZHJACM6SULR7VML9M">#REF!</definedName>
    <definedName name="BExZKHYORG3O8C772XPFHM1N8T80">#REF!</definedName>
    <definedName name="BExZKJRF2IRR57DG9CLC7MSHWNNN">#REF!</definedName>
    <definedName name="BExZKV5GYXO0X760SBD9TWTIQHGI">#REF!</definedName>
    <definedName name="BExZL0JNJKI1BWPZIRAGTW1QYS1C">#REF!</definedName>
    <definedName name="BExZL2CD6QVYD1QJREC3UILJCLS8">#REF!</definedName>
    <definedName name="BExZL6E4YVXRUN7ZGF2BIGIXFR8K">#REF!</definedName>
    <definedName name="BExZLGVLMKTPFXG42QYT0PO81G7F">#REF!</definedName>
    <definedName name="BExZLKMK7LRK14S09WLMH7MXSQXM">#REF!</definedName>
    <definedName name="BExZM7JVLG0W8EG5RBU915U3SKBY">#REF!</definedName>
    <definedName name="BExZM85FOVUFF110XMQ9O2ODSJUK">#REF!</definedName>
    <definedName name="BExZMF1MMTZ1TA14PZ8ASSU2CBSP">#REF!</definedName>
    <definedName name="BExZMJZLRGYTQFMVG9BF52ZVGG3G">#REF!</definedName>
    <definedName name="BExZMKL5YQZD7F0FUCSVFGLPFK52">#REF!</definedName>
    <definedName name="BExZMOC3VNZALJM71X2T6FV91GTB">#REF!</definedName>
    <definedName name="BExZMXH39OB0I43XEL3K11U3G9PM">#REF!</definedName>
    <definedName name="BExZMZQ3RBKDHT5GLFNLS52OSJA0">#REF!</definedName>
    <definedName name="BExZN2F7Y2J2L2LN5WZRG949MS4A">#REF!</definedName>
    <definedName name="BExZN5KE83KLHRS60OVR40VRZCAP">#REF!</definedName>
    <definedName name="BExZN847WUWKRYTZWG9TCQZJS3OL">#REF!</definedName>
    <definedName name="BExZN8KBNVQOL8KPDC1EUPS86ZCW">#REF!</definedName>
    <definedName name="BExZNH3VISFF4NQI11BZDP5IQ7VG">#REF!</definedName>
    <definedName name="BExZNJYCFYVMAOI62GB2BABK1ELE">#REF!</definedName>
    <definedName name="BExZNV707LIU6Z5H6QI6H67LHTI1">#REF!</definedName>
    <definedName name="BExZNVCBKB930QQ9QW7KSGOZ0V1M">#REF!</definedName>
    <definedName name="BExZNW8QJ18X0RSGFDWAE9ZSDX39">#REF!</definedName>
    <definedName name="BExZNZDWRS6Q40L8OCWFEIVI0A1O">#REF!</definedName>
    <definedName name="BExZOBO9NYLGVJQ31LVQ9XS2ZT4N">#REF!</definedName>
    <definedName name="BExZOETNB1CJ3Y2RKLI1ZK0S8Z6H">#REF!</definedName>
    <definedName name="BExZOJ61Z0BVAHCIMZBC70MBFSAO">#REF!</definedName>
    <definedName name="BExZOL9K1RUXBTLZ6FJ65BIE9G5R">#REF!</definedName>
    <definedName name="BExZOREMVSK4E5VSWM838KHUB8AI">#REF!</definedName>
    <definedName name="BExZOVR745T5P1KS9NV2PXZPZVRG">#REF!</definedName>
    <definedName name="BExZOZSWGLSY2XYVRIS6VSNJDSGD">#REF!</definedName>
    <definedName name="BExZP7AIJKLM6C6CSUIIFAHFBNX2">#REF!</definedName>
    <definedName name="BExZPEC5LM4ZAI8EB16BNIMI101X" hidden="1">#REF!</definedName>
    <definedName name="BExZPODHNRS686GWO1W3P95EQXZV">#REF!</definedName>
    <definedName name="BExZPQ0XY507N8FJMVPKCTK8HC9H">#REF!</definedName>
    <definedName name="BExZQ37OVBR25U32CO2YYVPZOMR5">#REF!</definedName>
    <definedName name="BExZQ3IHNAFF2HI20IH754T349LH">#REF!</definedName>
    <definedName name="BExZQ3NS7U8JLML2IM0A50D9HXH1">#REF!</definedName>
    <definedName name="BExZQ3NT7H06VO0AR48WHZULZB93">#REF!</definedName>
    <definedName name="BExZQ49EGY17UKW7041TT3T9TYEW">#REF!</definedName>
    <definedName name="BExZQ7PJU07SEJMDX18U9YVDC2GU">#REF!</definedName>
    <definedName name="BExZQIHTGHK7OOI2Y2PN3JYBY82I">#REF!</definedName>
    <definedName name="BExZQJJMGU5MHQOILGXGJPAQI5XI">#REF!</definedName>
    <definedName name="BExZQRC5OMY5Y6JW3Y1YALFORDGR">#REF!</definedName>
    <definedName name="BExZQUMV5PNP2IGJZUNG7ET32ORJ">#REF!</definedName>
    <definedName name="BExZQXBYEBN28QUH1KOVW6KKA5UM">#REF!</definedName>
    <definedName name="BExZQZKT146WEN8FTVZ7Y5TSB8L5">#REF!</definedName>
    <definedName name="BExZR29XTMNUDHZYBVGGG5XF2Z16" hidden="1">#REF!</definedName>
    <definedName name="BExZR485AKBH93YZ08CMUC3WROED">#REF!</definedName>
    <definedName name="BExZR7TL98P2PPUVGIZYR5873DWW">#REF!</definedName>
    <definedName name="BExZRGD1603X5ACFALUUDKCD7X48">#REF!</definedName>
    <definedName name="BExZRP1X6UVLN1UOLHH5VF4STP1O">#REF!</definedName>
    <definedName name="BExZRQ930U6OCYNV00CH5I0Q4LPE">#REF!</definedName>
    <definedName name="BExZRW8W514W8OZ72YBONYJ64GXF">#REF!</definedName>
    <definedName name="BExZRWJP2BUVFJPO8U8ATQEP0LZU">#REF!</definedName>
    <definedName name="BExZS2OY9JTSSP01ZQ6V2T2LO5R9">#REF!</definedName>
    <definedName name="BExZSI9USDLZAN8LI8M4YYQL24GZ">#REF!</definedName>
    <definedName name="BExZSS0LA2JY4ZLJ1Z5YCMLJJZCH">#REF!</definedName>
    <definedName name="BExZTAQV2QVSZY5Y3VCCWUBSBW9P">#REF!</definedName>
    <definedName name="BExZTHSI2FX56PWRSNX9H5EWTZFO">#REF!</definedName>
    <definedName name="BExZTJL3HVBFY139H6CJHEQCT1EL">#REF!</definedName>
    <definedName name="BExZTLOL8OPABZI453E0KVNA1GJS">#REF!</definedName>
    <definedName name="BExZTSQ7ZMSPPWGE768UXS0QGD6Z">#REF!</definedName>
    <definedName name="BExZTT6J3X0TOX0ZY6YPLUVMCW9X">#REF!</definedName>
    <definedName name="BExZTW6ECBRA0BBITWBQ8R93RMCL">#REF!</definedName>
    <definedName name="BExZU2BHYAOKSCBM3C5014ZF6IXS">#REF!</definedName>
    <definedName name="BExZU2RMJTXOCS0ROPMYPE6WTD87">#REF!</definedName>
    <definedName name="BExZUF7G8FENTJKH9R1XUWXM6CWD">#REF!</definedName>
    <definedName name="BExZUGJXXOPRGZWK4YTPEBDQ06SP">#REF!</definedName>
    <definedName name="BExZUJ92PCGDUJSFNXUW5CWMOTDV">#REF!</definedName>
    <definedName name="BExZUNARUJBIZ08VCAV3GEVBIR3D">#REF!</definedName>
    <definedName name="BExZUSZT5496UMBP4LFSLTR1GVEW">#REF!</definedName>
    <definedName name="BExZUT54340I38GVCV79EL116WR0">#REF!</definedName>
    <definedName name="BExZUYDULCX65H9OZ9JHPBNKF3MI">#REF!</definedName>
    <definedName name="BExZV2QD5ZDK3AGDRULLA7JB46C3">#REF!</definedName>
    <definedName name="BExZVBQ29OM0V8XAL3HL0JIM0MMU">#REF!</definedName>
    <definedName name="BExZVEPYS6HYXG8RN9GMWZTHDEMK">#REF!</definedName>
    <definedName name="BExZVLM4T9ORS4ZWHME46U4Q103C">#REF!</definedName>
    <definedName name="BExZVM7OZWPPRH5YQW50EYMMIW1A">#REF!</definedName>
    <definedName name="BExZVOM0192EZHX3CR3H5AE8L90P">#REF!</definedName>
    <definedName name="BExZVPYGX2C5OSHMZ6F0KBKZ6B1S">#REF!</definedName>
    <definedName name="BExZW5UARC8W9AQNLJX2I5WQWS5F">#REF!</definedName>
    <definedName name="BExZW7HRGN6A9YS41KI2B2UUMJ7X">#REF!</definedName>
    <definedName name="BExZW8ZPNV43UXGOT98FDNIBQHZY">#REF!</definedName>
    <definedName name="BExZWH8CWI30K4F8NGRSV6Z6DLHL">#REF!</definedName>
    <definedName name="BExZWKZ5N3RDXU8MZ8HQVYYD8O0F">#REF!</definedName>
    <definedName name="BExZWS6303FDMH2D71VLXR1LWM0W">#REF!</definedName>
    <definedName name="BExZWSMC9T48W74GFGQCIUJ8ZPP3">#REF!</definedName>
    <definedName name="BExZWUF2V4HY3HI8JN9ZVPRWK1H3">#REF!</definedName>
    <definedName name="BExZWX45URTK9KYDJHEXL1OTZ833">#REF!</definedName>
    <definedName name="BExZX0EWQEZO86WDAD9A4EAEZ012">#REF!</definedName>
    <definedName name="BExZX2T6ZT2DZLYSDJJBPVIT5OK2">#REF!</definedName>
    <definedName name="BExZXOJDELULNLEH7WG0OYJT0NJ4">#REF!</definedName>
    <definedName name="BExZXOOTRNUK8LGEAZ8ZCFW9KXQ1">#REF!</definedName>
    <definedName name="BExZXT6IPXWIGJJI3C72RLGEQJ1L">#REF!</definedName>
    <definedName name="BExZXT6JOXNKEDU23DKL8XZAJZIH">#REF!</definedName>
    <definedName name="BExZXUJ4ZBP208CJRSPXDAW6XI52">#REF!</definedName>
    <definedName name="BExZXUTYW1HWEEZ1LIX4OQWC7HL1">#REF!</definedName>
    <definedName name="BExZXY4NKQL9QD76YMQJ15U1C2G8">#REF!</definedName>
    <definedName name="BExZXYQ7U5G08FQGUIGYT14QCBOF">#REF!</definedName>
    <definedName name="BExZY02V77YJBMODJSWZOYCMPS5X">#REF!</definedName>
    <definedName name="BExZY49QRZIR6CA41LFA9LM6EULU">#REF!</definedName>
    <definedName name="BExZYC7QX4126B118BLBUX9IBQGP">#REF!</definedName>
    <definedName name="BExZYPUM1JDXRAGGY2GXH5IOF6XY">#REF!</definedName>
    <definedName name="BExZZ2FQA9A8C7CJKMEFQ9VPSLCE">#REF!</definedName>
    <definedName name="BExZZCHAVHW8C2H649KRGVQ0WVRT">#REF!</definedName>
    <definedName name="BExZZTK54OTLF2YB68BHGOS27GEN">#REF!</definedName>
    <definedName name="BExZZXB3JQQG4SIZS4MRU6NNW7HI">#REF!</definedName>
    <definedName name="BExZZYNLM89C8LZH66F52TSGUGV9">#REF!</definedName>
    <definedName name="BExZZZEMIIFKMLLV4DJKX5TB9R5V">#REF!</definedName>
    <definedName name="BFilter">#REF!</definedName>
    <definedName name="BFilterRange">#REF!</definedName>
    <definedName name="bfl">#REF!</definedName>
    <definedName name="bflsoftware">#REF!</definedName>
    <definedName name="bg">#REF!</definedName>
    <definedName name="BG_Del" hidden="1">15</definedName>
    <definedName name="BG_Ins" hidden="1">4</definedName>
    <definedName name="BG_Mod" hidden="1">6</definedName>
    <definedName name="bg3sheet">#REF!</definedName>
    <definedName name="bgb" hidden="1">{#N/A,#N/A,FALSE,"Pharm";#N/A,#N/A,FALSE,"WWCM"}</definedName>
    <definedName name="bgisheet">#REF!</definedName>
    <definedName name="BGXCBCVBCVB">#REF!</definedName>
    <definedName name="BharatPetroleum">#REF!</definedName>
    <definedName name="bhartiship">#REF!</definedName>
    <definedName name="BHAS">{"'OCT  VOIDS'!$A$1:$G$33","'OCT '!$A$1:$G$48","'OCT Adj'!$A$1:$L$37"}</definedName>
    <definedName name="bhel">#REF!</definedName>
    <definedName name="BHGJ">#REF!</definedName>
    <definedName name="BHP">#REF!</definedName>
    <definedName name="bhsdf">#REF!</definedName>
    <definedName name="bhsdf_1">#REF!</definedName>
    <definedName name="bhsdf_2">#REF!</definedName>
    <definedName name="bhsdf_3">#REF!</definedName>
    <definedName name="bhsdf_4">#REF!</definedName>
    <definedName name="bhu12van">{"'subnets'!$A$1:$F$20"}</definedName>
    <definedName name="BHUVAN">{"'subnets'!$A$1:$F$20"}</definedName>
    <definedName name="BHUVAN_1">{"'subnets'!$A$1:$F$20"}</definedName>
    <definedName name="BHUVAN_2">{"'subnets'!$A$1:$F$20"}</definedName>
    <definedName name="BHUVAN_3">{"'subnets'!$A$1:$F$20"}</definedName>
    <definedName name="BHUVAN_4">{"'subnets'!$A$1:$F$20"}</definedName>
    <definedName name="BHUVAN_5">{"'subnets'!$A$1:$F$20"}</definedName>
    <definedName name="bi">#REF!</definedName>
    <definedName name="bienes">{"'ASIENTOS'!$C$11:$G$144"}</definedName>
    <definedName name="big_sorting">#REF!</definedName>
    <definedName name="BII">#REF!</definedName>
    <definedName name="bill" hidden="1">{"Page1",#N/A,FALSE,"CF WKSHT";"Page2",#N/A,FALSE,"CF WKSHT"}</definedName>
    <definedName name="Billable_Hours_for_IBS">#REF!</definedName>
    <definedName name="billdate">#REF!</definedName>
    <definedName name="BILLING_RATE">#REF!</definedName>
    <definedName name="Billings">#REF!</definedName>
    <definedName name="BillMkt1">#REF!</definedName>
    <definedName name="BillMkt10">#REF!</definedName>
    <definedName name="BillMkt11">#REF!</definedName>
    <definedName name="BillMkt2">#REF!</definedName>
    <definedName name="BillMkt3">#REF!</definedName>
    <definedName name="BillMkt4">#REF!</definedName>
    <definedName name="BillMkt5">#REF!</definedName>
    <definedName name="BillMkt6">#REF!</definedName>
    <definedName name="BillMkt7">#REF!</definedName>
    <definedName name="BillMkt8">#REF!</definedName>
    <definedName name="BillMkt9">#REF!</definedName>
    <definedName name="BillTtl">#REF!</definedName>
    <definedName name="BIP">#REF!</definedName>
    <definedName name="BIS_Table">#REF!</definedName>
    <definedName name="BIT">#REF!</definedName>
    <definedName name="bk">#REF!</definedName>
    <definedName name="bkbal1">#REF!</definedName>
    <definedName name="bkbal2">#REF!</definedName>
    <definedName name="bkj">{"'Sheet1'!$A$5:$E$42"}</definedName>
    <definedName name="bkod">#REF!</definedName>
    <definedName name="bl" hidden="1">{#N/A,#N/A,TRUE,"CPRD";#N/A,#N/A,TRUE,"BCCPDR";#N/A,#N/A,TRUE,"EWRD";#N/A,#N/A,TRUE,"5100";#N/A,#N/A,TRUE,"5110"}</definedName>
    <definedName name="Blah" hidden="1">#REF!</definedName>
    <definedName name="blank" hidden="1">#REF!</definedName>
    <definedName name="blank1" hidden="1">#REF!</definedName>
    <definedName name="Blanket">#REF!</definedName>
    <definedName name="blaw">#REF!</definedName>
    <definedName name="BLDG">#REF!</definedName>
    <definedName name="BLDGIMP">#REF!</definedName>
    <definedName name="BLDGREV">#REF!</definedName>
    <definedName name="BLPB1">#REF!</definedName>
    <definedName name="BLPB10">#REF!</definedName>
    <definedName name="BLPB11">#REF!</definedName>
    <definedName name="BLPB113">#REF!</definedName>
    <definedName name="BLPB12">#REF!</definedName>
    <definedName name="BLPB13">#REF!</definedName>
    <definedName name="BLPB14">#REF!</definedName>
    <definedName name="BLPB15">#REF!</definedName>
    <definedName name="BLPB16">#REF!</definedName>
    <definedName name="BLPB17">#REF!</definedName>
    <definedName name="BLPB18">#REF!</definedName>
    <definedName name="BLPB19">#REF!</definedName>
    <definedName name="BLPB2">#REF!</definedName>
    <definedName name="BLPB20">#REF!</definedName>
    <definedName name="BLPB21">#REF!</definedName>
    <definedName name="BLPB22">#REF!</definedName>
    <definedName name="BLPB23">#REF!</definedName>
    <definedName name="BLPB24">#REF!</definedName>
    <definedName name="BLPB25">#REF!</definedName>
    <definedName name="BLPB26">#REF!</definedName>
    <definedName name="BLPB27">#REF!</definedName>
    <definedName name="BLPB28">#REF!</definedName>
    <definedName name="BLPB29">#REF!</definedName>
    <definedName name="BLPB3">#REF!</definedName>
    <definedName name="BLPB30">#REF!</definedName>
    <definedName name="BLPB31">#REF!</definedName>
    <definedName name="BLPB32">#REF!</definedName>
    <definedName name="BLPB33">#REF!</definedName>
    <definedName name="BLPB34">#REF!</definedName>
    <definedName name="BLPB35">#REF!</definedName>
    <definedName name="BLPB36">#REF!</definedName>
    <definedName name="BLPB37">#REF!</definedName>
    <definedName name="BLPB38">#REF!</definedName>
    <definedName name="BLPB39">#REF!</definedName>
    <definedName name="BLPB4">#REF!</definedName>
    <definedName name="BLPB40">#REF!</definedName>
    <definedName name="BLPB41">#REF!</definedName>
    <definedName name="BLPB42">#REF!</definedName>
    <definedName name="BLPB43">#REF!</definedName>
    <definedName name="BLPB44">#REF!</definedName>
    <definedName name="BLPB45">#REF!</definedName>
    <definedName name="BLPB46">#REF!</definedName>
    <definedName name="BLPB47">#REF!</definedName>
    <definedName name="BLPB48">#REF!</definedName>
    <definedName name="BLPB49">#REF!</definedName>
    <definedName name="BLPB5">#REF!</definedName>
    <definedName name="BLPB50">#REF!</definedName>
    <definedName name="BLPB51">#REF!</definedName>
    <definedName name="BLPB52">#REF!</definedName>
    <definedName name="BLPB53">#REF!</definedName>
    <definedName name="BLPB54">#REF!</definedName>
    <definedName name="BLPB55">#REF!</definedName>
    <definedName name="BLPB56">#REF!</definedName>
    <definedName name="BLPB57">#REF!</definedName>
    <definedName name="BLPB58">#REF!</definedName>
    <definedName name="BLPB59">#REF!</definedName>
    <definedName name="BLPB6">#REF!</definedName>
    <definedName name="BLPB60">#REF!</definedName>
    <definedName name="BLPB61">#REF!</definedName>
    <definedName name="BLPB62">#REF!</definedName>
    <definedName name="BLPB7">#REF!</definedName>
    <definedName name="BLPB8">#REF!</definedName>
    <definedName name="BLPB9">#REF!</definedName>
    <definedName name="BLPH1">#REF!</definedName>
    <definedName name="BLPH10" hidden="1">#REF!</definedName>
    <definedName name="BLPH1001">#REF!</definedName>
    <definedName name="BLPH1002">#REF!</definedName>
    <definedName name="BLPH1003">#REF!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#REF!</definedName>
    <definedName name="BLPH24">#REF!</definedName>
    <definedName name="BLPH28">#REF!</definedName>
    <definedName name="BLPH29">#REF!</definedName>
    <definedName name="BLPH3" hidden="1">#REF!</definedName>
    <definedName name="BLPH30">#REF!</definedName>
    <definedName name="BLPH4" hidden="1">#REF!</definedName>
    <definedName name="BLPH5" hidden="1">#REF!</definedName>
    <definedName name="BLPH58">#REF!</definedName>
    <definedName name="BLPH59">#REF!</definedName>
    <definedName name="BLPH6" hidden="1">#REF!</definedName>
    <definedName name="BLPH60">#REF!</definedName>
    <definedName name="BLPH62">#REF!</definedName>
    <definedName name="BLPH63">#REF!</definedName>
    <definedName name="BLPH64">#REF!</definedName>
    <definedName name="BLPH65">#REF!</definedName>
    <definedName name="BLPH67">#REF!</definedName>
    <definedName name="BLPH7" hidden="1">#REF!</definedName>
    <definedName name="BLPH8" hidden="1">#REF!</definedName>
    <definedName name="BLPH9" hidden="1">#REF!</definedName>
    <definedName name="BLR">#REF!</definedName>
    <definedName name="BlrChemCost">#REF!</definedName>
    <definedName name="blu" hidden="1">{#N/A,#N/A,FALSE,"Taxblinc";#N/A,#N/A,FALSE,"Rsvsacls"}</definedName>
    <definedName name="bn" hidden="1">{#N/A,#N/A,FALSE,"Aging Summary";#N/A,#N/A,FALSE,"Ratio Analysis";#N/A,#N/A,FALSE,"Test 120 Day Accts";#N/A,#N/A,FALSE,"Tickmarks"}</definedName>
    <definedName name="bn_3">#REF!</definedName>
    <definedName name="BNE_MESSAGES_HIDDEN" hidden="1">#REF!</definedName>
    <definedName name="BNIU">#REF!</definedName>
    <definedName name="bnm">#REF!</definedName>
    <definedName name="bnmbmm">#REF!</definedName>
    <definedName name="bnmbnm">#REF!</definedName>
    <definedName name="bnmbnmb">#REF!</definedName>
    <definedName name="bnmbnmbn">#REF!</definedName>
    <definedName name="bnmbnmm">#REF!</definedName>
    <definedName name="bnmmnb">#REF!</definedName>
    <definedName name="bnnbbn" hidden="1">#REF!</definedName>
    <definedName name="BNUSRECON">#REF!</definedName>
    <definedName name="BO">#REF!</definedName>
    <definedName name="Board_Length">#REF!</definedName>
    <definedName name="Board_Length..">#REF!</definedName>
    <definedName name="bob">37474.712337963</definedName>
    <definedName name="Bobbie">#REF!</definedName>
    <definedName name="BOC">#REF!</definedName>
    <definedName name="BOD_BS">{"'debtors'!$A$1:$I$305","'debtors'!$A$1:$J$285"}</definedName>
    <definedName name="BOE.MN">#REF!</definedName>
    <definedName name="BOH_TOTAL">#N/A</definedName>
    <definedName name="BOH_UC">#N/A</definedName>
    <definedName name="BOHAMT">#N/A</definedName>
    <definedName name="BOHQTY">#N/A</definedName>
    <definedName name="boi">#REF!</definedName>
    <definedName name="bol">#REF!</definedName>
    <definedName name="BOM_MPS">#REF!</definedName>
    <definedName name="BOM_PRET">#REF!</definedName>
    <definedName name="BOM_SCL">#REF!</definedName>
    <definedName name="boml">#REF!</definedName>
    <definedName name="bongo">#REF!</definedName>
    <definedName name="BONUS">#REF!</definedName>
    <definedName name="BonusAmount">#REF!</definedName>
    <definedName name="BonusCheck_Red1">OFFSET(#REF!,1,0, EmpCount,14)</definedName>
    <definedName name="BonusCheck_Red2">OFFSET(#REF!,1,0, EmpCount,39)</definedName>
    <definedName name="BONUSCKS">#REF!</definedName>
    <definedName name="BonusFee">#REF!</definedName>
    <definedName name="BonusPaidAmount">#REF!</definedName>
    <definedName name="BonusTaxAmount">#REF!</definedName>
    <definedName name="boo">#REF!</definedName>
    <definedName name="Book">#REF!</definedName>
    <definedName name="BOOK_Q1">#REF!</definedName>
    <definedName name="BOOK_Q2">#REF!</definedName>
    <definedName name="BOOK_Q3">#REF!</definedName>
    <definedName name="BOOK_Q4">#REF!</definedName>
    <definedName name="book1">#REF!</definedName>
    <definedName name="bookdepr">#REF!</definedName>
    <definedName name="BOOKVALUE">#REF!</definedName>
    <definedName name="BORD">#REF!</definedName>
    <definedName name="BORDERS">#REF!</definedName>
    <definedName name="BORFEB7">#REF!</definedName>
    <definedName name="borina" hidden="1">{#N/A,#N/A,TRUE,"CPRD";#N/A,#N/A,TRUE,"BCCPDR";#N/A,#N/A,TRUE,"EWRD";#N/A,#N/A,TRUE,"5100";#N/A,#N/A,TRUE,"5110"}</definedName>
    <definedName name="borousek" hidden="1">{#N/A,#N/A,TRUE,"CPRD";#N/A,#N/A,TRUE,"BCCPDR";#N/A,#N/A,TRUE,"EWRD";#N/A,#N/A,TRUE,"5100";#N/A,#N/A,TRUE,"5110"}</definedName>
    <definedName name="botl">#REF!</definedName>
    <definedName name="botn">#REF!</definedName>
    <definedName name="Bottles_IU_Detail">#REF!</definedName>
    <definedName name="boxes">#REF!</definedName>
    <definedName name="boxes1">#REF!</definedName>
    <definedName name="BP">#REF!</definedName>
    <definedName name="BPC_DMFILEINFO_SUBTASK__" hidden="1">"ConversionFiles"</definedName>
    <definedName name="BPC_DMFILEINFO_TASK__" hidden="1">"DataManager"</definedName>
    <definedName name="BPCL">#REF!</definedName>
    <definedName name="bpd" hidden="1">{#N/A,#N/A,TRUE,"Condensed IS";#N/A,#N/A,TRUE,"Condensed BS";#N/A,#N/A,TRUE,"Outlook";#N/A,#N/A,TRUE,"Condensed CF";#N/A,#N/A,TRUE,"Condensed CF - qtr"}</definedName>
    <definedName name="bpint">#REF!</definedName>
    <definedName name="BPR_01" hidden="1">{#N/A,#N/A,FALSE,"BS";#N/A,#N/A,FALSE,"PL";#N/A,#N/A,FALSE,"처분";#N/A,#N/A,FALSE,"현금";#N/A,#N/A,FALSE,"매출";#N/A,#N/A,FALSE,"원가";#N/A,#N/A,FALSE,"경영"}</definedName>
    <definedName name="BRanch__Sales___Aug">#REF!</definedName>
    <definedName name="brcd">#REF!</definedName>
    <definedName name="BREDFORD">#REF!</definedName>
    <definedName name="brian">#REF!</definedName>
    <definedName name="brk">#REF!</definedName>
    <definedName name="BROWN">#REF!</definedName>
    <definedName name="Brunei">#REF!</definedName>
    <definedName name="BS">'Balance Sheet'!$A$1:$AZ$71</definedName>
    <definedName name="bs_3">#REF!</definedName>
    <definedName name="BS_convertpref">#REF!</definedName>
    <definedName name="bs_date">#REF!</definedName>
    <definedName name="BS_deferredcomp">#REF!</definedName>
    <definedName name="BS_discontoper">#REF!</definedName>
    <definedName name="BS_goodwill">#REF!</definedName>
    <definedName name="BS_Inp1">#REF!,#REF!,#REF!,#REF!,#REF!,#REF!,#REF!,#REF!,#REF!,#REF!,#REF!,#REF!,#REF!,#REF!,#REF!</definedName>
    <definedName name="BS_Inp2">#REF!,#REF!,#REF!,#REF!,#REF!,#REF!,#REF!,#REF!,#REF!,#REF!,#REF!,#REF!,#REF!,#REF!,#REF!,#REF!,#REF!,#REF!,#REF!,#REF!,#REF!</definedName>
    <definedName name="BS_Inp3">#REF!,#REF!,#REF!,#REF!,#REF!,#REF!,#REF!,#REF!,#REF!,#REF!,#REF!,#REF!,#REF!,#REF!,#REF!,#REF!,#REF!,#REF!,#REF!</definedName>
    <definedName name="BS_Inp4">#REF!,#REF!,#REF!,#REF!,#REF!,#REF!,#REF!,#REF!,#REF!,#REF!</definedName>
    <definedName name="BS_inventories">#REF!</definedName>
    <definedName name="BS_receivables">#REF!</definedName>
    <definedName name="BS_straightpref">#REF!</definedName>
    <definedName name="BS_T">#REF!</definedName>
    <definedName name="BS_기">#REF!,#REF!,#REF!,#REF!,#REF!,#REF!,#REF!</definedName>
    <definedName name="BS_월">#REF!,#REF!,#REF!,#REF!,#REF!,#REF!</definedName>
    <definedName name="BS_잔">#REF!,#REF!</definedName>
    <definedName name="BS_후">#REF!,#REF!,#REF!,#REF!,#REF!,#REF!</definedName>
    <definedName name="BS2002vs2001">#REF!</definedName>
    <definedName name="BSa">#REF!</definedName>
    <definedName name="bsapraud">#REF!</definedName>
    <definedName name="bsaprhkd">#REF!</definedName>
    <definedName name="bsaprsgd">#REF!</definedName>
    <definedName name="bsaprthb">#REF!</definedName>
    <definedName name="bsaprtwd">#REF!</definedName>
    <definedName name="bsaud">#REF!</definedName>
    <definedName name="bsaudhkd">#REF!</definedName>
    <definedName name="bsaudsgd">#REF!</definedName>
    <definedName name="bsaudthb">#REF!</definedName>
    <definedName name="bsaugaud">#REF!</definedName>
    <definedName name="bsaughkd">#REF!</definedName>
    <definedName name="bsaugsgd">#REF!</definedName>
    <definedName name="bsaugthb">#REF!</definedName>
    <definedName name="bsaugtwd">#REF!</definedName>
    <definedName name="BSb">#REF!</definedName>
    <definedName name="BSC">{"'MIS format'!$B$2:$W$101"}</definedName>
    <definedName name="BSDec07">#REF!</definedName>
    <definedName name="BSES">#REF!</definedName>
    <definedName name="bsfebaud">#REF!</definedName>
    <definedName name="bsfebhkd">#REF!</definedName>
    <definedName name="bsfebsgd">#REF!</definedName>
    <definedName name="bsfebthb">#REF!</definedName>
    <definedName name="bsfebtwd">#REF!</definedName>
    <definedName name="BSgpg_1">#REF!</definedName>
    <definedName name="BSGR">#REF!</definedName>
    <definedName name="BSGROUP">{"'Sch B'!$B$15:$L$17"}</definedName>
    <definedName name="BSgrouping_1">#REF!</definedName>
    <definedName name="BSgrouuping_2">#REF!</definedName>
    <definedName name="bshkd">#REF!</definedName>
    <definedName name="bsjanaud">#REF!</definedName>
    <definedName name="bsjanhkd">#REF!</definedName>
    <definedName name="bsjansgd">#REF!</definedName>
    <definedName name="bsjanthb">#REF!</definedName>
    <definedName name="bsjantwd">#REF!</definedName>
    <definedName name="bsjulaud">#REF!</definedName>
    <definedName name="bsjulhkd">#REF!</definedName>
    <definedName name="bsjulsgd">#REF!</definedName>
    <definedName name="bsjulthb">#REF!</definedName>
    <definedName name="bsjultwd">#REF!</definedName>
    <definedName name="bsjunaud">#REF!</definedName>
    <definedName name="bsjunhkd">#REF!</definedName>
    <definedName name="bsjunsgd">#REF!</definedName>
    <definedName name="bsjunthb">#REF!</definedName>
    <definedName name="bsjuntwd">#REF!</definedName>
    <definedName name="BSM">#REF!</definedName>
    <definedName name="BSM_12">#REF!</definedName>
    <definedName name="bsmaraud">#REF!</definedName>
    <definedName name="bsmarhkd">#REF!</definedName>
    <definedName name="bsmarsgd">#REF!</definedName>
    <definedName name="bsmarthb">#REF!</definedName>
    <definedName name="bsmartwd">#REF!</definedName>
    <definedName name="bsmayaud">#REF!</definedName>
    <definedName name="bsmayhkd">#REF!</definedName>
    <definedName name="bsmaysgd">#REF!</definedName>
    <definedName name="bsmaythb">#REF!</definedName>
    <definedName name="bsmaytwd">#REF!</definedName>
    <definedName name="bsNote">#REF!</definedName>
    <definedName name="bsnovaud">#REF!</definedName>
    <definedName name="bsnovhkd">#REF!</definedName>
    <definedName name="bsnovsgd">#REF!</definedName>
    <definedName name="bsnovthb">#REF!</definedName>
    <definedName name="bsnovtwd">#REF!</definedName>
    <definedName name="bsoctaud">#REF!</definedName>
    <definedName name="bsocthkd">#REF!</definedName>
    <definedName name="bsoctsgd">#REF!</definedName>
    <definedName name="bsoctthb">#REF!</definedName>
    <definedName name="bsocttwd">#REF!</definedName>
    <definedName name="BSP_LSCH">#REF!</definedName>
    <definedName name="BSP_White">#REF!</definedName>
    <definedName name="bspbc">#REF!</definedName>
    <definedName name="BSSCH">{"'Sch B'!$B$15:$L$17"}</definedName>
    <definedName name="bssepaud">#REF!</definedName>
    <definedName name="bssephkd">#REF!</definedName>
    <definedName name="bssepsgd">#REF!</definedName>
    <definedName name="bssepthb">#REF!</definedName>
    <definedName name="bsseptwd">#REF!</definedName>
    <definedName name="bssgd">#REF!</definedName>
    <definedName name="bssummth">#REF!</definedName>
    <definedName name="bsthb">#REF!</definedName>
    <definedName name="bstwd">#REF!</definedName>
    <definedName name="bsytd">#REF!</definedName>
    <definedName name="bs일">#REF!</definedName>
    <definedName name="BS지사" hidden="1">{#N/A,#N/A,TRUE,"Summary";#N/A,#N/A,TRUE,"IS";#N/A,#N/A,TRUE,"Adj";#N/A,#N/A,TRUE,"BS";#N/A,#N/A,TRUE,"CF";#N/A,#N/A,TRUE,"Debt";#N/A,#N/A,TRUE,"IRR"}</definedName>
    <definedName name="BS차이내역" hidden="1">{#N/A,#N/A,FALSE,"정공"}</definedName>
    <definedName name="bthtgbhtrnhjy">#REF!</definedName>
    <definedName name="bthtgbhtrnhjy_1">#REF!</definedName>
    <definedName name="bthtgbhtrnhjy_2">#REF!</definedName>
    <definedName name="bthtgbhtrnhjy_3">#REF!</definedName>
    <definedName name="bthtgbhtrnhjy_4">#REF!</definedName>
    <definedName name="btnClose">#REF!</definedName>
    <definedName name="btnFootNoting">#REF!</definedName>
    <definedName name="btnNext">#REF!</definedName>
    <definedName name="btnOK">#REF!</definedName>
    <definedName name="btnPrevious">#REF!</definedName>
    <definedName name="btnReturn">#REF!</definedName>
    <definedName name="BTSINFO_991Q">#REF!</definedName>
    <definedName name="BTSINFO_992Q">#REF!</definedName>
    <definedName name="BTSINFO_팀구분">#REF!</definedName>
    <definedName name="BU">#REF!</definedName>
    <definedName name="bua">#REF!</definedName>
    <definedName name="buck">#REF!</definedName>
    <definedName name="BUD">#REF!</definedName>
    <definedName name="BUD..">#REF!</definedName>
    <definedName name="Budget">#REF!</definedName>
    <definedName name="Budget_Text">#REF!</definedName>
    <definedName name="BUDGET_YEAR">#REF!</definedName>
    <definedName name="BUDGETCURRENCYCODE1">#REF!</definedName>
    <definedName name="BUDGETDECIMALPLACES1">#REF!</definedName>
    <definedName name="BUDGETENDPERIODYEAR1">#REF!</definedName>
    <definedName name="BUDGETENTITYID1">#REF!</definedName>
    <definedName name="BudgetFY">#REF!</definedName>
    <definedName name="BUDGETGRAPHCORRESPONDING1">#REF!</definedName>
    <definedName name="BUDGETGRAPHINCACTUALS1">#REF!</definedName>
    <definedName name="BUDGETGRAPHINCBUDGETS1">#REF!</definedName>
    <definedName name="BUDGETGRAPHINCTITLES1">#REF!</definedName>
    <definedName name="BUDGETGRAPHINCVARIANCES1">#REF!</definedName>
    <definedName name="BUDGETGRAPHSTYLE1">#REF!</definedName>
    <definedName name="BUDGETHEADINGSBACKCOLOUR1">#REF!</definedName>
    <definedName name="BUDGETHEADINGSFORECOLOUR1">#REF!</definedName>
    <definedName name="BUDGETNAME1">#REF!</definedName>
    <definedName name="BUDGETORG1">#REF!</definedName>
    <definedName name="BUDGETORGFROZEN1">#REF!</definedName>
    <definedName name="BUDGETOUTPUTOPTION1">#REF!</definedName>
    <definedName name="BUDGETPASSWORDREQUIREDFLAG1">#REF!</definedName>
    <definedName name="BUDGETSHOWCRITERIASHEET1">#REF!</definedName>
    <definedName name="BudgetStart">#REF!</definedName>
    <definedName name="BUDGETSTARTPERIODSTARTDATE1">#REF!</definedName>
    <definedName name="BUDGETSTARTPERIODYEAR1">#REF!</definedName>
    <definedName name="BUDGETSTATUS1">#REF!</definedName>
    <definedName name="BUDGETTITLEBACKCOLOUR1">#REF!</definedName>
    <definedName name="BUDGETTITLEBORDERCOLOUR1">#REF!</definedName>
    <definedName name="BUDGETTITLEFORECOLOUR1">#REF!</definedName>
    <definedName name="BUDGETVALUESWIDTH1">#REF!</definedName>
    <definedName name="BUDGETVERSIONID1">#REF!</definedName>
    <definedName name="bug">#REF!</definedName>
    <definedName name="Building">#REF!</definedName>
    <definedName name="BuiltIn_AutoFilter___3">#REF!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___0___0___0___0">#REF!</definedName>
    <definedName name="BuiltIn_Print_Area___0___0___0___0___0___0___0___0___0___0___0___0___0___0___0___0___0___0">#REF!</definedName>
    <definedName name="BuiltIn_Print_Area___0___0___0___0___0___0___0___0___0___0___0___0___0___0___0___0___0___0___0___0">#REF!</definedName>
    <definedName name="BuiltIn_Print_Area___0___0___0___0___0___0___0___0___0___0___0___0___0___0___0___0___0___0___0___0___0___0">#REF!</definedName>
    <definedName name="BuiltIn_Print_Area___0___0___0___0___0___0___0___0___0___0___0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___0___0">#REF!</definedName>
    <definedName name="BuiltIn_Print_Titles___0___0___0___0___0___0___0___0___0___0___0">#REF!</definedName>
    <definedName name="BULKHEAD">#REF!</definedName>
    <definedName name="BULKHEAD..">#REF!</definedName>
    <definedName name="bullshit">#REF!</definedName>
    <definedName name="BUNAME">#REF!</definedName>
    <definedName name="BUS">#REF!</definedName>
    <definedName name="Business_dropdown">#REF!</definedName>
    <definedName name="BUSINESS_UNIT">#REF!</definedName>
    <definedName name="Businessindia">#REF!</definedName>
    <definedName name="BusMGT">#REF!</definedName>
    <definedName name="BUSNAME">#REF!</definedName>
    <definedName name="BUTIBORI">#REF!</definedName>
    <definedName name="Button_1">"X05_97_May97_List"</definedName>
    <definedName name="ButtonAdded">"ThisButtonAdded"</definedName>
    <definedName name="buuk" hidden="1">#REF!</definedName>
    <definedName name="BUV">#REF!</definedName>
    <definedName name="bv">#REF!</definedName>
    <definedName name="bvcx">#REF!</definedName>
    <definedName name="bvcx_1">#REF!</definedName>
    <definedName name="bvhl">#REF!</definedName>
    <definedName name="bvhl_1">#REF!</definedName>
    <definedName name="bvmmm">#REF!</definedName>
    <definedName name="BW">#REF!</definedName>
    <definedName name="BW..">#REF!</definedName>
    <definedName name="BYD_MGG_ASCA_facility">#REF!</definedName>
    <definedName name="C.01">#REF!</definedName>
    <definedName name="C.02">#REF!</definedName>
    <definedName name="C.03">#REF!</definedName>
    <definedName name="C.04">#REF!</definedName>
    <definedName name="c.LTMYear">#REF!</definedName>
    <definedName name="C_">#REF!</definedName>
    <definedName name="C__1">NA()</definedName>
    <definedName name="C_2">#REF!</definedName>
    <definedName name="C_value">#REF!</definedName>
    <definedName name="C_valueneu">#REF!</definedName>
    <definedName name="ca">#REF!</definedName>
    <definedName name="CA_CE">#REF!</definedName>
    <definedName name="CA_OE">#REF!</definedName>
    <definedName name="CA_PN">#REF!</definedName>
    <definedName name="cad">#REF!</definedName>
    <definedName name="Cadbury">#REF!</definedName>
    <definedName name="cade">#REF!</definedName>
    <definedName name="cads">#REF!</definedName>
    <definedName name="cadsf">#REF!</definedName>
    <definedName name="caega">#REF!</definedName>
    <definedName name="caer">#REF!</definedName>
    <definedName name="CaExMod97">#REF!</definedName>
    <definedName name="CaExMod98">#REF!</definedName>
    <definedName name="cagare">#REF!</definedName>
    <definedName name="CAL">#REF!</definedName>
    <definedName name="Cal98_Line1P">#REF!</definedName>
    <definedName name="Cal98_Line2P">#REF!</definedName>
    <definedName name="Cal98_Line3P">#REF!</definedName>
    <definedName name="Cal98_Line4P">#REF!</definedName>
    <definedName name="Cal98_Line5P">#REF!</definedName>
    <definedName name="Cal98_Line6P">#REF!</definedName>
    <definedName name="CALC">#REF!</definedName>
    <definedName name="CALC_DATA">#REF!</definedName>
    <definedName name="CalcAgencyPrice">#REF!</definedName>
    <definedName name="CalcAgencyPrice.">#REF!</definedName>
    <definedName name="calculations">#REF!</definedName>
    <definedName name="Calculations_FooterType">"INTERNAL"</definedName>
    <definedName name="cali" hidden="1">{#N/A,#N/A,FALSE,"Pharm";#N/A,#N/A,FALSE,"WWCM"}</definedName>
    <definedName name="CALIFORNIA">"AS2DocumentBrowse"</definedName>
    <definedName name="callidus">Allx3,Allx4,Allx5</definedName>
    <definedName name="CalLine1">#REF!</definedName>
    <definedName name="CalLine1P">#REF!</definedName>
    <definedName name="CalLine2">#REF!</definedName>
    <definedName name="CalLine2P">#REF!</definedName>
    <definedName name="CalLine3">#REF!</definedName>
    <definedName name="CalLine3P">#REF!</definedName>
    <definedName name="CalLine4">#REF!</definedName>
    <definedName name="CalLine4P">#REF!</definedName>
    <definedName name="CalLine5">#REF!</definedName>
    <definedName name="CalLine5P">#REF!</definedName>
    <definedName name="CalLine6">#REF!</definedName>
    <definedName name="CalLine6P">#REF!</definedName>
    <definedName name="Cambodia">#REF!</definedName>
    <definedName name="canarabank">#REF!</definedName>
    <definedName name="Cap">#REF!</definedName>
    <definedName name="CAPA9798" hidden="1">{#N/A,#N/A,FALSE,"P.C.B"}</definedName>
    <definedName name="Capa변동">{"'Sheet1'!$A$1:$H$36"}</definedName>
    <definedName name="CAPBOH">#N/A</definedName>
    <definedName name="CAPEOH">#N/A</definedName>
    <definedName name="CapEx">#REF!</definedName>
    <definedName name="CapEx2">#REF!</definedName>
    <definedName name="capgains">#REF!</definedName>
    <definedName name="CAPIN_CUM">#REF!</definedName>
    <definedName name="CAPIN_FINAL">#REF!</definedName>
    <definedName name="CAPINVEST">#REF!</definedName>
    <definedName name="capital">#REF!</definedName>
    <definedName name="Capital___Reserves">#REF!</definedName>
    <definedName name="capital2" hidden="1">{#N/A,#N/A,TRUE,"Key Indices";#N/A,#N/A,TRUE,"Mfg Spending";#N/A,#N/A,TRUE,"Mfg Spending Per Unit";#N/A,#N/A,TRUE,"Spending by Organization";#N/A,#N/A,TRUE,"Inventory";#N/A,#N/A,TRUE,"IDM";#N/A,#N/A,TRUE,"Equipment";#N/A,#N/A,TRUE,"Headcount"}</definedName>
    <definedName name="CapitalCall">#REF!</definedName>
    <definedName name="CapitalGains_exempt_PrintArea">#REF!</definedName>
    <definedName name="CapitalGains_taxable_PrintArea">#REF!</definedName>
    <definedName name="capitalized">#REF!</definedName>
    <definedName name="Capitalized_Interest">#REF!</definedName>
    <definedName name="CaPremDiscount97">#REF!</definedName>
    <definedName name="CaPremDiscount98">#REF!</definedName>
    <definedName name="CapxMKFirstHalf">#REF!</definedName>
    <definedName name="Carrieraircon">#REF!</definedName>
    <definedName name="cars_comp">#REF!</definedName>
    <definedName name="CARTONS">#REF!</definedName>
    <definedName name="cas">615918</definedName>
    <definedName name="CaSchedRate97">#REF!</definedName>
    <definedName name="CaSchedRate98">#REF!</definedName>
    <definedName name="casds">#REF!</definedName>
    <definedName name="case">#REF!</definedName>
    <definedName name="case1">#REF!</definedName>
    <definedName name="case2">#REF!</definedName>
    <definedName name="case3">#REF!</definedName>
    <definedName name="case4">#REF!</definedName>
    <definedName name="case5">#REF!</definedName>
    <definedName name="CasesAPJ">#REF!</definedName>
    <definedName name="CasesEMEA">#REF!</definedName>
    <definedName name="CasesInRandD">#REF!</definedName>
    <definedName name="CasesNA">#REF!</definedName>
    <definedName name="CASH">#REF!</definedName>
    <definedName name="Cash_Debt">#REF!</definedName>
    <definedName name="Cash_Debt.">#REF!</definedName>
    <definedName name="Cash_Flow">#REF!</definedName>
    <definedName name="Cash_Flow.">#REF!</definedName>
    <definedName name="cash_fv">#REF!</definedName>
    <definedName name="cash_per">#REF!</definedName>
    <definedName name="cash_terminal">#REF!</definedName>
    <definedName name="Cash2006">#REF!</definedName>
    <definedName name="cashaccr">#REF!</definedName>
    <definedName name="cashamort">#REF!</definedName>
    <definedName name="CashandBank">#REF!</definedName>
    <definedName name="cashcag">#REF!</definedName>
    <definedName name="casheq">#REF!</definedName>
    <definedName name="CASHFLOW">#REF!</definedName>
    <definedName name="CashFlow_Button1_Click">#REF!</definedName>
    <definedName name="CASHFLOW_CUM">#REF!</definedName>
    <definedName name="CASHFLOW_FIN">#REF!</definedName>
    <definedName name="cashIndex">#REF!</definedName>
    <definedName name="CASHM">#N/A</definedName>
    <definedName name="CASHOUT">{"'Sheet1'!$A$1:$H$36"}</definedName>
    <definedName name="cashpaid">#REF!</definedName>
    <definedName name="cashpurch">#REF!</definedName>
    <definedName name="cashugl">#REF!</definedName>
    <definedName name="CASTROL">#REF!</definedName>
    <definedName name="cat">#REF!</definedName>
    <definedName name="cat_1">#REF!</definedName>
    <definedName name="cat_3">#REF!</definedName>
    <definedName name="Category">#REF!</definedName>
    <definedName name="CATEGORY_HEADER">#REF!</definedName>
    <definedName name="Category_Table">#REF!</definedName>
    <definedName name="CategoryList">#REF!</definedName>
    <definedName name="CategoryLookup">#REF!</definedName>
    <definedName name="cats">#REF!</definedName>
    <definedName name="cavde">#REF!</definedName>
    <definedName name="CB">#REF!</definedName>
    <definedName name="cb.tf.rev">#REF!</definedName>
    <definedName name="CB_1">#REF!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"1, 9, 1, False, 2, False, False, , 0, False, True, 1, 1"</definedName>
    <definedName name="cb_bChart9876793_opts" hidden="1">"1, 2, 1, False, 2, False, False, , 0, False, False, 2, 2"</definedName>
    <definedName name="cb_Chart_1_opts" hidden="1">"1, 6, 1, False, 2, False, False, , 0, False, True, 1, 2"</definedName>
    <definedName name="cb_Chart_10" hidden="1">#REF!</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"2, 1, 2, True, 2, False, False, , 0, False, True, 1, 1"</definedName>
    <definedName name="cb_Chart_49_opts">"2, 1, 2, True, 2, False, False, , 0, False, True, 1, 1"</definedName>
    <definedName name="cb_Chart_5_opts" hidden="1">"1, 8, 1, False, 2, False, False, , 0, False, False, 1, 2"</definedName>
    <definedName name="cb_Chart_50_opts">"2,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 hidden="1">#REF!</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 hidden="1">#REF!</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1DCFB24_opts">"1, 9, 1, False, 2, False, False, , 0, False, True, 1, 1"</definedName>
    <definedName name="cb_sChart11EADA92_opts">"1, 1, 1, False, 2, False, False, , 0, False, True, 2, 2"</definedName>
    <definedName name="cb_sChart11EAED4A_opts">"1, 1, 1, False, 2, False, False, , 0, False, True, 2, 2"</definedName>
    <definedName name="cb_sChart11EB049E_opts">"1, 1, 1, False, 2, False, False, , 0, False, True, 2, 2"</definedName>
    <definedName name="cb_sChart11FB1BDC_opts">"1, 1, 1, False, 2, True, False, , 0, False, True, 2, 2"</definedName>
    <definedName name="cb_sChart11FB2467_opts">"1, 1, 1, False, 2, True, False, , 0, False, True, 2, 2"</definedName>
    <definedName name="cb_sChart11FB271E_opts">"1, 1, 1, False, 2, True, False, , 0, False, True, 2, 2"</definedName>
    <definedName name="cb_sChart11FB296C_opts">"1, 1, 1, False, 2, True, False, , 0, False, True, 2, 2"</definedName>
    <definedName name="cb_sChart11FB4DE8_opts">"1, 9, 1, False, 2, False, False, , 0, False, True, 1, 2"</definedName>
    <definedName name="cb_sChart11FCA363_opts">"2, 1, 2, True, 2, False, False, , 0, False, True, 2, 2"</definedName>
    <definedName name="cb_sChart11FCA851_opts">"2, 1, 2, True, 2, False, False, , 0, False, True, 2, 2"</definedName>
    <definedName name="cb_sChart11FCE81C_opts">"1, 9, 1, False, 2, False, False, , 0, False, True, 2, 2"</definedName>
    <definedName name="cb_sChart12073B79_opts">"1, 9, 1, False, 2, False, False, , 0, False, True, 2, 2"</definedName>
    <definedName name="cb_sChart12074F69_opts">"1, 9, 1, False, 2, False, False, , 0, False, True, 2, 2"</definedName>
    <definedName name="cb_sChart1216F828_opts">"2, 1, 1, False, 2, False, False, , 0, False, True, 2, 2"</definedName>
    <definedName name="cb_sChart122574E1_opts">"1, 1, 1, False, 2, False, False, , 0, False, True, 2, 2"</definedName>
    <definedName name="cb_sChart12285211_opts">"1, 9, 1, False, 2, False, False, , 0, False, False, 1, 2"</definedName>
    <definedName name="cb_sChart12291B1F_opts">"2, 1, 1, True, 3, False, False, , 0, False, False, 1, 2"</definedName>
    <definedName name="cb_sChart1248DE96_opts">"1, 9, 1, False, 2, False, False, , 0, False, False, 1, 2"</definedName>
    <definedName name="cb_sChart1248E206_opts">"1, 9, 1, False, 2, False, False, , 0, False, False, 1, 2"</definedName>
    <definedName name="cb_sChart12595BBC_opts">"1, 1, 1, False, 2, True, False, , 0, False, False, 2, 2"</definedName>
    <definedName name="cb_sChart12595E44_opts">"1, 3, 1, False, 2, True, False, , 0, True, False, 2, 2"</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DCEFA3_opts">"1, 1, 1, False, 2, False, False, , 0, False, False, 1, 1"</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34138B2_opts">"1, 1, 1, False, 2, True, False, , 0, False, False, 1, 1"</definedName>
    <definedName name="cb_sChart13893CA8_opts">"1, 3, 1, False, 2, False, False, , 0, False, True, 1, 1"</definedName>
    <definedName name="cb_sChart138A89C6_opts">"1, 5, 1, False, 2, True, False, , 0, False, True, 1, 1"</definedName>
    <definedName name="cb_sChart138A98B2_opts">"1, 3, 1, False, 2, False, False, , 0, False, False, 1, 1"</definedName>
    <definedName name="cb_sChart138A9A2F_opts">"1, 5, 1, False, 2, False, False, , 0, False, False, 1, 1"</definedName>
    <definedName name="cb_sChart14EA3833_opts">"1, 9, 1, False, 2, False, False, , 0, False, True, 1, 1"</definedName>
    <definedName name="cb_sChart14EA3A0E_opts">"1, 9, 1, False, 2, False, False, , 0, False, False, 1, 1"</definedName>
    <definedName name="cb_sChart14EA4319_opts">"1, 9, 1, False, 2, False, False, , 0, False, True, 1, 1"</definedName>
    <definedName name="cb_sChart14EA5F15_opts">"1, 9, 1, False, 2, False, False, , 0, False, False, 1, 1"</definedName>
    <definedName name="cb_sChart14EA662E_opts">"1, 9, 1, False, 2, False, False, , 0, False, False, 1, 1"</definedName>
    <definedName name="cb_sChart14EA6A4C_opts">"1, 9, 1, False, 2, False, False, , 0, False, False, 1, 1"</definedName>
    <definedName name="cb_sChart14EA6DE9_opts">"1, 9, 1, False, 2, False, False, , 0, False, False, 1, 1"</definedName>
    <definedName name="cb_sChart14EA7895_opts">"1, 9, 1, False, 2, False, False, , 0, False, True, 1, 1"</definedName>
    <definedName name="cb_sChart14EA86D3_opts">"1, 9, 1, False, 2, False, False, , 0, False, True, 1, 1"</definedName>
    <definedName name="cb_sChart14EA8E77_opts">"1, 9, 1, False, 2, False, False, , 0, False, True, 1, 1"</definedName>
    <definedName name="cb_sChart14EA8F24_opts">"1, 9, 1, False, 2, False, False, , 0, False, True, 1, 1"</definedName>
    <definedName name="cb_sChart14EA980C_opts">"1, 9, 1, False, 2, False, False, , 0, False, True, 1, 1"</definedName>
    <definedName name="cb_sChart14EA9875_opts">"1, 9, 1, False, 2, False, False, , 0, False, True, 1, 1"</definedName>
    <definedName name="cb_sChart14EA9A66_opts">"1, 9, 1, False, 2, False, False, , 0, False, True, 1, 1"</definedName>
    <definedName name="cb_sChart14EACF6F_opts">"1, 9, 1, False, 2, False, False, , 0, False, True, 1, 1"</definedName>
    <definedName name="cb_sChart14EAE615_opts">"1, 9, 1, False, 2, False, False, , 0, False, True, 1, 1"</definedName>
    <definedName name="cb_sChart14F2A546_opts">"1, 9, 1, False, 2, False, False, , 0, False, True, 1, 1"</definedName>
    <definedName name="cb_sChart14F2B05A_opts">"1, 9, 1, False, 2, False, False, , 0, False, False, 1, 1"</definedName>
    <definedName name="cb_sChart14F2C526_opts">"1, 9, 1, False, 2, False, False, , 0, False, True, 1, 1"</definedName>
    <definedName name="cb_sChart14F668C5_opts">"1, 9, 1, False, 2, False, False, , 0, False, True, 1, 1"</definedName>
    <definedName name="cb_sChart14F68902_opts">"1, 9, 1, False, 2, False, False, , 0, False, True, 1, 1"</definedName>
    <definedName name="cb_sChart14F6C935_opts">"1, 9, 1, False, 2, False, False, , 0, False, False, 1, 1"</definedName>
    <definedName name="cb_sChart14F6C9C0_opts">"1, 9, 1, False, 2, False, False, , 0, False, True, 1, 1"</definedName>
    <definedName name="cb_sChart14F6F63C_opts">"1, 9, 1, False, 2, False, False, , 0, False, False, 1, 1"</definedName>
    <definedName name="cb_sChart14F7F419_opts">"1, 9, 1, False, 2, False, False, , 0, False, True, 1, 1"</definedName>
    <definedName name="cb_sChart14F7F5FF_opts">"1, 9, 1, False, 2, False, False, , 0, False, True, 1, 1"</definedName>
    <definedName name="cb_sChart1560B1BF_opts">"1, 9, 1, False, 2, False, False, , 0, False, False, 1, 1"</definedName>
    <definedName name="cb_sChart1560B326_opts">"1, 9, 1, False, 2, False, False, , 0, False, False, 1, 1"</definedName>
    <definedName name="cb_sChart1560B5DC_opts">"1, 9, 1, False, 2, False, False, , 0, False, False, 1, 1"</definedName>
    <definedName name="cb_sChart1560C23F_opts">"1, 9, 1, False, 2, False, False, , 0, False, False, 1, 1"</definedName>
    <definedName name="cb_sChart15CA0E0A_opts">"1, 9, 1, False, 2, False, False, , 0, False, False, 1, 2"</definedName>
    <definedName name="cb_sChart15CA1FFD_opts">"1, 10, 1, False, 2, False, False, , 0, False, False, 1, 1"</definedName>
    <definedName name="cb_sChart15CA20AB_opts">"1, 9, 1, False, 2, False, False, , 0, False, False, 1, 1"</definedName>
    <definedName name="cb_sChart15CA2F5C_opts">"1, 9, 1, False, 2, False, False, , 0, False, False, 1, 1"</definedName>
    <definedName name="cb_sChart15CA30C3_opts">"1, 9, 1, False, 2, False, False, , 0, False, True, 1, 1"</definedName>
    <definedName name="cb_sChart18009FE8_opts">"1, 1, 1, False, 2, False, False, , 0, False, False, 1, 1"</definedName>
    <definedName name="cb_sChart1801153B_opts">"1,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B33842_opts">"1, 1, 1, False, 2, False, False, , 0, False, False, 1, 1"</definedName>
    <definedName name="cb_sChart18BA2280_opts">"1, 1, 1, False, 2, False, False, , 0, False, False, 1, 1"</definedName>
    <definedName name="cb_sChart18BB2677_opts">"1, 1, 1, False, 2, False, False, , 0, False, False, 1, 1"</definedName>
    <definedName name="cb_sChart18C63501_opts">"1, 1, 1, False, 2, False, False, , 0, False, False, 1, 1"</definedName>
    <definedName name="cb_sChart19550B88_opts">"1, 1, 1, False, 2, False, False, , 0, False, False, 1, 1"</definedName>
    <definedName name="cb_sChart1955183C_opts">"2, 1, 1, True, 2, False, False, , 0, False, False, 1, 1"</definedName>
    <definedName name="cb_sChart19551C4E_opts">"2, 1, 1, True, 2, True, False, , 0, False, False, 1, 1"</definedName>
    <definedName name="cb_sChart1955C01A_opts">"2, 1, 1, False, 2, False, False, , 0, False, True, 1, 1"</definedName>
    <definedName name="cb_sChart1955C1C7_opts">"2, 1, 1, True, 2, False, False, , 0, False, True, 1, 1"</definedName>
    <definedName name="cb_sChart1A3873A1_opts">"1, 1, 1, False, 2, True, False, , 0, False, True, 1, 1"</definedName>
    <definedName name="cb_sChart1A3875D8_opts">"1, 1, 1, False, 2, False, False, , 0, False, False, 1, 1"</definedName>
    <definedName name="cb_sChart1A3877BF_opts">"1, 1, 1, False, 2, True, False, , 0, False, True, 1, 1"</definedName>
    <definedName name="cb_sChart1A387878_opts">"1, 1, 1, False, 2, True, False, , 0, False, True, 1, 1"</definedName>
    <definedName name="cb_sChart1A387AF4_opts">"1, 3, 1, False, 2, False, False, , 0, False, False, 1, 1"</definedName>
    <definedName name="cb_sChart1A38BEAE_opts">"1, 10, 1, False, 2, True, False, , 0, False, False, 1, 1"</definedName>
    <definedName name="cb_sChart1A43A019_opts">"1, 1, 1, False, 2, True, False, , 0, False, False, 1, 1"</definedName>
    <definedName name="cb_sChart1A4414D6_opts">"1, 1, 1, False, 2, True, False, , 0, False, False, 1, 1"</definedName>
    <definedName name="cb_sChart1A4416BC_opts">"1, 1, 1, False, 2, True, False, , 0, False, False, 1, 1"</definedName>
    <definedName name="cb_sChart1A4418D0_opts">"1, 1, 1, False, 2, True, False, , 0, False, False, 1, 1"</definedName>
    <definedName name="cb_sChart1A4419DA_opts">"1, 1, 1, False, 2, True, False, , 0, False, False, 1, 1"</definedName>
    <definedName name="cb_sChart1A65F73E_opts">"1, 5, 1, False, 2, True, False, , 0, False, False, 1, 1"</definedName>
    <definedName name="cb_sChart1B28B2AD_opts">"1, 3, 1, False, 2, False, False, , 0, False, True, 1, 1"</definedName>
    <definedName name="cb_sChart1B28B8C8_opts">"1, 3, 1, False, 2, False, False, , 0, False, True, 1, 1"</definedName>
    <definedName name="cb_sChart1B28BF3F_opts">"1, 3, 1, False, 2, False, False, , 0, False, True, 1, 1"</definedName>
    <definedName name="cb_sChart1B28C218_opts">"1, 3, 1, False, 2, False, False, , 0, False, True, 1, 1"</definedName>
    <definedName name="cb_sChart1B28C96B_opts">"1, 3, 1, False, 2, False, False, , 0, False, True, 1, 1"</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9A4AFE_opts">"1, 9, 1, False, 2, False, False, , 0, False, False, 1, 2"</definedName>
    <definedName name="cb_sChart1BA1DC3F_opts">"1, 9, 1, False, 2, False, False, , 0, False, False, 1, 2"</definedName>
    <definedName name="cb_sChart1BA8AA_opts" hidden="1">"1, 1, 1, False, 2, False, False, , 0, False, False, 1, 2"</definedName>
    <definedName name="cb_sChart1BADD1_opts" hidden="1">"1, 1, 1, False, 2, False, False, , 0, False, False, 2, 2"</definedName>
    <definedName name="cb_sChart1C1DB169_opts">"1, 3, 1, False, 2, False, False, , 0, False, False, 1, 1"</definedName>
    <definedName name="cb_sChart1C3B75AC_opts">"1, 9, 1, False, 2, False, False, , 0, False, True, 1, 1"</definedName>
    <definedName name="cb_sChart1C3B9A4B_opts">"1, 9, 1, False, 2, False, False, , 0, False, True, 1, 1"</definedName>
    <definedName name="cb_sChart1C3BE924_opts">"1, 9, 1, False, 2, False, False, , 0, False, True, 1, 1"</definedName>
    <definedName name="cb_sChart1C3BEA5C_opts">"1, 9, 1, False, 2, False, False, , 0, False, True, 1, 1"</definedName>
    <definedName name="cb_sChart1C94B61D_opts">"1, 9, 3, False, 2, False, False, , 0, False, True, 1, 1"</definedName>
    <definedName name="cb_sChart1C94BA0C_opts">"1, 1, 1, False, 2, True, False, , 0, False, True, 1, 1"</definedName>
    <definedName name="cb_sChart1C94BFE1_opts">"1, 9, 1, False, 2, False, False, , 0, False, True, 1, 1"</definedName>
    <definedName name="cb_sChart1CAAAF_opts" hidden="1">"1, 1, 1, False, 2, False, False, , 0, False, False, 3, 2"</definedName>
    <definedName name="cb_sChart1CC916DC_opts">"1, 10, 1, False, 2, False, False, , 0, False, False, 1, 1"</definedName>
    <definedName name="cb_sChart1D0218BA_opts">"1, 1, 1, False, 2, False, False, , 0, False, False, 1, 1"</definedName>
    <definedName name="cb_sChart1D0219E7_opts">"1, 1, 1, False, 2, False, False, , 0, False, False, 1, 1"</definedName>
    <definedName name="cb_sChart1D022117_opts">"1, 1, 1, False, 2, False, False, , 0, False, False, 1, 1"</definedName>
    <definedName name="cb_sChart1D02CAAE_opts">"1, 10, 1, False, 2, False, False, , 0, False, False, 1, 1"</definedName>
    <definedName name="cb_sChart1D03E238_opts">"1, 1, 1, False, 2, False, False, , 0, False, False, 1, 1"</definedName>
    <definedName name="cb_sChart1D03E90C_opts">"1, 1, 1, False, 2, False, False, , 0, False, False, 1, 1"</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1405AB_opts">"1, 10, 1, False, 2, False, False, , 0, False, False, 1, 1"</definedName>
    <definedName name="cb_sChart1D1426E6_opts">"1, 10, 1, False, 2, False, False, , 0, False, False, 1, 1"</definedName>
    <definedName name="cb_sChart1D14336C_opts">"1, 10, 1, False, 2, False, False, , 0, False, False, 1, 1"</definedName>
    <definedName name="cb_sChart1D14587E_opts">"1, 10, 1, False, 2, False, False, , 0, False, False, 1,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5891_opts">"1, 9, 1, False, 2, False, False, , 0, False, True, 2, 2"</definedName>
    <definedName name="cb_sChart1D887D06_opts">"1, 9, 1, False, 2, False, False, , 0, False, True, 1, 1"</definedName>
    <definedName name="cb_sChart1D8899D3_opts">"1, 9, 1, False, 2, False, False, , 0, False, False, 1, 1"</definedName>
    <definedName name="cb_sChart1D8A1554_opts">"1, 5, 1, False, 2, True, False, , 0, False, False, 1, 1"</definedName>
    <definedName name="cb_sChart1D8A1D31_opts">"1, 5, 1, False, 2, True, False, , 0, False, False, 1, 1"</definedName>
    <definedName name="cb_sChart1D8A27DD_opts">"1, 5, 1, False, 2, True, False, , 0, False, False, 1, 1"</definedName>
    <definedName name="cb_sChart1D8A2B13_opts">"1, 5, 1, False, 2, True, False, , 0, False, False, 1, 1"</definedName>
    <definedName name="cb_sChart1D8F6DF6_opts">"1, 1, 1, False, 2, False, False, , 0, False, True, 1, 1"</definedName>
    <definedName name="cb_sChart1D8F6F97_opts">"1, 9, 1, False, 2, False, False, , 0, False, True, 1, 1"</definedName>
    <definedName name="cb_sChart1D9CE2_opts">"1,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58AD7_opts">"1, 8,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1E9A35_opts">"1,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889462_opts">"1, 1, 1, False, 2, True, False, , 0, False, False, 1, 1"</definedName>
    <definedName name="cb_sChart697439B_opts">"1, 9, 1, False, 2, False, True, , 1, False, True, 1, 1"</definedName>
    <definedName name="cb_sChart697822D_opts">"1, 1, 1, False, 2, True, False, , 0, False, False, 1, 1"</definedName>
    <definedName name="cb_sChart69782DB_opts">"1, 3, 1, False, 2, True, False, , 0, False, True, 1, 1"</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74E984_opts" hidden="1">"1, 1, 1, False, 2, False, False, , 0, False, False, 2, 2"</definedName>
    <definedName name="cb_sChart773176C_opts">"1, 9, 1, False, 2, False, True, , 1, False, True, 1, 1"</definedName>
    <definedName name="cb_sChart7F59C8D_opts">"1, 4, 1, False, 2, False, False, , 0, False, False, 1, 1"</definedName>
    <definedName name="cb_sChart7F59D80_opts">"1, 1, 1, False, 2, True, False, , 0, False, False, 1, 1"</definedName>
    <definedName name="cb_sChart7F5A913_opts">"1, 1, 1, False, 2, True, False, , 0, False, False, 3, 1"</definedName>
    <definedName name="cb_sChart7F5AA63_opts">"1, 1, 1, False, 2, False, False, , 0, False, False, 3, 1"</definedName>
    <definedName name="cb_sChart7F5AB6D_opts">"1, 1, 1, False, 2, False, False, , 0, False, False, 3, 1"</definedName>
    <definedName name="cb_sChart7F5AED1_opts">"1, 1, 1, False, 2, False, False, , 0, False, False, 3, 1"</definedName>
    <definedName name="cb_sChart8694853_opts">"1, 1, 1, False, 2, True, False, , 0, False, False, 1, 2"</definedName>
    <definedName name="cb_sChart8696FB4_opts">"1, 1, 1, False, 2, True, False, , 0, False, False, 1, 1"</definedName>
    <definedName name="cb_sChart86970D5_opts">"1, 1, 1, False, 2, True, False, , 0, False, False, 1, 2"</definedName>
    <definedName name="cb_sChart8726105_opts">"1, 9, 1, False, 2, False, True, , 0, False, True, 1, 1"</definedName>
    <definedName name="cb_sChart8726A0F_opts">"1, 9, 1, False, 2, False, True, , 0, False, True, 1, 1"</definedName>
    <definedName name="cb_sChart8930940_opts">"1, 1, 1, False, 2, True, False, , 0, False, False, 1, 1"</definedName>
    <definedName name="cb_sChart89309E2_opts">"1, 1, 1, False, 2, True, False, , 0, False, False, 1, 2"</definedName>
    <definedName name="cb_sChart8943F21_opts">"1, 9, 1, False, 2, False, False, , 0, False, True, 1, 1"</definedName>
    <definedName name="cb_sChart8A2E572_opts">"2, 1, 2, True, 2, False, False, , 0, False, True, 1, 1"</definedName>
    <definedName name="cb_sChart8A2E8ED_opts">"2, 1, 2, True, 2, False, False, , 0, False, True, 1, 1"</definedName>
    <definedName name="cb_sChart8A2EAEB_opts">"2, 1, 2, True, 2, False, False, , 0, False, True, 1, 1"</definedName>
    <definedName name="cb_sChart8A30D0D_opts">"2, 1, 2, True, 2, False, False, , 0, False, True, 1, 1"</definedName>
    <definedName name="cb_sChart8A30F16_opts">"2, 1, 2, True, 2, False, False, , 0, False, True, 1, 1"</definedName>
    <definedName name="cb_sChart8C795F1_opts">"2, 1, 2, True, 2, False, False, , 0, False, True, 1, 1"</definedName>
    <definedName name="cb_sChart8C87817_opts">"2, 1, 2, True, 2, False, False, , 0, False, True, 1, 1"</definedName>
    <definedName name="cb_sChart8C87AFC_opts">"2, 1, 2, True, 2, False, False, , 0, False, True, 1, 1"</definedName>
    <definedName name="cb_sChart8C88FA5_opts">"2, 1, 2, True, 2, False, False, , 0, False, True, 1, 1"</definedName>
    <definedName name="cb_sChart8CD287E_opts">"1, 1, 1, False, 2, False, False, , 0, False, False, 1, 1"</definedName>
    <definedName name="cb_sChart92016E_opts">"1, 9, 1, False, 2, False, False, , 0, False, True, 1, 1"</definedName>
    <definedName name="cb_sChart9FE8159_opts">"1, 9, 1, False, 2, False, True, , 1, False, True, 1, 1"</definedName>
    <definedName name="cb_sChart9FE9B41_opts">"1, 9, 1, False, 2, False, True, , 1, False, True, 1, 1"</definedName>
    <definedName name="cb_sChartA30EDEC_opts">"2, 1, 2, True, 2, False, False, , 0, False, True, 1, 1"</definedName>
    <definedName name="cb_sChartC29620C_opts">"1, 1, 1, False, 2, True, False, , 0, False, False, 1, 2"</definedName>
    <definedName name="cb_sChartC296613_opts">"1, 1, 1, False, 2, True, False, , 0, False, False, 1, 2"</definedName>
    <definedName name="cb_sChartC297AA5_opts">"1, 1, 1, False, 2, True, False, , 0, False, False, 1, 2"</definedName>
    <definedName name="cb_sChartC29B34B_opts">"1, 9, 1, False, 2, False, False, , 0, False, True, 1, 1"</definedName>
    <definedName name="cb_sChartC29EA8B_opts">"1, 1, 1, False, 2, True, False, , 0, False, False, 1, 2"</definedName>
    <definedName name="cb_sChartC29FC95_opts">"1, 1, 1, False, 2, True, False, , 0, False, False, 1, 2"</definedName>
    <definedName name="cb_sChartC2AD8F1_opts">"2, 9, 1, True, 2, False, False, , 0, False, False, 1, 1"</definedName>
    <definedName name="cb_sChartC2ADA06_opts">"1, 9, 1, False, 2, False, False, , 0, False, False, 1, 1"</definedName>
    <definedName name="cb_sChartC2AF61A_opts">"2, 1, 3, True, 2, False, False, , 0, False, True, 1, 1"</definedName>
    <definedName name="cb_sChartC2B0EA7_opts">"2, 1, 3, True, 2, False, False, , 0, False, True, 1, 1"</definedName>
    <definedName name="cb_sChartC2B1414_opts">"2, 1, 3, True, 2, False, False, , 0, False, True, 1, 1"</definedName>
    <definedName name="cb_sChartC2B1DD8_opts">"2, 1, 3, True, 2, False, False, , 0, False, True, 1, 1"</definedName>
    <definedName name="cb_sChartC300DC4_opts">"1, 9, 1, False, 2, False, False, , 0, False, True, 1, 1"</definedName>
    <definedName name="cb_sChartD086F3E_opts" hidden="1">"1, 1, 1, False, 2, False, False, , 1, False, True, 2, 2"</definedName>
    <definedName name="cb_sChartD0876B3_opts" hidden="1">"2, 2, 2, True, 2, False, False, , 1, False, True, 2, 2"</definedName>
    <definedName name="cb_sChartD68BCC9_opts">"1, 1, 1, False, 2, True, False, , 0, False, True, 1, 1"</definedName>
    <definedName name="cb_sChartD6B06A2_opts">"1, 1, 1, False, 2, False, False, , 0, False, False, 2, 2"</definedName>
    <definedName name="cb_sChartD6B1FA3_opts">"1, 1, 1, False, 2, False, False, , 0, False, False, 2, 2"</definedName>
    <definedName name="cb_sChartD6B69B1_opts">"1, 1, 1, False, 2, False, False, , 0, False, False, 1, 2"</definedName>
    <definedName name="cb_sChartD6B76F0_opts">"2, 1, 1, False, 2, False, False, , 0, False, False, 1, 2"</definedName>
    <definedName name="cb_sChartD6B943C_opts">"2, 1, 1, False, 3, False, False, , 0, False, False, 1, 2"</definedName>
    <definedName name="cb_sChartD6C1C01_opts">"2, 1, 1, True, 2, False, False, , 0, False, False, 1, 2"</definedName>
    <definedName name="cb_sChartD6FD60D_opts">"1, 1, 1, False, 2, False, False, , 0, False, False, 1, 1"</definedName>
    <definedName name="cb_sChartD78B484_opts">"2, 1, 1, False, 2, True, False, , 0, False, False, 1, 2"</definedName>
    <definedName name="cb_sChartD78C2AA_opts">"2, 1, 1, True, 2, True, False, , 0, False, False, 1, 2"</definedName>
    <definedName name="cb_sChartD78C76A_opts">"2, 1, 1, True, 2, True, False, , 0, False, False, 1, 1"</definedName>
    <definedName name="cb_sChartD78CF99_opts">"2, 1, 3, True, 2, False, False, , 0, False, False, 1, 1"</definedName>
    <definedName name="cb_sChartD78D2CE_opts">"1, 1, 1, False, 2, False, False, , 0, False, False, 1, 2"</definedName>
    <definedName name="cb_sChartD78D365_opts">"1, 1, 1, False, 2, False, False, , 0, False, False, 1, 2"</definedName>
    <definedName name="cb_sChartD78D5B3_opts">"1, 1, 1, False, 2, False, False, , 0, False, False, 1, 2"</definedName>
    <definedName name="cb_sChartD78D655_opts">"1, 1, 1, False, 2, True, False, , 0, False, False, 1, 2"</definedName>
    <definedName name="cb_sChartD78DFD4_opts">"2, 1, 1, True, 2, False, False, , 0, False, False, 1, 2"</definedName>
    <definedName name="cb_sChartD78E27F_opts">"2, 1, 1, True, 2, False, False, , 0, False, False, 1, 2"</definedName>
    <definedName name="cb_sChartD78E924_opts">"2, 1, 1, True, 3, False, False, , 0, False, False, 1, 2"</definedName>
    <definedName name="cb_sChartD7A9852_opts">"2, 1, 1, True, 3, False, False, , 0, False, False, 1, 2"</definedName>
    <definedName name="cb_sChartDAF58B0_opts">"1, 9, 1, False, 2, False, False, , 0, False, True, 1, 1"</definedName>
    <definedName name="cb_sChartDAF7A8D_opts">"1, 9, 1, False, 2, False, False, , 0, False, True, 1, 1"</definedName>
    <definedName name="cb_sChartE55C230_opts">"1, 9, 1, False, 2, False, False, , 0, False, True, 1, 1"</definedName>
    <definedName name="cb_sChartE57A4FF_opts">"1, 1, 1, False, 2, True, False, , 0, False, False, 1, 1"</definedName>
    <definedName name="cb_sChartE57C3B2_opts">"1, 1, 1, False, 2, True, False, , 0, False, False, 1, 1"</definedName>
    <definedName name="cb_sChartE57D120_opts">"1, 1, 1, False, 2, True, False, , 0, False, False, 1, 1"</definedName>
    <definedName name="cb_sChartE5805B4_opts">"1, 1, 1, False, 2, True, False, , 0, False, False, 1, 1"</definedName>
    <definedName name="cb_sChartE58A23A_opts">"1, 1, 1, False, 2, True,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B554A6_opts">"1, 1, 1, False, 2, True, False, , 0, False, False, 1, 1"</definedName>
    <definedName name="cb_sChartEB5725A_opts">"1, 1, 1, False, 2, True, False, , 0, False, False, 1, 1"</definedName>
    <definedName name="cb_sChartEC05450_opts">"1, 1, 1, False, 2, True, False, , 0, False, False, 1, 1"</definedName>
    <definedName name="cb_sChartEC05DCF_opts">"1, 1, 1, False, 2, True, False, , 0, False, False, 1, 1"</definedName>
    <definedName name="cb_sChartEC3AF3D_opts">"1, 1, 1, False, 2, True, False, , 0, False, False, 1,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a">#REF!</definedName>
    <definedName name="CBAL">#REF!</definedName>
    <definedName name="cbd">#REF!</definedName>
    <definedName name="CBWorkbookPriority">-203281184</definedName>
    <definedName name="cbxbcxb">#REF!</definedName>
    <definedName name="cc">#REF!</definedName>
    <definedName name="CC_1">#REF!</definedName>
    <definedName name="CC_2">#REF!</definedName>
    <definedName name="CC_Convert">#REF!</definedName>
    <definedName name="cc0" hidden="1">{"'5국공정'!$A$1:$E$128"}</definedName>
    <definedName name="ccc">#REF!</definedName>
    <definedName name="ccc_3">#REF!</definedName>
    <definedName name="CCC_Aug03">#REF!</definedName>
    <definedName name="cccc">#REF!</definedName>
    <definedName name="ccd">#REF!</definedName>
    <definedName name="cce">#REF!</definedName>
    <definedName name="CCF">#REF!</definedName>
    <definedName name="CCH">#REF!</definedName>
    <definedName name="ccmce">36996.5527299769</definedName>
    <definedName name="CCopyToRange">#REF!</definedName>
    <definedName name="CCriteria">#REF!</definedName>
    <definedName name="CCT">#REF!</definedName>
    <definedName name="ccvc" hidden="1">#REF!</definedName>
    <definedName name="ccvc345" hidden="1">#REF!</definedName>
    <definedName name="CD">#REF!</definedName>
    <definedName name="CD_G2NCheck">OFFSET(#REF!,1,0, EmpCount,1)</definedName>
    <definedName name="CD_G2NTM">OFFSET(#REF!,1,0, EmpCount,1)</definedName>
    <definedName name="CD_TM">OFFSET(#REF!,1,0, EmpCount,1)</definedName>
    <definedName name="CD_TMInputs">OFFSET(#REF!,1,0, EmpCount,1)</definedName>
    <definedName name="CD_Variance">OFFSET(#REF!,1,0, EmpCount,1)</definedName>
    <definedName name="CDATE">#REF!</definedName>
    <definedName name="CDB">#REF!</definedName>
    <definedName name="cddac">{"'Sheet1'!$A$1:$E$83"}</definedName>
    <definedName name="CDMA">#REF!</definedName>
    <definedName name="cds">#REF!</definedName>
    <definedName name="CDTA_FED">#REF!</definedName>
    <definedName name="CDTA_FEDA">#REF!</definedName>
    <definedName name="CDTA_STATE">#REF!</definedName>
    <definedName name="CDTA_STATEA">#REF!</definedName>
    <definedName name="CDTL_FED">#REF!</definedName>
    <definedName name="CDTL_FEDA">#REF!</definedName>
    <definedName name="CDTL_STATE">#REF!</definedName>
    <definedName name="CDTL_STATEA">#REF!</definedName>
    <definedName name="CE">#REF!</definedName>
    <definedName name="cellmo">#REF!</definedName>
    <definedName name="celltips_area">#REF!</definedName>
    <definedName name="cen" hidden="1">{"Central",#N/A,FALSE,"Total"}</definedName>
    <definedName name="cen.." hidden="1">{"Central",#N/A,FALSE,"Total"}</definedName>
    <definedName name="Cent" hidden="1">{"Central",#N/A,FALSE,"Total"}</definedName>
    <definedName name="Cent.." hidden="1">{"Central",#N/A,FALSE,"Total"}</definedName>
    <definedName name="CENTA">#REF!</definedName>
    <definedName name="CENTA1">#REF!</definedName>
    <definedName name="centralcs">#REF!</definedName>
    <definedName name="centralfin">#REF!</definedName>
    <definedName name="centralrenewal">#REF!</definedName>
    <definedName name="CEP">#REF!</definedName>
    <definedName name="cer">#REF!</definedName>
    <definedName name="Certificatio">#REF!</definedName>
    <definedName name="cesc">#REF!</definedName>
    <definedName name="CF">'Cash Flow'!$A$1:$BF$63</definedName>
    <definedName name="cf_2004반기" hidden="1">#REF!</definedName>
    <definedName name="CF_convertdebt">#REF!</definedName>
    <definedName name="CF_deferredtaxes">#REF!</definedName>
    <definedName name="CF_gwamort">#REF!</definedName>
    <definedName name="CF_minority">#REF!</definedName>
    <definedName name="CF02기초" hidden="1">{#N/A,#N/A,TRUE,"Summary";#N/A,#N/A,TRUE,"IS";#N/A,#N/A,TRUE,"Adj";#N/A,#N/A,TRUE,"BS";#N/A,#N/A,TRUE,"CF";#N/A,#N/A,TRUE,"Debt";#N/A,#N/A,TRUE,"IRR"}</definedName>
    <definedName name="cf1fc1s4" hidden="1">{#N/A,#N/A,FALSE,"Aging Summary";#N/A,#N/A,FALSE,"Ratio Analysis";#N/A,#N/A,FALSE,"Test 120 Day Accts";#N/A,#N/A,FALSE,"Tickmarks"}</definedName>
    <definedName name="cf1fc1s4_3">#REF!</definedName>
    <definedName name="CFAB7">{"'Sheet1'!$A$1:$H$36"}</definedName>
    <definedName name="cfclear" hidden="1">{#N/A,#N/A,FALSE,"BS";#N/A,#N/A,FALSE,"PL";#N/A,#N/A,FALSE,"처분";#N/A,#N/A,FALSE,"현금";#N/A,#N/A,FALSE,"매출";#N/A,#N/A,FALSE,"원가";#N/A,#N/A,FALSE,"경영"}</definedName>
    <definedName name="CFE">#REF!</definedName>
    <definedName name="cfgms">#REF!</definedName>
    <definedName name="cfgraph">#REF!</definedName>
    <definedName name="CFilter">#REF!</definedName>
    <definedName name="CFilterRange">#REF!</definedName>
    <definedName name="CFSC">#REF!</definedName>
    <definedName name="CFT">#REF!</definedName>
    <definedName name="CFT.">#REF!</definedName>
    <definedName name="CFT..">#REF!</definedName>
    <definedName name="CF요인" hidden="1">#REF!</definedName>
    <definedName name="cgaf">#REF!</definedName>
    <definedName name="cgafde">#REF!</definedName>
    <definedName name="CGS">#REF!</definedName>
    <definedName name="CGSLINE">#REF!</definedName>
    <definedName name="CGTScale">#REF!</definedName>
    <definedName name="CH">7.56</definedName>
    <definedName name="CHA">#REF!</definedName>
    <definedName name="chambalfert">#REF!</definedName>
    <definedName name="Chambers">#REF!</definedName>
    <definedName name="Champion" hidden="1">{#N/A,#N/A,TRUE,"Key Indices";#N/A,#N/A,TRUE,"Mfg Spending";#N/A,#N/A,TRUE,"Mfg Spending Per Unit";#N/A,#N/A,TRUE,"Spending by Organization";#N/A,#N/A,TRUE,"Inventory";#N/A,#N/A,TRUE,"IDM";#N/A,#N/A,TRUE,"Equipment";#N/A,#N/A,TRUE,"Headcount"}</definedName>
    <definedName name="Champion2" hidden="1">{#N/A,#N/A,TRUE,"Key Indices";#N/A,#N/A,TRUE,"Mfg Spending";#N/A,#N/A,TRUE,"Mfg Spending Per Unit";#N/A,#N/A,TRUE,"Spending by Organization";#N/A,#N/A,TRUE,"Inventory";#N/A,#N/A,TRUE,"IDM";#N/A,#N/A,TRUE,"Equipment";#N/A,#N/A,TRUE,"Headcount"}</definedName>
    <definedName name="ChamSoft">#REF!</definedName>
    <definedName name="chang" hidden="1">{#N/A,#N/A,FALSE,"을지 (4)";#N/A,#N/A,FALSE,"을지 (5)";#N/A,#N/A,FALSE,"을지 (6)"}</definedName>
    <definedName name="CHANGE">#REF!</definedName>
    <definedName name="Change_Action">#REF!</definedName>
    <definedName name="Change_FooterType">"INTERNAL"</definedName>
    <definedName name="Change_of_basis___1999_FooterType">"INTERNAL"</definedName>
    <definedName name="Change_of_basis_FooterType">"INTERNAL"</definedName>
    <definedName name="CHANGE_PRINT_RA">#REF!</definedName>
    <definedName name="ChangeInCommonEquity">#REF!</definedName>
    <definedName name="ChangeInConvertiblePreferredStock">#REF!</definedName>
    <definedName name="ChangeInDeferredCompensation">#REF!</definedName>
    <definedName name="ChangeInStraightPreferredStock">#REF!</definedName>
    <definedName name="ChangeRange" hidden="1">#REF!</definedName>
    <definedName name="Channel">#REF!</definedName>
    <definedName name="ChannelList">#REF!</definedName>
    <definedName name="ChannelLU">#REF!</definedName>
    <definedName name="ChannelOrg">#REF!</definedName>
    <definedName name="ChannelResults">#REF!</definedName>
    <definedName name="CHARRECON">#REF!</definedName>
    <definedName name="chart" hidden="1">{#N/A,#N/A,FALSE,"SUMMARY";#N/A,#N/A,FALSE,"mcsh";#N/A,#N/A,FALSE,"vol&amp;rev";#N/A,#N/A,FALSE,"wkgcap";#N/A,#N/A,FALSE,"DEPR&amp;DT";#N/A,#N/A,FALSE,"ASSETS";#N/A,#N/A,FALSE,"NI&amp;OTH&amp;DIV";#N/A,#N/A,FALSE,"CASHFLOW";#N/A,#N/A,FALSE,"CAPEMPL";#N/A,#N/A,FALSE,"ROCE"}</definedName>
    <definedName name="Chart_Of_Accounts">#REF!</definedName>
    <definedName name="chartNew">#REF!</definedName>
    <definedName name="ChartOfAccountsID1">#REF!</definedName>
    <definedName name="CHARTOFACCOUNTSID2">#REF!</definedName>
    <definedName name="CHARTOFACCOUNTSID3">#REF!</definedName>
    <definedName name="CHARTOFACCOUNTSID4">#REF!</definedName>
    <definedName name="CHARTOFACCOUNTSID5">#REF!</definedName>
    <definedName name="CHARTOFACCOUNTSID6">#REF!</definedName>
    <definedName name="CHC_경기">#REF!</definedName>
    <definedName name="CHC_서울">#REF!</definedName>
    <definedName name="CHC_서울_COUNT">#REF!</definedName>
    <definedName name="CHC산출_경기">#REF!</definedName>
    <definedName name="CHC산출_서울">#REF!</definedName>
    <definedName name="CHD">#REF!</definedName>
    <definedName name="Check">#REF!</definedName>
    <definedName name="CHECKS">#REF!</definedName>
    <definedName name="CHF">#REF!</definedName>
    <definedName name="chgeas">#REF!</definedName>
    <definedName name="chik">#REF!</definedName>
    <definedName name="chik_1">#REF!</definedName>
    <definedName name="chik_3">#REF!</definedName>
    <definedName name="chik1">#REF!</definedName>
    <definedName name="CHINA_PLASTIC_in_KUSD">#REF!</definedName>
    <definedName name="CHIPS">#REF!</definedName>
    <definedName name="CHIPS___0">#REF!</definedName>
    <definedName name="chir" hidden="1">{#N/A,#N/A,FALSE,"Summary";#N/A,#N/A,FALSE,"1991";#N/A,#N/A,FALSE,"91 AMT";#N/A,#N/A,FALSE,"1992";#N/A,#N/A,FALSE,"92 AMT";#N/A,#N/A,FALSE,"1993";#N/A,#N/A,FALSE,"93 AMT"}</definedName>
    <definedName name="chl_candy">#REF!</definedName>
    <definedName name="chl_gum">#REF!</definedName>
    <definedName name="christine">#REF!</definedName>
    <definedName name="Christinea">#REF!</definedName>
    <definedName name="Churn">#REF!</definedName>
    <definedName name="CI">#REF!</definedName>
    <definedName name="CII">#REF!</definedName>
    <definedName name="Cindy">#REF!</definedName>
    <definedName name="Cindy1">#REF!</definedName>
    <definedName name="Cindy2">#REF!</definedName>
    <definedName name="CIndy3">#REF!</definedName>
    <definedName name="Cindy4">#REF!</definedName>
    <definedName name="cipla">#REF!</definedName>
    <definedName name="CIQANR_0528966f37c44dcfa172754465a8285e" hidden="1">#REF!</definedName>
    <definedName name="CIQANR_46a9474cb69e4a6c930191abded8b806" hidden="1">#REF!</definedName>
    <definedName name="CIQANR_68cd00e2dea04d71b10ebfc78abe8e8a" hidden="1">#REF!</definedName>
    <definedName name="CIQANR_6ac5b4bceb6c4ecb8c1d5b87b10f39ae" hidden="1">#REF!</definedName>
    <definedName name="CIQANR_cacf037c8a384e92ac24f86d737faa1b" hidden="1">#REF!</definedName>
    <definedName name="CIQWBGuid" hidden="1">"df7061cf-15db-4a08-b136-f36a1cffcfb6"</definedName>
    <definedName name="CIQWBGuid_1">"6104ca55-eb5b-4313-bd48-fe936e139e1e"</definedName>
    <definedName name="CIQWBGuid2">"f2426c55-b7cf-4ece-ab4c-f6d76c3f0fa1"</definedName>
    <definedName name="CIQWBInfo" hidden="1">"{ ""CIQVersion"":""9.45.614.5792"" }"</definedName>
    <definedName name="Circ">#REF!</definedName>
    <definedName name="circpudding">#REF!</definedName>
    <definedName name="CITI_CC">#REF!</definedName>
    <definedName name="CITI_COLL">#REF!</definedName>
    <definedName name="Citibank">#REF!</definedName>
    <definedName name="City">#REF!</definedName>
    <definedName name="cj">#REF!</definedName>
    <definedName name="ckckks">#REF!</definedName>
    <definedName name="CKFGKG">#REF!</definedName>
    <definedName name="CL">#REF!</definedName>
    <definedName name="CLAIM">#REF!</definedName>
    <definedName name="CLAIM2">#REF!</definedName>
    <definedName name="ClassCodeGroupings">#REF!</definedName>
    <definedName name="Claus">#REF!</definedName>
    <definedName name="clause10">#REF!</definedName>
    <definedName name="CLAUSE13">#REF!</definedName>
    <definedName name="CLAUSE13b">#REF!</definedName>
    <definedName name="clause14">#REF!</definedName>
    <definedName name="clause14d">#REF!</definedName>
    <definedName name="clause15">#REF!</definedName>
    <definedName name="clause16b">#REF!</definedName>
    <definedName name="clause17a">#REF!</definedName>
    <definedName name="clause17B">#REF!</definedName>
    <definedName name="clause17C">#REF!</definedName>
    <definedName name="CLAUSE17D">#REF!</definedName>
    <definedName name="clause17E">#REF!</definedName>
    <definedName name="clause17F">#REF!</definedName>
    <definedName name="clause17h">#REF!</definedName>
    <definedName name="clause17K">#REF!</definedName>
    <definedName name="clause18">#REF!</definedName>
    <definedName name="CLAUSE20">#REF!</definedName>
    <definedName name="clause21">#REF!</definedName>
    <definedName name="CLAUSE22A">#REF!</definedName>
    <definedName name="CLAUSE22B">#REF!</definedName>
    <definedName name="clause23">#REF!</definedName>
    <definedName name="clause24">#REF!</definedName>
    <definedName name="clause24b">#REF!</definedName>
    <definedName name="clause25">#REF!</definedName>
    <definedName name="clause26">#REF!</definedName>
    <definedName name="clause27">#REF!</definedName>
    <definedName name="clause28">#REF!</definedName>
    <definedName name="clause28b">#REF!</definedName>
    <definedName name="CleaningMonth">#REF!</definedName>
    <definedName name="CleaningYTD">#REF!</definedName>
    <definedName name="clear">#REF!</definedName>
    <definedName name="CLEAR_ADJ">#REF!</definedName>
    <definedName name="CLEAR_TB_CURR">#REF!</definedName>
    <definedName name="CLEAR_TM">#REF!</definedName>
    <definedName name="clearingaccount">#REF!</definedName>
    <definedName name="Clearingtest" hidden="1">{"CF",#N/A,FALSE,"Cash Flow"}</definedName>
    <definedName name="Client_listing">#REF!</definedName>
    <definedName name="Client_Name">#REF!</definedName>
    <definedName name="Client_Number">#REF!</definedName>
    <definedName name="ClientMatter">"b1"</definedName>
    <definedName name="clintacfr">#REF!</definedName>
    <definedName name="close">#REF!</definedName>
    <definedName name="Close_Pos">"ClosePos"</definedName>
    <definedName name="Closed">"2-Closed"</definedName>
    <definedName name="Closed_B">"2-Closed 9/16-9/30"</definedName>
    <definedName name="ClosedCases">#REF!</definedName>
    <definedName name="Cloud">#REF!</definedName>
    <definedName name="clra1ball">clra1bp1,clra1bp2</definedName>
    <definedName name="clra1bp1">clra1b1,clra1b2,clra1b3,clra1b4,clra1b5,clra1b6,clra1b7,clra1b8</definedName>
    <definedName name="clra1bp2">clra1b9,clra1b10,clra1b11,clra1b12,clra1b13,clra1b13,clra1b15,clra1b16</definedName>
    <definedName name="clra1bp3">clra1b17,clra1b18,clra1b19,clra1b20</definedName>
    <definedName name="cmb_FBI.EmployeesInOutIndiaFlg">#REF!</definedName>
    <definedName name="cmb_FBI.EmployeesInOutIndiaFlg_10">#REF!</definedName>
    <definedName name="cmb_FBI.EmployeesInOutIndiaFlg_9">#REF!</definedName>
    <definedName name="cmb_FBI.SeparateAcntMaintainForIndiaForeignFlg">#REF!</definedName>
    <definedName name="cmb_FBI.SeparateAcntMaintainForIndiaForeignFlg_10">#REF!</definedName>
    <definedName name="cmb_FBI.SeparateAcntMaintainForIndiaForeignFlg_9">#REF!</definedName>
    <definedName name="cmbyn">#REF!</definedName>
    <definedName name="cmbyn_10">#REF!</definedName>
    <definedName name="cmbyn_9">#REF!</definedName>
    <definedName name="CMC">#REF!</definedName>
    <definedName name="cmcltd.">#REF!</definedName>
    <definedName name="cmcvm">#REF!</definedName>
    <definedName name="CMDF">#REF!</definedName>
    <definedName name="CMTRX">#REF!</definedName>
    <definedName name="CN">#REF!</definedName>
    <definedName name="CN_Reclass">#REF!</definedName>
    <definedName name="cna">#REF!</definedName>
    <definedName name="cnd">#REF!</definedName>
    <definedName name="CNN">#REF!</definedName>
    <definedName name="CntryMgr">#REF!</definedName>
    <definedName name="CO">#REF!</definedName>
    <definedName name="CO_ASSUM">#REF!</definedName>
    <definedName name="Co_eleven">#REF!</definedName>
    <definedName name="Co_four">#REF!</definedName>
    <definedName name="coa">#REF!</definedName>
    <definedName name="coah">#REF!</definedName>
    <definedName name="COBY" hidden="1">{#N/A,#N/A,TRUE,"Key Indices";#N/A,#N/A,TRUE,"Mfg Spending";#N/A,#N/A,TRUE,"Mfg Spending Per Unit";#N/A,#N/A,TRUE,"Spending by Organization";#N/A,#N/A,TRUE,"Inventory";#N/A,#N/A,TRUE,"IDM";#N/A,#N/A,TRUE,"Equipment";#N/A,#N/A,TRUE,"Headcount"}</definedName>
    <definedName name="cochinref.">#REF!</definedName>
    <definedName name="code">#REF!</definedName>
    <definedName name="code1">#REF!</definedName>
    <definedName name="code2">#REF!</definedName>
    <definedName name="code3">#REF!</definedName>
    <definedName name="CODESS">#REF!</definedName>
    <definedName name="COGS">#REF!</definedName>
    <definedName name="COGS_Mfg">#REF!</definedName>
    <definedName name="COGstandard" hidden="1">{#N/A,#N/A,FALSE,"Pharm";#N/A,#N/A,FALSE,"WWCM"}</definedName>
    <definedName name="ColorNames">#REF!</definedName>
    <definedName name="COLUMN_CONTROL">#REF!</definedName>
    <definedName name="ColumnAttributes1">#REF!</definedName>
    <definedName name="ColumnAttributes2">#REF!</definedName>
    <definedName name="ColumnHeadings1">#REF!</definedName>
    <definedName name="ColumnHeadings2">#REF!</definedName>
    <definedName name="Combat_Groc">#REF!</definedName>
    <definedName name="COMBER">#REF!</definedName>
    <definedName name="Combine_History_Report">#REF!</definedName>
    <definedName name="combined1" hidden="1">{"YTD-Total",#N/A,TRUE,"Provision";"YTD-Utility",#N/A,TRUE,"Prov Utility";"YTD-NonUtility",#N/A,TRUE,"Prov NonUtility"}</definedName>
    <definedName name="COMGENLIAB">#REF!</definedName>
    <definedName name="comm">#REF!</definedName>
    <definedName name="Comm_Exp_AHNA">#REF!</definedName>
    <definedName name="Comm_Exp_Consol">#REF!</definedName>
    <definedName name="Comm_Exp_Unconsol">#REF!</definedName>
    <definedName name="COMM_INC_AHNA">#REF!</definedName>
    <definedName name="COMM_INC_CONSOL">#REF!</definedName>
    <definedName name="COMM_INC_PARENT">#REF!</definedName>
    <definedName name="COMM_INC_UNCONSOL">#REF!</definedName>
    <definedName name="COMM_L_MONTHS">#REF!</definedName>
    <definedName name="COMMISSION">#REF!</definedName>
    <definedName name="Commission.">#REF!</definedName>
    <definedName name="CommissionAmount">#REF!</definedName>
    <definedName name="CommissionTaxAmount">#REF!</definedName>
    <definedName name="commit">#REF!</definedName>
    <definedName name="Committed">"3-Committed"</definedName>
    <definedName name="Common">#REF!</definedName>
    <definedName name="commondiv">#REF!</definedName>
    <definedName name="CommonSt">16715446</definedName>
    <definedName name="COMP">#REF!</definedName>
    <definedName name="COMP_002">#REF!</definedName>
    <definedName name="Comp_AT">#REF!</definedName>
    <definedName name="Comp_AV">#REF!</definedName>
    <definedName name="Comp_GGM">#REF!</definedName>
    <definedName name="Comp_JR">#REF!</definedName>
    <definedName name="Comp_UJ">#REF!</definedName>
    <definedName name="Comp_VJ">#REF!</definedName>
    <definedName name="COMP0203">#REF!</definedName>
    <definedName name="comp1">#REF!</definedName>
    <definedName name="Company">#REF!</definedName>
    <definedName name="Company_Information">#REF!</definedName>
    <definedName name="COMPANY_NAME">#REF!</definedName>
    <definedName name="COMPANYH">#REF!</definedName>
    <definedName name="CompanyName">#REF!</definedName>
    <definedName name="COMPANYV">#REF!</definedName>
    <definedName name="COMPANYV1">#REF!</definedName>
    <definedName name="Comparation">#REF!</definedName>
    <definedName name="compasslabs">#REF!</definedName>
    <definedName name="compdty">#REF!</definedName>
    <definedName name="COMPRESSED">#REF!</definedName>
    <definedName name="compspun">#REF!</definedName>
    <definedName name="comptesUS_FR">#REF!</definedName>
    <definedName name="computation">#REF!</definedName>
    <definedName name="COMPUTATION_OF_INTEREST_UNDER_SECTION_234_C">#REF!</definedName>
    <definedName name="Computers">#REF!</definedName>
    <definedName name="COMS2Q2">#REF!</definedName>
    <definedName name="COMS3Q2">#REF!</definedName>
    <definedName name="con">#REF!</definedName>
    <definedName name="CON_B">#REF!</definedName>
    <definedName name="CON_C">#REF!</definedName>
    <definedName name="CON_E">#REF!</definedName>
    <definedName name="CON_P">#REF!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densateRtrn">#REF!</definedName>
    <definedName name="Condicion">#REF!</definedName>
    <definedName name="CONFIG_LG">#REF!</definedName>
    <definedName name="CONFIG_LT">#REF!</definedName>
    <definedName name="Conflict">#REF!</definedName>
    <definedName name="CONFLICT3">#REF!</definedName>
    <definedName name="CONFLICT4">#REF!</definedName>
    <definedName name="CONFLICT5">#REF!</definedName>
    <definedName name="CONFLICT6">#REF!</definedName>
    <definedName name="CONFLICT7">#REF!</definedName>
    <definedName name="ConnectString1">#REF!</definedName>
    <definedName name="CONNECTSTRING2">#REF!</definedName>
    <definedName name="CONNECTSTRING3">#REF!</definedName>
    <definedName name="CONNECTSTRING4">#REF!</definedName>
    <definedName name="CONNECTSTRING5">#REF!</definedName>
    <definedName name="CONNECTSTRING6">#REF!</definedName>
    <definedName name="CONPONENT">#REF!</definedName>
    <definedName name="CONS">#REF!</definedName>
    <definedName name="cons_bs_checks">#REF!</definedName>
    <definedName name="CONS1">#REF!</definedName>
    <definedName name="CONS2">#REF!</definedName>
    <definedName name="CONS3">#REF!</definedName>
    <definedName name="Consol2" hidden="1">{#N/A,#N/A,TRUE,"Key Indices";#N/A,#N/A,TRUE,"Mfg Spending";#N/A,#N/A,TRUE,"Mfg Spending Per Unit";#N/A,#N/A,TRUE,"Spending by Organization";#N/A,#N/A,TRUE,"Inventory";#N/A,#N/A,TRUE,"IDM";#N/A,#N/A,TRUE,"Equipment";#N/A,#N/A,TRUE,"Headcount"}</definedName>
    <definedName name="CONSOLIDA">#REF!</definedName>
    <definedName name="CONSOLIDA_1">#REF!</definedName>
    <definedName name="Consolidation">#REF!</definedName>
    <definedName name="ConsolISFY08Pink">#REF!</definedName>
    <definedName name="CONSTR">#REF!</definedName>
    <definedName name="consumables">#REF!</definedName>
    <definedName name="CONTACTS">#REF!</definedName>
    <definedName name="Contents">#REF!</definedName>
    <definedName name="ContentsHelp" hidden="1">#REF!</definedName>
    <definedName name="CONTINUE">#REF!</definedName>
    <definedName name="ContLo1">#REF!</definedName>
    <definedName name="ContLo2">#REF!</definedName>
    <definedName name="ContLo3">#REF!</definedName>
    <definedName name="ContLo4">#REF!</definedName>
    <definedName name="ContLo5">#REF!</definedName>
    <definedName name="ContractFormat">#REF!</definedName>
    <definedName name="ContractID">#REF!</definedName>
    <definedName name="CONTRACTOR">#REF!</definedName>
    <definedName name="CONTROL">#REF!</definedName>
    <definedName name="Control_Total">#REF!</definedName>
    <definedName name="Control_Totals">#REF!</definedName>
    <definedName name="ControlCR">#REF!</definedName>
    <definedName name="ControlDR">#REF!</definedName>
    <definedName name="Controller">#REF!</definedName>
    <definedName name="CONTROLLER_FORMSDEFINE">"TB01!$A$1"</definedName>
    <definedName name="CONTROLLERFDOPTION.VIEWABLE_RANGE_LRC.">"TB01!$A$1"</definedName>
    <definedName name="CONTROLLERFDOPTION.VIEWABLE_RANGE_ULC.">"TB01!$A$1"</definedName>
    <definedName name="conv">#REF!</definedName>
    <definedName name="CONVAL">#REF!</definedName>
    <definedName name="convdebtrate">#REF!</definedName>
    <definedName name="convdebtshares">#REF!</definedName>
    <definedName name="Conventions">#REF!</definedName>
    <definedName name="ConvLookup">#REF!</definedName>
    <definedName name="convprefrate">#REF!</definedName>
    <definedName name="convprefshares">#REF!</definedName>
    <definedName name="convpricedebt">#REF!</definedName>
    <definedName name="convpricepref">#REF!</definedName>
    <definedName name="CONVRATES">#REF!</definedName>
    <definedName name="coop2">{"'vert'!$A$1:$T$117"}</definedName>
    <definedName name="cooper2">#REF!</definedName>
    <definedName name="copi">#REF!</definedName>
    <definedName name="copia">#REF!</definedName>
    <definedName name="copia_1">#REF!</definedName>
    <definedName name="copia_2">#REF!</definedName>
    <definedName name="copia_3">#REF!</definedName>
    <definedName name="copia_4">#REF!</definedName>
    <definedName name="COPM">#REF!</definedName>
    <definedName name="COPY" hidden="1">{#N/A,#N/A,TRUE,"CPRD";#N/A,#N/A,TRUE,"BCCPDR";#N/A,#N/A,TRUE,"EWRD";#N/A,#N/A,TRUE,"5100";#N/A,#N/A,TRUE,"5110"}</definedName>
    <definedName name="copy1" hidden="1">{#N/A,#N/A,FALSE,"Pharm";#N/A,#N/A,FALSE,"WWCM"}</definedName>
    <definedName name="copy233" hidden="1">{#N/A,#N/A,FALSE,"Pharm";#N/A,#N/A,FALSE,"WWCM"}</definedName>
    <definedName name="copy33" hidden="1">{#N/A,#N/A,FALSE,"Pharm";#N/A,#N/A,FALSE,"WWCM"}</definedName>
    <definedName name="copy38" hidden="1">{#N/A,#N/A,FALSE,"Pharm";#N/A,#N/A,FALSE,"WWCM"}</definedName>
    <definedName name="cor">#REF!</definedName>
    <definedName name="CorgentechSecTable">#REF!</definedName>
    <definedName name="CORP">#REF!</definedName>
    <definedName name="corp.bank">#REF!</definedName>
    <definedName name="CORP_CC">#REF!</definedName>
    <definedName name="CORPDepts">#REF!</definedName>
    <definedName name="corporate">#REF!</definedName>
    <definedName name="CORPORATION_BANK">#REF!</definedName>
    <definedName name="CORPTAX_DATAMAPDEFINITIONS_DataMap_1" hidden="1">#REF!</definedName>
    <definedName name="CORPTAX_DATAMAPDEFINITIONS_DataMap_2" hidden="1">#REF!</definedName>
    <definedName name="CORPTAX_DATAMAPDEFINITIONS_DataMap_3" hidden="1">#REF!</definedName>
    <definedName name="CORPTAX_DATAMAPDEFINITIONS_DataMap_4" hidden="1">#REF!</definedName>
    <definedName name="cos">{"'Feb 99'!$A$1:$G$30"}</definedName>
    <definedName name="COS_UC">#N/A</definedName>
    <definedName name="COSA">#REF!</definedName>
    <definedName name="COSJ">#REF!</definedName>
    <definedName name="COSR">#REF!</definedName>
    <definedName name="COST">#REF!</definedName>
    <definedName name="cost_calcn">#REF!</definedName>
    <definedName name="Cost_Center">#REF!</definedName>
    <definedName name="COST_EWSUMM">#REF!</definedName>
    <definedName name="Cost_Of_Sales">#REF!</definedName>
    <definedName name="Cost_range">#REF!</definedName>
    <definedName name="costctr">#REF!</definedName>
    <definedName name="CostData">#REF!</definedName>
    <definedName name="costofgoodsold">#REF!</definedName>
    <definedName name="cosw">{"'Feb 99'!$A$1:$G$30"}</definedName>
    <definedName name="count">3</definedName>
    <definedName name="countFODatas">countRSDatas-1325</definedName>
    <definedName name="Countries">#REF!</definedName>
    <definedName name="Country">#REF!</definedName>
    <definedName name="Country_dropdown">#REF!</definedName>
    <definedName name="countWOLDatas">countFODatas-691</definedName>
    <definedName name="COVER">#REF!</definedName>
    <definedName name="cp">#REF!</definedName>
    <definedName name="CPAGE">"37"</definedName>
    <definedName name="CPEcost">#REF!</definedName>
    <definedName name="cpi">#REF!</definedName>
    <definedName name="cpm">#REF!</definedName>
    <definedName name="CPNMB">"1"</definedName>
    <definedName name="CPP">#REF!</definedName>
    <definedName name="CPPD">#REF!</definedName>
    <definedName name="cpq">#REF!</definedName>
    <definedName name="cps">#REF!</definedName>
    <definedName name="cpy">#REF!</definedName>
    <definedName name="cr">#REF!</definedName>
    <definedName name="cr_knnl_mrbc_ron">#REF!</definedName>
    <definedName name="CR3RT">#REF!</definedName>
    <definedName name="CR3RTDK">#REF!</definedName>
    <definedName name="CR5RTDK">#REF!</definedName>
    <definedName name="crap">#REF!</definedName>
    <definedName name="cre">"VMFG"</definedName>
    <definedName name="CREATEGRAPH1">#REF!</definedName>
    <definedName name="CREATESUMMARYJNLS1">#REF!</definedName>
    <definedName name="CREATESUMMARYJNLS2">#REF!</definedName>
    <definedName name="CREATESUMMARYJNLS3">#REF!</definedName>
    <definedName name="CREATESUMMARYJNLS4">#REF!</definedName>
    <definedName name="CREATESUMMARYJNLS5">#REF!</definedName>
    <definedName name="CREATESUMMARYJNLS6">#REF!</definedName>
    <definedName name="CreateTable" hidden="1">#REF!</definedName>
    <definedName name="Credit">#REF!</definedName>
    <definedName name="CreditMetrics">#REF!</definedName>
    <definedName name="CreditorsA">#REF!</definedName>
    <definedName name="CreditorsJ">#REF!</definedName>
    <definedName name="CreditorsR">#REF!</definedName>
    <definedName name="CREM">#REF!</definedName>
    <definedName name="CREXPORT">#REF!</definedName>
    <definedName name="crfa">#REF!</definedName>
    <definedName name="_xlnm.Criteria">#REF!</definedName>
    <definedName name="Criteria_MI">#REF!</definedName>
    <definedName name="CRITERIACOLUMN1">#REF!</definedName>
    <definedName name="CRITERIACOLUMN2">#REF!</definedName>
    <definedName name="CRITERIACOLUMN3">#REF!</definedName>
    <definedName name="CRITERIACOLUMN4">#REF!</definedName>
    <definedName name="CRITERIACOLUMN5">#REF!</definedName>
    <definedName name="CRITERIACOLUMN6">#REF!</definedName>
    <definedName name="CRJE" hidden="1">{#N/A,#N/A,FALSE,"BS";#N/A,#N/A,FALSE,"PL";#N/A,#N/A,FALSE,"처분";#N/A,#N/A,FALSE,"현금";#N/A,#N/A,FALSE,"매출";#N/A,#N/A,FALSE,"원가";#N/A,#N/A,FALSE,"경영"}</definedName>
    <definedName name="Cromptoon">#REF!</definedName>
    <definedName name="CRONOGRAMA">{"'Edit'!$A$1:$V$2277"}</definedName>
    <definedName name="CrossAgedLookup">#REF!</definedName>
    <definedName name="Crystal_1_1_WEBI_DataGrid">#REF!</definedName>
    <definedName name="Crystal_1_1_WEBI_HHeading">#REF!</definedName>
    <definedName name="Crystal_1_1_WEBI_Table">#REF!</definedName>
    <definedName name="CS">#REF!</definedName>
    <definedName name="cs_cps">#REF!</definedName>
    <definedName name="CS239_1.8V_WW22">{"'Conbined'!$A$1:$W$54"}</definedName>
    <definedName name="CSA" hidden="1">{#N/A,#N/A,FALSE,"Aging Summary";#N/A,#N/A,FALSE,"Ratio Analysis";#N/A,#N/A,FALSE,"Test 120 Day Accts";#N/A,#N/A,FALSE,"Tickmarks"}</definedName>
    <definedName name="csAllowLocalConsolidation">TRUE</definedName>
    <definedName name="csAppName">"BudgetWeb"</definedName>
    <definedName name="csas" hidden="1">{#N/A,#N/A,FALSE,"KMC최종회의(7월) 자료"}</definedName>
    <definedName name="CSC.date">#REF!</definedName>
    <definedName name="CSC.name">#REF!</definedName>
    <definedName name="CSC.open">#REF!</definedName>
    <definedName name="csczd">0</definedName>
    <definedName name="csDesignMode">1</definedName>
    <definedName name="CSG">#REF!</definedName>
    <definedName name="cshcrdt">#REF!</definedName>
    <definedName name="CSHFLW_NOTES_CUM">#REF!</definedName>
    <definedName name="CSHFLW_NTS_FIN">#REF!</definedName>
    <definedName name="csKeepAlive">5</definedName>
    <definedName name="csLocalConsolidationOnSubmit">TRUE</definedName>
    <definedName name="csMIS_OPINC_SCHED_D_Dim01">"="</definedName>
    <definedName name="csMIS_OPINC_SCHED_D_Dim02">"="</definedName>
    <definedName name="csMIS_OPINC_SCHED_D_Dim03">"="</definedName>
    <definedName name="csMIS_OPINC_SCHED_D_Dim04">"="</definedName>
    <definedName name="csMIS_OPINC_SCHED_D_Dim05">"="</definedName>
    <definedName name="csMIS_OPINC_SCHED_D_Dim06">"="</definedName>
    <definedName name="csMIS_OPINC_SCHED_D_Dim07">"="</definedName>
    <definedName name="csMNC_CH_EXPENSE_SCHEDB7_Dim01">"="</definedName>
    <definedName name="csMNC_CH_EXPENSE_SCHEDB7_Dim02">"="</definedName>
    <definedName name="csMNC_CH_EXPENSE_SCHEDB7_Dim04">"="</definedName>
    <definedName name="csMNC_CH_EXPENSE_SCHEDB7_Dim05">"="</definedName>
    <definedName name="csMNC_CH_EXPENSE_SCHEDB7_Dim06">"="</definedName>
    <definedName name="csMNC_CH_EXPENSE_SCHEDB7_Dim08">"="</definedName>
    <definedName name="csMNC_DEPREC_BYMONTH_SCHEDB11_Dim01">"="</definedName>
    <definedName name="csMNC_DEPREC_BYMONTH_SCHEDB11_Dim02">"="</definedName>
    <definedName name="csMNC_DEPREC_BYMONTH_SCHEDB11_Dim04">"="</definedName>
    <definedName name="csMNC_DEPREC_BYMONTH_SCHEDB11_Dim05">"="</definedName>
    <definedName name="csMNC_DEPREC_BYMONTH_SCHEDB11_Dim06">"="</definedName>
    <definedName name="csMNC_DEPREC_BYMONTH_SCHEDB11_Dim07">"="</definedName>
    <definedName name="csMNC_DEPREC_BYMONTH_SCHEDB11_Dim08">"="</definedName>
    <definedName name="csMNC_DEPREC_BYSERVICE_SCHEDB11_Dim01">"="</definedName>
    <definedName name="csMNC_DEPREC_BYSERVICE_SCHEDB11_Dim02">"="</definedName>
    <definedName name="csMNC_DEPREC_BYSERVICE_SCHEDB11_Dim03">"="</definedName>
    <definedName name="csMNC_DEPREC_BYSERVICE_SCHEDB11_Dim05">"="</definedName>
    <definedName name="csMNC_DEPREC_BYSERVICE_SCHEDB11_Dim06">"="</definedName>
    <definedName name="csMNC_DEPREC_BYSERVICE_SCHEDB11_Dim07">"="</definedName>
    <definedName name="csMNC_GAEXPENSE_SCHEDB12_Dim01">"="</definedName>
    <definedName name="csMNC_GAEXPENSE_SCHEDB12_Dim02">"="</definedName>
    <definedName name="csMNC_GAEXPENSE_SCHEDB12_Dim03">"="</definedName>
    <definedName name="csMNC_GAEXPENSE_SCHEDB12_Dim04">"="</definedName>
    <definedName name="csMNC_GAEXPENSE_SCHEDB12_Dim05">"="</definedName>
    <definedName name="csMNC_GAEXPENSE_SCHEDB12_Dim06">"="</definedName>
    <definedName name="csMNC_GAEXPENSE_SCHEDB12_Dim07">"="</definedName>
    <definedName name="csMNC_GAEXPENSE_SCHEDB12_Dim08">"="</definedName>
    <definedName name="csMNC_OPINC_SCHED_B_Dim01">"="</definedName>
    <definedName name="csMNC_OPINC_SCHED_B_Dim02">"="</definedName>
    <definedName name="csMNC_OPINC_SCHED_B_Dim04">"="</definedName>
    <definedName name="csMNC_OPINC_SCHED_B_Dim05">"="</definedName>
    <definedName name="csMNC_OPINC_SCHED_B_Dim06">"="</definedName>
    <definedName name="csMNC_OPINC_SCHED_B_Dim07">"="</definedName>
    <definedName name="csMNC_OPINC_SCHED_B_Dim08">"="</definedName>
    <definedName name="csMNC_OPINC_SCHEDB2_5_Dim01">"="</definedName>
    <definedName name="csMNC_OPINC_SCHEDB2_5_Dim02">"="</definedName>
    <definedName name="csMNC_OPINC_SCHEDB2_5_Dim04">"="</definedName>
    <definedName name="csMNC_OPINC_SCHEDB2_5_Dim05">"="</definedName>
    <definedName name="csMNC_OPINC_SCHEDB2_5_Dim06">"="</definedName>
    <definedName name="csMNC_OPINC_SCHEDB2_5_Dim07">"="</definedName>
    <definedName name="csMNC_OPINC_SCHEDB2_5_Dim08">"="</definedName>
    <definedName name="csMNC_OPINC_SCHEDB2_Guam_Dim01">"="</definedName>
    <definedName name="csMNC_OPINC_SCHEDB2_Guam_Dim02">"="</definedName>
    <definedName name="csMNC_OPINC_SCHEDB2_Guam_Dim03">"="</definedName>
    <definedName name="csMNC_OPINC_SCHEDB2_Guam_Dim04">"="</definedName>
    <definedName name="csMNC_OPINC_SCHEDB2_Guam_Dim05">"="</definedName>
    <definedName name="csMNC_OPINC_SCHEDB2_Guam_Dim06">"="</definedName>
    <definedName name="csMNC_OPINC_SCHEDB2_Guam_Dim07">"="</definedName>
    <definedName name="csMNC_OPINC_SCHEDB2_MPS_Dim01">"="</definedName>
    <definedName name="csMNC_OPINC_SCHEDB2_MPS_Dim02">"="</definedName>
    <definedName name="csMNC_OPINC_SCHEDB2_MPS_Dim03">"="</definedName>
    <definedName name="csMNC_OPINC_SCHEDB2_MPS_Dim04">"="</definedName>
    <definedName name="csMNC_OPINC_SCHEDB2_MPS_Dim05">"="</definedName>
    <definedName name="csMNC_OPINC_SCHEDB2_MPS_Dim06">"="</definedName>
    <definedName name="csMNC_OPINC_SCHEDB2_MPS_Dim07">"="</definedName>
    <definedName name="csMNC_OPINC_SCHEDB6_Dim01">"="</definedName>
    <definedName name="csMNC_OPINC_SCHEDB6_Dim02">"="</definedName>
    <definedName name="csMNC_OPINC_SCHEDB6_Dim03">"="</definedName>
    <definedName name="csMNC_OPINC_SCHEDB6_Dim04">"="</definedName>
    <definedName name="csMNC_OPINC_SCHEDB6_Dim05">"="</definedName>
    <definedName name="csMNC_OPINC_SCHEDB6_Dim06">"="</definedName>
    <definedName name="csMNC_OPINC_SCHEDB6_Dim07">"="</definedName>
    <definedName name="csMNC_OPOH_BYMONTH_SCHEDB9_Dim01">"="</definedName>
    <definedName name="csMNC_OPOH_BYMONTH_SCHEDB9_Dim03">"="</definedName>
    <definedName name="csMNC_OPOH_BYMONTH_SCHEDB9_Dim04">"="</definedName>
    <definedName name="csMNC_OPOH_BYMONTH_SCHEDB9_Dim05">"="</definedName>
    <definedName name="csMNC_OPOH_BYMONTH_SCHEDB9_Dim06">"="</definedName>
    <definedName name="csMNC_OPOH_BYMONTH_SCHEDB9_Dim07">"="</definedName>
    <definedName name="csMNC_OPOH_BYMONTH_SCHEDB9_Dim08">"="</definedName>
    <definedName name="csMNC_OPOH_BYSERVICE_SCHEDB9_Dim01">"="</definedName>
    <definedName name="csMNC_OPOH_BYSERVICE_SCHEDB9_Dim02">"="</definedName>
    <definedName name="csMNC_OPOH_BYSERVICE_SCHEDB9_Dim04">"="</definedName>
    <definedName name="csMNC_OPOH_BYSERVICE_SCHEDB9_Dim05">"="</definedName>
    <definedName name="csMNC_OPOH_BYSERVICE_SCHEDB9_Dim06">"="</definedName>
    <definedName name="csMNC_OPOH_BYSERVICE_SCHEDB9_Dim08">"="</definedName>
    <definedName name="csMNC_OTHINC_BYMONTH_SCHEDB13_Dim01">"="</definedName>
    <definedName name="csMNC_OTHINC_BYMONTH_SCHEDB13_Dim02">"="</definedName>
    <definedName name="csMNC_OTHINC_BYMONTH_SCHEDB13_Dim04">"="</definedName>
    <definedName name="csMNC_OTHINC_BYMONTH_SCHEDB13_Dim05">"="</definedName>
    <definedName name="csMNC_OTHINC_BYMONTH_SCHEDB13_Dim06">"="</definedName>
    <definedName name="csMNC_OTHINC_BYMONTH_SCHEDB13_Dim07">"="</definedName>
    <definedName name="csMNC_OTHINC_BYMONTH_SCHEDB13_Dim08">"="</definedName>
    <definedName name="csMNC_VOE_BYVESSEL_SCHEDB8_Dim01">"="</definedName>
    <definedName name="csMNC_VOE_BYVESSEL_SCHEDB8_Dim02">"="</definedName>
    <definedName name="csMNC_VOE_BYVESSEL_SCHEDB8_Dim03">"="</definedName>
    <definedName name="csMNC_VOE_BYVESSEL_SCHEDB8_Dim04">"="</definedName>
    <definedName name="csMNC_VOE_BYVESSEL_SCHEDB8_Dim05">"="</definedName>
    <definedName name="csMNC_VOE_BYVESSEL_SCHEDB8_Dim06">"="</definedName>
    <definedName name="csMNC_VOE_BYVESSEL_SCHEDB8_Dim07">"="</definedName>
    <definedName name="csMNC_VOE_BYVESSEL_SCHEDB8_Dim08">"="</definedName>
    <definedName name="csMNC_VOH_BYMONTH_SCHEDB10_Dim01">"="</definedName>
    <definedName name="csMNC_VOH_BYMONTH_SCHEDB10_Dim02">"="</definedName>
    <definedName name="csMNC_VOH_BYMONTH_SCHEDB10_Dim04">"="</definedName>
    <definedName name="csMNC_VOH_BYMONTH_SCHEDB10_Dim05">"="</definedName>
    <definedName name="csMNC_VOH_BYMONTH_SCHEDB10_Dim06">"="</definedName>
    <definedName name="csMNC_VOH_BYMONTH_SCHEDB10_Dim07">"="</definedName>
    <definedName name="csMNC_VOH_BYMONTH_SCHEDB10_Dim08">"="</definedName>
    <definedName name="csMNC_VOH_BYVESSEL_SCHEDB10_Dim01">"="</definedName>
    <definedName name="csMNC_VOH_BYVESSEL_SCHEDB10_Dim02">"="</definedName>
    <definedName name="csMNC_VOH_BYVESSEL_SCHEDB10_Dim03">"="</definedName>
    <definedName name="csMNC_VOH_BYVESSEL_SCHEDB10_Dim05">"="</definedName>
    <definedName name="csMNC_VOH_BYVESSEL_SCHEDB10_Dim06">"="</definedName>
    <definedName name="csMNC_VOH_BYVESSEL_SCHEDB10_Dim07">"="</definedName>
    <definedName name="csMTI_OPINC_SCHED_C_Dim01">"="</definedName>
    <definedName name="csMTI_OPINC_SCHED_C_Dim02">"="</definedName>
    <definedName name="csMTI_OPINC_SCHED_C_Dim03">"="</definedName>
    <definedName name="csMTI_OPINC_SCHED_C_Dim04">"="</definedName>
    <definedName name="csMTI_OPINC_SCHED_C_Dim05">"="</definedName>
    <definedName name="csMTI_OPINC_SCHED_C_Dim06">"="</definedName>
    <definedName name="csMTI_OPINC_SCHED_C_Dim07">"="</definedName>
    <definedName name="csMTI_OPINC_SCHED_C_Dim08">"="</definedName>
    <definedName name="csRefreshOnOpen">TRUE</definedName>
    <definedName name="csRefreshOnRotate">TRUE</definedName>
    <definedName name="CTC">#REF!</definedName>
    <definedName name="CTG">#REF!</definedName>
    <definedName name="CTGMW">#REF!</definedName>
    <definedName name="CUMM_1">#REF!</definedName>
    <definedName name="CumminsIndLtd">#REF!</definedName>
    <definedName name="CURR">#REF!</definedName>
    <definedName name="CURR_G_L">#REF!</definedName>
    <definedName name="CURR_LIB">#REF!</definedName>
    <definedName name="CURR_OTLK_COPY">#REF!</definedName>
    <definedName name="Currency">#REF!</definedName>
    <definedName name="Currency_Code">#REF!</definedName>
    <definedName name="Currency_Select">#REF!</definedName>
    <definedName name="Currency_Unit">#REF!</definedName>
    <definedName name="Currency_Unit1">#REF!</definedName>
    <definedName name="Currency1">#REF!</definedName>
    <definedName name="Currency2">#REF!</definedName>
    <definedName name="Currency3">#REF!</definedName>
    <definedName name="Currency4">#REF!</definedName>
    <definedName name="CurrencyCode">#REF!</definedName>
    <definedName name="CurrencyList">#REF!</definedName>
    <definedName name="Currencymcs">#REF!</definedName>
    <definedName name="CurrencyNote">#REF!</definedName>
    <definedName name="Current">#REF!</definedName>
    <definedName name="CURRENT__ASSETS">#REF!</definedName>
    <definedName name="Current_Assets">#REF!</definedName>
    <definedName name="CURRENT_LIABILITIES">#REF!</definedName>
    <definedName name="Current_Net_Cash">#REF!</definedName>
    <definedName name="Current_Shares">#REF!</definedName>
    <definedName name="Current2005">#REF!</definedName>
    <definedName name="Current2006">#REF!</definedName>
    <definedName name="currentbal">#REF!</definedName>
    <definedName name="CurrentMonth">#REF!</definedName>
    <definedName name="CurrentPeriod">#REF!</definedName>
    <definedName name="CurrentYear">#REF!</definedName>
    <definedName name="CURREOM">#REF!</definedName>
    <definedName name="CurrFY">#REF!</definedName>
    <definedName name="CurrQuote0">CurrQuote01,CurrQuote02,CurrQuote03</definedName>
    <definedName name="cush">#REF!</definedName>
    <definedName name="CUSHION">#REF!</definedName>
    <definedName name="CUSHIONA">#REF!</definedName>
    <definedName name="CUSRATE">#REF!</definedName>
    <definedName name="cust">#REF!</definedName>
    <definedName name="cust_drate">#REF!</definedName>
    <definedName name="CustName2005">#REF!</definedName>
    <definedName name="CustName2006">#REF!</definedName>
    <definedName name="CustNbr2006">#REF!</definedName>
    <definedName name="Customer">#REF!</definedName>
    <definedName name="Customer_nr">#REF!</definedName>
    <definedName name="CustomerLookup">#REF!</definedName>
    <definedName name="CustomersPerHead">#REF!</definedName>
    <definedName name="CustomerType">#REF!</definedName>
    <definedName name="cv">#REF!</definedName>
    <definedName name="cv_1">#REF!</definedName>
    <definedName name="cvade">#REF!</definedName>
    <definedName name="cvcfn">#REF!</definedName>
    <definedName name="cvcv">#REF!</definedName>
    <definedName name="cvcvc" hidden="1">{#N/A,#N/A,FALSE,"AstLst"}</definedName>
    <definedName name="cvj" hidden="1">{#N/A,#N/A,FALSE,"KMC최종회의(7월) 자료"}</definedName>
    <definedName name="cvn">#REF!</definedName>
    <definedName name="cvn_1">#REF!</definedName>
    <definedName name="CWAF물정보비">#REF!</definedName>
    <definedName name="CWAF실정보비">#REF!</definedName>
    <definedName name="Cwvu.ALL.">#REF!</definedName>
    <definedName name="Cwvu.FY94_95Qtr." hidden="1">#REF!,#REF!</definedName>
    <definedName name="Cwvu.FY94_99annual." hidden="1">#REF!,#REF!</definedName>
    <definedName name="Cwvu.GREY_ALL.">#REF!</definedName>
    <definedName name="Cwvu.IMSD._.Only.">#REF!</definedName>
    <definedName name="Cwvu.PRT.">#REF!</definedName>
    <definedName name="Cwvu.Qtr." hidden="1">#REF!,#REF!,#REF!,#REF!,#REF!</definedName>
    <definedName name="Cwvu.qtr._.view." hidden="1">#REF!,#REF!,#REF!,#REF!,#REF!,#REF!,#REF!,#REF!,#REF!,#REF!,#REF!,#REF!,#REF!,#REF!,#REF!,#REF!,#REF!,#REF!,#REF!,#REF!,#REF!,#REF!,#REF!,#REF!,#REF!,#REF!,#REF!,#REF!,#REF!,#REF!,#REF!,#REF!</definedName>
    <definedName name="Cwvy.GREY_ALL._dcf">#REF!</definedName>
    <definedName name="cx">"CX6"</definedName>
    <definedName name="cxncxnx" hidden="1">{#N/A,#N/A,FALSE,"Pharm";#N/A,#N/A,FALSE,"WWCM"}</definedName>
    <definedName name="cxnxnaxg" hidden="1">{#N/A,#N/A,FALSE,"REPORT"}</definedName>
    <definedName name="cxvncxn" hidden="1">{#N/A,#N/A,FALSE,"Pharm";#N/A,#N/A,FALSE,"WWCM"}</definedName>
    <definedName name="cxzaq" hidden="1">#REF!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Equity">#REF!</definedName>
    <definedName name="CY_lik_Income">#REF!</definedName>
    <definedName name="CY_lik_Liabs">#REF!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채권계정과목">#REF!</definedName>
    <definedName name="C채무계정과목">#REF!</definedName>
    <definedName name="d">#REF!</definedName>
    <definedName name="D_1">#REF!</definedName>
    <definedName name="d_2">#REF!</definedName>
    <definedName name="d_3">#REF!</definedName>
    <definedName name="d_4">#REF!</definedName>
    <definedName name="D_REDDY">#REF!</definedName>
    <definedName name="D126757F_8C22_4332_AE16_6A56D0626CD4_AMAPC_Chart_1_ChartType">64</definedName>
    <definedName name="D126757F_8C22_4332_AE16_6A56D0626CD4_AMAPC_Chart_1_distributionSingle">FALSE</definedName>
    <definedName name="D126757F_8C22_4332_AE16_6A56D0626CD4_AMAPC_Chart_1_HorAxisGridlines">FALSE</definedName>
    <definedName name="D126757F_8C22_4332_AE16_6A56D0626CD4_AMAPC_Chart_1_VerAxisGridlines">FALSE</definedName>
    <definedName name="D126757F_8C22_4332_AE16_6A56D0626CD4_Channel_Summary_Chart_1_ChartType">64</definedName>
    <definedName name="D126757F_8C22_4332_AE16_6A56D0626CD4_Channel_Summary_Chart_1_distributionSingle">FALSE</definedName>
    <definedName name="D126757F_8C22_4332_AE16_6A56D0626CD4_Channel_Summary_Chart_1_HorAxisGridlines">FALSE</definedName>
    <definedName name="D126757F_8C22_4332_AE16_6A56D0626CD4_Channel_Summary_Chart_1_VerAxisGridlines">FALSE</definedName>
    <definedName name="D126757F_8C22_4332_AE16_6A56D0626CD4_Channel_Summary_Chart_10_ChartType">64</definedName>
    <definedName name="D126757F_8C22_4332_AE16_6A56D0626CD4_Channel_Summary_Chart_10_distributionSingle">FALSE</definedName>
    <definedName name="D126757F_8C22_4332_AE16_6A56D0626CD4_Channel_Summary_Chart_10_HorAxisGridlines">FALSE</definedName>
    <definedName name="D126757F_8C22_4332_AE16_6A56D0626CD4_Channel_Summary_Chart_10_VerAxisGridlines">FALSE</definedName>
    <definedName name="D126757F_8C22_4332_AE16_6A56D0626CD4_Regional_Reg._Chart_1_ChartType">64</definedName>
    <definedName name="D126757F_8C22_4332_AE16_6A56D0626CD4_Regional_Reg._Chart_1_distributionSingle">FALSE</definedName>
    <definedName name="D126757F_8C22_4332_AE16_6A56D0626CD4_Regional_Reg._Chart_1_HorAxisGridlines">FALSE</definedName>
    <definedName name="D126757F_8C22_4332_AE16_6A56D0626CD4_Regional_Reg._Chart_1_VerAxisGridlines">FALSE</definedName>
    <definedName name="D126757F_8C22_4332_AE16_6A56D0626CD4_Regional_Reg._Chart_2_ChartType">64</definedName>
    <definedName name="D126757F_8C22_4332_AE16_6A56D0626CD4_Regional_Reg._Chart_2_distributionSingle">FALSE</definedName>
    <definedName name="D126757F_8C22_4332_AE16_6A56D0626CD4_Regional_Reg._Chart_2_HorAxisGridlines">FALSE</definedName>
    <definedName name="D126757F_8C22_4332_AE16_6A56D0626CD4_Regional_Reg._Chart_2_VerAxisGridlines">FALSE</definedName>
    <definedName name="D126757F_8C22_4332_AE16_6A56D0626CD4_Regional_Reg._Chart_4_ChartType">128</definedName>
    <definedName name="D126757F_8C22_4332_AE16_6A56D0626CD4_Regional_Reg._Chart_4_distributionSingle">FALSE</definedName>
    <definedName name="D126757F_8C22_4332_AE16_6A56D0626CD4_Regional_Reg._Chart_4_HorAxisGridlines">FALSE</definedName>
    <definedName name="D126757F_8C22_4332_AE16_6A56D0626CD4_Regional_Reg._Chart_4_VerAxisGridlines">FALSE</definedName>
    <definedName name="D126757F_8C22_4332_AE16_6A56D0626CD4_Regional_Ship_Chart_4_ChartType">16</definedName>
    <definedName name="D126757F_8C22_4332_AE16_6A56D0626CD4_Regional_Ship_Chart_4_distributionSingle">FALSE</definedName>
    <definedName name="D126757F_8C22_4332_AE16_6A56D0626CD4_Regional_Ship_Chart_4_HorAxisGridlines">FALSE</definedName>
    <definedName name="D126757F_8C22_4332_AE16_6A56D0626CD4_Regional_Ship_Chart_4_VerAxisGridlines">FALSE</definedName>
    <definedName name="D126757F_8C22_4332_AE16_6A56D0626CD4_Sheet1_Chart_1_ChartType">64</definedName>
    <definedName name="D126757F_8C22_4332_AE16_6A56D0626CD4_Sheet1_Chart_1_distributionSingle">FALSE</definedName>
    <definedName name="D126757F_8C22_4332_AE16_6A56D0626CD4_Sheet1_Chart_1_HorAxisGridlines">FALSE</definedName>
    <definedName name="D126757F_8C22_4332_AE16_6A56D0626CD4_Sheet1_Chart_1_VerAxisGridlines">FALSE</definedName>
    <definedName name="D126757F_8C22_4332_AE16_6A56D0626CD4_Sheet3_Chart_1_ChartType">128</definedName>
    <definedName name="D126757F_8C22_4332_AE16_6A56D0626CD4_Sheet3_Chart_1_distributionSingle">FALSE</definedName>
    <definedName name="D126757F_8C22_4332_AE16_6A56D0626CD4_Sheet3_Chart_1_HorAxisGridlines">FALSE</definedName>
    <definedName name="D126757F_8C22_4332_AE16_6A56D0626CD4_Sheet3_Chart_1_VerAxisGridlines">FALSE</definedName>
    <definedName name="D126757F_8C22_4332_AE16_6A56D0626CD4_Sheet3_Chart_2_ChartType">128</definedName>
    <definedName name="D126757F_8C22_4332_AE16_6A56D0626CD4_Sheet3_Chart_2_distributionSingle">FALSE</definedName>
    <definedName name="D126757F_8C22_4332_AE16_6A56D0626CD4_Sheet3_Chart_2_HorAxisGridlines">FALSE</definedName>
    <definedName name="D126757F_8C22_4332_AE16_6A56D0626CD4_Sheet3_Chart_2_VerAxisGridlines">FALSE</definedName>
    <definedName name="D126757F_8C22_4332_AE16_6A56D0626CD4_Sheet6_Chart_1_ChartType">128</definedName>
    <definedName name="D126757F_8C22_4332_AE16_6A56D0626CD4_Sheet6_Chart_1_distributionSingle">FALSE</definedName>
    <definedName name="D126757F_8C22_4332_AE16_6A56D0626CD4_Sheet6_Chart_1_HorAxisGridlines">FALSE</definedName>
    <definedName name="D126757F_8C22_4332_AE16_6A56D0626CD4_Sheet6_Chart_1_VerAxisGridlines">FALSE</definedName>
    <definedName name="D126757F_8C22_4332_AE16_6A56D0626CD4_Sheet6_Chart_2_ChartType">128</definedName>
    <definedName name="D126757F_8C22_4332_AE16_6A56D0626CD4_Sheet6_Chart_2_distributionSingle">FALSE</definedName>
    <definedName name="D126757F_8C22_4332_AE16_6A56D0626CD4_Sheet6_Chart_2_HorAxisGridlines">FALSE</definedName>
    <definedName name="D126757F_8C22_4332_AE16_6A56D0626CD4_Sheet6_Chart_2_VerAxisGridlines">FALSE</definedName>
    <definedName name="D126757F_8C22_4332_AE16_6A56D0626CD4_West_Region_Chart_4_ChartType">128</definedName>
    <definedName name="D126757F_8C22_4332_AE16_6A56D0626CD4_West_Region_Chart_4_distributionSingle">FALSE</definedName>
    <definedName name="D126757F_8C22_4332_AE16_6A56D0626CD4_West_Region_Chart_4_HorAxisGridlines">FALSE</definedName>
    <definedName name="D126757F_8C22_4332_AE16_6A56D0626CD4_West_Region_Chart_4_VerAxisGridlines">FALSE</definedName>
    <definedName name="D126757F_8C22_4332_AE16_6A56D0626CD4_West_Region_Chart_5_ChartType">4</definedName>
    <definedName name="D126757F_8C22_4332_AE16_6A56D0626CD4_West_Region_Chart_5_distributionSingle">FALSE</definedName>
    <definedName name="D126757F_8C22_4332_AE16_6A56D0626CD4_West_Region_Chart_5_HorAxisGridlines">FALSE</definedName>
    <definedName name="D126757F_8C22_4332_AE16_6A56D0626CD4_West_Region_Chart_5_VerAxisGridlines">FALSE</definedName>
    <definedName name="D126757F_8C22_4332_AE16_6A56D0626CD4_West_Region_Chart_6_ChartType">4</definedName>
    <definedName name="D126757F_8C22_4332_AE16_6A56D0626CD4_West_Region_Chart_6_distributionSingle">FALSE</definedName>
    <definedName name="D126757F_8C22_4332_AE16_6A56D0626CD4_West_Region_Chart_6_HorAxisGridlines">FALSE</definedName>
    <definedName name="D126757F_8C22_4332_AE16_6A56D0626CD4_West_Region_Chart_6_VerAxisGridlines">FALSE</definedName>
    <definedName name="D1Type">#REF!</definedName>
    <definedName name="D2Type">#REF!</definedName>
    <definedName name="D30602005">#REF!</definedName>
    <definedName name="D31602006">#REF!</definedName>
    <definedName name="D60902005">#REF!</definedName>
    <definedName name="D60902006">#REF!</definedName>
    <definedName name="D90Over2005">#REF!</definedName>
    <definedName name="D90Over2006">#REF!</definedName>
    <definedName name="da">#REF!</definedName>
    <definedName name="DA_1504308714900000184" hidden="1">#REF!</definedName>
    <definedName name="DA_1504308753400000052" hidden="1">#REF!</definedName>
    <definedName name="DA_1680038945400000927">#REF!</definedName>
    <definedName name="DA_1680038945400000961">#REF!</definedName>
    <definedName name="DA_1744748389200001508">#REF!</definedName>
    <definedName name="DA_1744748389200001512">#REF!</definedName>
    <definedName name="DA_1933841061700000068" hidden="1">#REF!</definedName>
    <definedName name="DA_1933841061700000069" hidden="1">#REF!</definedName>
    <definedName name="DA_1933841061700000078" hidden="1">#REF!</definedName>
    <definedName name="DA_1933841061700000079" hidden="1">#REF!</definedName>
    <definedName name="DA_1933853091600000092" hidden="1">#REF!</definedName>
    <definedName name="DA_1933853091600000098" hidden="1">#REF!</definedName>
    <definedName name="DA_1933853091600000109" hidden="1">#REF!</definedName>
    <definedName name="DA_1933853091600000116" hidden="1">#REF!</definedName>
    <definedName name="DA_1933853091600000128" hidden="1">#REF!</definedName>
    <definedName name="DA_1995191021500000228">#REF!</definedName>
    <definedName name="DA_2003826307700000370" hidden="1">#REF!</definedName>
    <definedName name="DA_2016090678400000311" hidden="1">#REF!</definedName>
    <definedName name="DA_2016090678400000323" hidden="1">#REF!</definedName>
    <definedName name="dadadsa">{"'Feb 99'!$A$1:$G$30"}</definedName>
    <definedName name="dadgfads">#REF!</definedName>
    <definedName name="dados_ok">#REF!</definedName>
    <definedName name="dados2">#REF!</definedName>
    <definedName name="dados3">#REF!</definedName>
    <definedName name="daeklj">#REF!</definedName>
    <definedName name="daewkl">#REF!</definedName>
    <definedName name="dafadfafadfa" hidden="1">{#N/A,#N/A,FALSE,"Aging Summary";#N/A,#N/A,FALSE,"Ratio Analysis";#N/A,#N/A,FALSE,"Test 120 Day Accts";#N/A,#N/A,FALSE,"Tickmarks"}</definedName>
    <definedName name="dafadfafadfa_3">#REF!</definedName>
    <definedName name="dafdf">#REF!</definedName>
    <definedName name="dafdfdfdf">#REF!</definedName>
    <definedName name="dafdsf">#REF!</definedName>
    <definedName name="dafs">#REF!</definedName>
    <definedName name="DAI">#REF!</definedName>
    <definedName name="Daily">#REF!</definedName>
    <definedName name="daily2">#REF!</definedName>
    <definedName name="dakfkjafgkeaj" hidden="1">{#N/A,#N/A,FALSE,"Pharm";#N/A,#N/A,FALSE,"WWCM"}</definedName>
    <definedName name="danielle">#REF!</definedName>
    <definedName name="dare">{"'1-TheatreBkgs'!$A$1:$L$102"}</definedName>
    <definedName name="DaRWk1">#REF!</definedName>
    <definedName name="Darwk1.">#REF!</definedName>
    <definedName name="DaRWk10">#REF!</definedName>
    <definedName name="Darwk10.">#REF!</definedName>
    <definedName name="DaRWk11">#REF!</definedName>
    <definedName name="Darwk11.">#REF!</definedName>
    <definedName name="DaRWk12">#REF!</definedName>
    <definedName name="Darwk12.">#REF!</definedName>
    <definedName name="DaRWk2">#REF!</definedName>
    <definedName name="Darwk2.">#REF!</definedName>
    <definedName name="DaRWk3">#REF!</definedName>
    <definedName name="Darwk3.">#REF!</definedName>
    <definedName name="DaRWk4">#REF!</definedName>
    <definedName name="Darwk4.">#REF!</definedName>
    <definedName name="DaRWk5">#REF!</definedName>
    <definedName name="Darwk5.">#REF!</definedName>
    <definedName name="DaRWk6">#REF!</definedName>
    <definedName name="Darwk6.">#REF!</definedName>
    <definedName name="DaRWk8">#REF!</definedName>
    <definedName name="Darwk8.">#REF!</definedName>
    <definedName name="DaRwk9">#REF!</definedName>
    <definedName name="Darwk9.">#REF!</definedName>
    <definedName name="das">#REF!</definedName>
    <definedName name="das_1">#REF!</definedName>
    <definedName name="das_2">#REF!</definedName>
    <definedName name="das_3">#REF!</definedName>
    <definedName name="das_4">#REF!</definedName>
    <definedName name="dasda" hidden="1">{#N/A,#N/A,FALSE,"Aging Summary";#N/A,#N/A,FALSE,"Ratio Analysis";#N/A,#N/A,FALSE,"Test 120 Day Accts";#N/A,#N/A,FALSE,"Tickmarks"}</definedName>
    <definedName name="dasda_3">#REF!</definedName>
    <definedName name="dasdas" hidden="1">{#N/A,#N/A,FALSE,"Aging Summary";#N/A,#N/A,FALSE,"Ratio Analysis";#N/A,#N/A,FALSE,"Test 120 Day Accts";#N/A,#N/A,FALSE,"Tickmarks"}</definedName>
    <definedName name="dasdas_3">#REF!</definedName>
    <definedName name="dasf">#REF!</definedName>
    <definedName name="dasf_1">#REF!</definedName>
    <definedName name="dasf_2">#REF!</definedName>
    <definedName name="dasf_3">#REF!</definedName>
    <definedName name="dasf_4">#REF!</definedName>
    <definedName name="dasfdas">#REF!</definedName>
    <definedName name="dasfdas_1">#REF!</definedName>
    <definedName name="dasfdas_2">#REF!</definedName>
    <definedName name="dasfdas_3">#REF!</definedName>
    <definedName name="dasfdas_4">#REF!</definedName>
    <definedName name="dasgfdag">#REF!</definedName>
    <definedName name="dasklej">#REF!</definedName>
    <definedName name="DAT">#REF!</definedName>
    <definedName name="Data">#REF!</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_0800000">#REF!</definedName>
    <definedName name="DATA_DATE">40483</definedName>
    <definedName name="Data_Delay">#REF!</definedName>
    <definedName name="Data_FooterType">"INTERNAL"</definedName>
    <definedName name="Data_input_FooterType">"INTERNAL"</definedName>
    <definedName name="Data_Table">#REF!</definedName>
    <definedName name="Data_Table_License_Revenue_by_Product">#REF!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5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abase.">#REF!</definedName>
    <definedName name="Database..">#REF!</definedName>
    <definedName name="Database_MI">#REF!</definedName>
    <definedName name="database1">#REF!</definedName>
    <definedName name="Database2">#REF!</definedName>
    <definedName name="DATACT">#REF!</definedName>
    <definedName name="DataExp">#REF!</definedName>
    <definedName name="DataExpUt">#REF!</definedName>
    <definedName name="DataLE">#REF!</definedName>
    <definedName name="datatable1">#REF!</definedName>
    <definedName name="datatable2">#REF!</definedName>
    <definedName name="Date">#REF!</definedName>
    <definedName name="Date.Actual">#REF!</definedName>
    <definedName name="Date.Price">#REF!</definedName>
    <definedName name="Date_Table">#REF!</definedName>
    <definedName name="Date2">#REF!</definedName>
    <definedName name="dates">#REF!</definedName>
    <definedName name="Dates08">AND(________________thb04=DATEVALUE("1/1/08"),#REF!=DATEVALUE("12/31/08"),FormYear=2008)</definedName>
    <definedName name="DateStamp">TEXT(TODAY(),"d-mmmm-yyyy") &amp; " " &amp; TEXT(NOW(),"h:mm AM/PM")</definedName>
    <definedName name="DateTable">#REF!</definedName>
    <definedName name="DATLAST">#REF!</definedName>
    <definedName name="dave">#REF!</definedName>
    <definedName name="dave_control">{"'Census - Dallas'!$A$1:$S$76"}</definedName>
    <definedName name="davecontrol">{"'Census - Dallas'!$A$1:$S$76"}</definedName>
    <definedName name="davecontrol2">{"'Census - Dallas'!$A$1:$S$76"}</definedName>
    <definedName name="DaWk7">#REF!</definedName>
    <definedName name="Dawk7.">#REF!</definedName>
    <definedName name="daws">#REF!</definedName>
    <definedName name="day_range">#REF!</definedName>
    <definedName name="day_range.">#REF!</definedName>
    <definedName name="day_range..">#REF!</definedName>
    <definedName name="days">#REF!</definedName>
    <definedName name="days_per_mo">30</definedName>
    <definedName name="days_per_yr">360</definedName>
    <definedName name="DaysAndWeeks">{0,1,2,3,4,5,6} + {0;1;2;3;4;5}*7</definedName>
    <definedName name="DaysPerWeek">7</definedName>
    <definedName name="daysrange">#REF!</definedName>
    <definedName name="daysrange.">#REF!</definedName>
    <definedName name="daysrange..">#REF!</definedName>
    <definedName name="db">#REF!</definedName>
    <definedName name="dBase">#REF!</definedName>
    <definedName name="DBDECIMALPOINT1">#REF!</definedName>
    <definedName name="DBName1">#REF!</definedName>
    <definedName name="DBNAME2">#REF!</definedName>
    <definedName name="DBNAME3">#REF!</definedName>
    <definedName name="DBNAME4">#REF!</definedName>
    <definedName name="DBNAME5">#REF!</definedName>
    <definedName name="DBNAME6">#REF!</definedName>
    <definedName name="dbo_SUNITEMMSTR">#REF!</definedName>
    <definedName name="dbo_TimeSheetOnProjects">#REF!</definedName>
    <definedName name="dbrwk1">#REF!</definedName>
    <definedName name="dbrwk1.">#REF!</definedName>
    <definedName name="dbrwk10">#REF!</definedName>
    <definedName name="dbrwk10.">#REF!</definedName>
    <definedName name="dbrwk11">#REF!</definedName>
    <definedName name="dbrwk11.">#REF!</definedName>
    <definedName name="dbrwk12">#REF!</definedName>
    <definedName name="dbrwk12.">#REF!</definedName>
    <definedName name="dbrwk2">#REF!</definedName>
    <definedName name="dbrwk2.">#REF!</definedName>
    <definedName name="dbrwk3">#REF!</definedName>
    <definedName name="dbrwk3.">#REF!</definedName>
    <definedName name="dbrwk4">#REF!</definedName>
    <definedName name="dbrwk4.">#REF!</definedName>
    <definedName name="dbrwk5">#REF!</definedName>
    <definedName name="dbrwk5.">#REF!</definedName>
    <definedName name="dbrwk6">#REF!</definedName>
    <definedName name="dbrwk6.">#REF!</definedName>
    <definedName name="dbrwk7">#REF!</definedName>
    <definedName name="dbrwk7.">#REF!</definedName>
    <definedName name="dbrwk8">#REF!</definedName>
    <definedName name="dbrwk8.">#REF!</definedName>
    <definedName name="dbrwk9">#REF!</definedName>
    <definedName name="dbrwk9.">#REF!</definedName>
    <definedName name="DBTHOUSANDSSEPARATOR1">#REF!</definedName>
    <definedName name="DBTYPEB">#REF!</definedName>
    <definedName name="DBTYPEV">#REF!</definedName>
    <definedName name="DBUsername1">#REF!</definedName>
    <definedName name="DBUSERNAME2">#REF!</definedName>
    <definedName name="DBUSERNAME3">#REF!</definedName>
    <definedName name="DBUSERNAME4">#REF!</definedName>
    <definedName name="DBUSERNAME5">#REF!</definedName>
    <definedName name="DBUSERNAME6">#REF!</definedName>
    <definedName name="dc">#REF!</definedName>
    <definedName name="DC_서울">#REF!</definedName>
    <definedName name="dcf">#REF!</definedName>
    <definedName name="dcf_year">#REF!</definedName>
    <definedName name="DCopyToRange">#REF!</definedName>
    <definedName name="DCriteria">#REF!</definedName>
    <definedName name="dcrwk1">#REF!</definedName>
    <definedName name="dcrwk1.">#REF!</definedName>
    <definedName name="dcrwk10">#REF!</definedName>
    <definedName name="dcrwk10.">#REF!</definedName>
    <definedName name="dcrwk11">#REF!</definedName>
    <definedName name="dcrwk11.">#REF!</definedName>
    <definedName name="dcrwk12">#REF!</definedName>
    <definedName name="dcrwk12.">#REF!</definedName>
    <definedName name="dcrwk2">#REF!</definedName>
    <definedName name="dcrwk2.">#REF!</definedName>
    <definedName name="dcrwk3">#REF!</definedName>
    <definedName name="dcrwk3.">#REF!</definedName>
    <definedName name="dcrwk4">#REF!</definedName>
    <definedName name="dcrwk4.">#REF!</definedName>
    <definedName name="dcrwk5">#REF!</definedName>
    <definedName name="dcrwk5.">#REF!</definedName>
    <definedName name="dcrwk6">#REF!</definedName>
    <definedName name="dcrwk6.">#REF!</definedName>
    <definedName name="dcrwk7">#REF!</definedName>
    <definedName name="dcrwk7.">#REF!</definedName>
    <definedName name="dcrwk8">#REF!</definedName>
    <definedName name="dcrwk8.">#REF!</definedName>
    <definedName name="dcrwk9">#REF!</definedName>
    <definedName name="dcrwk9.">#REF!</definedName>
    <definedName name="dd">#REF!</definedName>
    <definedName name="DD.Category">#REF!</definedName>
    <definedName name="DD.Categoryinput">#REF!</definedName>
    <definedName name="DD.Level1">#REF!</definedName>
    <definedName name="DD.Level1input">#REF!</definedName>
    <definedName name="DD.Level2">#REF!</definedName>
    <definedName name="DD.Level2input">#REF!</definedName>
    <definedName name="DD.Periodinput">#REF!</definedName>
    <definedName name="dd_1">#REF!</definedName>
    <definedName name="ddd">#REF!</definedName>
    <definedName name="ddd_1">#REF!</definedName>
    <definedName name="ddd_2">#REF!</definedName>
    <definedName name="ddd_3">#REF!</definedName>
    <definedName name="ddd_4">#REF!</definedName>
    <definedName name="ddd_5">#REF!</definedName>
    <definedName name="DDD_Aug03">#REF!</definedName>
    <definedName name="dddaz" hidden="1">{#N/A,#N/A,FALSE,"Pharm";#N/A,#N/A,FALSE,"WWCM"}</definedName>
    <definedName name="DDDD" hidden="1">{"Summary Detail",#N/A,FALSE,"Summary";"Summary Rollup",#N/A,FALSE,"Summary"}</definedName>
    <definedName name="dddd_3">#REF!</definedName>
    <definedName name="ddddd">#REF!</definedName>
    <definedName name="dddddd">#REF!</definedName>
    <definedName name="ddddddd" hidden="1">{#N/A,#N/A,FALSE,"UNIT";#N/A,#N/A,FALSE,"UNIT";#N/A,#N/A,FALSE,"계정"}</definedName>
    <definedName name="dddddddafsga">#REF!</definedName>
    <definedName name="dddddddd" hidden="1">{"'5국공정'!$A$1:$E$128"}</definedName>
    <definedName name="ddddddddd" hidden="1">{#N/A,#N/A,FALSE,"UNIT";#N/A,#N/A,FALSE,"UNIT";#N/A,#N/A,FALSE,"계정"}</definedName>
    <definedName name="dddddddddd" hidden="1">{#N/A,#N/A,FALSE,"UNIT";#N/A,#N/A,FALSE,"UNIT";#N/A,#N/A,FALSE,"계정"}</definedName>
    <definedName name="dddddddddddddddd" hidden="1">{#N/A,#N/A,FALSE,"Pharm";#N/A,#N/A,FALSE,"WWCM"}</definedName>
    <definedName name="dddddddddddddddddd" hidden="1">{#N/A,#N/A,FALSE,"Aging Summary";#N/A,#N/A,FALSE,"Ratio Analysis";#N/A,#N/A,FALSE,"Test 120 Day Accts";#N/A,#N/A,FALSE,"Tickmarks"}</definedName>
    <definedName name="dddddddddddddddddd_3">#REF!</definedName>
    <definedName name="ddddddddddddddddddddddddddd" hidden="1">{#N/A,#N/A,FALSE,"Pharm";#N/A,#N/A,FALSE,"WWCM"}</definedName>
    <definedName name="dddfg" hidden="1">{#N/A,#N/A,FALSE,"정공"}</definedName>
    <definedName name="ddewee">#REF!</definedName>
    <definedName name="ddewee_1">#REF!</definedName>
    <definedName name="DDF">#REF!</definedName>
    <definedName name="DDFGSD">#REF!</definedName>
    <definedName name="ddfjsaldfjsda">{"'1-TheatreBkgs'!$A$1:$L$102"}</definedName>
    <definedName name="ddghgj">#REF!</definedName>
    <definedName name="DDI">#REF!</definedName>
    <definedName name="DDS" hidden="1">{#N/A,#N/A,FALSE,"을지 (4)";#N/A,#N/A,FALSE,"을지 (5)";#N/A,#N/A,FALSE,"을지 (6)"}</definedName>
    <definedName name="ddsdss">#REF!</definedName>
    <definedName name="de">#REF!</definedName>
    <definedName name="De._3">#REF!</definedName>
    <definedName name="de_1">#REF!</definedName>
    <definedName name="DE_final">{"'vert'!$A$1:$T$117"}</definedName>
    <definedName name="DealBand">#REF!</definedName>
    <definedName name="DEALBANDV">#REF!</definedName>
    <definedName name="Debbie">#REF!</definedName>
    <definedName name="Debit">#REF!</definedName>
    <definedName name="Debt">#REF!</definedName>
    <definedName name="debt_fv">#REF!</definedName>
    <definedName name="Debt_Market_Cap_Ratio">#REF!</definedName>
    <definedName name="debt_terminal">#REF!</definedName>
    <definedName name="Debtors">#REF!</definedName>
    <definedName name="Debtors_Prov_Detail">#REF!</definedName>
    <definedName name="DebtorsA">#REF!</definedName>
    <definedName name="DebtorsJ">#REF!</definedName>
    <definedName name="DebtorsR">#REF!</definedName>
    <definedName name="debtrepay">#REF!</definedName>
    <definedName name="debtsch">#REF!</definedName>
    <definedName name="DEC">#REF!</definedName>
    <definedName name="Dec_00">#REF!</definedName>
    <definedName name="Dec_18">#REF!</definedName>
    <definedName name="Dec_19">#REF!</definedName>
    <definedName name="Dec_20">#REF!</definedName>
    <definedName name="decaud">#REF!</definedName>
    <definedName name="DECDATA?">#REF!</definedName>
    <definedName name="december" hidden="1">{#N/A,#N/A,TRUE,"Condensed IS";#N/A,#N/A,TRUE,"Condensed BS";#N/A,#N/A,TRUE,"Outlook";#N/A,#N/A,TRUE,"Condensed CF";#N/A,#N/A,TRUE,"Condensed CF - qtr"}</definedName>
    <definedName name="December_98_Control_Totals">#REF!</definedName>
    <definedName name="December_Control_Totals">#REF!</definedName>
    <definedName name="decfa">#REF!</definedName>
    <definedName name="dechkd">#REF!</definedName>
    <definedName name="decsgd">#REF!</definedName>
    <definedName name="decthb">#REF!</definedName>
    <definedName name="dectwd">#REF!</definedName>
    <definedName name="DED_TAX">#REF!</definedName>
    <definedName name="DED_TAX.">#REF!</definedName>
    <definedName name="DedDetail">#REF!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uction_for_Book__increase_of_expense_and_of_reserve_balance__not_allowed_for_tax">"InventoryReserves"</definedName>
    <definedName name="DEDZD" hidden="1">{#N/A,#N/A,FALSE,"Pharm";#N/A,#N/A,FALSE,"WWCM"}</definedName>
    <definedName name="DEE" hidden="1">{#N/A,#N/A,FALSE,"Pharm";#N/A,#N/A,FALSE,"WWCM"}</definedName>
    <definedName name="def">#REF!</definedName>
    <definedName name="DEFAULTACTIVITY1">#REF!</definedName>
    <definedName name="DEFC">#REF!</definedName>
    <definedName name="DEFF">#REF!</definedName>
    <definedName name="Deffered">#REF!</definedName>
    <definedName name="defghi">#REF!</definedName>
    <definedName name="dek">#REF!</definedName>
    <definedName name="DEL">#REF!</definedName>
    <definedName name="DelDC">#REF!</definedName>
    <definedName name="DelDC.">#REF!</definedName>
    <definedName name="DelDm">#REF!</definedName>
    <definedName name="DelDm.">#REF!</definedName>
    <definedName name="delete">{"'1-TheatreBkgs'!$A$1:$L$102"}</definedName>
    <definedName name="delete1">#REF!</definedName>
    <definedName name="DELETELOGICTYPE1">#REF!</definedName>
    <definedName name="DELETELOGICTYPE2">#REF!</definedName>
    <definedName name="DELETELOGICTYPE3">#REF!</definedName>
    <definedName name="DELETELOGICTYPE4">#REF!</definedName>
    <definedName name="DELETELOGICTYPE5">#REF!</definedName>
    <definedName name="DELETELOGICTYPE6">#REF!</definedName>
    <definedName name="DeleteRange" hidden="1">#REF!</definedName>
    <definedName name="DeleteTable" hidden="1">#REF!</definedName>
    <definedName name="DeleteThis2" hidden="1">{#N/A,#N/A,FALSE,"SCHEDULES- board";#N/A,#N/A,FALSE,"BP-Q'S"}</definedName>
    <definedName name="DeleteThis3" hidden="1">{#N/A,#N/A,FALSE,"SCHEDULES- board";#N/A,#N/A,FALSE,"STMT 100"}</definedName>
    <definedName name="DeleteThis4" hidden="1">{"StatementsIncomeStatement",#N/A,TRUE,"Statements";"StatementsBalanceSheet",#N/A,TRUE,"Statements"}</definedName>
    <definedName name="DeleteThis5" hidden="1">{"IncomeStatement",#N/A,FALSE,"Income Statement";"ProductCost",#N/A,FALSE,"Income Statement";"OperatingExpense",#N/A,FALSE,"Income Statement"}</definedName>
    <definedName name="DeleteThis6" hidden="1">{#N/A,#N/A,FALSE,"CANADA";#N/A,#N/A,FALSE,"HOLLAND";#N/A,#N/A,FALSE,"AUSTRALIA";#N/A,#N/A,FALSE,"ALLOW &amp; RESRV "}</definedName>
    <definedName name="Delivery">#REF!</definedName>
    <definedName name="Delivery.">#REF!</definedName>
    <definedName name="Delphine">#REF!</definedName>
    <definedName name="DelType">#REF!</definedName>
    <definedName name="DelType.">#REF!</definedName>
    <definedName name="DEMAPR02OCTF">#REF!</definedName>
    <definedName name="DEMAUG01A">#REF!</definedName>
    <definedName name="DEMAUG01JLF">#REF!</definedName>
    <definedName name="DEMAUG01OCTF">#REF!</definedName>
    <definedName name="DEMDEC01A">#REF!</definedName>
    <definedName name="DEMDEC01OCTF">#REF!</definedName>
    <definedName name="DEMeXToEUR" hidden="1">1/EUReXToDEM</definedName>
    <definedName name="DEMFEB02OCTF">#REF!</definedName>
    <definedName name="DEMFY00A">#REF!</definedName>
    <definedName name="DEMFY01A">#REF!</definedName>
    <definedName name="DEMFY01JLF">#REF!</definedName>
    <definedName name="DEMFY01OCTF">#REF!</definedName>
    <definedName name="DEMFY98A">#REF!</definedName>
    <definedName name="DEMFY99A">#REF!</definedName>
    <definedName name="DEMJAN01A">#REF!</definedName>
    <definedName name="DEMJAN01OCTF">#REF!</definedName>
    <definedName name="DEMJUL02OCTF">#REF!</definedName>
    <definedName name="DEMJUN02OCTF">#REF!</definedName>
    <definedName name="DEMLOBAPR02OCTF">#REF!</definedName>
    <definedName name="DEMLOBAUG01A">#REF!</definedName>
    <definedName name="DEMLOBAUG01JLF">#REF!</definedName>
    <definedName name="DEMLOBAUG01OCTF">#REF!</definedName>
    <definedName name="DEMLOBDEC01A">#REF!</definedName>
    <definedName name="DEMLOBDEC01OCTF">#REF!</definedName>
    <definedName name="DEMLOBFEB02OCTF">#REF!</definedName>
    <definedName name="DEMLOBFY00A">#REF!</definedName>
    <definedName name="DEMLOBFY01A">#REF!</definedName>
    <definedName name="DEMLOBFY01JLF">#REF!</definedName>
    <definedName name="DEMLOBFY01OCTF">#REF!</definedName>
    <definedName name="DEMLOBFY98A">#REF!</definedName>
    <definedName name="DEMLOBFY99A">#REF!</definedName>
    <definedName name="DEMLOBJAN01A">#REF!</definedName>
    <definedName name="DEMLOBJAN01OCTF">#REF!</definedName>
    <definedName name="DEMLOBJUL02OCTF">#REF!</definedName>
    <definedName name="DEMLOBJUN02OCTF">#REF!</definedName>
    <definedName name="DEMLOBMAR02OCTF">#REF!</definedName>
    <definedName name="DEMLOBMAY02OCTF">#REF!</definedName>
    <definedName name="DEMLOBNOV01A">#REF!</definedName>
    <definedName name="DEMLOBNOV01OCTF">#REF!</definedName>
    <definedName name="DEMLOBOCT01A">#REF!</definedName>
    <definedName name="DEMLOBOCT01JLF">#REF!</definedName>
    <definedName name="DEMLOBOCT01OCTF">#REF!</definedName>
    <definedName name="DEMLOBQ100A">#REF!</definedName>
    <definedName name="DEMLOBQ101A">#REF!</definedName>
    <definedName name="DEMLOBQ102JLF">#REF!</definedName>
    <definedName name="DEMLOBQ102OCTF">#REF!</definedName>
    <definedName name="DEMLOBQ198A">#REF!</definedName>
    <definedName name="DEMLOBQ199A">#REF!</definedName>
    <definedName name="DEMLOBQ200A">#REF!</definedName>
    <definedName name="DEMLOBQ201A">#REF!</definedName>
    <definedName name="DEMLOBQ202OCTF">#REF!</definedName>
    <definedName name="DEMLOBQ298A">#REF!</definedName>
    <definedName name="DEMLOBQ299A">#REF!</definedName>
    <definedName name="DEMLOBQ300A">#REF!</definedName>
    <definedName name="DEMLOBQ301A">#REF!</definedName>
    <definedName name="DEMLOBQ301JLF">#REF!</definedName>
    <definedName name="DEMLOBQ301OCTF">#REF!</definedName>
    <definedName name="DEMLOBQ398A">#REF!</definedName>
    <definedName name="DEMLOBQ399A">#REF!</definedName>
    <definedName name="DEMLOBQ400A">#REF!</definedName>
    <definedName name="DEMLOBQ401A">#REF!</definedName>
    <definedName name="DEMLOBQ401JLF">#REF!</definedName>
    <definedName name="DEMLOBQ401OCTF">#REF!</definedName>
    <definedName name="DEMLOBQ498A">#REF!</definedName>
    <definedName name="DEMLOBQ499A">#REF!</definedName>
    <definedName name="DEMLOBSEP01A">#REF!</definedName>
    <definedName name="DEMLOBSEP01JLF">#REF!</definedName>
    <definedName name="DEMLOBSEP01OCTF">#REF!</definedName>
    <definedName name="DEMMAR02OCTF">#REF!</definedName>
    <definedName name="DEMMAY02OCTF">#REF!</definedName>
    <definedName name="DEMNOV01A">#REF!</definedName>
    <definedName name="DEMNOV01OCTF">#REF!</definedName>
    <definedName name="DEMOCT01A">#REF!</definedName>
    <definedName name="DEMOCT01JLF">#REF!</definedName>
    <definedName name="DEMOCT01OCTF">#REF!</definedName>
    <definedName name="DEMQ101A">#REF!</definedName>
    <definedName name="DEMQ102JLF">#REF!</definedName>
    <definedName name="DEMQ102OCTF">#REF!</definedName>
    <definedName name="DEMQ198A">#REF!</definedName>
    <definedName name="DEMQ199A">#REF!</definedName>
    <definedName name="DEMQ200A">#REF!</definedName>
    <definedName name="DEMQ201A">#REF!</definedName>
    <definedName name="DEMQ202OCTF">#REF!</definedName>
    <definedName name="DEMQ298A">#REF!</definedName>
    <definedName name="DEMQ299A">#REF!</definedName>
    <definedName name="DEMQ300A">#REF!</definedName>
    <definedName name="DEMQ301A">#REF!</definedName>
    <definedName name="DEMQ301JLF">#REF!</definedName>
    <definedName name="DEMQ301OCTF">#REF!</definedName>
    <definedName name="DEMQ398A">#REF!</definedName>
    <definedName name="DEMQ399A">#REF!</definedName>
    <definedName name="DEMQ400A">#REF!</definedName>
    <definedName name="DEMQ401A">#REF!</definedName>
    <definedName name="DEMQ401JLF">#REF!</definedName>
    <definedName name="DEMQ401OCTF">#REF!</definedName>
    <definedName name="DEMQ498A">#REF!</definedName>
    <definedName name="DEMQ499A">#REF!</definedName>
    <definedName name="DEMSEP01A">#REF!</definedName>
    <definedName name="DEMSEP01JLF">#REF!</definedName>
    <definedName name="DEMSEP01OCTF">#REF!</definedName>
    <definedName name="dennis">#REF!</definedName>
    <definedName name="DEP">#REF!</definedName>
    <definedName name="Dep.calculation">#REF!</definedName>
    <definedName name="Dep_1">{"'subnets'!$A$1:$F$20"}</definedName>
    <definedName name="Dep_2">{"'subnets'!$A$1:$F$20"}</definedName>
    <definedName name="Dep_3">{"'subnets'!$A$1:$F$20"}</definedName>
    <definedName name="Dep_4">{"'subnets'!$A$1:$F$20"}</definedName>
    <definedName name="Dep_5">{"'subnets'!$A$1:$F$20"}</definedName>
    <definedName name="DEP_EST">#REF!</definedName>
    <definedName name="Dep_margin_fore">#REF!</definedName>
    <definedName name="dep_pm">#REF!</definedName>
    <definedName name="Department">#REF!</definedName>
    <definedName name="Department_List">#REF!</definedName>
    <definedName name="Department2">#REF!</definedName>
    <definedName name="depcom_pa">#REF!</definedName>
    <definedName name="depit">#REF!</definedName>
    <definedName name="DEPLINE">#REF!</definedName>
    <definedName name="DEPN">#REF!</definedName>
    <definedName name="depn_CO">#REF!</definedName>
    <definedName name="depn_IT">#REF!</definedName>
    <definedName name="deposit">#REF!</definedName>
    <definedName name="Deposits">#REF!</definedName>
    <definedName name="Depre">#REF!</definedName>
    <definedName name="DEPREADJT" hidden="1">#REF!</definedName>
    <definedName name="Depreciation">#REF!</definedName>
    <definedName name="DEPRIT0910">#REF!</definedName>
    <definedName name="depsch">#REF!</definedName>
    <definedName name="depsched">#REF!</definedName>
    <definedName name="Dept">#REF!</definedName>
    <definedName name="DeptList">#REF!</definedName>
    <definedName name="deptLookup">#REF!</definedName>
    <definedName name="deptlookup.">#REF!</definedName>
    <definedName name="depveh_pa">#REF!</definedName>
    <definedName name="Description">#REF!</definedName>
    <definedName name="detail">#REF!</definedName>
    <definedName name="detail1">#REF!</definedName>
    <definedName name="Detail1Uncompress">TRUE</definedName>
    <definedName name="DetailedCapFullyDilutedShares">#REF!</definedName>
    <definedName name="DetailedCapShares">#REF!</definedName>
    <definedName name="DetailedCapShares2">#REF!</definedName>
    <definedName name="details">#REF!</definedName>
    <definedName name="Details_of_value_of_land_and_building">#REF!</definedName>
    <definedName name="DEV">#REF!</definedName>
    <definedName name="dev_tech">#REF!</definedName>
    <definedName name="Developed">#REF!</definedName>
    <definedName name="DEVELOPMENT">#REF!</definedName>
    <definedName name="Devi_Offsets">#REF!</definedName>
    <definedName name="DEVICE">#N/A</definedName>
    <definedName name="devtech_drate">#REF!</definedName>
    <definedName name="DEZLFEZKLHF" hidden="1">{#N/A,#N/A,FALSE,"Pharm";#N/A,#N/A,FALSE,"WWCM"}</definedName>
    <definedName name="df" hidden="1">{"CHART",#N/A,FALSE,"Arch Communications"}</definedName>
    <definedName name="dfa">#REF!</definedName>
    <definedName name="dfa_1">#REF!</definedName>
    <definedName name="dfa_2">#REF!</definedName>
    <definedName name="dfa_3">#REF!</definedName>
    <definedName name="dfa_4">#REF!</definedName>
    <definedName name="dfaddf">#REF!</definedName>
    <definedName name="dfadfdafdafdafd" hidden="1">{#N/A,#N/A,FALSE,"Aging Summary";#N/A,#N/A,FALSE,"Ratio Analysis";#N/A,#N/A,FALSE,"Test 120 Day Accts";#N/A,#N/A,FALSE,"Tickmarks"}</definedName>
    <definedName name="dfadfdafdafdafd_3">#REF!</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b">{"'1-TheatreBkgs'!$A$1:$L$102"}</definedName>
    <definedName name="dfbf" hidden="1">{#N/A,#N/A,TRUE,"CPRD";#N/A,#N/A,TRUE,"BCCPDR";#N/A,#N/A,TRUE,"EWRD";#N/A,#N/A,TRUE,"5100";#N/A,#N/A,TRUE,"5110"}</definedName>
    <definedName name="dfcmekjr">"%,LACTUALS,SBAL,R,FBUSINESS_UNIT,TCALPINE_REPORTING,NCALPINE BU,FACCOUNT,TALL_ACCOUNTS,NDFRD_INCOME_TAX"</definedName>
    <definedName name="DFCWS">#REF!</definedName>
    <definedName name="dfd">#REF!</definedName>
    <definedName name="dfdafdf">#REF!</definedName>
    <definedName name="dfdas">#REF!</definedName>
    <definedName name="dfdas1">#REF!</definedName>
    <definedName name="DFDD">#REF!</definedName>
    <definedName name="DFDD_1">#REF!</definedName>
    <definedName name="dfdf">#REF!</definedName>
    <definedName name="dfdfd">#REF!</definedName>
    <definedName name="dfdfdd">#REF!</definedName>
    <definedName name="dfdfdfd">#REF!</definedName>
    <definedName name="dfdfdfd1">#REF!</definedName>
    <definedName name="dfdfgj">#REF!</definedName>
    <definedName name="dfdfgj_1">#REF!</definedName>
    <definedName name="dfdfgj_2">#REF!</definedName>
    <definedName name="dfdfgj_3">#REF!</definedName>
    <definedName name="dfdfgj_4">#REF!</definedName>
    <definedName name="dfdgfgdfg">#REF!</definedName>
    <definedName name="dfdsafs" hidden="1">#REF!</definedName>
    <definedName name="dfdsf">#REF!</definedName>
    <definedName name="dfewg">{"'1-TheatreBkgs'!$A$1:$L$102"}</definedName>
    <definedName name="dfg" hidden="1">{"Page1",#N/A,FALSE,"CF WKSHT";"Page2",#N/A,FALSE,"CF WKSHT"}</definedName>
    <definedName name="dfg_1">#REF!</definedName>
    <definedName name="dfg_2">#REF!</definedName>
    <definedName name="dfg_3">#REF!</definedName>
    <definedName name="dfg_4">#REF!</definedName>
    <definedName name="dfgdfg">#REF!</definedName>
    <definedName name="dfgdgd">#REF!</definedName>
    <definedName name="dfgdxfv">#REF!</definedName>
    <definedName name="dfgf" hidden="1">{#N/A,#N/A,TRUE,"Condensed IS";#N/A,#N/A,TRUE,"Condensed BS";#N/A,#N/A,TRUE,"Outlook";#N/A,#N/A,TRUE,"Condensed CF";#N/A,#N/A,TRUE,"Condensed CF - qtr"}</definedName>
    <definedName name="dfgfd">#REF!</definedName>
    <definedName name="dfgfdhgfdtgdsagfdhgfdg" hidden="1">{"20 Years",#N/A,FALSE,"P&amp;Ls";"2001",#N/A,FALSE,"P&amp;Ls"}</definedName>
    <definedName name="dfghddfgq">#REF!</definedName>
    <definedName name="dfghddfgq_1">#REF!</definedName>
    <definedName name="dfghddfgq_2">#REF!</definedName>
    <definedName name="dfghddfgq_3">#REF!</definedName>
    <definedName name="dfghddfgq_4">#REF!</definedName>
    <definedName name="dfghfe" hidden="1">{#N/A,#N/A,FALSE,"Pharm";#N/A,#N/A,FALSE,"WWCM"}</definedName>
    <definedName name="dfgj">#REF!</definedName>
    <definedName name="dfgj_1">#REF!</definedName>
    <definedName name="dfgj_2">#REF!</definedName>
    <definedName name="dfgj_3">#REF!</definedName>
    <definedName name="dfgj_4">#REF!</definedName>
    <definedName name="dfgjdf">#REF!</definedName>
    <definedName name="dfgjdf_1">#REF!</definedName>
    <definedName name="dfgjdf_2">#REF!</definedName>
    <definedName name="dfgjdf_3">#REF!</definedName>
    <definedName name="dfgjdf_4">#REF!</definedName>
    <definedName name="DFGJDFJ">#REF!</definedName>
    <definedName name="dfgjgf">#REF!</definedName>
    <definedName name="dfgjgf_1">#REF!</definedName>
    <definedName name="dfgjgf_2">#REF!</definedName>
    <definedName name="dfgjgf_3">#REF!</definedName>
    <definedName name="dfgjgf_4">#REF!</definedName>
    <definedName name="dfgnbdfn">#REF!</definedName>
    <definedName name="dfgnbdfn_1">#REF!</definedName>
    <definedName name="dfgrtebvc" hidden="1">#REF!</definedName>
    <definedName name="dfgsdf">#REF!</definedName>
    <definedName name="dfhdfg">#REF!</definedName>
    <definedName name="dfhdfghdg">#REF!</definedName>
    <definedName name="dfhdfghdg_1">#REF!</definedName>
    <definedName name="dfhdfghdg_2">#REF!</definedName>
    <definedName name="dfhdfghdg_3">#REF!</definedName>
    <definedName name="dfhdfghdg_4">#REF!</definedName>
    <definedName name="dfhdgdgdfghjdjyj">#REF!</definedName>
    <definedName name="dfhdgdgdfghjdjyj_1">#REF!</definedName>
    <definedName name="dfhdgdgdfghjdjyj_2">#REF!</definedName>
    <definedName name="dfhdgdgdfghjdjyj_3">#REF!</definedName>
    <definedName name="dfhdgdgdfghjdjyj_4">#REF!</definedName>
    <definedName name="dfhgf" hidden="1">{#N/A,#N/A,FALSE,"Pharm";#N/A,#N/A,FALSE,"WWCM"}</definedName>
    <definedName name="dfhgfgdjgd">#REF!</definedName>
    <definedName name="dfhgjk">#REF!</definedName>
    <definedName name="dfhjg">#REF!</definedName>
    <definedName name="DFilter">#REF!</definedName>
    <definedName name="DFilterRange">#REF!</definedName>
    <definedName name="dfjf">#REF!</definedName>
    <definedName name="dfjf_1">#REF!</definedName>
    <definedName name="dfjf_2">#REF!</definedName>
    <definedName name="dfjf_3">#REF!</definedName>
    <definedName name="dfjf_4">#REF!</definedName>
    <definedName name="dfk">#REF!</definedName>
    <definedName name="dfk1New">#REF!</definedName>
    <definedName name="dfkNew">#REF!</definedName>
    <definedName name="dflt1">#REF!</definedName>
    <definedName name="dfnj">#REF!</definedName>
    <definedName name="dfnj_1">#REF!</definedName>
    <definedName name="DFS">#REF!</definedName>
    <definedName name="dfs_1">#REF!</definedName>
    <definedName name="dfs_2">#REF!</definedName>
    <definedName name="dfs_3">#REF!</definedName>
    <definedName name="dfs_4">#REF!</definedName>
    <definedName name="dfsads">#REF!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df">#REF!</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df" hidden="1">{"'08-14'!$A$3:$I$112"}</definedName>
    <definedName name="DG" hidden="1">#REF!</definedName>
    <definedName name="dgae">#REF!</definedName>
    <definedName name="dgf">#REF!</definedName>
    <definedName name="dgf_1">#REF!</definedName>
    <definedName name="dgf_2">#REF!</definedName>
    <definedName name="dgf_3">#REF!</definedName>
    <definedName name="dgf_4">#REF!</definedName>
    <definedName name="dgfbdfyj">#REF!</definedName>
    <definedName name="dgfbdfyj_1">#REF!</definedName>
    <definedName name="dgfdf">#REF!</definedName>
    <definedName name="dgfdf_1">#REF!</definedName>
    <definedName name="dgfdf_2">#REF!</definedName>
    <definedName name="dgfdf_3">#REF!</definedName>
    <definedName name="dgfdf_4">#REF!</definedName>
    <definedName name="dgfghh">#REF!</definedName>
    <definedName name="dghdgdjyukyu">#REF!</definedName>
    <definedName name="dghdgdjyukyu_1">#REF!</definedName>
    <definedName name="dghdgdjyukyu_2">#REF!</definedName>
    <definedName name="dghdgdjyukyu_3">#REF!</definedName>
    <definedName name="dghdgdjyukyu_4">#REF!</definedName>
    <definedName name="dghdrxtgbhtr">#REF!</definedName>
    <definedName name="dghdrxtgbhtr_1">#REF!</definedName>
    <definedName name="dghdrxtgbhtr_2">#REF!</definedName>
    <definedName name="dghdrxtgbhtr_3">#REF!</definedName>
    <definedName name="dghdrxtgbhtr_4">#REF!</definedName>
    <definedName name="dghfhsdgbsdf">#REF!</definedName>
    <definedName name="dghfhsdgbsdf_1">#REF!</definedName>
    <definedName name="dghfhsdgbsdf_2">#REF!</definedName>
    <definedName name="dghfhsdgbsdf_3">#REF!</definedName>
    <definedName name="dghfhsdgbsdf_4">#REF!</definedName>
    <definedName name="dghgdgf">#REF!</definedName>
    <definedName name="dghgdgf_1">#REF!</definedName>
    <definedName name="dghgdgf_2">#REF!</definedName>
    <definedName name="dghgdgf_3">#REF!</definedName>
    <definedName name="dghgdgf_4">#REF!</definedName>
    <definedName name="dghkh">#REF!</definedName>
    <definedName name="dgjj">#REF!</definedName>
    <definedName name="dgsdf">#REF!</definedName>
    <definedName name="dgsdf_1">#REF!</definedName>
    <definedName name="dgsdf_2">#REF!</definedName>
    <definedName name="dgsdf_3">#REF!</definedName>
    <definedName name="dgsdf_4">#REF!</definedName>
    <definedName name="dgsg">BLCH</definedName>
    <definedName name="dgtdf">#REF!</definedName>
    <definedName name="dhampursugar">#REF!</definedName>
    <definedName name="dhdh">{"'표지'!$B$5"}</definedName>
    <definedName name="dhdhd">#REF!</definedName>
    <definedName name="dhr">#REF!</definedName>
    <definedName name="dhrdh">#REF!</definedName>
    <definedName name="dhtrhdr">#REF!</definedName>
    <definedName name="DI">#REF!</definedName>
    <definedName name="DI_CONSOL">#REF!</definedName>
    <definedName name="DI_UNCONSOL">#REF!</definedName>
    <definedName name="Did">#REF!</definedName>
    <definedName name="DIFF">#REF!</definedName>
    <definedName name="DIFF_10">#REF!</definedName>
    <definedName name="DIFF_12">#REF!</definedName>
    <definedName name="Difference">#REF!</definedName>
    <definedName name="Difference_1">#REF!</definedName>
    <definedName name="digital" hidden="1">#REF!</definedName>
    <definedName name="DII">#REF!</definedName>
    <definedName name="dil">#REF!</definedName>
    <definedName name="dillard">#REF!</definedName>
    <definedName name="Dimension">#REF!</definedName>
    <definedName name="DIP">#REF!</definedName>
    <definedName name="dir">#REF!</definedName>
    <definedName name="dirannpay">#REF!</definedName>
    <definedName name="direct">#REF!</definedName>
    <definedName name="direct_expenses">#REF!</definedName>
    <definedName name="dirmopay">#REF!</definedName>
    <definedName name="DirRev">#REF!</definedName>
    <definedName name="DIS">#REF!</definedName>
    <definedName name="DIS_LIST">#REF!</definedName>
    <definedName name="Disaggregations">#REF!</definedName>
    <definedName name="disbursements">#REF!</definedName>
    <definedName name="Disc_1_FooterType">"EXTERNAL"</definedName>
    <definedName name="Disc_2_FooterType">"EXTERNAL"</definedName>
    <definedName name="Disc_3_FooterType">"EXTERNAL"</definedName>
    <definedName name="Disc_notes_FooterType">"EXTERNAL"</definedName>
    <definedName name="Disc_notes_input_FooterType">"EXTERNAL"</definedName>
    <definedName name="disc_years">#REF!</definedName>
    <definedName name="Disclosure_1_FooterType">"EXTERNAL"</definedName>
    <definedName name="Disclosure_2_FooterType">"EXTERNAL"</definedName>
    <definedName name="Disclosure_3_FooterType">"EXTERNAL"</definedName>
    <definedName name="Disclosure_FooterType">"EXTERNAL"</definedName>
    <definedName name="Disclosure_notes_FooterType">"EXTERNAL"</definedName>
    <definedName name="Disclosure_notes_input_FooterType">"EXTERNAL"</definedName>
    <definedName name="Disclosures_FooterType">"EXTERNAL"</definedName>
    <definedName name="Discount">#REF!</definedName>
    <definedName name="Discount_Rate">#REF!</definedName>
    <definedName name="Discount_Rate1">#REF!</definedName>
    <definedName name="Discount1">#REF!</definedName>
    <definedName name="Discount2">#REF!</definedName>
    <definedName name="DiscountRate">0.1</definedName>
    <definedName name="DiscountsArray">#REF!</definedName>
    <definedName name="DiscountsValid">#REF!</definedName>
    <definedName name="display_area_1">#REF!</definedName>
    <definedName name="display_area_2">#REF!</definedName>
    <definedName name="display_area_3">#REF!</definedName>
    <definedName name="display_area_4">#REF!</definedName>
    <definedName name="display_unit">"($MM)"</definedName>
    <definedName name="DISPLAY10L">"A0652877"</definedName>
    <definedName name="DISPLAY3L">"A0679920"</definedName>
    <definedName name="DISPLAYJAP">"A0729702"</definedName>
    <definedName name="DisplaySelectedSheetsMacroButton">#REF!</definedName>
    <definedName name="DisposalPD">#REF!</definedName>
    <definedName name="DisposalPlan">#REF!</definedName>
    <definedName name="disposition">#REF!</definedName>
    <definedName name="Disruptive">#REF!</definedName>
    <definedName name="disti">#REF!</definedName>
    <definedName name="Distibva" hidden="1">{"PRVSN",#N/A,FALSE,"Q196";"PRVSN",#N/A,FALSE,"Q296";"PRVSN",#N/A,FALSE,"Q396";"PRVSN",#N/A,FALSE,"Q496";"VARIANCES",#N/A,FALSE,"Q196";"VARIANCES",#N/A,FALSE,"Q296"}</definedName>
    <definedName name="DISTOUTSTANDING">#REF!</definedName>
    <definedName name="DISTRIBUTION">#REF!</definedName>
    <definedName name="DISTRIBUTORS">#REF!</definedName>
    <definedName name="Div">#REF!</definedName>
    <definedName name="Div_Industrial">#REF!</definedName>
    <definedName name="dividends">#REF!</definedName>
    <definedName name="Dividends_Paid">#REF!</definedName>
    <definedName name="Dividends_Received">#REF!</definedName>
    <definedName name="DIVISION">#REF!</definedName>
    <definedName name="DIVISION1">#REF!</definedName>
    <definedName name="DIVISION2">#REF!</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d">#REF!</definedName>
    <definedName name="djd1New">#REF!</definedName>
    <definedName name="djdfhdfghg">#REF!</definedName>
    <definedName name="djdfhdfghg_1">#REF!</definedName>
    <definedName name="djdfhdfghg_2">#REF!</definedName>
    <definedName name="djdfhdfghg_3">#REF!</definedName>
    <definedName name="djdfhdfghg_4">#REF!</definedName>
    <definedName name="djdNew">#REF!</definedName>
    <definedName name="djfdsfjdsfjsa">{"'1-TheatreBkgs'!$A$1:$L$102"}</definedName>
    <definedName name="djflkjdlfk" hidden="1">#REF!</definedName>
    <definedName name="djksljd" hidden="1">{#N/A,#N/A,FALSE,"Other";#N/A,#N/A,FALSE,"Ace";#N/A,#N/A,FALSE,"Derm"}</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 hidden="1">{#N/A,#N/A,FALSE,"3가";#N/A,#N/A,FALSE,"3나";#N/A,#N/A,FALSE,"3다"}</definedName>
    <definedName name="dk_3">#REF!</definedName>
    <definedName name="dkdk"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KFASJ">#REF!</definedName>
    <definedName name="dkfjdfNew">#REF!</definedName>
    <definedName name="dkfjdk">#REF!</definedName>
    <definedName name="dkfjdk1">#REF!</definedName>
    <definedName name="dkilildolsjfosuer888888">#REF!</definedName>
    <definedName name="dkj">#REF!</definedName>
    <definedName name="DKK">#REF!</definedName>
    <definedName name="DKS" hidden="1">{#N/A,#N/A,FALSE,"3가";#N/A,#N/A,FALSE,"3나";#N/A,#N/A,FALSE,"3다"}</definedName>
    <definedName name="DKS_3">#REF!</definedName>
    <definedName name="DL">#REF!</definedName>
    <definedName name="DL21236421_c5c5_4edf_be84_db0e638bdcf8">#REF!</definedName>
    <definedName name="DL2sfduohgu">#REF!</definedName>
    <definedName name="DL3dbcdb37_80e8_443d_99aa_c93017ca5109">#REF!</definedName>
    <definedName name="dlajdfaljfd" hidden="1">{#N/A,#N/A,FALSE,"Title";#N/A,#N/A,FALSE,"Index";#N/A,#N/A,FALSE,"1";#N/A,#N/A,FALSE,"2";#N/A,#N/A,FALSE,"3";#N/A,#N/A,FALSE,"4";#N/A,#N/A,FALSE,"5";#N/A,#N/A,FALSE,"6";#N/A,#N/A,FALSE,"7";#N/A,#N/A,FALSE,"8"}</definedName>
    <definedName name="DLJ">#REF!</definedName>
    <definedName name="dls">#REF!</definedName>
    <definedName name="dltmdwo">#REF!</definedName>
    <definedName name="dlx">#REF!</definedName>
    <definedName name="DM">#REF!</definedName>
    <definedName name="DME_BeforeCloseCompleted">"False"</definedName>
    <definedName name="DME_Dirty">"False"</definedName>
    <definedName name="DME_DocumentFlags">"1"</definedName>
    <definedName name="DME_DocumentID">"::ODMA\DME-MSE\London-44356"</definedName>
    <definedName name="DME_DocumentOpened">"True"</definedName>
    <definedName name="DME_DocumentTitle">"London-44356 - impress model"</definedName>
    <definedName name="DME_LocalFile">"False"</definedName>
    <definedName name="DME_NextWindowNumber">"2"</definedName>
    <definedName name="DME_ODMALinks1">"::ODMA\DME-MSE\London-44590=C:\TEMP\Dme\London-44590.xls"</definedName>
    <definedName name="DME_ODMALinks2">"::ODMA\DME-MSE\TAX-55066=C:\DOCUME~1\morris6d\LOCALS~1\Temp\Dme\TAX-55066.xls"</definedName>
    <definedName name="DME_ODMALinks3">"::ODMA\DME-MSE\TAX-54886=C:\DOCUME~1\morris6d\LOCALS~1\Temp\Dme\TAX-54886.xls"</definedName>
    <definedName name="DME_ODMALinks4">"::ODMA\DME-MSE\TAX-54554=C:\DOCUME~1\morris6d\LOCALS~1\Temp\Dme\TAX-54554.xls"</definedName>
    <definedName name="DME_ODMALinks5">"::ODMA\DME-MSE\TAX-55463=C:\DOCUME~1\lewis7m\LOCALS~1\Temp\Dme\TAX-55463.xls"</definedName>
    <definedName name="DME_ODMALinks6">"::ODMA\DME-MSE\TAX-57720=C:\DOCUME~1\morris6d\LOCALS~1\Temp\Dme\TAX-57720.xls"</definedName>
    <definedName name="DME_ODMALinksCount">"1"</definedName>
    <definedName name="dmf">#REF!</definedName>
    <definedName name="DOC">#REF!</definedName>
    <definedName name="DocType">#REF!</definedName>
    <definedName name="Document_array">{"Book1","评估表样1.xls"}</definedName>
    <definedName name="DocumentName">"b1"</definedName>
    <definedName name="DocumentNum">"a1"</definedName>
    <definedName name="doddd">#REF!</definedName>
    <definedName name="dog">#REF!</definedName>
    <definedName name="dog_1">#REF!</definedName>
    <definedName name="dog_3">#REF!</definedName>
    <definedName name="DOI">#REF!</definedName>
    <definedName name="DOLLAR">#REF!</definedName>
    <definedName name="DOLLARS_FINAL">#REF!</definedName>
    <definedName name="DOLLARS_MONTHLY">#REF!</definedName>
    <definedName name="DOM_COS">#N/A</definedName>
    <definedName name="DOM_SALE">#N/A</definedName>
    <definedName name="DOMSALE">#N/A</definedName>
    <definedName name="don">#REF!</definedName>
    <definedName name="Done">#REF!</definedName>
    <definedName name="doo" hidden="1">{"Central",#N/A,FALSE,"Total"}</definedName>
    <definedName name="doo.." hidden="1">{"Central",#N/A,FALSE,"Total"}</definedName>
    <definedName name="dov">#REF!</definedName>
    <definedName name="Dow">41414.6390972222</definedName>
    <definedName name="Download_Inc_Stmnt">#REF!</definedName>
    <definedName name="DP">#REF!</definedName>
    <definedName name="DPC">#REF!</definedName>
    <definedName name="dpts">{"'Sheet1'!$A$1:$AI$34","'Sheet1'!$A$1:$AI$31","'Sheet1'!$B$2:$AM$25"}</definedName>
    <definedName name="dPwjram">#REF!</definedName>
    <definedName name="DR">#REF!</definedName>
    <definedName name="Dr.reddyslab">#REF!</definedName>
    <definedName name="draft">#REF!</definedName>
    <definedName name="dreyer">#REF!</definedName>
    <definedName name="drgarhy">#REF!</definedName>
    <definedName name="drgd">#REF!</definedName>
    <definedName name="drhdrh">#REF!</definedName>
    <definedName name="drhrhdfh">#REF!</definedName>
    <definedName name="drhrhr">#REF!</definedName>
    <definedName name="DropDownList">#REF!</definedName>
    <definedName name="DrReddy">#REF!</definedName>
    <definedName name="drtd">#REF!</definedName>
    <definedName name="drtg">#REF!</definedName>
    <definedName name="drtgdg">#REF!</definedName>
    <definedName name="drthjdrnh">#REF!</definedName>
    <definedName name="drthjdrnh_1">#REF!</definedName>
    <definedName name="drthjdrnh_2">#REF!</definedName>
    <definedName name="drthjdrnh_3">#REF!</definedName>
    <definedName name="drthjdrnh_4">#REF!</definedName>
    <definedName name="DRUCKBEREI03">#REF!</definedName>
    <definedName name="ds">#REF!</definedName>
    <definedName name="ds_1">#REF!</definedName>
    <definedName name="DSA" hidden="1">{#N/A,#N/A,FALSE,"을지 (4)";#N/A,#N/A,FALSE,"을지 (5)";#N/A,#N/A,FALSE,"을지 (6)"}</definedName>
    <definedName name="DSAAD" hidden="1">{#N/A,#N/A,FALSE,"1";#N/A,#N/A,FALSE,"2";#N/A,#N/A,FALSE,"16 - 17";#N/A,#N/A,FALSE,"18 - 19";#N/A,#N/A,FALSE,"26";#N/A,#N/A,FALSE,"27";#N/A,#N/A,FALSE,"28"}</definedName>
    <definedName name="dsaD" hidden="1">{#N/A,#N/A,FALSE,"Pharm";#N/A,#N/A,FALSE,"WWCM"}</definedName>
    <definedName name="DSADSA" hidden="1">{#N/A,#N/A,FALSE,"Pharm";#N/A,#N/A,FALSE,"WWCM"}</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s">#REF!</definedName>
    <definedName name="dsaflkj">#REF!</definedName>
    <definedName name="dsaflkje">#REF!</definedName>
    <definedName name="dsafwlekj">#REF!</definedName>
    <definedName name="dsasdds">#REF!</definedName>
    <definedName name="dsasf" hidden="1">{#N/A,#N/A,FALSE,"KMC최종회의(7월) 자료"}</definedName>
    <definedName name="dsdf" hidden="1">{#N/A,#N/A,TRUE,"Summary";#N/A,#N/A,TRUE,"IS";#N/A,#N/A,TRUE,"Adj";#N/A,#N/A,TRUE,"BS";#N/A,#N/A,TRUE,"CF";#N/A,#N/A,TRUE,"Debt";#N/A,#N/A,TRUE,"IRR"}</definedName>
    <definedName name="dsdsds">#REF!</definedName>
    <definedName name="dsea">#REF!</definedName>
    <definedName name="dsewq" hidden="1">{#N/A,#N/A,FALSE,"KMC최종회의(7월) 자료"}</definedName>
    <definedName name="DSF">#REF!</definedName>
    <definedName name="dsfa" hidden="1">{#VALUE!,#N/A,FALSE,0;#N/A,#N/A,FALSE,0}</definedName>
    <definedName name="dsfasd">#REF!</definedName>
    <definedName name="dsfasd_1">#REF!</definedName>
    <definedName name="dsfasd_2">#REF!</definedName>
    <definedName name="dsfasd_3">#REF!</definedName>
    <definedName name="dsfasd_4">#REF!</definedName>
    <definedName name="dsfd">#REF!</definedName>
    <definedName name="DSFDSA" hidden="1">#REF!</definedName>
    <definedName name="dsfdsf">{"'Feb 99'!$A$1:$G$30"}</definedName>
    <definedName name="dsfg">#REF!</definedName>
    <definedName name="dsfg_1">#REF!</definedName>
    <definedName name="dsfg_2">#REF!</definedName>
    <definedName name="dsfg_3">#REF!</definedName>
    <definedName name="dsfg_4">#REF!</definedName>
    <definedName name="dsfgr">#REF!</definedName>
    <definedName name="DSFSD">{"'Sheet1'!$L$16"}</definedName>
    <definedName name="dsfsffss" hidden="1">{#N/A,#N/A,FALSE,"Pharm";#N/A,#N/A,FALSE,"WWCM"}</definedName>
    <definedName name="dsfssfdg">#REF!</definedName>
    <definedName name="dsfssfdg_1">#REF!</definedName>
    <definedName name="dsfssfdg_2">#REF!</definedName>
    <definedName name="dsfssfdg_3">#REF!</definedName>
    <definedName name="dsfssfdg_4">#REF!</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kjcieew">"V2001-03-31"</definedName>
    <definedName name="DSM">#REF!</definedName>
    <definedName name="DSM_KEY1" hidden="1">#REF!</definedName>
    <definedName name="DSM_SORT" hidden="1">#REF!</definedName>
    <definedName name="DSM_WRN.FRP" hidden="1">{#N/A,#N/A,FALSE,"Title";#N/A,#N/A,FALSE,"Index";#N/A,#N/A,FALSE,"1";#N/A,#N/A,FALSE,"2";#N/A,#N/A,FALSE,"3";#N/A,#N/A,FALSE,"4";#N/A,#N/A,FALSE,"5";#N/A,#N/A,FALSE,"6";#N/A,#N/A,FALSE,"7";#N/A,#N/A,FALSE,"8"}</definedName>
    <definedName name="DSMWRN.QUARTFRP" hidden="1">{#N/A,#N/A,FALSE,"Title";#N/A,#N/A,FALSE,"Index";#N/A,#N/A,FALSE,"1";#N/A,#N/A,FALSE,"2";#N/A,#N/A,FALSE,"3";#N/A,#N/A,FALSE,"4";#N/A,#N/A,FALSE,"5";#N/A,#N/A,FALSE,"5A";#N/A,#N/A,FALSE,"6";#N/A,#N/A,FALSE,"7";#N/A,#N/A,FALSE,"8"}</definedName>
    <definedName name="DSP">#REF!</definedName>
    <definedName name="DSPIMO">#REF!</definedName>
    <definedName name="DSPMO">#REF!</definedName>
    <definedName name="DSPTLMO">#REF!</definedName>
    <definedName name="dtabase">#REF!</definedName>
    <definedName name="Dtata02">#REF!</definedName>
    <definedName name="dtbsmar03">#REF!</definedName>
    <definedName name="dtdeb">#REF!</definedName>
    <definedName name="dtfin">#REF!</definedName>
    <definedName name="dtgasens1f1">#REF!</definedName>
    <definedName name="dtgasens1f2">#REF!</definedName>
    <definedName name="dtgasens1f3">#REF!</definedName>
    <definedName name="dtgasens2f1">#REF!</definedName>
    <definedName name="dtgasens2f2">#REF!</definedName>
    <definedName name="dtgasens2f3">#REF!</definedName>
    <definedName name="dtgasens3f1">#REF!</definedName>
    <definedName name="dtgasens3f2">#REF!</definedName>
    <definedName name="dtgasens3f3">#REF!</definedName>
    <definedName name="dtgasens4f1">#REF!</definedName>
    <definedName name="dtgasens4f2">#REF!</definedName>
    <definedName name="dtgasens4f3">#REF!</definedName>
    <definedName name="dtgasens5f1">#REF!</definedName>
    <definedName name="dtgasens5f2">#REF!</definedName>
    <definedName name="dtgasens5f3">#REF!</definedName>
    <definedName name="dtht">#REF!</definedName>
    <definedName name="DTL">#REF!</definedName>
    <definedName name="dtr">#REF!</definedName>
    <definedName name="dtr_1">#REF!</definedName>
    <definedName name="dtr_2">#REF!</definedName>
    <definedName name="dtr_3">#REF!</definedName>
    <definedName name="dtr_4">#REF!</definedName>
    <definedName name="DTS">#REF!</definedName>
    <definedName name="dtsalessens1f1">#REF!</definedName>
    <definedName name="dtsalessens1f2">#REF!</definedName>
    <definedName name="dtsalessens1f3">#REF!</definedName>
    <definedName name="dtsalessens2f1">#REF!</definedName>
    <definedName name="dtsalessens2f2">#REF!</definedName>
    <definedName name="dtsalessens2f3">#REF!</definedName>
    <definedName name="dtsalessens3f1">#REF!</definedName>
    <definedName name="dtsalessens3f2">#REF!</definedName>
    <definedName name="dtsalessens3f3">#REF!</definedName>
    <definedName name="dtsalessens4f1">#REF!</definedName>
    <definedName name="dtsalessens4f2">#REF!</definedName>
    <definedName name="dtsalessens4f3">#REF!</definedName>
    <definedName name="dtsalessens5f1">#REF!</definedName>
    <definedName name="dtsalessens5f2">#REF!</definedName>
    <definedName name="dtsalessens5f3">#REF!</definedName>
    <definedName name="dtu">#REF!</definedName>
    <definedName name="dtuk">#REF!</definedName>
    <definedName name="dtuk_1">#REF!</definedName>
    <definedName name="dtyk">#REF!</definedName>
    <definedName name="dtyk_1">#REF!</definedName>
    <definedName name="duck" hidden="1">{#N/A,#N/A,FALSE,"Summary";#N/A,#N/A,FALSE,"1991";#N/A,#N/A,FALSE,"91 AMT";#N/A,#N/A,FALSE,"1992";#N/A,#N/A,FALSE,"92 AMT";#N/A,#N/A,FALSE,"1993";#N/A,#N/A,FALSE,"93 AMT"}</definedName>
    <definedName name="dud" hidden="1">{#N/A,#N/A,FALSE,"Aging Summary";#N/A,#N/A,FALSE,"Ratio Analysis";#N/A,#N/A,FALSE,"Test 120 Day Accts";#N/A,#N/A,FALSE,"Tickmarks"}</definedName>
    <definedName name="dud_3">#REF!</definedName>
    <definedName name="duh">#REF!</definedName>
    <definedName name="dumppr">#REF!</definedName>
    <definedName name="dumppr.">#REF!</definedName>
    <definedName name="duplicate123A">#REF!</definedName>
    <definedName name="DURATION">#REF!</definedName>
    <definedName name="duryapharma">#REF!</definedName>
    <definedName name="DutyAppl">#REF!</definedName>
    <definedName name="DutyRate">#REF!</definedName>
    <definedName name="DVNAM">"LANAR01"</definedName>
    <definedName name="DVS">#REF!</definedName>
    <definedName name="DVSVDVsdvsD2" hidden="1">{"'Planning Data'!$A$2:$X$120"}</definedName>
    <definedName name="DVSVSDVsdvsD" hidden="1">{"'Planning Data'!$A$2:$X$120"}</definedName>
    <definedName name="DVTYP">"PRINTER"</definedName>
    <definedName name="dw">#REF!</definedName>
    <definedName name="dwe">{"'1-TheatreBkgs'!$A$1:$L$102"}</definedName>
    <definedName name="dwerwe">{"'1-TheatreBkgs'!$A$1:$L$102"}</definedName>
    <definedName name="dwfw">#REF!</definedName>
    <definedName name="dxdst">#REF!</definedName>
    <definedName name="dzbvx">#REF!</definedName>
    <definedName name="dzbvx_1">#REF!</definedName>
    <definedName name="e">#REF!</definedName>
    <definedName name="E.12">#REF!</definedName>
    <definedName name="E_1">#REF!</definedName>
    <definedName name="e_3">#REF!</definedName>
    <definedName name="E_7">#REF!</definedName>
    <definedName name="e2k">#REF!</definedName>
    <definedName name="ea" hidden="1">{#N/A,#N/A,FALSE,"Aging Summary";#N/A,#N/A,FALSE,"Ratio Analysis";#N/A,#N/A,FALSE,"Test 120 Day Accts";#N/A,#N/A,FALSE,"Tickmarks"}</definedName>
    <definedName name="EA_2Q">#REF!</definedName>
    <definedName name="ea_3">#REF!</definedName>
    <definedName name="EAA">#REF!</definedName>
    <definedName name="EagleLogo">"Picture 1"</definedName>
    <definedName name="Early_term_pnlty">#REF!</definedName>
    <definedName name="earn">#REF!</definedName>
    <definedName name="EARN2AmortBeg">#REF!</definedName>
    <definedName name="EARN2CheckSum">#REF!</definedName>
    <definedName name="EARN2ColumnRefs">#REF!</definedName>
    <definedName name="EARN2CrValue">#REF!</definedName>
    <definedName name="EARN2Cusip">#REF!</definedName>
    <definedName name="EARN2DayBasis">#REF!</definedName>
    <definedName name="EARN2FAS115">#REF!</definedName>
    <definedName name="EARN2ID">#REF!</definedName>
    <definedName name="EARN2IntAccBegin">#REF!</definedName>
    <definedName name="EARN2PercentPortfolio">#REF!</definedName>
    <definedName name="EARN2RecIncNet">#REF!</definedName>
    <definedName name="EARN2TaxEquivCpn">#REF!</definedName>
    <definedName name="EARN2TaxEquivYld">#REF!</definedName>
    <definedName name="EARN2UnrlzdGLBeg">#REF!</definedName>
    <definedName name="EARN2UnrlzdGLforPeriod">#REF!</definedName>
    <definedName name="EARN2ValueCheck1">#REF!</definedName>
    <definedName name="EARN2ValueCheck2">#REF!</definedName>
    <definedName name="EARNAccCheck">#REF!</definedName>
    <definedName name="EARNAccIntForPrdFormulas">#REF!</definedName>
    <definedName name="EARNAccIntPurchdForPeriodCurrHeld">#REF!</definedName>
    <definedName name="EARNAccIntRcpd">#REF!</definedName>
    <definedName name="EARNAccIntRcpdAll">#REF!</definedName>
    <definedName name="EARNAccIntRcpdCurrHeld">#REF!</definedName>
    <definedName name="EARNAccIntRcpdDate7">#REF!</definedName>
    <definedName name="EARNAccIntRcpdDate7CurrHeld">#REF!</definedName>
    <definedName name="EARNAccIntRcvd">#REF!</definedName>
    <definedName name="EARNAccIntRcvdAll">#REF!</definedName>
    <definedName name="EARNAccIntRcvdCurrHeld">#REF!</definedName>
    <definedName name="EARNAccIntRcvdDate6">#REF!</definedName>
    <definedName name="EARNAccIntRcvdDate6CurrHeld">#REF!</definedName>
    <definedName name="EARNAccIntRcvdSold">#REF!</definedName>
    <definedName name="EARNAccountNum">#REF!</definedName>
    <definedName name="EARNAdj">#REF!</definedName>
    <definedName name="EARNAdjTotal">#REF!</definedName>
    <definedName name="EARNAmortBeg">#REF!</definedName>
    <definedName name="EARNAmortBegCurrHeld">#REF!</definedName>
    <definedName name="EARNAmortEndCurrHeld">#REF!</definedName>
    <definedName name="EARNAmortRemain">#REF!</definedName>
    <definedName name="EARNassetclassdrdpfd">#REF!</definedName>
    <definedName name="EARNAssetClassPercentCurrHeld">#REF!</definedName>
    <definedName name="EARNassetclasstaxabs">#REF!</definedName>
    <definedName name="EARNassetclasstaxarc">#REF!</definedName>
    <definedName name="EARNassetclasstaxcd">#REF!</definedName>
    <definedName name="EARNassetclasstaxcorp">#REF!</definedName>
    <definedName name="EARNassetclasstaxcp">#REF!</definedName>
    <definedName name="EARNassetclasstaxdn">#REF!</definedName>
    <definedName name="EARNassetclasstaxgovt">#REF!</definedName>
    <definedName name="EARNassetclasstaxmmf">#REF!</definedName>
    <definedName name="EARNassetclasstaxmuni">#REF!</definedName>
    <definedName name="EARNassetclasstaxpfd">#REF!</definedName>
    <definedName name="EARNassetclasstearc">#REF!</definedName>
    <definedName name="EARNassetclasstecp">#REF!</definedName>
    <definedName name="EARNassetclasstemmf">#REF!</definedName>
    <definedName name="EARNassetclasstemuni">#REF!</definedName>
    <definedName name="EARNassetclasstepfd">#REF!</definedName>
    <definedName name="EARNassetclasstevrdn">#REF!</definedName>
    <definedName name="EARNBlanks">#REF!</definedName>
    <definedName name="EARNBlanksCurrHeld">#REF!</definedName>
    <definedName name="EARNcheckaccrualforprd">#REF!</definedName>
    <definedName name="EARNcheckaccrualforprddiff">#REF!</definedName>
    <definedName name="EARNcheckamortforprd">#REF!</definedName>
    <definedName name="EARNcheckamortforprddiff">#REF!</definedName>
    <definedName name="EARNcheckforperiod">#REF!</definedName>
    <definedName name="EARNcolumnbreak">#REF!</definedName>
    <definedName name="EARNColumns">#REF!</definedName>
    <definedName name="EARNCpnCurrHeld">#REF!</definedName>
    <definedName name="EARNCrValue">#REF!</definedName>
    <definedName name="EARNCrValueCurrHeld">#REF!</definedName>
    <definedName name="EARNCrValueSummPage">#REF!</definedName>
    <definedName name="EARNCurrentBalTotal">#REF!</definedName>
    <definedName name="EARNCusip">#REF!</definedName>
    <definedName name="EARNCusipCurrHeld">#REF!</definedName>
    <definedName name="EARNDayBasis">#REF!</definedName>
    <definedName name="EARNDaysRemainSummPage">#REF!</definedName>
    <definedName name="EARNDaysSincePay">#REF!</definedName>
    <definedName name="EARNDaysSincePurch">#REF!</definedName>
    <definedName name="EARNDealSizeOutsdg">#REF!</definedName>
    <definedName name="EARNdrdassetclasses1">#REF!</definedName>
    <definedName name="EARNdrdassetclasses2">#REF!</definedName>
    <definedName name="EARNdrdpfdAccIntPurchdForPrdLkp1">#REF!</definedName>
    <definedName name="EARNdrdpfdAccIntPurchdForPrdLkp2">#REF!</definedName>
    <definedName name="EARNdrdpfdAccIntPurchdForPrdSum1">#REF!</definedName>
    <definedName name="EARNdrdpfdAccIntPurchdForPrdSum2">#REF!</definedName>
    <definedName name="EARNdrdpfdamortbeg">#REF!</definedName>
    <definedName name="EARNdrdpfdbegpaste">#REF!</definedName>
    <definedName name="EARNdrdpfdcpncurrent">#REF!</definedName>
    <definedName name="EARNdrdpfdcpnprev">#REF!</definedName>
    <definedName name="EARNdrdpfdintaccbeg">#REF!</definedName>
    <definedName name="EARNDRDPFDTemplate">#REF!</definedName>
    <definedName name="EARNdrdpfdunrlzdbeg">#REF!</definedName>
    <definedName name="EARNdrdsubAccIntPurchdForPrdSum1">#REF!</definedName>
    <definedName name="EARNdrdsubAccIntPurchdForPrdSum2">#REF!</definedName>
    <definedName name="EARNdrdsubamortbeg">#REF!</definedName>
    <definedName name="EARNdrdsubbegpaste">#REF!</definedName>
    <definedName name="EARNdrdsubintaccbeg">#REF!</definedName>
    <definedName name="EARNdrdsubunrlzdbeg">#REF!</definedName>
    <definedName name="EARNDtBlanks">#REF!</definedName>
    <definedName name="EARNDtBlanksCurrHeld">#REF!</definedName>
    <definedName name="EARNDur">#REF!</definedName>
    <definedName name="EARNDurColumn">#REF!</definedName>
    <definedName name="EARNdurinclpending">#REF!</definedName>
    <definedName name="EARNFas115">#REF!</definedName>
    <definedName name="EARNFinalMatDt">#REF!</definedName>
    <definedName name="EARNFirstCallAfterPurch">#REF!</definedName>
    <definedName name="EARNFunds">#REF!</definedName>
    <definedName name="EARNFundsTotal">#REF!</definedName>
    <definedName name="EARNInd">#REF!</definedName>
    <definedName name="EARNIndCurrHeld">#REF!</definedName>
    <definedName name="earnings">#REF!</definedName>
    <definedName name="EARNIntAccBegin">#REF!</definedName>
    <definedName name="EARNIntAccBeginCurrHeld">#REF!</definedName>
    <definedName name="EARNIntAccEndCurrHeld">#REF!</definedName>
    <definedName name="EARNIntColumns">#REF!</definedName>
    <definedName name="EARNIntPymt1">#REF!</definedName>
    <definedName name="EARNIntPymt1CurrHeld">#REF!</definedName>
    <definedName name="EARNIntPymt2">#REF!</definedName>
    <definedName name="EARNIntPymt2CurrHeld">#REF!</definedName>
    <definedName name="EARNIntPymt3">#REF!</definedName>
    <definedName name="EARNIntPymt3CurrHeld">#REF!</definedName>
    <definedName name="EARNIntPymt4">#REF!</definedName>
    <definedName name="EARNIntPymt4CurrHeld">#REF!</definedName>
    <definedName name="EARNIntPymt5">#REF!</definedName>
    <definedName name="EARNIntPymt5CurrHeld">#REF!</definedName>
    <definedName name="EARNIntPymtDate1">#REF!</definedName>
    <definedName name="EARNIntPymtDate1CurrHeld">#REF!</definedName>
    <definedName name="EARNIntPymtDate2">#REF!</definedName>
    <definedName name="EARNIntPymtDate2CurrHeld">#REF!</definedName>
    <definedName name="EARNIntPymtDate3">#REF!</definedName>
    <definedName name="EARNIntPymtDate3CurrHeld">#REF!</definedName>
    <definedName name="EARNIntPymtDate4">#REF!</definedName>
    <definedName name="EARNIntPymtDate4CurrHeld">#REF!</definedName>
    <definedName name="EARNIntPymtDate5">#REF!</definedName>
    <definedName name="EARNIntPymtDate5CurrHeld">#REF!</definedName>
    <definedName name="EARNIntPymtLkp">#REF!</definedName>
    <definedName name="EARNIntPymtLkp2">#REF!</definedName>
    <definedName name="EARNIssuer">#REF!</definedName>
    <definedName name="EARNIssuerCurrHeld">#REF!</definedName>
    <definedName name="EARNLastPayDateAll">#REF!</definedName>
    <definedName name="EARNMatDateAll">#REF!</definedName>
    <definedName name="EARNMatDateCurrHeld">#REF!</definedName>
    <definedName name="EARNMatPrice">#REF!</definedName>
    <definedName name="EARNMatTrdDt">#REF!</definedName>
    <definedName name="EARNMktPrice">#REF!</definedName>
    <definedName name="EARNMMFParTotal">#REF!</definedName>
    <definedName name="EARNNextCallDate">#REF!</definedName>
    <definedName name="EARNNextPayDate">#REF!</definedName>
    <definedName name="EARNOrigFirstCall">#REF!</definedName>
    <definedName name="EARNoutsidemmfs1">#REF!</definedName>
    <definedName name="EARNoutsidemmfs2">#REF!</definedName>
    <definedName name="EARNParTotal">#REF!</definedName>
    <definedName name="EARNPaySchedule">#REF!</definedName>
    <definedName name="EARNPendingCurrentBalTotal">#REF!</definedName>
    <definedName name="EARNpendingestimates">#REF!</definedName>
    <definedName name="EARNPendingParTotal">#REF!</definedName>
    <definedName name="EARNpercentissueoutsdg">#REF!</definedName>
    <definedName name="EARNPercentPortfolio">#REF!</definedName>
    <definedName name="EARNPercentPortfolioCurrHeld">#REF!</definedName>
    <definedName name="EARNPositionTotal">#REF!</definedName>
    <definedName name="EARNPremPaid">#REF!</definedName>
    <definedName name="EARNPremToAmort">#REF!</definedName>
    <definedName name="EARNPrevCpn">#REF!</definedName>
    <definedName name="EARNPrevResDt">#REF!</definedName>
    <definedName name="EARNPurchPrice">#REF!</definedName>
    <definedName name="EARNPurchTrdDt">#REF!</definedName>
    <definedName name="EARNRecIncNet">#REF!</definedName>
    <definedName name="EARNRefNum">#REF!</definedName>
    <definedName name="EARNRlzdAmortSold">#REF!</definedName>
    <definedName name="EARNRlzdGLSold">#REF!</definedName>
    <definedName name="EARNRlzdGLTotal">#REF!</definedName>
    <definedName name="EARNSecNum">#REF!</definedName>
    <definedName name="EARNSecs">#REF!</definedName>
    <definedName name="EARNSecsTotal">#REF!</definedName>
    <definedName name="EARNselectmmfpymt1">#REF!</definedName>
    <definedName name="EARNselectmmfpymt2">#REF!</definedName>
    <definedName name="EARNSold">#REF!</definedName>
    <definedName name="EARNSources">#REF!</definedName>
    <definedName name="EARNStepUpDate">#REF!</definedName>
    <definedName name="EARNStepUpInfo">#REF!</definedName>
    <definedName name="EARNsubformulas">#REF!</definedName>
    <definedName name="EARNTable">#REF!</definedName>
    <definedName name="EARNtaxabsAccIntPurchdForPrdSum1">#REF!</definedName>
    <definedName name="EARNtaxabsAccIntPurchdForPrdSum2">#REF!</definedName>
    <definedName name="EARNtaxabsamortbeg">#REF!</definedName>
    <definedName name="EARNtaxabsbegpaste">#REF!</definedName>
    <definedName name="EARNtaxabsintaccbeg">#REF!</definedName>
    <definedName name="EARNtaxabsunrlzdbeg">#REF!</definedName>
    <definedName name="EARNtaxagcyAccIntPurchdForPrdLkp1">#REF!</definedName>
    <definedName name="EARNtaxagcyAccIntPurchdForPrdLkp2">#REF!</definedName>
    <definedName name="EARNTAXAGCYTemplate">#REF!</definedName>
    <definedName name="EARNtaxamortbeg">#REF!</definedName>
    <definedName name="EARNtaxarcAccIntPurchdForPrdLkp1">#REF!</definedName>
    <definedName name="EARNtaxarcAccIntPurchdForPrdLkp2">#REF!</definedName>
    <definedName name="EARNtaxarcAccIntPurchdForPrdSum1">#REF!</definedName>
    <definedName name="EARNtaxarcAccIntPurchdForPrdSum2">#REF!</definedName>
    <definedName name="EARNtaxarcbegpaste">#REF!</definedName>
    <definedName name="EARNtaxarccpncurrent">#REF!</definedName>
    <definedName name="EARNtaxarccpnprev">#REF!</definedName>
    <definedName name="EARNtaxarcintaccbeg">#REF!</definedName>
    <definedName name="EARNTAXARCTemplate">#REF!</definedName>
    <definedName name="EARNtaxarcunrlzdbeg">#REF!</definedName>
    <definedName name="EARNtaxcdAccIntPurchdForPrdLkp1">#REF!</definedName>
    <definedName name="EARNtaxcdAccIntPurchdForPrdLkp2">#REF!</definedName>
    <definedName name="EARNtaxcdAccIntPurchdForPrdSum1">#REF!</definedName>
    <definedName name="EARNtaxcdAccIntPurchdForPrdSum2">#REF!</definedName>
    <definedName name="EARNtaxcdamortbeg">#REF!</definedName>
    <definedName name="EARNtaxcdbegpaste">#REF!</definedName>
    <definedName name="EARNtaxcdintaccbeg">#REF!</definedName>
    <definedName name="EARNTAXCDTemplate">#REF!</definedName>
    <definedName name="EARNtaxcdunrlzdbeg">#REF!</definedName>
    <definedName name="EARNtaxcorpAccIntPurchdForPrdLkp1">#REF!</definedName>
    <definedName name="EARNtaxcorpAccIntPurchdForPrdLkp2">#REF!</definedName>
    <definedName name="EARNtaxcorpAccIntPurchdForPrdSum1">#REF!</definedName>
    <definedName name="EARNtaxcorpAccIntPurchdForPrdSum2">#REF!</definedName>
    <definedName name="EARNtaxcorpamortbeg">#REF!</definedName>
    <definedName name="EARNtaxcorpbegpaste">#REF!</definedName>
    <definedName name="EARNtaxcorpintaccbeg">#REF!</definedName>
    <definedName name="EARNTAXCORPTemplate">#REF!</definedName>
    <definedName name="EARNtaxcorpunrlzdbeg">#REF!</definedName>
    <definedName name="EARNtaxcpAccIntPurchdForPrdLkp1">#REF!</definedName>
    <definedName name="EARNtaxcpAccIntPurchdForPrdLkp2">#REF!</definedName>
    <definedName name="EARNtaxcpAccIntPurchdForPrdSum1">#REF!</definedName>
    <definedName name="EARNtaxcpAccIntPurchdForPrdSum2">#REF!</definedName>
    <definedName name="EARNtaxcpamortbeg">#REF!</definedName>
    <definedName name="EARNtaxcpbegpaste">#REF!</definedName>
    <definedName name="EARNtaxcpintaccbeg">#REF!</definedName>
    <definedName name="EARNTAXCPTemplate">#REF!</definedName>
    <definedName name="EARNtaxcpunrlzdbeg">#REF!</definedName>
    <definedName name="EARNtaxdnAccIntPurchdForPrdLkp1">#REF!</definedName>
    <definedName name="EARNtaxdnAccIntPurchdForPrdLkp2">#REF!</definedName>
    <definedName name="EARNtaxdnAccIntPurchdForPrdSum1">#REF!</definedName>
    <definedName name="EARNtaxdnAccIntPurchdForPrdSum2">#REF!</definedName>
    <definedName name="EARNtaxdnamortbeg">#REF!</definedName>
    <definedName name="EARNtaxdnbegpaste">#REF!</definedName>
    <definedName name="EARNtaxdnintaccbeg">#REF!</definedName>
    <definedName name="EARNTAXDNTemplate">#REF!</definedName>
    <definedName name="EARNtaxdnunrlzdbeg">#REF!</definedName>
    <definedName name="EARNTaxEquivCpn">#REF!</definedName>
    <definedName name="EARNTaxEquivYld">#REF!</definedName>
    <definedName name="EARNtaxgovtAccIntPurchdForPrdSum1">#REF!</definedName>
    <definedName name="EARNtaxgovtAccIntPurchdForPrdSum2">#REF!</definedName>
    <definedName name="EARNtaxgovtamortbeg">#REF!</definedName>
    <definedName name="EARNtaxgovtbegpaste">#REF!</definedName>
    <definedName name="EARNtaxgovtintaccbeg">#REF!</definedName>
    <definedName name="EARNtaxgovtunrlzdbeg">#REF!</definedName>
    <definedName name="EARNtaxmmf1AccIntPurchdForPrdLkp1">#REF!</definedName>
    <definedName name="EARNtaxmmf1AccIntPurchdForPrdLkp2">#REF!</definedName>
    <definedName name="EARNtaxmmf2AccIntPurchdForPrdLkp1">#REF!</definedName>
    <definedName name="EARNtaxmmf2AccIntPurchdForPrdLkp2">#REF!</definedName>
    <definedName name="EARNtaxmmf3AccIntPurchdForPrdLkp1">#REF!</definedName>
    <definedName name="EARNtaxmmf3AccIntPurchdForPrdLkp2">#REF!</definedName>
    <definedName name="EARNtaxmmf4AccIntPurchdForPrdLkp1">#REF!</definedName>
    <definedName name="EARNtaxmmf4AccIntPurchdForPrdLkp2">#REF!</definedName>
    <definedName name="EARNtaxmmfAccIntPurchdForPrdSum1">#REF!</definedName>
    <definedName name="EARNtaxmmfAccIntPurchdForPrdSum2">#REF!</definedName>
    <definedName name="EARNtaxmmfamortbeg">#REF!</definedName>
    <definedName name="EARNtaxmmfbegpaste">#REF!</definedName>
    <definedName name="EARNtaxmmfintaccbeg">#REF!</definedName>
    <definedName name="EARNtaxmmfunrlzdbeg">#REF!</definedName>
    <definedName name="EARNtaxmuniAccIntPurchdForPrdLkp1">#REF!</definedName>
    <definedName name="EARNtaxmuniAccIntPurchdForPrdLkp2">#REF!</definedName>
    <definedName name="EARNtaxmuniAccIntPurchdForPrdSum1">#REF!</definedName>
    <definedName name="EARNtaxmuniAccIntPurchdForPrdSum2">#REF!</definedName>
    <definedName name="EARNtaxmuniamortbeg">#REF!</definedName>
    <definedName name="EARNtaxmunibegpaste">#REF!</definedName>
    <definedName name="EARNtaxmuniintaccbeg">#REF!</definedName>
    <definedName name="EARNTAXMUNITemplate">#REF!</definedName>
    <definedName name="EARNtaxmuniunrlzdbeg">#REF!</definedName>
    <definedName name="EARNtaxpfdAccIntPurchdForPrdLkp1">#REF!</definedName>
    <definedName name="EARNtaxpfdAccIntPurchdForPrdLkp2">#REF!</definedName>
    <definedName name="EARNtaxpfdAccIntPurchdForPrdSum1">#REF!</definedName>
    <definedName name="EARNtaxpfdAccIntPurchdForPrdSum2">#REF!</definedName>
    <definedName name="EARNtaxpfdamortbeg">#REF!</definedName>
    <definedName name="EARNtaxpfdbegpaste">#REF!</definedName>
    <definedName name="EARNtaxpfdcpncurrent">#REF!</definedName>
    <definedName name="EARNtaxpfdcpnprev">#REF!</definedName>
    <definedName name="EARNtaxpfdintaccbeg">#REF!</definedName>
    <definedName name="EARNTAXPFDTemplate">#REF!</definedName>
    <definedName name="EARNtaxpfdunrlzdbeg">#REF!</definedName>
    <definedName name="EARNTaxStatus">#REF!</definedName>
    <definedName name="EARNtaxsubAccIntPurchdForPrdSum1">#REF!</definedName>
    <definedName name="EARNtaxsubAccIntPurchdForPrdSum2">#REF!</definedName>
    <definedName name="EARNtaxsubamortbeg">#REF!</definedName>
    <definedName name="EARNtaxsubintaccbeg">#REF!</definedName>
    <definedName name="EARNtaxsubpaste">#REF!</definedName>
    <definedName name="EARNtaxsubunrlzdbeg">#REF!</definedName>
    <definedName name="EARNtaxtsryAccIntPurchdForPrdLkp1">#REF!</definedName>
    <definedName name="EARNtaxtsryAccIntPurchdForPrdLkp2">#REF!</definedName>
    <definedName name="EARNTAXTSRYTemplate">#REF!</definedName>
    <definedName name="EARNtearcAccIntPurchdForPrdLkp1">#REF!</definedName>
    <definedName name="EARNtearcAccIntPurchdForPrdLkp2">#REF!</definedName>
    <definedName name="EARNtearcAccIntPurchdForPrdSum1">#REF!</definedName>
    <definedName name="EARNtearcAccIntPurchdForPrdSum2">#REF!</definedName>
    <definedName name="EARNtearcamortbeg">#REF!</definedName>
    <definedName name="EARNtearcbegpaste">#REF!</definedName>
    <definedName name="EARNtearccpncurrent">#REF!</definedName>
    <definedName name="EARNtearccpnprev">#REF!</definedName>
    <definedName name="EARNtearcintaccbeg">#REF!</definedName>
    <definedName name="EARNTEARCTemplate">#REF!</definedName>
    <definedName name="EARNtearcunrlzdbeg">#REF!</definedName>
    <definedName name="EARNteassetclasses">#REF!</definedName>
    <definedName name="EARNteassetclasses1">#REF!</definedName>
    <definedName name="EARNteassetclasses2">#REF!</definedName>
    <definedName name="EARNtecpAccIntPurchdForPrdLkp1">#REF!</definedName>
    <definedName name="EARNtecpAccIntPurchdForPrdLkp2">#REF!</definedName>
    <definedName name="EARNtecpAccIntPurchdForPrdSum1">#REF!</definedName>
    <definedName name="EARNtecpAccIntPurchdForPrdSum2">#REF!</definedName>
    <definedName name="EARNtecpamortbeg">#REF!</definedName>
    <definedName name="EARNtecpbegpaste">#REF!</definedName>
    <definedName name="EARNtecpintaccbeg">#REF!</definedName>
    <definedName name="EARNTECPLCus">#REF!</definedName>
    <definedName name="EARNTECPTemplate">#REF!</definedName>
    <definedName name="EARNtecpunrlzdbeg">#REF!</definedName>
    <definedName name="EARNtemmfAccIntPurchdForPrdLkp1">#REF!</definedName>
    <definedName name="EARNtemmfAccIntPurchdForPrdLkp2">#REF!</definedName>
    <definedName name="EARNtemmfAccIntPurchdForPrdSum1">#REF!</definedName>
    <definedName name="EARNtemmfAccIntPurchdForPrdSum2">#REF!</definedName>
    <definedName name="EARNtemmfamortbeg">#REF!</definedName>
    <definedName name="EARNtemmfbegpaste">#REF!</definedName>
    <definedName name="EARNtemmfintaccbeg">#REF!</definedName>
    <definedName name="EARNTEMMFTEMPLATE">#REF!</definedName>
    <definedName name="EARNtemmfunrlzdbeg">#REF!</definedName>
    <definedName name="EARNtemuniAccIntPurchdForPrdLkp1">#REF!</definedName>
    <definedName name="EARNtemuniAccIntPurchdForPrdLkp2">#REF!</definedName>
    <definedName name="EARNtemuniAccIntPurchdForPrdSum1">#REF!</definedName>
    <definedName name="EARNtemuniAccIntPurchdForPrdSum2">#REF!</definedName>
    <definedName name="EARNtemuniamortbeg">#REF!</definedName>
    <definedName name="EARNtemunibegpaste">#REF!</definedName>
    <definedName name="EARNtemuniintaccbeg">#REF!</definedName>
    <definedName name="EARNTEMUNITemplate">#REF!</definedName>
    <definedName name="EARNtemuniunrlzdbeg">#REF!</definedName>
    <definedName name="EARNtepfdAccIntPurchdForPrdLkp1">#REF!</definedName>
    <definedName name="EARNtepfdAccIntPurchdForPrdLkp2">#REF!</definedName>
    <definedName name="EARNtepfdAccIntPurchdForPrdSum1">#REF!</definedName>
    <definedName name="EARNtepfdAccIntPurchdForPrdSum2">#REF!</definedName>
    <definedName name="EARNtepfdamortbeg">#REF!</definedName>
    <definedName name="EARNtepfdbegpaste">#REF!</definedName>
    <definedName name="EARNtepfdcpncurrent">#REF!</definedName>
    <definedName name="EARNtepfdcpnprev">#REF!</definedName>
    <definedName name="EARNtepfdintaccbeg">#REF!</definedName>
    <definedName name="EARNTEPfdTemplate">#REF!</definedName>
    <definedName name="EARNtepfdunrlzdbeg">#REF!</definedName>
    <definedName name="EARNtesubAccIntPurchdForPrdSum1">#REF!</definedName>
    <definedName name="EARNtesubAccIntPurchdForPrdSum2">#REF!</definedName>
    <definedName name="EARNtesubamortbeg">#REF!</definedName>
    <definedName name="EARNtesubbegpaste">#REF!</definedName>
    <definedName name="EARNtesubintaccbeg">#REF!</definedName>
    <definedName name="EARNtesubunrlzdbeg">#REF!</definedName>
    <definedName name="EARNtevrdnAccIntPurchdForPrdLkp1">#REF!</definedName>
    <definedName name="EARNtevrdnAccIntPurchdForPrdLkp2">#REF!</definedName>
    <definedName name="EARNtevrdnAccIntPurchdForPrdSum1">#REF!</definedName>
    <definedName name="EARNtevrdnAccIntPurchdForPrdSum2">#REF!</definedName>
    <definedName name="EARNtevrdnamortbeg">#REF!</definedName>
    <definedName name="EARNtevrdnbegpaste">#REF!</definedName>
    <definedName name="EARNtevrdncpncurrent">#REF!</definedName>
    <definedName name="EARNtevrdncpnprev">#REF!</definedName>
    <definedName name="EARNtevrdnintaccbeg">#REF!</definedName>
    <definedName name="EARNTEVRDNTemplate">#REF!</definedName>
    <definedName name="EARNtevrdnunrlzdbeg">#REF!</definedName>
    <definedName name="EARNTotalDaysByDayBasis">#REF!</definedName>
    <definedName name="EARNTotalDaysCurrHeld">#REF!</definedName>
    <definedName name="EARNUnqID">#REF!</definedName>
    <definedName name="EARNUnrlzdGLBeg">#REF!</definedName>
    <definedName name="EARNUnrlzdGLBegCurrHeld">#REF!</definedName>
    <definedName name="EARNUnrlzdGLChangeTotal">#REF!</definedName>
    <definedName name="EARNUnrlzdGLEndCurrHeld">#REF!</definedName>
    <definedName name="EARNUnrlzdGLforPeriod">#REF!</definedName>
    <definedName name="EARNUnrlzdGLTotal">#REF!</definedName>
    <definedName name="EARNwac">#REF!</definedName>
    <definedName name="EARNwacr">#REF!</definedName>
    <definedName name="EARNwacrvalue">#REF!</definedName>
    <definedName name="EARNwam">#REF!</definedName>
    <definedName name="EARNwaminclpending">#REF!</definedName>
    <definedName name="EARNwatd">#REF!</definedName>
    <definedName name="EARNway">#REF!</definedName>
    <definedName name="EARNwayinclpending">#REF!</definedName>
    <definedName name="EARNZeros">#REF!</definedName>
    <definedName name="EARNZerosCurrHeld">#REF!</definedName>
    <definedName name="eas">#REF!</definedName>
    <definedName name="easfasd">#REF!</definedName>
    <definedName name="easfasd_1">#REF!</definedName>
    <definedName name="easfasd_2">#REF!</definedName>
    <definedName name="easfasd_3">#REF!</definedName>
    <definedName name="easfasd_4">#REF!</definedName>
    <definedName name="East">#REF!</definedName>
    <definedName name="Eastcoast">#REF!</definedName>
    <definedName name="Eastern">#REF!</definedName>
    <definedName name="eay">#REF!</definedName>
    <definedName name="eb">#REF!</definedName>
    <definedName name="EBIT_margin_fore">#REF!</definedName>
    <definedName name="ebitda">#REF!</definedName>
    <definedName name="EBITDA_growth_avg">#REF!</definedName>
    <definedName name="EBITDA_mult">#REF!</definedName>
    <definedName name="EBITDA_Share">#REF!</definedName>
    <definedName name="EBITDAMonth">#REF!</definedName>
    <definedName name="EBITDAR_Capex_Excl_Medi_Cal">"cov1"</definedName>
    <definedName name="EBITDAYTD">#REF!</definedName>
    <definedName name="EBLAUG01A">#REF!</definedName>
    <definedName name="EBLFY00A">#REF!</definedName>
    <definedName name="EBLFY98A">#REF!</definedName>
    <definedName name="EBLFY99A">#REF!</definedName>
    <definedName name="EBLLOBAUG01A">#REF!</definedName>
    <definedName name="EBLLOBFY00A">#REF!</definedName>
    <definedName name="EBLLOBFY98A">#REF!</definedName>
    <definedName name="EBLLOBFY99A">#REF!</definedName>
    <definedName name="EBLLOBQ100A">#REF!</definedName>
    <definedName name="EBLLOBQ101A">#REF!</definedName>
    <definedName name="EBLLOBQ198A">#REF!</definedName>
    <definedName name="EBLLOBQ199A">#REF!</definedName>
    <definedName name="EBLLOBQ200A">#REF!</definedName>
    <definedName name="EBLLOBQ201A">#REF!</definedName>
    <definedName name="EBLLOBQ298A">#REF!</definedName>
    <definedName name="EBLLOBQ299A">#REF!</definedName>
    <definedName name="EBLLOBQ300A">#REF!</definedName>
    <definedName name="EBLLOBQ398A">#REF!</definedName>
    <definedName name="EBLLOBQ399A">#REF!</definedName>
    <definedName name="EBLLOBQ400A">#REF!</definedName>
    <definedName name="EBLLOBQ498A">#REF!</definedName>
    <definedName name="EBLLOBQ499A">#REF!</definedName>
    <definedName name="EBLQ100A">#REF!</definedName>
    <definedName name="EBLQ101A">#REF!</definedName>
    <definedName name="EBLQ198A">#REF!</definedName>
    <definedName name="EBLQ199A">#REF!</definedName>
    <definedName name="EBLQ200A">#REF!</definedName>
    <definedName name="EBLQ201A">#REF!</definedName>
    <definedName name="EBLQ298A">#REF!</definedName>
    <definedName name="EBLQ300A">#REF!</definedName>
    <definedName name="EBLQ398A">#REF!</definedName>
    <definedName name="EBLQ399A">#REF!</definedName>
    <definedName name="EBLQ400A">#REF!</definedName>
    <definedName name="EBLQ498A">#REF!</definedName>
    <definedName name="EBLQ499A">#REF!</definedName>
    <definedName name="ECONOMIC_ASSUM">#REF!</definedName>
    <definedName name="ed">#REF!</definedName>
    <definedName name="eddd" hidden="1">{#N/A,#N/A,FALSE,"Pharm";#N/A,#N/A,FALSE,"WWCM"}</definedName>
    <definedName name="edddd" hidden="1">{#N/A,#N/A,FALSE,"Pharm";#N/A,#N/A,FALSE,"WWCM"}</definedName>
    <definedName name="eddy" hidden="1">{"Q2_Fcst_Fcst_Var_Detail",#N/A,FALSE,"REPORT FORMAT";"Q2_Fcst_Fcst_Var_Summary",#N/A,FALSE,"REPORT FORMAT"}</definedName>
    <definedName name="edfe" hidden="1">#REF!</definedName>
    <definedName name="EDFG" hidden="1">{#N/A,#N/A,FALSE,"REPORT"}</definedName>
    <definedName name="edp">#REF!</definedName>
    <definedName name="EdtLineNumber">"EdtLineNumber"</definedName>
    <definedName name="Educ">#REF!</definedName>
    <definedName name="Educ1">#REF!</definedName>
    <definedName name="Educ2">#REF!</definedName>
    <definedName name="Educ3">#REF!</definedName>
    <definedName name="Educ4">#REF!</definedName>
    <definedName name="Educ5">#REF!</definedName>
    <definedName name="Educ6">#REF!</definedName>
    <definedName name="ee">#REF!</definedName>
    <definedName name="eee" hidden="1">{#N/A,#N/A,FALSE,"Australia";#N/A,#N/A,FALSE,"Austria";#N/A,#N/A,FALSE,"Belgium";#N/A,#N/A,FALSE,"Canada";#N/A,#N/A,FALSE,"France";#N/A,#N/A,FALSE,"Germany";#N/A,#N/A,FALSE,"Hong Kong";#N/A,#N/A,FALSE,"Italy";#N/A,#N/A,FALSE,"Japan";#N/A,#N/A,FALSE,"Korea";#N/A,#N/A,FALSE,"Mexico";#N/A,#N/A,FALSE,"Poland";#N/A,#N/A,FALSE,"Spain";#N/A,#N/A,FALSE,"Switzerland";#N/A,#N/A,FALSE,"UK"}</definedName>
    <definedName name="eee.ooo">#REF!</definedName>
    <definedName name="eee.ppp">#REF!</definedName>
    <definedName name="EEEE">#REF!</definedName>
    <definedName name="eeeee">#REF!</definedName>
    <definedName name="eeeeee">#REF!</definedName>
    <definedName name="EEEEEEEE">#REF!</definedName>
    <definedName name="EEEEEEEEEEEE">#REF!</definedName>
    <definedName name="EER">{"'표지'!$B$5"}</definedName>
    <definedName name="eergbdb">{"'1-TheatreBkgs'!$A$1:$L$102"}</definedName>
    <definedName name="eerw" hidden="1">{#N/A,#N/A,FALSE,"Taxblinc";#N/A,#N/A,FALSE,"Rsvsacls"}</definedName>
    <definedName name="eerw_3">#REF!</definedName>
    <definedName name="eewewewe" hidden="1">{#N/A,#N/A,FALSE,"UNIT";#N/A,#N/A,FALSE,"UNIT";#N/A,#N/A,FALSE,"계정"}</definedName>
    <definedName name="ef">#REF!</definedName>
    <definedName name="efd">#REF!</definedName>
    <definedName name="effbjk" hidden="1">#REF!</definedName>
    <definedName name="efg">#REF!</definedName>
    <definedName name="efgh">#REF!</definedName>
    <definedName name="efi" hidden="1">{#N/A,#N/A,FALSE,"91NOLCB";#N/A,#N/A,FALSE,"92NOLCB";#N/A,#N/A,FALSE,"93NOLCB"}</definedName>
    <definedName name="efis">#REF!</definedName>
    <definedName name="EFlmv">0</definedName>
    <definedName name="EFsmv">0</definedName>
    <definedName name="egwegwaag">{"'1-TheatreBkgs'!$A$1:$L$102"}</definedName>
    <definedName name="ei">#REF!</definedName>
    <definedName name="eidparry">#REF!</definedName>
    <definedName name="Eight">#REF!</definedName>
    <definedName name="eighteen_pct">#REF!</definedName>
    <definedName name="eighteen_pctneu">#REF!</definedName>
    <definedName name="eih">#REF!</definedName>
    <definedName name="EIhotel">#REF!</definedName>
    <definedName name="EII">#REF!</definedName>
    <definedName name="EIIAA">#REF!</definedName>
    <definedName name="ejkfgkjze" hidden="1">{#N/A,#N/A,FALSE,"Pharm";#N/A,#N/A,FALSE,"WWCM"}</definedName>
    <definedName name="el">#REF!</definedName>
    <definedName name="ELAP">#REF!</definedName>
    <definedName name="ELAPP">#REF!</definedName>
    <definedName name="ele">#REF!</definedName>
    <definedName name="elec">#REF!</definedName>
    <definedName name="Elim">#REF!</definedName>
    <definedName name="ELK">#REF!</definedName>
    <definedName name="ELWI">#REF!</definedName>
    <definedName name="ELWIP">#REF!</definedName>
    <definedName name="EM">#REF!</definedName>
    <definedName name="Email">#REF!</definedName>
    <definedName name="EMEAAPJNewCasesPerHead">#REF!</definedName>
    <definedName name="EMI">#REF!</definedName>
    <definedName name="EMIos">#REF!</definedName>
    <definedName name="EMISSÃO">#REF!</definedName>
    <definedName name="EMM">#REF!</definedName>
    <definedName name="EMP_BENFIT_EXP">#REF!</definedName>
    <definedName name="EmpCount">#REF!</definedName>
    <definedName name="EMPLOYEE">#REF!</definedName>
    <definedName name="EMPLOYEE_EXPENSE">#REF!</definedName>
    <definedName name="EMPLOYEE_REMUNERATION_AND_BENEFITS">#REF!</definedName>
    <definedName name="EmployeePaidLU">#REF!</definedName>
    <definedName name="employees">#REF!</definedName>
    <definedName name="Empty">#REF!</definedName>
    <definedName name="Empty1">#REF!</definedName>
    <definedName name="Empty2">#REF!</definedName>
    <definedName name="Empty3">#REF!</definedName>
    <definedName name="Empty4">#REF!</definedName>
    <definedName name="en">#REF!</definedName>
    <definedName name="end">#REF!</definedName>
    <definedName name="End_Bal">#REF!</definedName>
    <definedName name="End_Cell">#REF!</definedName>
    <definedName name="End_Cell2">#REF!</definedName>
    <definedName name="End_Time">#REF!</definedName>
    <definedName name="EndDelete">#REF!</definedName>
    <definedName name="EndDelete2">#REF!</definedName>
    <definedName name="EndFormat">#REF!</definedName>
    <definedName name="ENDING_DATE">#REF!</definedName>
    <definedName name="EndMonth">#REF!</definedName>
    <definedName name="ENDPERIODNAME1">#REF!</definedName>
    <definedName name="ENDPERIODNUM1">#REF!</definedName>
    <definedName name="ENDPERIODYEAR1">#REF!</definedName>
    <definedName name="EndUser">#REF!</definedName>
    <definedName name="energy" hidden="1">{#N/A,#N/A,FALSE,"Bgt";#N/A,#N/A,FALSE,"Act";#N/A,#N/A,FALSE,"Chrt Data";#N/A,#N/A,FALSE,"Bus Result";#N/A,#N/A,FALSE,"Main Charts";#N/A,#N/A,FALSE,"P&amp;L Ttl";#N/A,#N/A,FALSE,"P&amp;L C_Ttl";#N/A,#N/A,FALSE,"P&amp;L C_Oct";#N/A,#N/A,FALSE,"P&amp;L C_Sep";#N/A,#N/A,FALSE,"1996";#N/A,#N/A,FALSE,"Data"}</definedName>
    <definedName name="ENG_BI_EXE_NAME">"BICORE.EXE"</definedName>
    <definedName name="ENG_BI_EXEC_CMD_ARGS">"03304607808310112009711910408210511109810910903204907404905805805004906405005105804905205303205406612308608408807806908307906309112512211006712011011310211012509804610007611111311709811112507307209812513209811711511806811211411210111512110205509107111"</definedName>
    <definedName name="ENG_BI_EXEC_CMD_ARGS_10">"06807008309811010503209010210812610806203411809811605804805210009712112103403605206303301406007111610912110411112108206903309109711212210107004307608208803503305106203601506005609010211512410611211506201406508410612410706601506108510111511107806804109"</definedName>
    <definedName name="ENG_BI_EXEC_CMD_ARGS_11">"3098108126102062039049052054048059058048052053051035036047066037010069054085097124108063015060051074110127114114115115110102114116066130123088089069069091070069085065086070077092070049129"</definedName>
    <definedName name="ENG_BI_EXEC_CMD_ARGS_2">"61101131011101250780681020680400730930500401300320490791230930780780690830850960710790720740610921281161161101101160371111060370651181101141091040981261270680700890890890760620531341240961171141091230971251100680700880700830900690860660830900830501251"</definedName>
    <definedName name="ENG_BI_EXEC_CMD_ARGS_3">"32096113119105122102116110077066071070085066080079075066109106122054048057096098117112129128095121123105122102117102072066089088069091068084097124098111100082105111097117114125127100113118102108109104076074085072067088069070066101114130123104121117102"</definedName>
    <definedName name="ENG_BI_EXEC_CMD_ARGS_4">"11310610007107908108506508709607906508607006208812111912110111812403211510703306611310111811009910613212409512111809911310510307208509109106908207209006208908307213012310411911809811710610007507308209406907409108308807008308507206508807406105705603307"</definedName>
    <definedName name="ENG_BI_EXEC_CMD_ARGS_5">"40780620490540320781021101261061141250370510490530541291280951211240991081141000710780780930740650910780780720730660850730610550540320771081001011180991021190320540530490631341230991171180991121051030750730870960700650910700790730610540530490631341230"</definedName>
    <definedName name="ENG_BI_EXEC_CMD_ARGS_6">"99117118099112105103075073087096070065091084085070082088066050057058054129128096113121098112110099076092083082086080079089072073083068077074084073066052050036074101115117106121122032059049050059125127100112126107108109104068086086082081084078093079084"</definedName>
    <definedName name="ENG_BI_EXEC_CMD_ARGS_7">"08407408308507306508807406105705803207810211111810111412503705005705605512513209611311910512210211611008606508707208007808106508207308407809508506106907011112310511811611011811011012006701106108710111912010512011706301006908611610611406601506009412410"</definedName>
    <definedName name="ENG_BI_EXEC_CMD_ARGS_8">"11180780690330900971121221010700410500560660530520560340510670100690781101031191221131200801011201151281181151000410870981131171050660340931231171050390480630140600841021151241261121141090330871021081211060610430430470660150610851181171191211011090741"</definedName>
    <definedName name="ENG_BI_EXEC_CMD_ARGS_9">"12110119102100121105115115032095106108121106062035088114121106034041054063010069048086120101118067010069092081080088102115122101118083097118108033086106109118106061038072070088100095099098078066087050096088081085076121112123102116120034036052062019069"</definedName>
    <definedName name="ENG_BI_GEN_LIC">"0"</definedName>
    <definedName name="ENG_BI_GEN_LIC_WS">"True"</definedName>
    <definedName name="ENG_BI_LBI">"C81F82CJ66"</definedName>
    <definedName name="ENG_BI_PROFILE_PATH">"C:\ProgramData\Alchemex\AlchemexSmartReporting\MetaData\MAS\Report Designer Add-In S500 Demo 1-0-2\BICORE_profiler_20130111_145418.csv"</definedName>
    <definedName name="ENG_BI_REPOS_FILE">"\\SQL1\SMI Shared Repository\alchemex.svd"</definedName>
    <definedName name="ENG_BI_REPOS_PATH">"\\SQL1\SMI Shared Repository"</definedName>
    <definedName name="ENG_BI_TLA">"163;81;135;79;123;73;213;247;139;214;168;217;89;130;151;83;168;195;143;133;236;215;67;196;211;220;87;197;45;54;238;285"</definedName>
    <definedName name="ENG_Data">#REF!</definedName>
    <definedName name="ENG_Data_서울">#REF!</definedName>
    <definedName name="ENG_Data_증설후">#REF!</definedName>
    <definedName name="ENG_개체전">#REF!</definedName>
    <definedName name="ENG_개체후">#REF!</definedName>
    <definedName name="ENG11차">#REF!</definedName>
    <definedName name="ENGDATA">#REF!</definedName>
    <definedName name="Engineering">#REF!</definedName>
    <definedName name="engineersind">#REF!</definedName>
    <definedName name="ENGL">#REF!</definedName>
    <definedName name="ENGLAND">#REF!</definedName>
    <definedName name="engr_prcnt_training">0.025</definedName>
    <definedName name="eng감가">#REF!</definedName>
    <definedName name="eng매출">#REF!</definedName>
    <definedName name="ENG배부">#REF!</definedName>
    <definedName name="eng인원">#REF!</definedName>
    <definedName name="enrgy" hidden="1">{#N/A,#N/A,FALSE,"Bgt";#N/A,#N/A,FALSE,"Act";#N/A,#N/A,FALSE,"Chrt Data";#N/A,#N/A,FALSE,"Bus Result";#N/A,#N/A,FALSE,"Main Charts";#N/A,#N/A,FALSE,"P&amp;L Ttl";#N/A,#N/A,FALSE,"P&amp;L C_Ttl";#N/A,#N/A,FALSE,"P&amp;L C_Oct";#N/A,#N/A,FALSE,"P&amp;L C_Sep";#N/A,#N/A,FALSE,"1996";#N/A,#N/A,FALSE,"Data"}</definedName>
    <definedName name="ENT">#REF!</definedName>
    <definedName name="Ent_Delay">#REF!</definedName>
    <definedName name="Entered_Pmt">#REF!</definedName>
    <definedName name="EntitledPct">#REF!</definedName>
    <definedName name="entity">#REF!</definedName>
    <definedName name="ENTRY">#REF!</definedName>
    <definedName name="EntryDate">#REF!</definedName>
    <definedName name="EntryDate1">#REF!</definedName>
    <definedName name="EntryDate11">#REF!</definedName>
    <definedName name="EntryDate12">#REF!</definedName>
    <definedName name="EntryDate13">#REF!</definedName>
    <definedName name="EntryDate3">#REF!</definedName>
    <definedName name="EntryDate4">#REF!</definedName>
    <definedName name="EntryDate5">#REF!</definedName>
    <definedName name="EntryDate6">#REF!</definedName>
    <definedName name="EntryDate7">#REF!</definedName>
    <definedName name="EntryMidPriceList">#REF!</definedName>
    <definedName name="EOH">#N/A</definedName>
    <definedName name="EOH_UC">#N/A</definedName>
    <definedName name="EOHAMT">#N/A</definedName>
    <definedName name="EOHQTY">#N/A</definedName>
    <definedName name="EOM">#REF!</definedName>
    <definedName name="EPL">131585</definedName>
    <definedName name="EPMWorkbookOptions_1">"TXAAAB|LCAAAAAAABADtvQdgHEmWJSYvbcp7f0r1StfgdKEIgGATJNiQQBDswYjN5pLsHWlHIymrKoHKZVZlXWYWQMztnbz33nvvvffee||997o7nU4n99//P1xmZAFs9s5K2smeIYCqyB8/fnwfPyIe/x7vFmV6mddNUS0/|2h3vPNRmi|n1axYXnz20bo939799KPf4|g3Th5/t6rfTqrq7Zerlpo2Kb23bB69a4rPPpq37erR3btXV1fjq3v"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"IHuIbSrh||iO|6RLm2fHvD9Z5|eop2OdH1OmxDSmb/x|om//3GLvTL14|//L3OT392qbu/RdO9v/fbesMRTpu5/PntPT85VevTk5/3oplnDKnp78/koz3Pv0RWQKy6Kc/4pauHP3|b558|0dECRaUnnx7Z2f392fztvvg/o/MW9DsVq3iwzkiCp|9|fqJpvc3bvf/X27cmB4h9|3|iN38ZrdqNcRuRum/OX7z1esfItt9|v9ytgvo0rcI9P3vf|"</definedName>
    <definedName name="EPMWorkbookOptions_11">"/lz9v19FuQh7///bXBj8jUI9OLL0GlH9FniD703Y/I0ifLyZc/SpwHzW7VKj6co2dfvTh5c/bli|PnRODjH6L1e/D/busX0qWv3p8d/3|dB382KEMa/UeEiRHm93my|6MIMWh2q1YDSuvzV8dPT5|f/uTp8x|iwjr4f7fCcjTpKyv|7v/r7Jemj79Rwrzc2fv/Okn|3yORr16|OfnqFdH25IeZuHn4/26R9IhC/Eb/e37y/3WO|8ZI8dXrpz|ih"</definedName>
    <definedName name="EPMWorkbookOptions_12">"dLi9KtX/1|nxf97NNGbsy9|mAujuzv/79ZBIEdo9/ZohOOvXvy8Fb8oRfbGOwc/IohHkE/Hb758c/z8RzQJxGbn5|2CeZQg|///YJL/9xivL06PX3/16vSHuQq1u/v/bgNmSCKu0svTV2dfPj37/7wf/Q2y3C0aBdjEGz2|e7xalcU0awmO/Tz41DQnaNVySYjTZ0|zNuOP/Q/fVN3BP36Vn9d5M/9y|eUqXx6dZ2WTP74bfsjtTso8qwH0y|Xr"</definedName>
    <definedName name="EPMWorkbookOptions_13">"7DI3Lbsfc9vvVvXbSVW9Je5smYymdf|L3zhxn365ksH8P7pcqnpNcAAA"</definedName>
    <definedName name="EPMWorkbookOptions_2">"jqr64u7ezs3v39/7i|evpPF9k28WyabPlNP/IvjW7|a2PqNc0fXxSLZf5FH2|qU7WdZ0v258s8iv|Mvj6adZm|il9/iJb5NKb7anNF6t1XXBXXzV5/bLOz3OCN83HhNBHR7//s5df/P5PXp68|O7uzu//PX2p|enpdLKaXl7t7M7Gq6yssrKtlnl7ReRoxmU1zcpHBzs7O3ebbHWXGt79/u//vZfHL|jf09/75emL16f023lWNvn3H98FTg7D49"</definedName>
    <definedName name="EPMWorkbookOptions_3">"WqLKaZR81bY2pghFC8j5UAR4pDp2shnKNlenfwq28Xs1m|fFos8mXDiA43dUg2QRtq9XpeXVkYJ1VZ1Udtvc4f3418selVHkXkzd7o6EX75TBet23lt/tqWfyidc4dHp|cfPnVizeP78a|3ARDBkqSdX9n997BrgcgRgJ|98t6ltdHO4/vyi9R6M2qzK5f1tUqr9vrzkRpo|dZ077OSxKYfPZFvpiQ3EeahfMabUBN5H1vyN9Tgnx/TBLw6vTFm"</definedName>
    <definedName name="EPMWorkbookOptions_4">"2/v0q9PT1|||v2Pv/jy1RuSgN47A7C/XeR1Vk/n165pSqrm0bIoP/sIDPBRdHz8bmQ2bvfu47s3jfobJMvu3kN6fkQSjyTPXn/1|tNPf0SSDkn|v06Qx3dvo3U8Jfizp7C/enr25s2r47PnX19n7|zsk7m/vcre/X|5yrYkCRlPPv/yzfHz/6|z3zdNmbMXL7/6/7wp|3|PTJ4cvzn9/MtXv8/Xlsh79|7f39/fv71E7v2/WyINQYjVIIcnb776"</definedName>
    <definedName name="EPMWorkbookOptions_5">"|SuDIS2effnq9OT49f/nhe|bocbL5xRl/ogS9L8nXz39/PT/81zx/yKV/OXrNydk7k5ffW2l/OmD3Z2Dgwe3V8r3/l|ulC1JnDOwR7|enPz||7s01p3/r3PfN02YZy9Ofv9nxydnz8/enJ3|fz6E|capc/z7Hz9//vt/fvwjwnSyIpQR|/||MP2/R5UTXc/efH3fmubi00/v3XuPcHf//916XOjR4bn/r7PbN0qMnR|JX9jsVq0GxO/ZVy9O3px"</definedName>
    <definedName name="EPMWorkbookOptions_6">"9|eL4OVH4|OuL4XsvFNz/f7cYhnTpZJ6eP3/289YubiLM7/Nk9/7/1|ny/x7RfPnqy2dnHxrmvL9gfvr/MsHs8J9PlZD7Xnz5|788|f86|31dsRwmy4/s5TcplK9evjn56hUR9|QDfNb3lskH/||WSY8oku96/vNWDnuk|Or10x/RQmlx|tWr/6/T4v89mujN2RenP0QVdPD/bhUEaoR2b29nd2/883p9OEqTnf9/0OT/PXL4xenx669enb7|Ic"</definedName>
    <definedName name="EPMWorkbookOptions_7">"riw/93y6KhiCj9l6evzr58evb/eY/gG|S4WzQKsIk3enz3eLUqi2nWEhz7efCpaU7QquWSEKfPnmZtZj6OfkqfC9UW5bL57KN5264e3b3b5ovVui7GVX1x96smrx1O43fN7KOj3//Zyy9|/ycvT158d3fn9/|evtT89HQ6WU0vr3Z2Z|NVVlZZ2VbLvL2q6rfNuKymWfnogOKTu022uksN737/9yd19YL|/fbJF/TveVY2OTFOwCyP/QG|J5Ye9"</definedName>
    <definedName name="EPMWorkbookOptions_8">"WLEs4M/ov473QrB3KR02Mj/6tvFbJYv7Rw3G5puYJLX8|qqoxHAv4/vRr7Y9CqPIvJmRAJvpwhv12pAXR6fnHz51Ys3P0RtufP/bm2pBOmkGF|8|Or4|e//8vj3eXX85vT/66rzGyXNy5M3v/8XZFPe/IgqHlWeEpv8/qcvft7GmlGisKcLIfoRVTyqfPv0|Kl8/P9xqnyDHpmP5tcxal89PXvz5tXx2fOvb9d2dvbJFbq9Wdv9f7lZsyQJue|r"</definedName>
    <definedName name="EPMWorkbookOptions_9">"52/OKFn9/3Xe|6bJIp///yEy/6Yp8/rVye///MvP/78fQH7ThDl78fKr/8/r8G|aKK|PX/5/nST/7zFrJ|RUfv7lq6|/0nXv3v37|/v7tzdqe//vNmqGICHPPfvy1enJ8euft7IYp8rxyZuvvglrdvO4/r9Dk5fPKbn1/3Eu|X|Revry9ZsTIu3pq6|toD59sLtzcPDg9grq3v/LFZQlSch4Jye///7uPsUY/1/nvm|SMHvQUs|f//7uu9c/Ik9"</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print" hidden="1">{"Page1",#N/A,FALSE,"CF WKSHT";"Page2",#N/A,FALSE,"CF WKSHT"}</definedName>
    <definedName name="EPS_growth_avg">#REF!</definedName>
    <definedName name="eps_q3" hidden="1">{"Page1",#N/A,FALSE,"CF WKSHT";"Page2",#N/A,FALSE,"CF WKSHT"}</definedName>
    <definedName name="EPS2Q04">#REF!</definedName>
    <definedName name="EPSCS">#REF!</definedName>
    <definedName name="EPSCY01">#REF!</definedName>
    <definedName name="EPSON_PRINTER">#REF!</definedName>
    <definedName name="EPSVY02">#REF!</definedName>
    <definedName name="eq" hidden="1">{#N/A,#N/A,FALSE,"REPORT"}</definedName>
    <definedName name="eqroll_checks">#REF!</definedName>
    <definedName name="EQUI">#REF!</definedName>
    <definedName name="Equipment">#REF!</definedName>
    <definedName name="er">#REF!</definedName>
    <definedName name="er_1">#REF!</definedName>
    <definedName name="er_2">#REF!</definedName>
    <definedName name="er_3">#REF!</definedName>
    <definedName name="er_4">#REF!</definedName>
    <definedName name="er_p">1300</definedName>
    <definedName name="Erase">#REF!</definedName>
    <definedName name="erbgegve">#REF!</definedName>
    <definedName name="erbgegve_1">#REF!</definedName>
    <definedName name="erbgegve_2">#REF!</definedName>
    <definedName name="erbgegve_3">#REF!</definedName>
    <definedName name="erbgegve_4">#REF!</definedName>
    <definedName name="erbghergver">#REF!</definedName>
    <definedName name="erbghergver_1">#REF!</definedName>
    <definedName name="erbghergver_2">#REF!</definedName>
    <definedName name="erbghergver_3">#REF!</definedName>
    <definedName name="erbghergver_4">#REF!</definedName>
    <definedName name="erc32d3x">"VCNCAL"</definedName>
    <definedName name="ERCRTDK">#REF!</definedName>
    <definedName name="ere">{"'1-TheatreBkgs'!$A$1:$L$102"}</definedName>
    <definedName name="erer">#REF!</definedName>
    <definedName name="erer_1">#REF!</definedName>
    <definedName name="erer_2">#REF!</definedName>
    <definedName name="erer_3">#REF!</definedName>
    <definedName name="erer_4">#REF!</definedName>
    <definedName name="erere">#REF!</definedName>
    <definedName name="ERERT">#REF!</definedName>
    <definedName name="eret.ert" hidden="1">#REF!</definedName>
    <definedName name="erg">#REF!</definedName>
    <definedName name="erg_1">#REF!</definedName>
    <definedName name="erg_2">#REF!</definedName>
    <definedName name="erg_3">#REF!</definedName>
    <definedName name="erg_4">#REF!</definedName>
    <definedName name="ergaergr">#REF!</definedName>
    <definedName name="ergaergr_1">#REF!</definedName>
    <definedName name="ergaergr_2">#REF!</definedName>
    <definedName name="ergaergr_3">#REF!</definedName>
    <definedName name="ergaergr_4">#REF!</definedName>
    <definedName name="erger">{"'1-TheatreBkgs'!$A$1:$L$102"}</definedName>
    <definedName name="erglkeyrgje">#REF!</definedName>
    <definedName name="erh">#REF!</definedName>
    <definedName name="erh_1">#REF!</definedName>
    <definedName name="erh_2">#REF!</definedName>
    <definedName name="erh_3">#REF!</definedName>
    <definedName name="erh_4">#REF!</definedName>
    <definedName name="ERL">#REF!</definedName>
    <definedName name="ERL_B">#REF!</definedName>
    <definedName name="ERO">#REF!</definedName>
    <definedName name="ERRR">#REF!</definedName>
    <definedName name="ERRRRRRR">{"'Sch B'!$B$15:$L$17"}</definedName>
    <definedName name="ers">#REF!</definedName>
    <definedName name="ersdf">#REF!</definedName>
    <definedName name="erser">#REF!</definedName>
    <definedName name="ersge">#REF!</definedName>
    <definedName name="ert">#REF!</definedName>
    <definedName name="erterg">{"'1-TheatreBkgs'!$A$1:$L$102"}</definedName>
    <definedName name="ertherj">#REF!</definedName>
    <definedName name="ertherj_1">#REF!</definedName>
    <definedName name="ertr" hidden="1">#REF!</definedName>
    <definedName name="ertyui" hidden="1">{#N/A,#N/A,FALSE,"Pharm";#N/A,#N/A,FALSE,"WWCM"}</definedName>
    <definedName name="ervgseer">#REF!</definedName>
    <definedName name="ervgseer_1">#REF!</definedName>
    <definedName name="ervgseer_2">#REF!</definedName>
    <definedName name="ervgseer_3">#REF!</definedName>
    <definedName name="ervgseer_4">#REF!</definedName>
    <definedName name="eryyyyyy">#REF!</definedName>
    <definedName name="es" hidden="1">{#N/A,#N/A,FALSE,"Aging Summary";#N/A,#N/A,FALSE,"Ratio Analysis";#N/A,#N/A,FALSE,"Test 120 Day Accts";#N/A,#N/A,FALSE,"Tickmarks"}</definedName>
    <definedName name="es_3">#REF!</definedName>
    <definedName name="Esc">#REF!</definedName>
    <definedName name="ESI">#REF!</definedName>
    <definedName name="esp">#REF!</definedName>
    <definedName name="ESPeXToEUR" hidden="1">1/EUReXToESP</definedName>
    <definedName name="espp">#REF!</definedName>
    <definedName name="esps">#REF!</definedName>
    <definedName name="esr">#REF!</definedName>
    <definedName name="esre">#REF!</definedName>
    <definedName name="esrgsbg">#REF!</definedName>
    <definedName name="esrgsbg_1">#REF!</definedName>
    <definedName name="esrs">#REF!</definedName>
    <definedName name="ESSAI" hidden="1">{#N/A,#N/A,FALSE,"Pharm";#N/A,#N/A,FALSE,"WWCM"}</definedName>
    <definedName name="EssAliasTable">"ALTERNATE"</definedName>
    <definedName name="EssfHasNonUnique">FALSE</definedName>
    <definedName name="EssLatest">"Jan"</definedName>
    <definedName name="EssOptions">"A2100000000111000011001100000_01000"</definedName>
    <definedName name="ESSP" hidden="1">{"ALLGRANTS",#N/A,FALSE,"OPTIONS"}</definedName>
    <definedName name="EssSamplingValue">100</definedName>
    <definedName name="est">#REF!</definedName>
    <definedName name="EstAct">#REF!</definedName>
    <definedName name="ESTHB">#REF!</definedName>
    <definedName name="ESTHB_1">#REF!</definedName>
    <definedName name="estimado">#REF!</definedName>
    <definedName name="ET">#REF!</definedName>
    <definedName name="et7o9" hidden="1">{#N/A,#N/A,FALSE,"Pharm";#N/A,#N/A,FALSE,"WWCM"}</definedName>
    <definedName name="etc" hidden="1">#REF!</definedName>
    <definedName name="etste" hidden="1">{#N/A,#N/A,FALSE,"Pharm";#N/A,#N/A,FALSE,"WWCM"}</definedName>
    <definedName name="etu">#REF!</definedName>
    <definedName name="Etude_Amont">"CommandButton4"</definedName>
    <definedName name="ety">#REF!</definedName>
    <definedName name="etyjdtuk">#REF!</definedName>
    <definedName name="etyjdtuk_1">#REF!</definedName>
    <definedName name="EUHQ">#REF!</definedName>
    <definedName name="eur">#REF!</definedName>
    <definedName name="EurCntrl">#REF!</definedName>
    <definedName name="EUReXToATS" hidden="1">#REF!</definedName>
    <definedName name="EUReXToBEF" hidden="1">#REF!</definedName>
    <definedName name="EUReXToDEM" hidden="1">#REF!</definedName>
    <definedName name="EUReXToESP" hidden="1">#REF!</definedName>
    <definedName name="EUReXToFIM" hidden="1">#REF!</definedName>
    <definedName name="EUReXToFRF" hidden="1">#REF!</definedName>
    <definedName name="EUReXToIEP" hidden="1">#REF!</definedName>
    <definedName name="EURO">#REF!</definedName>
    <definedName name="EURO00">#REF!</definedName>
    <definedName name="Euro1">#REF!</definedName>
    <definedName name="Euro10">#REF!</definedName>
    <definedName name="Euro11">#REF!</definedName>
    <definedName name="Euro12">#REF!</definedName>
    <definedName name="Euro2">#REF!</definedName>
    <definedName name="Euro7">#REF!</definedName>
    <definedName name="Euro8">#REF!</definedName>
    <definedName name="Euro9">#REF!</definedName>
    <definedName name="EuroName">"M.Euro"</definedName>
    <definedName name="EUROPEAN_HQ">#REF!</definedName>
    <definedName name="ev.Calculation" hidden="1">-4105</definedName>
    <definedName name="ev.Initialized" hidden="1">FALSE</definedName>
    <definedName name="EV__ALLOWSTOPEXPAND__">1</definedName>
    <definedName name="EV__CVPARAMS__">"Any by Any!$B$17:$C$38;"</definedName>
    <definedName name="EV__DECIMALSYMBOL__">"."</definedName>
    <definedName name="EV__EVCOM_OPTIONS__">8</definedName>
    <definedName name="EV__EXPOPTIONS__">0</definedName>
    <definedName name="EV__LASTREFTIME__" hidden="1">39378.6366319444</definedName>
    <definedName name="EV__LOCKEDCVW__BALANCESHEET">"TotAssets,ACTUAL,TotCompany,Worldwide,2004.TOTAL,PERIODIC,"</definedName>
    <definedName name="EV__LOCKEDCVW__CAPEX">"TrialBalance,ALL_AFE_TYPE,ACTUAL,TotalAdj,0000205,Total_Level,All_Projects,100056688,USD,2008.MAR,YTD,"</definedName>
    <definedName name="EV__LOCKEDCVW__CASHFLOW">"A_TOTCFA,AC_CASHAC,ACTUAL,LC,E_QSG,2004.TOTAL,PERIODIC,"</definedName>
    <definedName name="EV__LOCKEDCVW__CB_FINANCE">"Tot_GAAP_NI,Total_BusinessUnits,ACTUAL,Total_Cost_Center,TotWithAlloc,LC,2006.APR,PERIODIC,"</definedName>
    <definedName name="EV__LOCKEDCVW__COGS">"CM,TotalAdj,NoRule,ACTUAL,No_Init,TotCostType,WORLDWIDE,MSPS,All_LOB,USD,NO.YEAR,PERIODIC,"</definedName>
    <definedName name="EV__LOCKEDCVW__CONSO">"A_NONE_BALSHT,B_ALL,ACTUAL,C_ALL,LC,TOTCONSO,E_200,G_ALL,2007.JAN,PERIODIC,"</definedName>
    <definedName name="EV__LOCKEDCVW__CONSOLIDATIONS">"CREV,STANDARD,TotalAdj,NetSales,All_InterCo,BT,0XKR,USD,2007.Q2,PERIODIC,"</definedName>
    <definedName name="EV__LOCKEDCVW__CORPOPS">"A_None_BALSHT,B_ALL,ACTUAL,C_ALL,LC,TotConso,E_CorpOps,G_ALL,2004.TOTAL,PERIODIC,"</definedName>
    <definedName name="EV__LOCKEDCVW__EPA">"TrialBalance,All_Activity_Months,ACTUAL,TotalAdj,NFXALL,Total_Level,MidCon_Hierarchy,USD,2000.TOTAL,PERIODIC,"</definedName>
    <definedName name="EV__LOCKEDCVW__FINANCE">"CM,FORECAST,Japan,INPUT,TotFunction,MSPS,All_LOB,PLANRATE,2005.AUG,PERIODIC,"</definedName>
    <definedName name="EV__LOCKEDCVW__FINANCE2">"CM,ACTUAL,USTot,TotalAdj,TotFunction,MSPS,All_LOB,USD,2005.AUG,PERIODIC,"</definedName>
    <definedName name="EV__LOCKEDCVW__FINANCE2_DETAIL">"CM,ACTUAL,Worldwide,TotalAdj,MSPS,All_LOB,2004.TOTAL,PERIODIC,"</definedName>
    <definedName name="EV__LOCKEDCVW__FINANCEHISTORY">"TrialBalance,Total_Level,ACTUAL,TotalAdj,CONS,MidCon_Hierarchy,USD,XXXX.TOTAL,PERIODIC,"</definedName>
    <definedName name="EV__LOCKEDCVW__FPR">"A_All_RVNUES,B_ALL,ACTUAL,C_ALL,LC,TotConso,D_ALL,E_200,P_ALL,S_ALL,2007.JAN,PERIODIC,"</definedName>
    <definedName name="EV__LOCKEDCVW__FPR_NEW">"A_All_RVNUES,B_ALL,ACTUAL,C_ALL,USD,TotConso,D_ALL,E_QSG,P_ALL,S_ALL,2005.Q3,PERIODIC,"</definedName>
    <definedName name="EV__LOCKEDCVW__FY07_PLAN">"CM,ACTUAL,WORLDWIDE,Input,TotFunction,MSPS,All_LOB,USD,2004.TOTAL,PERIODIC,"</definedName>
    <definedName name="EV__LOCKEDCVW__INTERCOMATCHING">"ICAssets,Actual,Input,E_All,I_All,2004.TOTAL,USD,PERIODIC,"</definedName>
    <definedName name="EV__LOCKEDCVW__KPI">"KPISales,B_ALL,ACTUAL,C_ALL,LC,E_QuikEur,2006.OCT10,PERIODIC,"</definedName>
    <definedName name="EV__LOCKEDCVW__KPIS">"ACTUAL,Mexico,usd,All_LOB,RevSumm,SubclassAll,NO.YEAR,PERIODIC,"</definedName>
    <definedName name="EV__LOCKEDCVW__PRODUCTLINE">"Ord,ACTUAL,GrandTotal,AllDiv,BT,MILX,AllPLoasis,USD,2002.TOTAL,PERIODIC,"</definedName>
    <definedName name="EV__LOCKEDCVW__RATE">"ACTUAL,USD,End,Default,2002.TOTAL,PERIODIC,"</definedName>
    <definedName name="EV__LOCKEDCVW__RATE_INTERCO">"Actual,Avg,Default,2004.TOTAL,USD,PERIODIC,"</definedName>
    <definedName name="EV__LOCKEDCVW__RATEKPI">"ACTUAL,USD,Avg,Default,2004.TOTAL,PERIODIC,"</definedName>
    <definedName name="EV__LOCKSTATUS__">2</definedName>
    <definedName name="EV__MAXEXPCOLS__">100</definedName>
    <definedName name="EV__MAXEXPROWS__">1000</definedName>
    <definedName name="EV__MEMORYCVW__">0</definedName>
    <definedName name="EV__MEMORYCVW__BOOK2" hidden="1">"LEGAL"</definedName>
    <definedName name="EV__MEMORYCVW__BOOK2_ACCDETAIL" hidden="1">"F_DISC_25"</definedName>
    <definedName name="EV__MEMORYCVW__BOOK2_ACCOUNTL" hidden="1">"A_DISC_25"</definedName>
    <definedName name="EV__MEMORYCVW__BOOK2_CATEGORY" hidden="1">"ACTUAL"</definedName>
    <definedName name="EV__MEMORYCVW__BOOK2_CONSOLVIEW" hidden="1">"LC"</definedName>
    <definedName name="EV__MEMORYCVW__BOOK2_DATASRCL" hidden="1">"INPUT"</definedName>
    <definedName name="EV__MEMORYCVW__BOOK2_ENTITY" hidden="1">"GAPS_LLC"</definedName>
    <definedName name="EV__MEMORYCVW__BOOK2_INTCO" hidden="1">"N_IC"</definedName>
    <definedName name="EV__MEMORYCVW__BOOK2_MEASURES" hidden="1">"YTD"</definedName>
    <definedName name="EV__MEMORYCVW__BOOK2_SEGMENT" hidden="1">"Non_Seg"</definedName>
    <definedName name="EV__MEMORYCVW__BOOK2_TIME" hidden="1">"2010.MAR"</definedName>
    <definedName name="EV__MEMORYCVW__BOOK3" hidden="1">"LEGAL"</definedName>
    <definedName name="EV__MEMORYCVW__BOOK3_ACCDETAIL" hidden="1">"F_TOT"</definedName>
    <definedName name="EV__MEMORYCVW__BOOK3_ACCOUNTL" hidden="1">"BSPL"</definedName>
    <definedName name="EV__MEMORYCVW__BOOK3_CATEGORY" hidden="1">"ACTUAL"</definedName>
    <definedName name="EV__MEMORYCVW__BOOK3_CONSOLVIEW" hidden="1">"GLOVIS_LEGAL"</definedName>
    <definedName name="EV__MEMORYCVW__BOOK3_DATASRCL" hidden="1">"ALL_DATASRC"</definedName>
    <definedName name="EV__MEMORYCVW__BOOK3_ENTITY" hidden="1">"CONSOL_ENTITY"</definedName>
    <definedName name="EV__MEMORYCVW__BOOK3_INTCO" hidden="1">"A_IC"</definedName>
    <definedName name="EV__MEMORYCVW__BOOK3_MEASURES" hidden="1">"YTD"</definedName>
    <definedName name="EV__MEMORYCVW__BOOK3_SEGMENT" hidden="1">"All_Seg"</definedName>
    <definedName name="EV__MEMORYCVW__BOOK3_TIME" hidden="1">"2001.TOTAL"</definedName>
    <definedName name="EV__MEMORYCVW__BOOK4" hidden="1">"LEGAL"</definedName>
    <definedName name="EV__MEMORYCVW__BOOK4_ACCDETAIL" hidden="1">"F_TOT"</definedName>
    <definedName name="EV__MEMORYCVW__BOOK4_ACCOUNTL" hidden="1">300000</definedName>
    <definedName name="EV__MEMORYCVW__BOOK4_CATEGORY" hidden="1">"ACTUAL"</definedName>
    <definedName name="EV__MEMORYCVW__BOOK4_CONSOLVIEW" hidden="1">"LC"</definedName>
    <definedName name="EV__MEMORYCVW__BOOK4_DATASRCL" hidden="1">"ALL_DATASRC"</definedName>
    <definedName name="EV__MEMORYCVW__BOOK4_ENTITY" hidden="1">"L1000"</definedName>
    <definedName name="EV__MEMORYCVW__BOOK4_INTCO" hidden="1">"A_IC"</definedName>
    <definedName name="EV__MEMORYCVW__BOOK4_MEASURES" hidden="1">"YTD"</definedName>
    <definedName name="EV__MEMORYCVW__BOOK4_TIME" hidden="1">"2009.MAR"</definedName>
    <definedName name="EV__MEMORYCVW__BOOK5" hidden="1">"LEGAL"</definedName>
    <definedName name="EV__MEMORYCVW__BOOK5_ACCDETAIL" hidden="1">"F_TOT"</definedName>
    <definedName name="EV__MEMORYCVW__BOOK5_ACCOUNTL" hidden="1">300000</definedName>
    <definedName name="EV__MEMORYCVW__BOOK5_CATEGORY" hidden="1">"ACTUAL"</definedName>
    <definedName name="EV__MEMORYCVW__BOOK5_CONSOLVIEW" hidden="1">"LC"</definedName>
    <definedName name="EV__MEMORYCVW__BOOK5_DATASRCL" hidden="1">"RESTATED"</definedName>
    <definedName name="EV__MEMORYCVW__BOOK5_ENTITY" hidden="1">"L1000"</definedName>
    <definedName name="EV__MEMORYCVW__BOOK5_INTCO" hidden="1">"N_IC"</definedName>
    <definedName name="EV__MEMORYCVW__BOOK5_MEASURES" hidden="1">"YTD"</definedName>
    <definedName name="EV__MEMORYCVW__BOOK5_TIME" hidden="1">"2000.TOTAL"</definedName>
    <definedName name="EV__MEMORYCVW__CF_ADJ_MANUAL1" hidden="1">"LEGAL"</definedName>
    <definedName name="EV__MEMORYCVW__CF_ADJ_MANUAL1.XLS" hidden="1">"LEGAL"</definedName>
    <definedName name="EV__MEMORYCVW__CF_ADJ_MANUAL1.XLS_ACCDETAIL" hidden="1">"F_FLOWTO"</definedName>
    <definedName name="EV__MEMORYCVW__CF_ADJ_MANUAL1.XLS_ACCOUNTL" hidden="1">"BSPL"</definedName>
    <definedName name="EV__MEMORYCVW__CF_ADJ_MANUAL1.XLS_CATEGORY" hidden="1">"ACTUAL"</definedName>
    <definedName name="EV__MEMORYCVW__CF_ADJ_MANUAL1.XLS_CONSOLVIEW" hidden="1">"GLOVIS_LEGAL"</definedName>
    <definedName name="EV__MEMORYCVW__CF_ADJ_MANUAL1.XLS_DATASRCL" hidden="1">"ALL_DATASRC"</definedName>
    <definedName name="EV__MEMORYCVW__CF_ADJ_MANUAL1.XLS_ENTITY" hidden="1">"GKR"</definedName>
    <definedName name="EV__MEMORYCVW__CF_ADJ_MANUAL1.XLS_INTCO" hidden="1">"A_IC"</definedName>
    <definedName name="EV__MEMORYCVW__CF_ADJ_MANUAL1.XLS_MEASURES" hidden="1">"YTD"</definedName>
    <definedName name="EV__MEMORYCVW__CF_ADJ_MANUAL1.XLS_SEGMENT" hidden="1">"All_Seg"</definedName>
    <definedName name="EV__MEMORYCVW__CF_ADJ_MANUAL1.XLS_TIME" hidden="1">"2003.DEC"</definedName>
    <definedName name="EV__MEMORYCVW__CF_ADJ_MANUAL1_ACCDETAIL" hidden="1">"F_TOT"</definedName>
    <definedName name="EV__MEMORYCVW__CF_ADJ_MANUAL1_ACCOUNTL" hidden="1">300000</definedName>
    <definedName name="EV__MEMORYCVW__CF_ADJ_MANUAL1_CATEGORY" hidden="1">"ACTUAL"</definedName>
    <definedName name="EV__MEMORYCVW__CF_ADJ_MANUAL1_CONSOLVIEW" hidden="1">"C_LGCorp"</definedName>
    <definedName name="EV__MEMORYCVW__CF_ADJ_MANUAL1_DATASRCL" hidden="1">"ALL_DATASRC"</definedName>
    <definedName name="EV__MEMORYCVW__CF_ADJ_MANUAL1_ENTITY" hidden="1">"L1A00"</definedName>
    <definedName name="EV__MEMORYCVW__CF_ADJ_MANUAL1_INTCO" hidden="1">"A_IC"</definedName>
    <definedName name="EV__MEMORYCVW__CF_ADJ_MANUAL1_MEASURES" hidden="1">"YTD"</definedName>
    <definedName name="EV__MEMORYCVW__CF_ADJ_MANUAL1_TIME" hidden="1">"2009.MAR"</definedName>
    <definedName name="EV__MEMORYCVW__CF_INPUT.XLT" hidden="1">"LEGAL"</definedName>
    <definedName name="EV__MEMORYCVW__CF_INPUT1" hidden="1">"LEGAL"</definedName>
    <definedName name="EV__MEMORYCVW__CF_INPUT1.XLS" hidden="1">"LEGAL"</definedName>
    <definedName name="EV__MEMORYCVW__CF_SND.XLT" hidden="1">"LEGAL"</definedName>
    <definedName name="EV__MEMORYCVW__CF_SND_0623.XLT" hidden="1">"LEGAL"</definedName>
    <definedName name="EV__MEMORYCVW__CF_SND_06231" hidden="1">"LEGAL"</definedName>
    <definedName name="EV__MEMORYCVW__CF_SND_TEST1" hidden="1">"LEGAL"</definedName>
    <definedName name="EV__MEMORYCVW__CF_SND1" hidden="1">"LEGAL"</definedName>
    <definedName name="EV__MEMORYCVW__CF_SND2" hidden="1">"LEGAL"</definedName>
    <definedName name="EV__MEMORYCVW__CF_VALIDATION_ENTITY_0624.XLT" hidden="1">"LEGAL"</definedName>
    <definedName name="EV__MEMORYCVW__CF_VALIDATION_ENTITY_0624.XLT_ACCDETAIL" hidden="1">"F_CLO"</definedName>
    <definedName name="EV__MEMORYCVW__CF_VALIDATION_ENTITY_0624.XLT_ACCOUNTL" hidden="1">"CASHFLOW"</definedName>
    <definedName name="EV__MEMORYCVW__CF_VALIDATION_ENTITY_0624.XLT_CATEGORY" hidden="1">"ACTUAL"</definedName>
    <definedName name="EV__MEMORYCVW__CF_VALIDATION_ENTITY_0624.XLT_CONSOLVIEW" hidden="1">"LC"</definedName>
    <definedName name="EV__MEMORYCVW__CF_VALIDATION_ENTITY_0624.XLT_DATASRCL" hidden="1">"INPUT"</definedName>
    <definedName name="EV__MEMORYCVW__CF_VALIDATION_ENTITY_0624.XLT_ENTITY" hidden="1">"D1000"</definedName>
    <definedName name="EV__MEMORYCVW__CF_VALIDATION_ENTITY_0624.XLT_INTCO" hidden="1">"N_IC"</definedName>
    <definedName name="EV__MEMORYCVW__CF_VALIDATION_ENTITY_0624.XLT_MEASURES" hidden="1">"YTD"</definedName>
    <definedName name="EV__MEMORYCVW__CF_VALIDATION_ENTITY_0624.XLT_TIME" hidden="1">"2009.MAR"</definedName>
    <definedName name="EV__MEMORYCVW__CFVALIDATION_LC1.XLS" hidden="1">"LEGAL"</definedName>
    <definedName name="EV__MEMORYCVW__CFVALIDATION_LC1.XLS_ACCDETAIL" hidden="1">"F_CLO"</definedName>
    <definedName name="EV__MEMORYCVW__CFVALIDATION_LC1.XLS_ACCOUNTL" hidden="1">"BALANCESHEET"</definedName>
    <definedName name="EV__MEMORYCVW__CFVALIDATION_LC1.XLS_CATEGORY" hidden="1">"ACTUAL"</definedName>
    <definedName name="EV__MEMORYCVW__CFVALIDATION_LC1.XLS_CONSOLVIEW" hidden="1">"LC"</definedName>
    <definedName name="EV__MEMORYCVW__CFVALIDATION_LC1.XLS_DATASRCL" hidden="1">"RESTATED"</definedName>
    <definedName name="EV__MEMORYCVW__CFVALIDATION_LC1.XLS_ENTITY" hidden="1">"GKR"</definedName>
    <definedName name="EV__MEMORYCVW__CFVALIDATION_LC1.XLS_INTCO" hidden="1">"N_IC"</definedName>
    <definedName name="EV__MEMORYCVW__CFVALIDATION_LC1.XLS_MEASURES" hidden="1">"YTD"</definedName>
    <definedName name="EV__MEMORYCVW__CFVALIDATION_LC1.XLS_SEGMENT" hidden="1">"All_Seg"</definedName>
    <definedName name="EV__MEMORYCVW__CFVALIDATION_LC1.XLS_TIME" hidden="1">"2002.DEC"</definedName>
    <definedName name="EV__MEMORYCVW__CFVALIDATIONBYENTITY_REPORT1" hidden="1">"LEGAL"</definedName>
    <definedName name="EV__MEMORYCVW__CFVALIDATIONBYENTITY_REPORT1_ACCDETAIL" hidden="1">"F_CLO"</definedName>
    <definedName name="EV__MEMORYCVW__CFVALIDATIONBYENTITY_REPORT1_ACCOUNTL" hidden="1">300000</definedName>
    <definedName name="EV__MEMORYCVW__CFVALIDATIONBYENTITY_REPORT1_CATEGORY" hidden="1">"ACTUAL"</definedName>
    <definedName name="EV__MEMORYCVW__CFVALIDATIONBYENTITY_REPORT1_CONSOLVIEW" hidden="1">"LC"</definedName>
    <definedName name="EV__MEMORYCVW__CFVALIDATIONBYENTITY_REPORT1_DATASRCL" hidden="1">"INPUT"</definedName>
    <definedName name="EV__MEMORYCVW__CFVALIDATIONBYENTITY_REPORT1_ENTITY" hidden="1">"G9000"</definedName>
    <definedName name="EV__MEMORYCVW__CFVALIDATIONBYENTITY_REPORT1_INTCO" hidden="1">"N_IC"</definedName>
    <definedName name="EV__MEMORYCVW__CFVALIDATIONBYENTITY_REPORT1_MEASURES" hidden="1">"YTD"</definedName>
    <definedName name="EV__MEMORYCVW__CFVALIDATIONBYENTITY_REPORT1_TIME" hidden="1">"2009.MAR"</definedName>
    <definedName name="EV__MEMORYCVW__CH_INPUT.XLT" hidden="1">"LEGAL"</definedName>
    <definedName name="EV__MEMORYCVW__CH_INPUT.XLT_ACCDETAIL" hidden="1">"F_TOT"</definedName>
    <definedName name="EV__MEMORYCVW__CH_INPUT.XLT_ACCOUNTL" hidden="1">300000</definedName>
    <definedName name="EV__MEMORYCVW__CH_INPUT.XLT_CATEGORY" hidden="1">"ACTUAL"</definedName>
    <definedName name="EV__MEMORYCVW__CH_INPUT.XLT_CONSOLVIEW" hidden="1">"LC"</definedName>
    <definedName name="EV__MEMORYCVW__CH_INPUT.XLT_DATASRCL" hidden="1">"ALL_DATASRC"</definedName>
    <definedName name="EV__MEMORYCVW__CH_INPUT.XLT_ENTITY" hidden="1">"G9000"</definedName>
    <definedName name="EV__MEMORYCVW__CH_INPUT.XLT_INTCO" hidden="1">"N_IC"</definedName>
    <definedName name="EV__MEMORYCVW__CH_INPUT.XLT_MEASURES" hidden="1">"YTD"</definedName>
    <definedName name="EV__MEMORYCVW__CH_INPUT.XLT_TIME" hidden="1">"2009.MAR"</definedName>
    <definedName name="EV__MEMORYCVW__CH_INPUT1" hidden="1">"LEGAL"</definedName>
    <definedName name="EV__MEMORYCVW__CH_INPUT1_ACCDETAIL" hidden="1">"F_TOT"</definedName>
    <definedName name="EV__MEMORYCVW__CH_INPUT1_ACCOUNTL" hidden="1">"BALANCESHEET"</definedName>
    <definedName name="EV__MEMORYCVW__CH_INPUT1_CATEGORY" hidden="1">"ACTUAL"</definedName>
    <definedName name="EV__MEMORYCVW__CH_INPUT1_CONSOLVIEW" hidden="1">"LC"</definedName>
    <definedName name="EV__MEMORYCVW__CH_INPUT1_DATASRCL" hidden="1">"ALL_DATASRC"</definedName>
    <definedName name="EV__MEMORYCVW__CH_INPUT1_ENTITY" hidden="1">"C2000"</definedName>
    <definedName name="EV__MEMORYCVW__CH_INPUT1_INTCO" hidden="1">"N_IC"</definedName>
    <definedName name="EV__MEMORYCVW__CH_INPUT1_MEASURES" hidden="1">"YTD"</definedName>
    <definedName name="EV__MEMORYCVW__CH_INPUT1_TIME" hidden="1">"2009.MAR"</definedName>
    <definedName name="EV__MEMORYCVW__COMPANYNO_INPUT1" hidden="1">"LEGAL"</definedName>
    <definedName name="EV__MEMORYCVW__COMPANYNO_INPUT1_ACCDETAIL" hidden="1">"F_TOT"</definedName>
    <definedName name="EV__MEMORYCVW__COMPANYNO_INPUT1_ACCOUNTL" hidden="1">100000</definedName>
    <definedName name="EV__MEMORYCVW__COMPANYNO_INPUT1_CATEGORY" hidden="1">"ACTUAL"</definedName>
    <definedName name="EV__MEMORYCVW__COMPANYNO_INPUT1_CONSOLVIEW" hidden="1">"LC"</definedName>
    <definedName name="EV__MEMORYCVW__COMPANYNO_INPUT1_DATASRCL" hidden="1">"ALL_DATASRC"</definedName>
    <definedName name="EV__MEMORYCVW__COMPANYNO_INPUT1_ENTITY" hidden="1">"D1000"</definedName>
    <definedName name="EV__MEMORYCVW__COMPANYNO_INPUT1_INTCO" hidden="1">"A_IC"</definedName>
    <definedName name="EV__MEMORYCVW__COMPANYNO_INPUT1_MEASURES" hidden="1">"YTD"</definedName>
    <definedName name="EV__MEMORYCVW__COMPANYNO_INPUT1_TIME" hidden="1">"2007.TOTAL"</definedName>
    <definedName name="EV__MEMORYCVW__CONWS_REPORT1" hidden="1">"LEGAL"</definedName>
    <definedName name="EV__MEMORYCVW__CONWS_REPORT1_ACCDETAIL" hidden="1">"F_TOT"</definedName>
    <definedName name="EV__MEMORYCVW__CONWS_REPORT1_ACCOUNTL" hidden="1">"BALANCESHEET"</definedName>
    <definedName name="EV__MEMORYCVW__CONWS_REPORT1_CATEGORY" hidden="1">"ACTUAL"</definedName>
    <definedName name="EV__MEMORYCVW__CONWS_REPORT1_CONSOLVIEW" hidden="1">"C_LGCorp"</definedName>
    <definedName name="EV__MEMORYCVW__CONWS_REPORT1_DATASRCL" hidden="1">"ALL_DATASRC"</definedName>
    <definedName name="EV__MEMORYCVW__CONWS_REPORT1_ENTITY" hidden="1">"L1A00"</definedName>
    <definedName name="EV__MEMORYCVW__CONWS_REPORT1_INTCO" hidden="1">"A_IC"</definedName>
    <definedName name="EV__MEMORYCVW__CONWS_REPORT1_MEASURES" hidden="1">"YTD"</definedName>
    <definedName name="EV__MEMORYCVW__CONWS_REPORT1_TIME" hidden="1">"2009.MAR"</definedName>
    <definedName name="EV__MEMORYCVW__CUSTOMMENU1" hidden="1">"LEGAL"</definedName>
    <definedName name="EV__MEMORYCVW__CUSTOMMENU1_ACCDETAIL" hidden="1">"F_TOT"</definedName>
    <definedName name="EV__MEMORYCVW__CUSTOMMENU1_ACCOUNTL" hidden="1">100000</definedName>
    <definedName name="EV__MEMORYCVW__CUSTOMMENU1_CATEGORY" hidden="1">"ACTUAL"</definedName>
    <definedName name="EV__MEMORYCVW__CUSTOMMENU1_CONSOLVIEW" hidden="1">"LC"</definedName>
    <definedName name="EV__MEMORYCVW__CUSTOMMENU1_DATASRCL" hidden="1">"ALL_DATASRC"</definedName>
    <definedName name="EV__MEMORYCVW__CUSTOMMENU1_ENTITY" hidden="1">"LG999"</definedName>
    <definedName name="EV__MEMORYCVW__CUSTOMMENU1_INTCO" hidden="1">"A_IC"</definedName>
    <definedName name="EV__MEMORYCVW__CUSTOMMENU1_MEASURES" hidden="1">"YTD"</definedName>
    <definedName name="EV__MEMORYCVW__CUSTOMMENU1_TIME" hidden="1">"2005.DEC"</definedName>
    <definedName name="EV__MEMORYCVW__D1000_CF_전송분.XLS" hidden="1">"LEGAL"</definedName>
    <definedName name="EV__MEMORYCVW__D1000_CF_전송분.XLS_ACCDETAIL" hidden="1">"F_TOT"</definedName>
    <definedName name="EV__MEMORYCVW__D1000_CF_전송분.XLS_ACCOUNTL" hidden="1">100000</definedName>
    <definedName name="EV__MEMORYCVW__D1000_CF_전송분.XLS_CATEGORY" hidden="1">"ACTUAL"</definedName>
    <definedName name="EV__MEMORYCVW__D1000_CF_전송분.XLS_CONSOLVIEW" hidden="1">"LC"</definedName>
    <definedName name="EV__MEMORYCVW__D1000_CF_전송분.XLS_DATASRCL" hidden="1">"ALL_DATASRC"</definedName>
    <definedName name="EV__MEMORYCVW__D1000_CF_전송분.XLS_ENTITY" hidden="1">"L1000"</definedName>
    <definedName name="EV__MEMORYCVW__D1000_CF_전송분.XLS_INTCO" hidden="1">"N_IC"</definedName>
    <definedName name="EV__MEMORYCVW__D1000_CF_전송분.XLS_MEASURES" hidden="1">"YTD"</definedName>
    <definedName name="EV__MEMORYCVW__D1000_CF_전송분.XLS_TIME" hidden="1">"2009.MAR"</definedName>
    <definedName name="EV__MEMORYCVW__DIMENSION_0514.XLS" hidden="1">"LEGAL"</definedName>
    <definedName name="EV__MEMORYCVW__DIMENSION_0514.XLS_ACCDETAIL" hidden="1">"F_TOT"</definedName>
    <definedName name="EV__MEMORYCVW__DIMENSION_0514.XLS_ACCOUNTL" hidden="1">100000</definedName>
    <definedName name="EV__MEMORYCVW__DIMENSION_0514.XLS_CATEGORY" hidden="1">"ACTUAL"</definedName>
    <definedName name="EV__MEMORYCVW__DIMENSION_0514.XLS_CONSOLVIEW" hidden="1">"C_LGCorp"</definedName>
    <definedName name="EV__MEMORYCVW__DIMENSION_0514.XLS_DATASRCL" hidden="1">"ALL_DATASRC"</definedName>
    <definedName name="EV__MEMORYCVW__DIMENSION_0514.XLS_ENTITY" hidden="1">"L1000"</definedName>
    <definedName name="EV__MEMORYCVW__DIMENSION_0514.XLS_INTCO" hidden="1">"A_IC"</definedName>
    <definedName name="EV__MEMORYCVW__DIMENSION_0514.XLS_MEASURES" hidden="1">"YTD"</definedName>
    <definedName name="EV__MEMORYCVW__DIMENSION_0514.XLS_TIME" hidden="1">"2002.DEC"</definedName>
    <definedName name="EV__MEMORYCVW__LG_BPF순서_CHS_0522_JKJ_0524.XLS" hidden="1">"LEGAL"</definedName>
    <definedName name="EV__MEMORYCVW__LG_BPF순서_CHS_0522_JKJ_0524.XLS_ACCDETAIL" hidden="1">"F_TOT"</definedName>
    <definedName name="EV__MEMORYCVW__LG_BPF순서_CHS_0522_JKJ_0524.XLS_ACCOUNTL" hidden="1">100000</definedName>
    <definedName name="EV__MEMORYCVW__LG_BPF순서_CHS_0522_JKJ_0524.XLS_CATEGORY" hidden="1">"ACTUAL"</definedName>
    <definedName name="EV__MEMORYCVW__LG_BPF순서_CHS_0522_JKJ_0524.XLS_CONSOLVIEW" hidden="1">"C_LGCorp"</definedName>
    <definedName name="EV__MEMORYCVW__LG_BPF순서_CHS_0522_JKJ_0524.XLS_DATASRCL" hidden="1">"ALL_DATASRC"</definedName>
    <definedName name="EV__MEMORYCVW__LG_BPF순서_CHS_0522_JKJ_0524.XLS_ENTITY" hidden="1">"LG999"</definedName>
    <definedName name="EV__MEMORYCVW__LG_BPF순서_CHS_0522_JKJ_0524.XLS_INTCO" hidden="1">"A_IC"</definedName>
    <definedName name="EV__MEMORYCVW__LG_BPF순서_CHS_0522_JKJ_0524.XLS_MEASURES" hidden="1">"YTD"</definedName>
    <definedName name="EV__MEMORYCVW__LG_BPF순서_CHS_0522_JKJ_0524.XLS_TIME" hidden="1">"2008.TOTAL"</definedName>
    <definedName name="EV__MEMORYCVW__NEWUSER_INPUT1" hidden="1">"LEGAL"</definedName>
    <definedName name="EV__MEMORYCVW__NEWUSER_INPUT1_ACCDETAIL" hidden="1">"F_TOT"</definedName>
    <definedName name="EV__MEMORYCVW__NEWUSER_INPUT1_ACCOUNTL" hidden="1">100000</definedName>
    <definedName name="EV__MEMORYCVW__NEWUSER_INPUT1_CATEGORY" hidden="1">"ACTUAL"</definedName>
    <definedName name="EV__MEMORYCVW__NEWUSER_INPUT1_CONSOLVIEW" hidden="1">"LC"</definedName>
    <definedName name="EV__MEMORYCVW__NEWUSER_INPUT1_DATASRCL" hidden="1">"ALL_DATASRC"</definedName>
    <definedName name="EV__MEMORYCVW__NEWUSER_INPUT1_ENTITY" hidden="1">"D1000"</definedName>
    <definedName name="EV__MEMORYCVW__NEWUSER_INPUT1_INTCO" hidden="1">"A_IC"</definedName>
    <definedName name="EV__MEMORYCVW__NEWUSER_INPUT1_MEASURES" hidden="1">"YTD"</definedName>
    <definedName name="EV__MEMORYCVW__NEWUSER_INPUT1_TIME" hidden="1">"2005.DEC"</definedName>
    <definedName name="EV__MEMORYCVW__SAP_사용자교육_추후확인사항_090624_V3.XLS" hidden="1">"LEGAL"</definedName>
    <definedName name="EV__MEMORYCVW__SAP_사용자교육_추후확인사항_090624_V3.XLS_ACCDETAIL" hidden="1">"F_CLO"</definedName>
    <definedName name="EV__MEMORYCVW__SAP_사용자교육_추후확인사항_090624_V3.XLS_ACCOUNTL" hidden="1">"CASHFLOW"</definedName>
    <definedName name="EV__MEMORYCVW__SAP_사용자교육_추후확인사항_090624_V3.XLS_CATEGORY" hidden="1">"ACTUAL"</definedName>
    <definedName name="EV__MEMORYCVW__SAP_사용자교육_추후확인사항_090624_V3.XLS_CONSOLVIEW" hidden="1">"LC"</definedName>
    <definedName name="EV__MEMORYCVW__SAP_사용자교육_추후확인사항_090624_V3.XLS_DATASRCL" hidden="1">"INPUT"</definedName>
    <definedName name="EV__MEMORYCVW__SAP_사용자교육_추후확인사항_090624_V3.XLS_ENTITY" hidden="1">"L1A00"</definedName>
    <definedName name="EV__MEMORYCVW__SAP_사용자교육_추후확인사항_090624_V3.XLS_INTCO" hidden="1">"N_IC"</definedName>
    <definedName name="EV__MEMORYCVW__SAP_사용자교육_추후확인사항_090624_V3.XLS_MEASURES" hidden="1">"YTD"</definedName>
    <definedName name="EV__MEMORYCVW__SAP_사용자교육_추후확인사항_090624_V3.XLS_TIME" hidden="1">"2009.MAR"</definedName>
    <definedName name="EV__MEMORYCVW__TB_INPUT1" hidden="1">"LEGAL"</definedName>
    <definedName name="EV__MEMORYCVW__TB_INPUT1_ACCDETAIL" hidden="1">"F_TOT"</definedName>
    <definedName name="EV__MEMORYCVW__TB_INPUT1_ACCOUNTL" hidden="1">100000</definedName>
    <definedName name="EV__MEMORYCVW__TB_INPUT1_CATEGORY" hidden="1">"ACTUAL"</definedName>
    <definedName name="EV__MEMORYCVW__TB_INPUT1_CONSOLVIEW" hidden="1">"C_LGCorp"</definedName>
    <definedName name="EV__MEMORYCVW__TB_INPUT1_DATASRCL" hidden="1">"ALL_DATASRC"</definedName>
    <definedName name="EV__MEMORYCVW__TB_INPUT1_ENTITY" hidden="1">"E9000"</definedName>
    <definedName name="EV__MEMORYCVW__TB_INPUT1_INTCO" hidden="1">"A_IC"</definedName>
    <definedName name="EV__MEMORYCVW__TB_INPUT1_MEASURES" hidden="1">"YTD"</definedName>
    <definedName name="EV__MEMORYCVW__TB_INPUT1_TIME" hidden="1">"2002.DEC"</definedName>
    <definedName name="EV__MEMORYCVW__TBBYENTITY_REPORT.XLT" hidden="1">"LEGAL"</definedName>
    <definedName name="EV__MEMORYCVW__TBBYENTITY_REPORT.XLT_ACCDETAIL" hidden="1">"F_CLO"</definedName>
    <definedName name="EV__MEMORYCVW__TBBYENTITY_REPORT.XLT_ACCOUNTL" hidden="1">"BALANCESHEET"</definedName>
    <definedName name="EV__MEMORYCVW__TBBYENTITY_REPORT.XLT_CATEGORY" hidden="1">"ACTUAL"</definedName>
    <definedName name="EV__MEMORYCVW__TBBYENTITY_REPORT.XLT_CONSOLVIEW" hidden="1">"LC"</definedName>
    <definedName name="EV__MEMORYCVW__TBBYENTITY_REPORT.XLT_DATASRCL" hidden="1">"RESTATED"</definedName>
    <definedName name="EV__MEMORYCVW__TBBYENTITY_REPORT.XLT_ENTITY" hidden="1">"L1000"</definedName>
    <definedName name="EV__MEMORYCVW__TBBYENTITY_REPORT.XLT_INTCO" hidden="1">"N_IC"</definedName>
    <definedName name="EV__MEMORYCVW__TBBYENTITY_REPORT.XLT_MEASURES" hidden="1">"YTD"</definedName>
    <definedName name="EV__MEMORYCVW__TBBYENTITY_REPORT.XLT_TIME" hidden="1">"2009.MAR"</definedName>
    <definedName name="EV__MEMORYCVW__TB정보조회_그룹1" hidden="1">"LEGAL"</definedName>
    <definedName name="EV__MEMORYCVW__TB정보조회_그룹1_ACCDETAIL" hidden="1">"F_CLO"</definedName>
    <definedName name="EV__MEMORYCVW__TB정보조회_그룹1_ACCOUNTL" hidden="1">330000</definedName>
    <definedName name="EV__MEMORYCVW__TB정보조회_그룹1_CATEGORY" hidden="1">"ACTUAL"</definedName>
    <definedName name="EV__MEMORYCVW__TB정보조회_그룹1_CONSOLVIEW" hidden="1">"LC"</definedName>
    <definedName name="EV__MEMORYCVW__TB정보조회_그룹1_DATASRCL" hidden="1">"INPUT"</definedName>
    <definedName name="EV__MEMORYCVW__TB정보조회_그룹1_ENTITY" hidden="1">"L1A00"</definedName>
    <definedName name="EV__MEMORYCVW__TB정보조회_그룹1_INTCO" hidden="1">"N_IC"</definedName>
    <definedName name="EV__MEMORYCVW__TB정보조회_그룹1_MEASURES" hidden="1">"YTD"</definedName>
    <definedName name="EV__MEMORYCVW__TB정보조회_그룹1_TIME" hidden="1">"2009.MAR"</definedName>
    <definedName name="EV__MEMORYCVW__공정가치손상처분등록1" hidden="1">"LEGAL"</definedName>
    <definedName name="EV__MEMORYCVW__공정가치손상처분등록1_ACCDETAIL" hidden="1">"F_TOT"</definedName>
    <definedName name="EV__MEMORYCVW__공정가치손상처분등록1_ACCOUNTL" hidden="1">"INVACC00"</definedName>
    <definedName name="EV__MEMORYCVW__공정가치손상처분등록1_CATEGORY" hidden="1">"ACTUAL"</definedName>
    <definedName name="EV__MEMORYCVW__공정가치손상처분등록1_CONSOLVIEW" hidden="1">"LC"</definedName>
    <definedName name="EV__MEMORYCVW__공정가치손상처분등록1_DATASRCL" hidden="1">"INVSRC"</definedName>
    <definedName name="EV__MEMORYCVW__공정가치손상처분등록1_ENTITY" hidden="1">"D1000"</definedName>
    <definedName name="EV__MEMORYCVW__공정가치손상처분등록1_INTCO" hidden="1">"A_IC"</definedName>
    <definedName name="EV__MEMORYCVW__공정가치손상처분등록1_MEASURES" hidden="1">"Periodic"</definedName>
    <definedName name="EV__MEMORYCVW__공정가치손상처분등록1_TIME" hidden="1">"2003.DEC"</definedName>
    <definedName name="EV__MEMORYCVW__공정가치차액등록11" hidden="1">"LEGAL"</definedName>
    <definedName name="EV__MEMORYCVW__공정가치차액등록11_ACCDETAIL" hidden="1">"F_TOT"</definedName>
    <definedName name="EV__MEMORYCVW__공정가치차액등록11_ACCOUNTL" hidden="1">100000</definedName>
    <definedName name="EV__MEMORYCVW__공정가치차액등록11_CATEGORY" hidden="1">"ACTUAL"</definedName>
    <definedName name="EV__MEMORYCVW__공정가치차액등록11_CONSOLVIEW" hidden="1">"C_LGCorp"</definedName>
    <definedName name="EV__MEMORYCVW__공정가치차액등록11_DATASRCL" hidden="1">"ALL_DATASRC"</definedName>
    <definedName name="EV__MEMORYCVW__공정가치차액등록11_ENTITY" hidden="1">"L1000"</definedName>
    <definedName name="EV__MEMORYCVW__공정가치차액등록11_INTCO" hidden="1">"A_IC"</definedName>
    <definedName name="EV__MEMORYCVW__공정가치차액등록11_MEASURES" hidden="1">"YTD"</definedName>
    <definedName name="EV__MEMORYCVW__공정가치차액등록11_TIME" hidden="1">"2002.DEC"</definedName>
    <definedName name="EV__MEMORYCVW__리뷰사항_0609.XLS" hidden="1">"LEGAL"</definedName>
    <definedName name="EV__MEMORYCVW__리뷰사항_0609.XLS_ACCDETAIL" hidden="1">"F_TOT"</definedName>
    <definedName name="EV__MEMORYCVW__리뷰사항_0609.XLS_ACCOUNTL" hidden="1">100000</definedName>
    <definedName name="EV__MEMORYCVW__리뷰사항_0609.XLS_CATEGORY" hidden="1">"ACTUAL"</definedName>
    <definedName name="EV__MEMORYCVW__리뷰사항_0609.XLS_CONSOLVIEW" hidden="1">"C_LGCorp"</definedName>
    <definedName name="EV__MEMORYCVW__리뷰사항_0609.XLS_DATASRCL" hidden="1">"ALL_DATASRC"</definedName>
    <definedName name="EV__MEMORYCVW__리뷰사항_0609.XLS_ENTITY" hidden="1">"L1003"</definedName>
    <definedName name="EV__MEMORYCVW__리뷰사항_0609.XLS_INTCO" hidden="1">"A_IC"</definedName>
    <definedName name="EV__MEMORYCVW__리뷰사항_0609.XLS_MEASURES" hidden="1">"YTD"</definedName>
    <definedName name="EV__MEMORYCVW__리뷰사항_0609.XLS_TIME" hidden="1">"2002.DEC"</definedName>
    <definedName name="EV__MEMORYCVW__연결시스템_일정.XLS" hidden="1">"LEGAL"</definedName>
    <definedName name="EV__MEMORYCVW__연결시스템_일정.XLS_ACCDETAIL" hidden="1">"F_UNR"</definedName>
    <definedName name="EV__MEMORYCVW__연결시스템_일정.XLS_ACCOUNTL" hidden="1">"BALANCESHEET"</definedName>
    <definedName name="EV__MEMORYCVW__연결시스템_일정.XLS_CATEGORY" hidden="1">"ACTUAL"</definedName>
    <definedName name="EV__MEMORYCVW__연결시스템_일정.XLS_CONSOLVIEW" hidden="1">"HSI_LEGAL"</definedName>
    <definedName name="EV__MEMORYCVW__연결시스템_일정.XLS_DATASRCL" hidden="1">"EC_STOCK"</definedName>
    <definedName name="EV__MEMORYCVW__연결시스템_일정.XLS_ENTITY" hidden="1">"COMPANY"</definedName>
    <definedName name="EV__MEMORYCVW__연결시스템_일정.XLS_INTCO" hidden="1">"A_IC"</definedName>
    <definedName name="EV__MEMORYCVW__연결시스템_일정.XLS_MEASURES" hidden="1">"YTD"</definedName>
    <definedName name="EV__MEMORYCVW__연결시스템_일정.XLS_SEGMENT" hidden="1">"All_Seg"</definedName>
    <definedName name="EV__MEMORYCVW__연결시스템_일정.XLS_TIME" hidden="1">"2008.DEC"</definedName>
    <definedName name="EV__MEMORYCVW__투자자본TEST_0606.XLS" hidden="1">"LEGAL"</definedName>
    <definedName name="EV__MEMORYCVW__투자자본TEST_0606.XLS_ACCDETAIL" hidden="1">"F_TOT"</definedName>
    <definedName name="EV__MEMORYCVW__투자자본TEST_0606.XLS_ACCOUNTL" hidden="1">100000</definedName>
    <definedName name="EV__MEMORYCVW__투자자본TEST_0606.XLS_CATEGORY" hidden="1">"ACTUAL"</definedName>
    <definedName name="EV__MEMORYCVW__투자자본TEST_0606.XLS_CONSOLVIEW" hidden="1">"LC"</definedName>
    <definedName name="EV__MEMORYCVW__투자자본TEST_0606.XLS_DATASRCL" hidden="1">"ALL_DATASRC"</definedName>
    <definedName name="EV__MEMORYCVW__투자자본TEST_0606.XLS_ENTITY" hidden="1">"L1003"</definedName>
    <definedName name="EV__MEMORYCVW__투자자본TEST_0606.XLS_INTCO" hidden="1">"N_IC"</definedName>
    <definedName name="EV__MEMORYCVW__투자자본TEST_0606.XLS_MEASURES" hidden="1">"YTD"</definedName>
    <definedName name="EV__MEMORYCVW__투자자본TEST_0606.XLS_TIME" hidden="1">"2002.DEC"</definedName>
    <definedName name="EV__MEMORYCVW__투자자본상계시나리오_GLOVIS.XLSX" hidden="1">"LEGAL"</definedName>
    <definedName name="EV__MEMORYCVW__투자자본상계시나리오_GLOVIS.XLSX_ACCDETAIL" hidden="1">"F_TOT"</definedName>
    <definedName name="EV__MEMORYCVW__투자자본상계시나리오_GLOVIS.XLSX_ACCOUNTL" hidden="1">"NETINCOME"</definedName>
    <definedName name="EV__MEMORYCVW__투자자본상계시나리오_GLOVIS.XLSX_CATEGORY" hidden="1">"ACTUAL"</definedName>
    <definedName name="EV__MEMORYCVW__투자자본상계시나리오_GLOVIS.XLSX_CONSOLVIEW" hidden="1">"GLOVIS_LEGAL"</definedName>
    <definedName name="EV__MEMORYCVW__투자자본상계시나리오_GLOVIS.XLSX_DATASRCL" hidden="1">"ALL_DATASRC"</definedName>
    <definedName name="EV__MEMORYCVW__투자자본상계시나리오_GLOVIS.XLSX_ENTITY" hidden="1">"GKR"</definedName>
    <definedName name="EV__MEMORYCVW__투자자본상계시나리오_GLOVIS.XLSX_INTCO" hidden="1">"A_IC"</definedName>
    <definedName name="EV__MEMORYCVW__투자자본상계시나리오_GLOVIS.XLSX_MEASURES" hidden="1">"YTD"</definedName>
    <definedName name="EV__MEMORYCVW__투자자본상계시나리오_GLOVIS.XLSX_SEGMENT" hidden="1">"All_Seg"</definedName>
    <definedName name="EV__MEMORYCVW__투자자본상계시나리오_GLOVIS.XLSX_TIME" hidden="1">"2002.DEC"</definedName>
    <definedName name="EV__MEMORYCVW__하이닉스_노선도.XLS" hidden="1">"LEGAL"</definedName>
    <definedName name="EV__MEMORYCVW__하이닉스_노선도.XLS_ACCDETAIL" hidden="1">"F_CLO"</definedName>
    <definedName name="EV__MEMORYCVW__하이닉스_노선도.XLS_ACCOUNTL" hidden="1">"CASHFLOW"</definedName>
    <definedName name="EV__MEMORYCVW__하이닉스_노선도.XLS_CATEGORY" hidden="1">"ACTUAL"</definedName>
    <definedName name="EV__MEMORYCVW__하이닉스_노선도.XLS_CONSOLVIEW" hidden="1">"C_LGCorp"</definedName>
    <definedName name="EV__MEMORYCVW__하이닉스_노선도.XLS_DATASRCL" hidden="1">"ALL_DATASRC"</definedName>
    <definedName name="EV__MEMORYCVW__하이닉스_노선도.XLS_ENTITY" hidden="1">"L1A00"</definedName>
    <definedName name="EV__MEMORYCVW__하이닉스_노선도.XLS_INTCO" hidden="1">"A_IC"</definedName>
    <definedName name="EV__MEMORYCVW__하이닉스_노선도.XLS_MEASURES" hidden="1">"YTD"</definedName>
    <definedName name="EV__MEMORYCVW__하이닉스_노선도.XLS_TIME" hidden="1">"2009.MAR"</definedName>
    <definedName name="EV__USERCHANGEOPTIONS__">1</definedName>
    <definedName name="EV__WBEVMODE__">0</definedName>
    <definedName name="EV__WBREFOPTIONS__">134217855</definedName>
    <definedName name="EV__WBVERSION__">0</definedName>
    <definedName name="EV__WSINFO__">123</definedName>
    <definedName name="EV_CVPARAMS_2">"Any by Any!$B$17:$C$38;"</definedName>
    <definedName name="event" hidden="1">#REF!</definedName>
    <definedName name="everclear" hidden="1">{"Strategic",#N/A,FALSE,"Total"}</definedName>
    <definedName name="evgfrtdtb">#REF!</definedName>
    <definedName name="evgfrtdtb_1">#REF!</definedName>
    <definedName name="EVIS">#REF!</definedName>
    <definedName name="Evolução">#REF!</definedName>
    <definedName name="ewa">#REF!</definedName>
    <definedName name="ewa_1">#REF!</definedName>
    <definedName name="ewer">#REF!</definedName>
    <definedName name="ewfwe">#REF!</definedName>
    <definedName name="ewgf">#REF!</definedName>
    <definedName name="ewgf_1">#REF!</definedName>
    <definedName name="EWGFEWg">#REF!</definedName>
    <definedName name="ewr">{0,0,0,0,0,0,0,0,0,0,0,0,0,0,0,0,0,0,0,0,0,0,0,0,0,0,0,0,0,0,0,0,0,0,0,0,0,0,0,0,0,0,0,0,0,#VALUE!,0,0,0,0,108.003967338242}</definedName>
    <definedName name="ewwe" hidden="1">{#N/A,#N/A,FALSE,"REPORT"}</definedName>
    <definedName name="ex">110</definedName>
    <definedName name="Ex._Rate">#REF!</definedName>
    <definedName name="EX_RATE">#REF!</definedName>
    <definedName name="EX_REC_S_A_OTHE">#REF!</definedName>
    <definedName name="EX_REC_TO_TR">#REF!</definedName>
    <definedName name="EX9091_">#REF!</definedName>
    <definedName name="ExactAddinConnection">"034"</definedName>
    <definedName name="ExactAddinConnection.001">"slontcount;001;bparmar;0"</definedName>
    <definedName name="ExactAddinConnection.003">"srv3;003;basilio;0"</definedName>
    <definedName name="ExactAddinConnection.004">"srv3;004;basilio;0"</definedName>
    <definedName name="ExactAddinConnection.005">"srv3;005;basilio;0"</definedName>
    <definedName name="ExactAddinConnection.034">"NOIVU;034;gl4;1"</definedName>
    <definedName name="ExactAddinConnection.100">"srv3;100;basilio;0"</definedName>
    <definedName name="ExactAddinConnection.905">"SLOEXACT;905;Administrator;1"</definedName>
    <definedName name="ExactAddinReports" hidden="1">1</definedName>
    <definedName name="example_irr">#REF!</definedName>
    <definedName name="example_variances">#REF!</definedName>
    <definedName name="EXC">#REF!</definedName>
    <definedName name="Excel_BuiltIn__FilterDatabase_10">#REF!</definedName>
    <definedName name="Excel_BuiltIn__FilterDatabase_11">#REF!</definedName>
    <definedName name="Excel_BuiltIn__FilterDatabase_12">#REF!</definedName>
    <definedName name="Excel_BuiltIn__FilterDatabase_13">#REF!</definedName>
    <definedName name="Excel_BuiltIn__FilterDatabase_2">#REF!</definedName>
    <definedName name="Excel_BuiltIn__FilterDatabase_2_1_1_1_1_1_1_1_1_1_1_1_1_1_1_1_1_1_1_1_1_1_1_1_1_1_1_1_1_1_1">#REF!</definedName>
    <definedName name="Excel_BuiltIn__FilterDatabase_3">#REF!</definedName>
    <definedName name="Excel_BuiltIn__FilterDatabase_4">#REF!</definedName>
    <definedName name="Excel_BuiltIn__FilterDatabase_5">#REF!</definedName>
    <definedName name="Excel_BuiltIn__FilterDatabase_7">#REF!</definedName>
    <definedName name="Excel_BuiltIn__FilterDatabase_8">#REF!</definedName>
    <definedName name="Excel_BuiltIn__FilterDatabase_9">#REF!</definedName>
    <definedName name="Excel_BuiltIn_Criteria">#REF!</definedName>
    <definedName name="Excel_BuiltIn_Database">#REF!</definedName>
    <definedName name="Excel_BuiltIn_Database_12">#REF!</definedName>
    <definedName name="Excel_BuiltIn_Print_Area">#REF!</definedName>
    <definedName name="Excel_BuiltIn_Print_Area_0">#REF!</definedName>
    <definedName name="Excel_BuiltIn_Print_Area_0___0">#REF!</definedName>
    <definedName name="Excel_BuiltIn_Print_Area_1">#REF!</definedName>
    <definedName name="Excel_BuiltIn_Print_Area_1_1">#REF!</definedName>
    <definedName name="Excel_BuiltIn_Print_Area_1_1_1">#REF!</definedName>
    <definedName name="Excel_BuiltIn_Print_Area_10">#REF!</definedName>
    <definedName name="Excel_BuiltIn_Print_Area_10_1">#REF!</definedName>
    <definedName name="Excel_BuiltIn_Print_Area_11_1">#REF!</definedName>
    <definedName name="Excel_BuiltIn_Print_Area_12">#REF!</definedName>
    <definedName name="Excel_BuiltIn_Print_Area_12_1">#REF!</definedName>
    <definedName name="Excel_BuiltIn_Print_Area_13">#REF!</definedName>
    <definedName name="Excel_BuiltIn_Print_Area_13_1">#REF!</definedName>
    <definedName name="Excel_BuiltIn_Print_Area_15">#REF!</definedName>
    <definedName name="Excel_BuiltIn_Print_Area_15_1">#REF!</definedName>
    <definedName name="Excel_BuiltIn_Print_Area_15_1_1">#REF!</definedName>
    <definedName name="Excel_BuiltIn_Print_Area_17_1">#REF!</definedName>
    <definedName name="Excel_BuiltIn_Print_Area_2">#REF!</definedName>
    <definedName name="Excel_BuiltIn_Print_Area_2___0">#REF!</definedName>
    <definedName name="Excel_BuiltIn_Print_Area_2_1">#REF!</definedName>
    <definedName name="Excel_BuiltIn_Print_Area_2_1_1">#REF!</definedName>
    <definedName name="Excel_BuiltIn_Print_Area_4">#REF!</definedName>
    <definedName name="Excel_BuiltIn_Print_Area_4___0">#REF!</definedName>
    <definedName name="Excel_BuiltIn_Print_Area_4_1">#REF!</definedName>
    <definedName name="Excel_BuiltIn_Print_Area_4_1_1">#REF!</definedName>
    <definedName name="Excel_BuiltIn_Print_Area_4_1_1_1">#REF!</definedName>
    <definedName name="Excel_BuiltIn_Print_Area_6">#REF!</definedName>
    <definedName name="Excel_BuiltIn_Print_Area_7">#REF!</definedName>
    <definedName name="Excel_BuiltIn_Print_Area_9_1">#REF!</definedName>
    <definedName name="Excel_BuiltIn_Print_Titles_1">#REF!</definedName>
    <definedName name="Excel_BuiltIn_Print_Titles_1_1">#REF!</definedName>
    <definedName name="Excel_BuiltIn_Print_Titles_1_1_1">#REF!,#REF!</definedName>
    <definedName name="Excel_BuiltIn_Print_Titles_2">#REF!</definedName>
    <definedName name="ExcessCashrate">#REF!</definedName>
    <definedName name="exch">#REF!</definedName>
    <definedName name="Exchange">#REF!</definedName>
    <definedName name="EXCHANGE_1">{"'subnets'!$A$1:$F$20"}</definedName>
    <definedName name="EXCHANGE_2">{"'subnets'!$A$1:$F$20"}</definedName>
    <definedName name="EXCHANGE_3">{"'subnets'!$A$1:$F$20"}</definedName>
    <definedName name="EXCHANGE_4">{"'subnets'!$A$1:$F$20"}</definedName>
    <definedName name="EXCHANGE_5">{"'subnets'!$A$1:$F$20"}</definedName>
    <definedName name="Exchange_Rate">#REF!</definedName>
    <definedName name="ExchangeRatio">#REF!</definedName>
    <definedName name="ExchangeRt">#REF!</definedName>
    <definedName name="ExchRate">#REF!</definedName>
    <definedName name="ExchrateSG">#REF!</definedName>
    <definedName name="EXEC1">#REF!</definedName>
    <definedName name="EXEC2">#REF!</definedName>
    <definedName name="ExecLegalPR2">#REF!</definedName>
    <definedName name="executives">#REF!</definedName>
    <definedName name="exhibit">#REF!</definedName>
    <definedName name="existing2">#REF!</definedName>
    <definedName name="existing3">#REF!</definedName>
    <definedName name="existing4">#REF!</definedName>
    <definedName name="existing5">#REF!</definedName>
    <definedName name="exp">#REF!</definedName>
    <definedName name="EXP_COS">#N/A</definedName>
    <definedName name="Exp_direct">#REF!</definedName>
    <definedName name="Exp_indirect">#REF!</definedName>
    <definedName name="Exp_Other">#REF!</definedName>
    <definedName name="EXP_SALE">#N/A</definedName>
    <definedName name="ExpA">#REF!</definedName>
    <definedName name="expcomp">"Option Button 21"</definedName>
    <definedName name="Expected">"4-Expected"</definedName>
    <definedName name="Expected_balance">#REF!</definedName>
    <definedName name="Expected_balance_1">#REF!</definedName>
    <definedName name="Expenditure">#REF!</definedName>
    <definedName name="EXPENSE">#REF!</definedName>
    <definedName name="Expense2">#REF!</definedName>
    <definedName name="Expenses">#REF!</definedName>
    <definedName name="ExpenseUpload">#REF!</definedName>
    <definedName name="Expert_Services">#REF!</definedName>
    <definedName name="expinet">"Option Button 20"</definedName>
    <definedName name="Expired">FALSE</definedName>
    <definedName name="ExpJ">#REF!</definedName>
    <definedName name="Export">#REF!</definedName>
    <definedName name="Exports">#REF!</definedName>
    <definedName name="ExpR">#REF!</definedName>
    <definedName name="EXPSALE">#N/A</definedName>
    <definedName name="exptenant">"exptenant"</definedName>
    <definedName name="EXPWISE_SUMMARY">#REF!</definedName>
    <definedName name="exr">1.1</definedName>
    <definedName name="exrate1">100</definedName>
    <definedName name="ExrateBt">#REF!</definedName>
    <definedName name="ExrateInd">#REF!</definedName>
    <definedName name="ExrateSing">#REF!</definedName>
    <definedName name="ExrateUS">#REF!</definedName>
    <definedName name="Ext._Exposure_Gains_and_Losses">#REF!</definedName>
    <definedName name="EXT.MN">#REF!</definedName>
    <definedName name="ExtendArea1">#REF!</definedName>
    <definedName name="Extended">#REF!</definedName>
    <definedName name="Extra_Pay">#REF!</definedName>
    <definedName name="_xlnm.Extract">#REF!</definedName>
    <definedName name="Extract_MI">#REF!</definedName>
    <definedName name="extractby">#REF!</definedName>
    <definedName name="extraoper.inc.exp.">#REF!</definedName>
    <definedName name="extraoperexp.">#REF!</definedName>
    <definedName name="extraoperinc.">#REF!</definedName>
    <definedName name="EY">{"'Feb 99'!$A$1:$G$30"}</definedName>
    <definedName name="EY_03">#REF!</definedName>
    <definedName name="eymy">{"'Feb 99'!$A$1:$G$30"}</definedName>
    <definedName name="eynetn">#REF!</definedName>
    <definedName name="eynetn_1">#REF!</definedName>
    <definedName name="EZGP">1</definedName>
    <definedName name="E매출">#REF!</definedName>
    <definedName name="E이자">#REF!</definedName>
    <definedName name="e인원">#REF!</definedName>
    <definedName name="f" hidden="1">{#N/A,#N/A,TRUE,"3Q BCG";#N/A,#N/A,TRUE,"3Q w|o Wireless";#N/A,#N/A,TRUE,"3Q Wireless"}</definedName>
    <definedName name="f.asset">#REF!</definedName>
    <definedName name="f_1">#REF!</definedName>
    <definedName name="F_123">#REF!</definedName>
    <definedName name="f_2">#REF!</definedName>
    <definedName name="f_3">#REF!</definedName>
    <definedName name="f_4">#REF!</definedName>
    <definedName name="f_5">#REF!</definedName>
    <definedName name="F9HorizontalAxis">#REF!</definedName>
    <definedName name="F9ModelCompany">#REF!</definedName>
    <definedName name="F9OtherAxes">#REF!</definedName>
    <definedName name="F9ReportBody">#REF!</definedName>
    <definedName name="F9ReportTitle">#REF!</definedName>
    <definedName name="F9VerticalAxis">#REF!</definedName>
    <definedName name="fa" hidden="1">{#N/A,#N/A,FALSE,"Aging Summary";#N/A,#N/A,FALSE,"Ratio Analysis";#N/A,#N/A,FALSE,"Test 120 Day Accts";#N/A,#N/A,FALSE,"Tickmarks"}</definedName>
    <definedName name="FA_Average">#REF!</definedName>
    <definedName name="FA_Premium">#REF!</definedName>
    <definedName name="FA_Return">#REF!</definedName>
    <definedName name="FA_서울">#REF!</definedName>
    <definedName name="FAB">#N/A</definedName>
    <definedName name="Fac">#REF!</definedName>
    <definedName name="Facilities">1700</definedName>
    <definedName name="Factor">#REF!</definedName>
    <definedName name="FACTORY_OTHER">#REF!</definedName>
    <definedName name="fadre">#REF!</definedName>
    <definedName name="fafa">#REF!</definedName>
    <definedName name="fafa_1">#REF!</definedName>
    <definedName name="fafa_2">#REF!</definedName>
    <definedName name="fafa_3">#REF!</definedName>
    <definedName name="fafa_4">#REF!</definedName>
    <definedName name="fafdsfa">#REF!</definedName>
    <definedName name="fafdsfa_1">#REF!</definedName>
    <definedName name="fafdsfa_2">#REF!</definedName>
    <definedName name="fafdsfa_3">#REF!</definedName>
    <definedName name="fafdsfa_4">#REF!</definedName>
    <definedName name="fafs">#REF!</definedName>
    <definedName name="FAREG0405">#REF!</definedName>
    <definedName name="fas">#REF!</definedName>
    <definedName name="fas_1">#REF!</definedName>
    <definedName name="fas_2">#REF!</definedName>
    <definedName name="fas_3">#REF!</definedName>
    <definedName name="fas_4">#REF!</definedName>
    <definedName name="FAS115A">#REF!</definedName>
    <definedName name="FAS133A">#REF!</definedName>
    <definedName name="fasdas">#REF!</definedName>
    <definedName name="fasdas_1">#REF!</definedName>
    <definedName name="fasdas_2">#REF!</definedName>
    <definedName name="fasdas_3">#REF!</definedName>
    <definedName name="fasdas_4">#REF!</definedName>
    <definedName name="fasdasd">#REF!</definedName>
    <definedName name="fasdasd_1">#REF!</definedName>
    <definedName name="fasdasd_2">#REF!</definedName>
    <definedName name="fasdasd_3">#REF!</definedName>
    <definedName name="fasdasd_4">#REF!</definedName>
    <definedName name="fasdasdf">#REF!</definedName>
    <definedName name="fasdasdf_1">#REF!</definedName>
    <definedName name="fasdasdf_2">#REF!</definedName>
    <definedName name="fasdasdf_3">#REF!</definedName>
    <definedName name="fasdasdf_4">#REF!</definedName>
    <definedName name="fasdasdsdaf">#REF!</definedName>
    <definedName name="fasdasdsdaf_1">#REF!</definedName>
    <definedName name="fasdasdsdaf_2">#REF!</definedName>
    <definedName name="fasdasdsdaf_3">#REF!</definedName>
    <definedName name="fasdasdsdaf_4">#REF!</definedName>
    <definedName name="fasddasfd">#REF!</definedName>
    <definedName name="fasddasfd_1">#REF!</definedName>
    <definedName name="fasddasfd_2">#REF!</definedName>
    <definedName name="fasddasfd_3">#REF!</definedName>
    <definedName name="fasddasfd_4">#REF!</definedName>
    <definedName name="fasdf">#REF!</definedName>
    <definedName name="fasdf_1">#REF!</definedName>
    <definedName name="fasdf_2">#REF!</definedName>
    <definedName name="fasdf_3">#REF!</definedName>
    <definedName name="fasdf_4">#REF!</definedName>
    <definedName name="fasdfadf" hidden="1">{#N/A,#N/A,FALSE,"Aging Summary";#N/A,#N/A,FALSE,"Ratio Analysis";#N/A,#N/A,FALSE,"Test 120 Day Accts";#N/A,#N/A,FALSE,"Tickmarks"}</definedName>
    <definedName name="fasdfadf_3">#REF!</definedName>
    <definedName name="fasdfasd">#REF!</definedName>
    <definedName name="fasdfasd_1">#REF!</definedName>
    <definedName name="fasdfasd_2">#REF!</definedName>
    <definedName name="fasdfasd_3">#REF!</definedName>
    <definedName name="fasdfasd_4">#REF!</definedName>
    <definedName name="fasdfasdasdfasdf">#REF!</definedName>
    <definedName name="fasdfasdasdfasdf_1">#REF!</definedName>
    <definedName name="fasdfasdasdfasdf_2">#REF!</definedName>
    <definedName name="fasdfasdasdfasdf_3">#REF!</definedName>
    <definedName name="fasdfasdasdfasdf_4">#REF!</definedName>
    <definedName name="fasdfasdd">#REF!</definedName>
    <definedName name="fasdfasdd_1">#REF!</definedName>
    <definedName name="fasdfasdd_2">#REF!</definedName>
    <definedName name="fasdfasdd_3">#REF!</definedName>
    <definedName name="fasdfasdd_4">#REF!</definedName>
    <definedName name="fasdfasdfa">#REF!</definedName>
    <definedName name="fasdfasdfa_1">#REF!</definedName>
    <definedName name="fasdfasdfa_2">#REF!</definedName>
    <definedName name="fasdfasdfa_3">#REF!</definedName>
    <definedName name="fasdfasdfa_4">#REF!</definedName>
    <definedName name="fasdfsda">#REF!</definedName>
    <definedName name="fasdfsda_1">#REF!</definedName>
    <definedName name="fasdfsda_2">#REF!</definedName>
    <definedName name="fasdfsda_3">#REF!</definedName>
    <definedName name="fasdfsda_4">#REF!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dsdf">#REF!</definedName>
    <definedName name="fasdsdf_1">#REF!</definedName>
    <definedName name="fasdsdf_2">#REF!</definedName>
    <definedName name="fasdsdf_3">#REF!</definedName>
    <definedName name="fasdsdf_4">#REF!</definedName>
    <definedName name="fasfasd">#REF!</definedName>
    <definedName name="fasfasd_1">#REF!</definedName>
    <definedName name="fasfasd_2">#REF!</definedName>
    <definedName name="fasfasd_3">#REF!</definedName>
    <definedName name="fasfasd_4">#REF!</definedName>
    <definedName name="fasfdsaf">#REF!</definedName>
    <definedName name="fasfin">#REF!</definedName>
    <definedName name="fawe">#REF!</definedName>
    <definedName name="fawe_1">#REF!</definedName>
    <definedName name="fawe_2">#REF!</definedName>
    <definedName name="fawe_3">#REF!</definedName>
    <definedName name="fawe_4">#REF!</definedName>
    <definedName name="Fax">#REF!</definedName>
    <definedName name="faxs">#REF!</definedName>
    <definedName name="FBBusOfAircraft.AmtOrValueOfExpenditure">#REF!</definedName>
    <definedName name="FBBusOfAircraft.AmtOrValueOfExpenditure_10">#REF!</definedName>
    <definedName name="FBBusOfAircraft.AmtOrValueOfExpenditure_9">#REF!</definedName>
    <definedName name="FBBusOfAircraft.ValueOfFB">#REF!</definedName>
    <definedName name="FBBusOfAircraft.ValueOfFB_10">#REF!</definedName>
    <definedName name="FBBusOfAircraft.ValueOfFB_9">#REF!</definedName>
    <definedName name="FBBusOfHotel.AmtOrValueOfExpenditure">#REF!</definedName>
    <definedName name="FBBusOfHotel.AmtOrValueOfExpenditure_10">#REF!</definedName>
    <definedName name="FBBusOfHotel.AmtOrValueOfExpenditure_9">#REF!</definedName>
    <definedName name="FBBusOfHotel.ValueOfFB">#REF!</definedName>
    <definedName name="FBBusOfHotel.ValueOfFB_10">#REF!</definedName>
    <definedName name="FBBusOfHotel.ValueOfFB_9">#REF!</definedName>
    <definedName name="FBBusOfShip.AmtOrValueOfExpenditure">#REF!</definedName>
    <definedName name="FBBusOfShip.AmtOrValueOfExpenditure_10">#REF!</definedName>
    <definedName name="FBBusOfShip.AmtOrValueOfExpenditure_9">#REF!</definedName>
    <definedName name="FBBusOfShip.ValueOfFB">#REF!</definedName>
    <definedName name="FBBusOfShip.ValueOfFB_10">#REF!</definedName>
    <definedName name="FBBusOfShip.ValueOfFB_9">#REF!</definedName>
    <definedName name="FBBusOthThan4bcd.AmtOrValueOfExpenditure">#REF!</definedName>
    <definedName name="FBBusOthThan4bcd.AmtOrValueOfExpenditure_10">#REF!</definedName>
    <definedName name="FBBusOthThan4bcd.AmtOrValueOfExpenditure_9">#REF!</definedName>
    <definedName name="FBBusOthThan4bcd.ValueOfFB">#REF!</definedName>
    <definedName name="FBBusOthThan4bcd.ValueOfFB_10">#REF!</definedName>
    <definedName name="FBBusOthThan4bcd.ValueOfFB_9">#REF!</definedName>
    <definedName name="FBCnvyBus.AmtOrValueOfExpenditure">#REF!</definedName>
    <definedName name="FBCnvyBus.AmtOrValueOfExpenditure_10">#REF!</definedName>
    <definedName name="FBCnvyBus.AmtOrValueOfExpenditure_9">#REF!</definedName>
    <definedName name="FBCnvyBus.ValueOfFB">#REF!</definedName>
    <definedName name="FBCnvyBus.ValueOfFB_10">#REF!</definedName>
    <definedName name="FBCnvyBus.ValueOfFB_9">#REF!</definedName>
    <definedName name="FBCnvyConst.AmtOrValueOfExpenditure">#REF!</definedName>
    <definedName name="FBCnvyConst.AmtOrValueOfExpenditure_10">#REF!</definedName>
    <definedName name="FBCnvyConst.AmtOrValueOfExpenditure_9">#REF!</definedName>
    <definedName name="FBCnvyConst.ValueOfFB">#REF!</definedName>
    <definedName name="FBCnvyConst.ValueOfFB_10">#REF!</definedName>
    <definedName name="FBCnvyConst.ValueOfFB_9">#REF!</definedName>
    <definedName name="FBCnvyManPhrama.AmtOrValueOfExpenditure">#REF!</definedName>
    <definedName name="FBCnvyManPhrama.AmtOrValueOfExpenditure_10">#REF!</definedName>
    <definedName name="FBCnvyManPhrama.AmtOrValueOfExpenditure_9">#REF!</definedName>
    <definedName name="FBCnvyManPhrama.ValueOfFB">#REF!</definedName>
    <definedName name="FBCnvyManPhrama.ValueOfFB_10">#REF!</definedName>
    <definedName name="FBCnvyManPhrama.ValueOfFB_9">#REF!</definedName>
    <definedName name="FBCnvyMANProd.AmtOrValueOfExpenditure">#REF!</definedName>
    <definedName name="FBCnvyMANProd.AmtOrValueOfExpenditure_10">#REF!</definedName>
    <definedName name="FBCnvyMANProd.AmtOrValueOfExpenditure_9">#REF!</definedName>
    <definedName name="FBCnvyMANProd.ValueOfFB">#REF!</definedName>
    <definedName name="FBCnvyMANProd.ValueOfFB_10">#REF!</definedName>
    <definedName name="FBCnvyMANProd.ValueOfFB_9">#REF!</definedName>
    <definedName name="FBConf.AmtOrValueOfExpenditure">#REF!</definedName>
    <definedName name="FBConf.AmtOrValueOfExpenditure_10">#REF!</definedName>
    <definedName name="FBConf.AmtOrValueOfExpenditure_9">#REF!</definedName>
    <definedName name="FBConf.ValueOfFB">#REF!</definedName>
    <definedName name="FBConf.ValueOfFB_10">#REF!</definedName>
    <definedName name="FBConf.ValueOfFB_9">#REF!</definedName>
    <definedName name="FBEmplSper.AmtOrValueOfExpenditure">#REF!</definedName>
    <definedName name="FBEmplSper.AmtOrValueOfExpenditure_10">#REF!</definedName>
    <definedName name="FBEmplSper.AmtOrValueOfExpenditure_9">#REF!</definedName>
    <definedName name="FBEmplSper.ValueOfFB">#REF!</definedName>
    <definedName name="FBEmplSper.ValueOfFB_10">#REF!</definedName>
    <definedName name="FBEmplSper.ValueOfFB_9">#REF!</definedName>
    <definedName name="FBEMPWel.AmtOrValueOfExpenditure">#REF!</definedName>
    <definedName name="FBEMPWel.AmtOrValueOfExpenditure_10">#REF!</definedName>
    <definedName name="FBEMPWel.AmtOrValueOfExpenditure_9">#REF!</definedName>
    <definedName name="FBEMPWel.ValueOfFB">#REF!</definedName>
    <definedName name="FBEMPWel.ValueOfFB_10">#REF!</definedName>
    <definedName name="FBEMPWel.ValueOfFB_9">#REF!</definedName>
    <definedName name="FBEnter.AmtOrValueOfExpenditure">#REF!</definedName>
    <definedName name="FBEnter.AmtOrValueOfExpenditure_10">#REF!</definedName>
    <definedName name="FBEnter.AmtOrValueOfExpenditure_9">#REF!</definedName>
    <definedName name="FBEnter.ValueOfFB">#REF!</definedName>
    <definedName name="FBEnter.ValueOfFB_10">#REF!</definedName>
    <definedName name="FBEnter.ValueOfFB_9">#REF!</definedName>
    <definedName name="FBFesti.AmtOrValueOfExpenditure">#REF!</definedName>
    <definedName name="FBFesti.AmtOrValueOfExpenditure_10">#REF!</definedName>
    <definedName name="FBFesti.AmtOrValueOfExpenditure_9">#REF!</definedName>
    <definedName name="FBFesti.ValueOfFB">#REF!</definedName>
    <definedName name="FBFesti.ValueOfFB_10">#REF!</definedName>
    <definedName name="FBFesti.ValueOfFB_9">#REF!</definedName>
    <definedName name="FBFree.AmtOrValueOfExpenditure">#REF!</definedName>
    <definedName name="FBFree.AmtOrValueOfExpenditure_10">#REF!</definedName>
    <definedName name="FBFree.AmtOrValueOfExpenditure_9">#REF!</definedName>
    <definedName name="FBFree.ValueOfFB">#REF!</definedName>
    <definedName name="FBFree.ValueOfFB_10">#REF!</definedName>
    <definedName name="FBFree.ValueOfFB_9">#REF!</definedName>
    <definedName name="FBGift.AmtOrValueOfExpenditure">#REF!</definedName>
    <definedName name="FBGift.AmtOrValueOfExpenditure_10">#REF!</definedName>
    <definedName name="FBGift.AmtOrValueOfExpenditure_9">#REF!</definedName>
    <definedName name="FBGift.ValueOfFB">#REF!</definedName>
    <definedName name="FBGift.ValueOfFB_10">#REF!</definedName>
    <definedName name="FBGift.ValueOfFB_9">#REF!</definedName>
    <definedName name="FBHealth.AmtOrValueOfExpenditure">#REF!</definedName>
    <definedName name="FBHealth.AmtOrValueOfExpenditure_10">#REF!</definedName>
    <definedName name="FBHealth.AmtOrValueOfExpenditure_9">#REF!</definedName>
    <definedName name="FBHealth.ValueOfFB">#REF!</definedName>
    <definedName name="FBHealth.ValueOfFB_10">#REF!</definedName>
    <definedName name="FBHealth.ValueOfFB_9">#REF!</definedName>
    <definedName name="FBHotelBRdAir.AmtOrValueOfExpenditure">#REF!</definedName>
    <definedName name="FBHotelBRdAir.AmtOrValueOfExpenditure_10">#REF!</definedName>
    <definedName name="FBHotelBRdAir.AmtOrValueOfExpenditure_9">#REF!</definedName>
    <definedName name="FBHotelBRdAir.ValueOfFB">#REF!</definedName>
    <definedName name="FBHotelBRdAir.ValueOfFB_10">#REF!</definedName>
    <definedName name="FBHotelBRdAir.ValueOfFB_9">#REF!</definedName>
    <definedName name="FBHotelBRdBus.AmtOrValueOfExpenditure">#REF!</definedName>
    <definedName name="FBHotelBRdBus.AmtOrValueOfExpenditure_10">#REF!</definedName>
    <definedName name="FBHotelBRdBus.AmtOrValueOfExpenditure_9">#REF!</definedName>
    <definedName name="FBHotelBRdBus.ValueOfFB">#REF!</definedName>
    <definedName name="FBHotelBRdBus.ValueOfFB_10">#REF!</definedName>
    <definedName name="FBHotelBRdBus.ValueOfFB_9">#REF!</definedName>
    <definedName name="FBHotelBRdMANPhrama.AmtOrValueOfExpenditure">#REF!</definedName>
    <definedName name="FBHotelBRdMANPhrama.AmtOrValueOfExpenditure_10">#REF!</definedName>
    <definedName name="FBHotelBRdMANPhrama.AmtOrValueOfExpenditure_9">#REF!</definedName>
    <definedName name="FBHotelBRdMANPhrama.ValueOfFB">#REF!</definedName>
    <definedName name="FBHotelBRdMANPhrama.ValueOfFB_10">#REF!</definedName>
    <definedName name="FBHotelBRdMANPhrama.ValueOfFB_9">#REF!</definedName>
    <definedName name="FBHotelBRdMANProd.AmtOrValueOfExpenditure">#REF!</definedName>
    <definedName name="FBHotelBRdMANProd.AmtOrValueOfExpenditure_10">#REF!</definedName>
    <definedName name="FBHotelBRdMANProd.AmtOrValueOfExpenditure_9">#REF!</definedName>
    <definedName name="FBHotelBRdMANProd.ValueOfFB">#REF!</definedName>
    <definedName name="FBHotelBRdMANProd.ValueOfFB_10">#REF!</definedName>
    <definedName name="FBHotelBRdMANProd.ValueOfFB_9">#REF!</definedName>
    <definedName name="FBHotelBRdShip.AmtOrValueOfExpenditure">#REF!</definedName>
    <definedName name="FBHotelBRdShip.AmtOrValueOfExpenditure_10">#REF!</definedName>
    <definedName name="FBHotelBRdShip.AmtOrValueOfExpenditure_9">#REF!</definedName>
    <definedName name="FBHotelBRdShip.ValueOfFB">#REF!</definedName>
    <definedName name="FBHotelBRdShip.ValueOfFB_10">#REF!</definedName>
    <definedName name="FBHotelBRdShip.ValueOfFB_9">#REF!</definedName>
    <definedName name="FBI.EmployeesInOutIndiaFlg">#REF!</definedName>
    <definedName name="FBI.EmployeesInOutIndiaFlg_10">#REF!</definedName>
    <definedName name="FBI.EmployeesInOutIndiaFlg_9">#REF!</definedName>
    <definedName name="FBI.NoOfIndianEmps">#REF!</definedName>
    <definedName name="FBI.NoOfIndianEmps_10">#REF!</definedName>
    <definedName name="FBI.NoOfIndianEmps_9">#REF!</definedName>
    <definedName name="FBI.NoOfOutsideIndiaEmps">#REF!</definedName>
    <definedName name="FBI.NoOfOutsideIndiaEmps_10">#REF!</definedName>
    <definedName name="FBI.NoOfOutsideIndiaEmps_9">#REF!</definedName>
    <definedName name="FBI.SeparateAcntMaintainForIndiaForeignFlg">#REF!</definedName>
    <definedName name="FBI.SeparateAcntMaintainForIndiaForeignFlg_10">#REF!</definedName>
    <definedName name="FBI.SeparateAcntMaintainForIndiaForeignFlg_9">#REF!</definedName>
    <definedName name="FBI.TotNoOfEmps">#REF!</definedName>
    <definedName name="FBI.TotNoOfEmps_10">#REF!</definedName>
    <definedName name="FBI.TotNoOfEmps_9">#REF!</definedName>
    <definedName name="FBMainAcc.AmtOrValueOfExpenditure">#REF!</definedName>
    <definedName name="FBMainAcc.AmtOrValueOfExpenditure_10">#REF!</definedName>
    <definedName name="FBMainAcc.AmtOrValueOfExpenditure_9">#REF!</definedName>
    <definedName name="FBMainAcc.ValueOfFB">#REF!</definedName>
    <definedName name="FBMainAcc.ValueOfFB_10">#REF!</definedName>
    <definedName name="FBMainAcc.ValueOfFB_9">#REF!</definedName>
    <definedName name="FBMainAir.AmtOrValueOfExpenditure">#REF!</definedName>
    <definedName name="FBMainAir.AmtOrValueOfExpenditure_10">#REF!</definedName>
    <definedName name="FBMainAir.AmtOrValueOfExpenditure_9">#REF!</definedName>
    <definedName name="FBMainAir.ValueOfFB">#REF!</definedName>
    <definedName name="FBMainAir.ValueOfFB_10">#REF!</definedName>
    <definedName name="FBMainAir.ValueOfFB_9">#REF!</definedName>
    <definedName name="FBOthr.AmtOrValueOfExpenditure">#REF!</definedName>
    <definedName name="FBOthr.AmtOrValueOfExpenditure_10">#REF!</definedName>
    <definedName name="FBOthr.AmtOrValueOfExpenditure_9">#REF!</definedName>
    <definedName name="FBOthr.ValueOfFB">#REF!</definedName>
    <definedName name="FBOthr.ValueOfFB_10">#REF!</definedName>
    <definedName name="FBOthr.ValueOfFB_9">#REF!</definedName>
    <definedName name="FBReprDep.AmtOrValueOfExpenditure">#REF!</definedName>
    <definedName name="FBReprDep.AmtOrValueOfExpenditure_10">#REF!</definedName>
    <definedName name="FBReprDep.AmtOrValueOfExpenditure_9">#REF!</definedName>
    <definedName name="FBReprDep.ValueOfFB">#REF!</definedName>
    <definedName name="FBReprDep.ValueOfFB_10">#REF!</definedName>
    <definedName name="FBReprDep.ValueOfFB_9">#REF!</definedName>
    <definedName name="FBReprDEPCry.AmtOrValueOfExpenditure">#REF!</definedName>
    <definedName name="FBReprDEPCry.AmtOrValueOfExpenditure_10">#REF!</definedName>
    <definedName name="FBReprDEPCry.AmtOrValueOfExpenditure_9">#REF!</definedName>
    <definedName name="FBReprDEPCry.ValueOfFB">#REF!</definedName>
    <definedName name="FBReprDEPCry.ValueOfFB_10">#REF!</definedName>
    <definedName name="FBReprDEPCry.ValueOfFB_9">#REF!</definedName>
    <definedName name="FBSales.AmtOrValueOfExpenditure">#REF!</definedName>
    <definedName name="FBSales.AmtOrValueOfExpenditure_10">#REF!</definedName>
    <definedName name="FBSales.AmtOrValueOfExpenditure_9">#REF!</definedName>
    <definedName name="FBSales.ValueOfFB">#REF!</definedName>
    <definedName name="FBSales.ValueOfFB_10">#REF!</definedName>
    <definedName name="FBSales.ValueOfFB_9">#REF!</definedName>
    <definedName name="FBSchlr.AmtOrValueOfExpenditure">#REF!</definedName>
    <definedName name="FBSchlr.AmtOrValueOfExpenditure_10">#REF!</definedName>
    <definedName name="FBSchlr.AmtOrValueOfExpenditure_9">#REF!</definedName>
    <definedName name="FBSchlr.ValueOfFB">#REF!</definedName>
    <definedName name="FBSchlr.ValueOfFB_10">#REF!</definedName>
    <definedName name="FBSchlr.ValueOfFB_9">#REF!</definedName>
    <definedName name="fbt">#REF!</definedName>
    <definedName name="FBTele.AmtOrValueOfExpenditure">#REF!</definedName>
    <definedName name="FBTele.AmtOrValueOfExpenditure_10">#REF!</definedName>
    <definedName name="FBTele.AmtOrValueOfExpenditure_9">#REF!</definedName>
    <definedName name="FBTele.ValueOfFB">#REF!</definedName>
    <definedName name="FBTele.ValueOfFB_10">#REF!</definedName>
    <definedName name="FBTele.ValueOfFB_9">#REF!</definedName>
    <definedName name="FBTot.TotValueOfFB">#REF!</definedName>
    <definedName name="FBTot.TotValueOfFB_10">#REF!</definedName>
    <definedName name="FBTot.TotValueOfFB_9">#REF!</definedName>
    <definedName name="FBTour.AmtOrValueOfExpenditure">#REF!</definedName>
    <definedName name="FBTour.AmtOrValueOfExpenditure_10">#REF!</definedName>
    <definedName name="FBTour.AmtOrValueOfExpenditure_9">#REF!</definedName>
    <definedName name="FBTour.ValueOfFB">#REF!</definedName>
    <definedName name="FBTour.ValueOfFB_10">#REF!</definedName>
    <definedName name="FBTour.ValueOfFB_9">#REF!</definedName>
    <definedName name="FBValBIF1.ValueOfFBIf1OfSchFBIisNo">#REF!</definedName>
    <definedName name="FBValBIF1.ValueOfFBIf1OfSchFBIisNo_10">#REF!</definedName>
    <definedName name="FBValBIF1.ValueOfFBIf1OfSchFBIisNo_9">#REF!</definedName>
    <definedName name="FBValBIF2N.ValueOfFBIf2OfSchFBIisNo">#REF!</definedName>
    <definedName name="FBValBIF2N.ValueOfFBIf2OfSchFBIisNo_10">#REF!</definedName>
    <definedName name="FBValBIF2N.ValueOfFBIf2OfSchFBIisNo_9">#REF!</definedName>
    <definedName name="FBValBIF2Y.ValueOfFBIf2OfSchFBIisYes">#REF!</definedName>
    <definedName name="FBValBIF2Y.ValueOfFBIf2OfSchFBIisYes_10">#REF!</definedName>
    <definedName name="FBValBIF2Y.ValueOfFBIf2OfSchFBIisYes_9">#REF!</definedName>
    <definedName name="FBValFrgBen.ValueOfFringeBenefit">#REF!</definedName>
    <definedName name="FBValFrgBen.ValueOfFringeBenefit_10">#REF!</definedName>
    <definedName name="FBValFrgBen.ValueOfFringeBenefit_9">#REF!</definedName>
    <definedName name="FC">#REF!</definedName>
    <definedName name="FCAST_months">#REF!</definedName>
    <definedName name="fcf_unlev_terminal1">#REF!</definedName>
    <definedName name="fcf_unlev_terminal2">#REF!</definedName>
    <definedName name="fcf_unlev_terminal3">#REF!</definedName>
    <definedName name="fcf_unlev_terminal4">#REF!</definedName>
    <definedName name="fcf_unlev_terminal5">#REF!</definedName>
    <definedName name="fcf_unlev10">#REF!</definedName>
    <definedName name="fcf_unlev5">#REF!</definedName>
    <definedName name="fchynd" hidden="1">{#N/A,#N/A,FALSE,"Aging Summary";#N/A,#N/A,FALSE,"Ratio Analysis";#N/A,#N/A,FALSE,"Test 120 Day Accts";#N/A,#N/A,FALSE,"Tickmarks"}</definedName>
    <definedName name="fchynd_3">#REF!</definedName>
    <definedName name="FCode">#REF!</definedName>
    <definedName name="Fcst">#REF!</definedName>
    <definedName name="Fcst_to_Plan">"table"</definedName>
    <definedName name="FD">#REF!</definedName>
    <definedName name="fdafa">{"'1-TheatreBkgs'!$A$1:$L$102"}</definedName>
    <definedName name="fdafdsa">#REF!</definedName>
    <definedName name="fdas">#REF!</definedName>
    <definedName name="fdas_1">#REF!</definedName>
    <definedName name="fdas_2">#REF!</definedName>
    <definedName name="fdas_3">#REF!</definedName>
    <definedName name="fdas_4">#REF!</definedName>
    <definedName name="fdasasdf">#REF!</definedName>
    <definedName name="fdasasdf_1">#REF!</definedName>
    <definedName name="fdasasdf_2">#REF!</definedName>
    <definedName name="fdasasdf_3">#REF!</definedName>
    <definedName name="fdasasdf_4">#REF!</definedName>
    <definedName name="fdasfsa">#REF!</definedName>
    <definedName name="fdasfsa_1">#REF!</definedName>
    <definedName name="fdasfsa_2">#REF!</definedName>
    <definedName name="fdasfsa_3">#REF!</definedName>
    <definedName name="fdasfsa_4">#REF!</definedName>
    <definedName name="fdd" hidden="1">{#N/A,#N/A,FALSE,"Aging Summary";#N/A,#N/A,FALSE,"Ratio Analysis";#N/A,#N/A,FALSE,"Test 120 Day Accts";#N/A,#N/A,FALSE,"Tickmarks"}</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2_0">"U25569"</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1">"A34699"</definedName>
    <definedName name="FDD_58_12">"A35064"</definedName>
    <definedName name="FDD_58_13">"A35430"</definedName>
    <definedName name="FDD_58_14">"A35795"</definedName>
    <definedName name="FDD_58_2">"A31412"</definedName>
    <definedName name="FDD_58_3">"A31777"</definedName>
    <definedName name="FDD_58_4">"A32142"</definedName>
    <definedName name="FDD_58_5">"A32508"</definedName>
    <definedName name="FDD_58_6">"A32873"</definedName>
    <definedName name="FDD_58_7">"A33238"</definedName>
    <definedName name="FDD_58_8">"A33603"</definedName>
    <definedName name="FDD_58_9">"A33969"</definedName>
    <definedName name="FDD_59_0">"A30681"</definedName>
    <definedName name="FDD_59_1">"A31047"</definedName>
    <definedName name="FDD_59_10">"A34334"</definedName>
    <definedName name="FDD_59_11">"A34699"</definedName>
    <definedName name="FDD_59_12">"A35064"</definedName>
    <definedName name="FDD_59_13">"A35430"</definedName>
    <definedName name="FDD_59_14">"A35795"</definedName>
    <definedName name="FDD_59_2">"A31412"</definedName>
    <definedName name="FDD_59_3">"A31777"</definedName>
    <definedName name="FDD_59_4">"A32142"</definedName>
    <definedName name="FDD_59_5">"A32508"</definedName>
    <definedName name="FDD_59_6">"A32873"</definedName>
    <definedName name="FDD_59_7">"A33238"</definedName>
    <definedName name="FDD_59_8">"A33603"</definedName>
    <definedName name="FDD_59_9">"A33969"</definedName>
    <definedName name="FDD_6_0">"A25569"</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ddfas">#REF!</definedName>
    <definedName name="fddfas_1">#REF!</definedName>
    <definedName name="fddfas_2">#REF!</definedName>
    <definedName name="fddfas_3">#REF!</definedName>
    <definedName name="fddfas_4">#REF!</definedName>
    <definedName name="fdf" hidden="1">{#N/A,#N/A,FALSE,"Income";#N/A,#N/A,FALSE,"Cost of Goods Sold";#N/A,#N/A,FALSE,"Other Costs";#N/A,#N/A,FALSE,"Other Income";#N/A,#N/A,FALSE,"Taxes";#N/A,#N/A,FALSE,"Other Deductions";#N/A,#N/A,FALSE,"Compensation of Officers"}</definedName>
    <definedName name="FDFD" hidden="1">{#N/A,#N/A,FALSE,"Pharm";#N/A,#N/A,FALSE,"WWCM"}</definedName>
    <definedName name="fdfdfd" hidden="1">{#N/A,#N/A,FALSE,"CAPREIT"}</definedName>
    <definedName name="fdfdfdf" hidden="1">{#N/A,#N/A,FALSE,"CAPREIT"}</definedName>
    <definedName name="fdfdslkfjjslfsdj">#REF!</definedName>
    <definedName name="fdgfdg">#REF!</definedName>
    <definedName name="fdgn">#REF!</definedName>
    <definedName name="fdgn_1">#REF!</definedName>
    <definedName name="fdgsd">#REF!</definedName>
    <definedName name="fdj" hidden="1">{#N/A,#N/A,FALSE,"Pharm";#N/A,#N/A,FALSE,"WWCM"}</definedName>
    <definedName name="FDP_1_1_aDrv">#REF!</definedName>
    <definedName name="FDP_10_1_aUrv">#REF!</definedName>
    <definedName name="FDP_12_1_aUrv">#REF!</definedName>
    <definedName name="FDP_13_1_aUrv">#REF!</definedName>
    <definedName name="FDP_2_1_aUrv">#REF!</definedName>
    <definedName name="FDP_20_1_aUrv">#REF!</definedName>
    <definedName name="FDP_21_1_aUrv">#REF!</definedName>
    <definedName name="FDP_24_1_aSrv">#REF!</definedName>
    <definedName name="FDP_25_1_aUrv">#REF!</definedName>
    <definedName name="FDP_26_1_aUrv">#REF!</definedName>
    <definedName name="FDP_274_1_aSrv">#REF!</definedName>
    <definedName name="FDP_275_1_aSrv">#REF!</definedName>
    <definedName name="FDP_276_1_aSrv">#REF!</definedName>
    <definedName name="FDP_277_1_aSrv">#REF!</definedName>
    <definedName name="FDP_278_1_aSrv">#REF!</definedName>
    <definedName name="FDP_279_1_aSrv">#REF!</definedName>
    <definedName name="FDP_28_1_aUrv">#REF!</definedName>
    <definedName name="FDP_285_1_aSrv">#REF!</definedName>
    <definedName name="FDP_286_1_aSrv">#REF!</definedName>
    <definedName name="FDP_287_1_aSrv">#REF!</definedName>
    <definedName name="FDP_29_1_aUrv">#REF!</definedName>
    <definedName name="FDP_30_1_aSrv">#REF!</definedName>
    <definedName name="FDP_31_1_aSrv">#REF!</definedName>
    <definedName name="FDP_318_1_aUrv">#REF!</definedName>
    <definedName name="FDP_319_1_aUrv">#REF!</definedName>
    <definedName name="FDP_32_1_aUrv">#REF!</definedName>
    <definedName name="FDP_320_1_aUrv">#REF!</definedName>
    <definedName name="FDP_321_1_aUrv">#REF!</definedName>
    <definedName name="FDP_322_1_aUrv">#REF!</definedName>
    <definedName name="FDP_323_1_aUrv">#REF!</definedName>
    <definedName name="FDP_324_1_aUrv">#REF!</definedName>
    <definedName name="FDP_325_1_aUrv">#REF!</definedName>
    <definedName name="FDP_326_1_aUrv">#REF!</definedName>
    <definedName name="FDP_327_1_aUrv">#REF!</definedName>
    <definedName name="FDP_328_1_aUrv">#REF!</definedName>
    <definedName name="FDP_329_1_aUrv">#REF!</definedName>
    <definedName name="FDP_330_1_aUrv">#REF!</definedName>
    <definedName name="FDP_331_1_aUrv">#REF!</definedName>
    <definedName name="FDP_332_1_aUrv">#REF!</definedName>
    <definedName name="FDP_333_1_aUrv">#REF!</definedName>
    <definedName name="FDP_334_1_aSrv">#REF!</definedName>
    <definedName name="FDP_335_1_aSrv">#REF!</definedName>
    <definedName name="FDP_336_1_aUrv">#REF!</definedName>
    <definedName name="FDP_337_1_aUrv">#REF!</definedName>
    <definedName name="FDP_338_1_aUrv">#REF!</definedName>
    <definedName name="FDP_339_1_aSrv">#REF!</definedName>
    <definedName name="FDP_34_1_aUrv">#REF!</definedName>
    <definedName name="FDP_342_1_aUrv">#REF!</definedName>
    <definedName name="FDP_343_1_aUrv">#REF!</definedName>
    <definedName name="FDP_344_1_aUrv">#REF!</definedName>
    <definedName name="FDP_345_1_aUrv">#REF!</definedName>
    <definedName name="FDP_346_1_aUrv">#REF!</definedName>
    <definedName name="FDP_347_1_aSrv">#REF!</definedName>
    <definedName name="FDP_348_1_aUrv">#REF!</definedName>
    <definedName name="FDP_349_1_aUrv">#REF!</definedName>
    <definedName name="FDP_35_1_aUrv">#REF!</definedName>
    <definedName name="FDP_350_1_aUrv">#REF!</definedName>
    <definedName name="FDP_351_1_aUrv">#REF!</definedName>
    <definedName name="FDP_352_1_aUrv">#REF!</definedName>
    <definedName name="FDP_353_1_aSrv">#REF!</definedName>
    <definedName name="FDP_354_1_aSrv">#REF!</definedName>
    <definedName name="FDP_355_1_aUrv">#REF!</definedName>
    <definedName name="FDP_356_1_aUrv">#REF!</definedName>
    <definedName name="FDP_357_1_aUrv">#REF!</definedName>
    <definedName name="FDP_358_1_aUrv">#REF!</definedName>
    <definedName name="FDP_359_1_aUrv">#REF!</definedName>
    <definedName name="FDP_36_1_aUrv">#REF!</definedName>
    <definedName name="FDP_360_1_aSrv">#REF!</definedName>
    <definedName name="FDP_361_1_aUrv">#REF!</definedName>
    <definedName name="FDP_362_1_aUrv">#REF!</definedName>
    <definedName name="FDP_363_1_aUrv">#REF!</definedName>
    <definedName name="FDP_364_1_aUrv">#REF!</definedName>
    <definedName name="FDP_365_1_aUrv">#REF!</definedName>
    <definedName name="FDP_366_1_aUrv">#REF!</definedName>
    <definedName name="FDP_367_1_aUrv">#REF!</definedName>
    <definedName name="FDP_368_1_aUrv">#REF!</definedName>
    <definedName name="FDP_369_1_aUrv">#REF!</definedName>
    <definedName name="FDP_37_1_aSrv">#REF!</definedName>
    <definedName name="FDP_370_1_aUrv">#REF!</definedName>
    <definedName name="FDP_371_1_aUrv">#REF!</definedName>
    <definedName name="FDP_372_1_aUrv">#REF!</definedName>
    <definedName name="FDP_373_1_aSrv">#REF!</definedName>
    <definedName name="FDP_374_1_aSrv">#REF!</definedName>
    <definedName name="FDP_375_1_aSrv">#REF!</definedName>
    <definedName name="FDP_376_1_aSrv">#REF!</definedName>
    <definedName name="FDP_377_1_aUrv">#REF!</definedName>
    <definedName name="FDP_378_1_aUrv">#REF!</definedName>
    <definedName name="FDP_379_1_aSrv">#REF!</definedName>
    <definedName name="FDP_38_1_aUrv">#REF!</definedName>
    <definedName name="FDP_380_1_aUrv">#REF!</definedName>
    <definedName name="FDP_381_1_aUrv">#REF!</definedName>
    <definedName name="FDP_382_1_aSrv">#REF!</definedName>
    <definedName name="FDP_383_1_aUrv">#REF!</definedName>
    <definedName name="FDP_384_1_aUrv">#REF!</definedName>
    <definedName name="FDP_385_1_aUrv">#REF!</definedName>
    <definedName name="FDP_386_1_aUrv">#REF!</definedName>
    <definedName name="FDP_387_1_aUrv">#REF!</definedName>
    <definedName name="FDP_388_1_aSrv">#REF!</definedName>
    <definedName name="FDP_389_1_aUrv">#REF!</definedName>
    <definedName name="FDP_39_1_aUrv">#REF!</definedName>
    <definedName name="FDP_390_1_aSrv">#REF!</definedName>
    <definedName name="FDP_391_1_aUrv">#REF!</definedName>
    <definedName name="FDP_392_1_aUrv">#REF!</definedName>
    <definedName name="FDP_393_1_aUrv">#REF!</definedName>
    <definedName name="FDP_394_1_aSrv">#REF!</definedName>
    <definedName name="FDP_395_1_aSrv">#REF!</definedName>
    <definedName name="FDP_396_1_aSrv">#REF!</definedName>
    <definedName name="FDP_397_1_aUrv">#REF!</definedName>
    <definedName name="FDP_398_1_aSrv">#REF!</definedName>
    <definedName name="FDP_399_1_aUrv">#REF!</definedName>
    <definedName name="FDP_4_1_aUrv">#REF!</definedName>
    <definedName name="FDP_40_1_aUrv">#REF!</definedName>
    <definedName name="FDP_400_1_aUrv">#REF!</definedName>
    <definedName name="FDP_401_1_aUrv">#REF!</definedName>
    <definedName name="FDP_407_1_aUrv">#REF!</definedName>
    <definedName name="FDP_41_1_aUrv">#REF!</definedName>
    <definedName name="FDP_413_1_aUrv">#REF!</definedName>
    <definedName name="FDP_414_1_aUrv">#REF!</definedName>
    <definedName name="FDP_415_1_aUrv">#REF!</definedName>
    <definedName name="FDP_416_1_aUrv">#REF!</definedName>
    <definedName name="FDP_417_1_aUrv">#REF!</definedName>
    <definedName name="FDP_418_1_aUrv">#REF!</definedName>
    <definedName name="FDP_419_1_aUrv">#REF!</definedName>
    <definedName name="FDP_42_1_aUrv">#REF!</definedName>
    <definedName name="FDP_420_1_aUrv">#REF!</definedName>
    <definedName name="FDP_421_1_aUrv">#REF!</definedName>
    <definedName name="FDP_422_1_aUrv">#REF!</definedName>
    <definedName name="FDP_423_1_aUrv">#REF!</definedName>
    <definedName name="FDP_424_1_aUrv">#REF!</definedName>
    <definedName name="FDP_425_1_aUrv">#REF!</definedName>
    <definedName name="FDP_426_1_aUrv">#REF!</definedName>
    <definedName name="FDP_427_1_aUrv">#REF!</definedName>
    <definedName name="FDP_428_1_aUrv">#REF!</definedName>
    <definedName name="FDP_429_1_aUrv">#REF!</definedName>
    <definedName name="FDP_43_1_aUrv">#REF!</definedName>
    <definedName name="FDP_430_1_aUrv">#REF!</definedName>
    <definedName name="FDP_431_1_aUrv">#REF!</definedName>
    <definedName name="FDP_432_1_aUrv">#REF!</definedName>
    <definedName name="FDP_433_1_aUrv">#REF!</definedName>
    <definedName name="FDP_434_1_aUrv">#REF!</definedName>
    <definedName name="FDP_435_1_aUrv">#REF!</definedName>
    <definedName name="FDP_436_1_aUrv">#REF!</definedName>
    <definedName name="FDP_437_1_aUrv">#REF!</definedName>
    <definedName name="FDP_438_1_aUrv">#REF!</definedName>
    <definedName name="FDP_439_1_aUrv">#REF!</definedName>
    <definedName name="FDP_440_1_aSrv">#REF!</definedName>
    <definedName name="FDP_441_1_aUrv">#REF!</definedName>
    <definedName name="FDP_442_1_aUrv">#REF!</definedName>
    <definedName name="FDP_443_1_aUrv">#REF!</definedName>
    <definedName name="FDP_444_1_aSrv">#REF!</definedName>
    <definedName name="FDP_448_1_aSrv">#REF!</definedName>
    <definedName name="FDP_449_1_aUrv">#REF!</definedName>
    <definedName name="FDP_450_1_aUrv">#REF!</definedName>
    <definedName name="FDP_451_1_aUrv">#REF!</definedName>
    <definedName name="FDP_452_1_aSrv">#REF!</definedName>
    <definedName name="FDP_453_1_aSrv">#REF!</definedName>
    <definedName name="FDP_454_1_aSrv">#REF!</definedName>
    <definedName name="FDP_455_1_aSrv">#REF!</definedName>
    <definedName name="FDP_457_1_aSrv">#REF!</definedName>
    <definedName name="FDP_459_1_aSrv">#REF!</definedName>
    <definedName name="FDP_460_1_aSrv">#REF!</definedName>
    <definedName name="FDP_461_1_aSrv">#REF!</definedName>
    <definedName name="FDP_462_1_aSrv">#REF!</definedName>
    <definedName name="FDP_463_1_aSrv">#REF!</definedName>
    <definedName name="FDP_464_1_aSrv">#REF!</definedName>
    <definedName name="FDP_465_1_aSrv">#REF!</definedName>
    <definedName name="FDP_466_1_aSrv">#REF!</definedName>
    <definedName name="FDP_467_1_aSrv">#REF!</definedName>
    <definedName name="FDP_473_1_aSrv">#REF!</definedName>
    <definedName name="FDP_474_1_aSrv">#REF!</definedName>
    <definedName name="FDP_475_1_aSrv">#REF!</definedName>
    <definedName name="FDP_476_1_aSrv">#REF!</definedName>
    <definedName name="FDP_5_1_aUrv">#REF!</definedName>
    <definedName name="FDP_50_1_aSrv">#REF!</definedName>
    <definedName name="FDP_51_1_aSrv">#REF!</definedName>
    <definedName name="FDP_52_1_aUrv">#REF!</definedName>
    <definedName name="FDP_53_1_aUrv">#REF!</definedName>
    <definedName name="FDP_54_1_aUrv">#REF!</definedName>
    <definedName name="FDP_55_1_aUrv">#REF!</definedName>
    <definedName name="FDP_555_1_aUrv">#REF!</definedName>
    <definedName name="FDP_556_1_aUrv">#REF!</definedName>
    <definedName name="FDP_557_1_aSrv">#REF!</definedName>
    <definedName name="FDP_558_1_aSrv">#REF!</definedName>
    <definedName name="FDP_559_1_aSrv">#REF!</definedName>
    <definedName name="FDP_560_1_aSrv">#REF!</definedName>
    <definedName name="FDP_561_1_aSrv">#REF!</definedName>
    <definedName name="FDP_562_1_aSrv">#REF!</definedName>
    <definedName name="FDP_563_1_aSrv">#REF!</definedName>
    <definedName name="FDP_564_1_aSrv">#REF!</definedName>
    <definedName name="FDP_565_1_aSrv">#REF!</definedName>
    <definedName name="FDP_566_1_aSrv">#REF!</definedName>
    <definedName name="FDP_567_1_aSrv">#REF!</definedName>
    <definedName name="FDP_568_1_aSrv">#REF!</definedName>
    <definedName name="FDP_569_1_aSrv">#REF!</definedName>
    <definedName name="FDP_570_1_aSrv">#REF!</definedName>
    <definedName name="FDP_571_1_aSrv">#REF!</definedName>
    <definedName name="FDP_572_1_aSrv">#REF!</definedName>
    <definedName name="FDP_573_1_aSrv">#REF!</definedName>
    <definedName name="FDP_574_1_aSrv">#REF!</definedName>
    <definedName name="FDP_575_1_aSrv">#REF!</definedName>
    <definedName name="FDP_576_1_aSrv">#REF!</definedName>
    <definedName name="FDP_577_1_aSrv">#REF!</definedName>
    <definedName name="FDP_578_1_aSrv">#REF!</definedName>
    <definedName name="FDP_579_1_aSrv">#REF!</definedName>
    <definedName name="FDP_580_1_aSrv">#REF!</definedName>
    <definedName name="FDP_581_1_aSrv">#REF!</definedName>
    <definedName name="FDP_582_1_aSrv">#REF!</definedName>
    <definedName name="FDP_583_1_aSrv">#REF!</definedName>
    <definedName name="FDP_584_1_aSrv">#REF!</definedName>
    <definedName name="FDP_585_1_aUrv">#REF!</definedName>
    <definedName name="FDP_586_1_aUrv">#REF!</definedName>
    <definedName name="FDP_587_1_aUrv">#REF!</definedName>
    <definedName name="FDP_588_1_aUdv">#REF!</definedName>
    <definedName name="FDP_589_1_aUdv">#REF!</definedName>
    <definedName name="FDP_590_1_aUdv">#REF!</definedName>
    <definedName name="FDP_591_1_aUdv">#REF!</definedName>
    <definedName name="FDP_592_1_aUdv">#REF!</definedName>
    <definedName name="FDP_593_1_aUdv">#REF!</definedName>
    <definedName name="FDP_594_1_aUdv">#REF!</definedName>
    <definedName name="FDP_595_1_aUdv">#REF!</definedName>
    <definedName name="FDP_596_1_aUdv">#REF!</definedName>
    <definedName name="FDP_597_1_aUdv">#REF!</definedName>
    <definedName name="FDP_598_1_aUdv">#REF!</definedName>
    <definedName name="FDP_599_1_aUdv">#REF!</definedName>
    <definedName name="FDP_6_1_aUrv">#REF!</definedName>
    <definedName name="FDP_600_1_aUdv">#REF!</definedName>
    <definedName name="FDP_601_1_aUdv">#REF!</definedName>
    <definedName name="FDP_602_1_aUdv">#REF!</definedName>
    <definedName name="FDP_603_1_aUdv">#REF!</definedName>
    <definedName name="FDP_604_1_aUdv">#REF!</definedName>
    <definedName name="FDP_605_1_aUdv">#REF!</definedName>
    <definedName name="FDP_606_1_aUdv">#REF!</definedName>
    <definedName name="FDP_607_1_aUdv">#REF!</definedName>
    <definedName name="FDP_608_1_aUrv">#REF!</definedName>
    <definedName name="FDP_611_1_aSrv">#REF!</definedName>
    <definedName name="FDP_621_1_aUrv">#REF!</definedName>
    <definedName name="FDP_622_1_aUrv">#REF!</definedName>
    <definedName name="FDP_623_1_aSrv">#REF!</definedName>
    <definedName name="FDP_8_1_aUrv">#REF!</definedName>
    <definedName name="FDP_9_1_aUrv">#REF!</definedName>
    <definedName name="FDR">#REF!</definedName>
    <definedName name="fds">#REF!</definedName>
    <definedName name="fds_1">#REF!</definedName>
    <definedName name="fdsa" hidden="1">{#N/A,#N/A,FALSE,"KMC최종회의(7월) 자료"}</definedName>
    <definedName name="fdsadfafda">#REF!</definedName>
    <definedName name="FDSAFDSAFDSAF" hidden="1">#REF!</definedName>
    <definedName name="FDSAFDSFA" hidden="1">{#N/A,#N/A,FALSE,"REPORT"}</definedName>
    <definedName name="fdsafsd">#REF!</definedName>
    <definedName name="fdsafsd_1">#REF!</definedName>
    <definedName name="fdsafsd_2">#REF!</definedName>
    <definedName name="fdsafsd_3">#REF!</definedName>
    <definedName name="fdsafsd_4">#REF!</definedName>
    <definedName name="fdsag">#REF!</definedName>
    <definedName name="fdsakfjds">#REF!</definedName>
    <definedName name="fdsfd">#REF!</definedName>
    <definedName name="fdsfdsfdsfs">Indexn1,IndexN2</definedName>
    <definedName name="FDSFSDF" hidden="1">{#N/A,#N/A,FALSE,"REPORT"}</definedName>
    <definedName name="fdsg">#REF!</definedName>
    <definedName name="fdy">#REF!</definedName>
    <definedName name="FDY___0">#REF!</definedName>
    <definedName name="fe">#REF!</definedName>
    <definedName name="Feasibility">#REF!</definedName>
    <definedName name="FEB">#REF!</definedName>
    <definedName name="Feb_01">#REF!</definedName>
    <definedName name="Feb_04">"usstart"</definedName>
    <definedName name="Feb_18">#REF!</definedName>
    <definedName name="Feb_19">#REF!</definedName>
    <definedName name="Feb_20">#REF!</definedName>
    <definedName name="Feb_21">#REF!</definedName>
    <definedName name="Feb_control_total">#REF!</definedName>
    <definedName name="Feb_CONTROL_TOTALS">#REF!</definedName>
    <definedName name="feb_ea">#REF!</definedName>
    <definedName name="feb_ps">#REF!</definedName>
    <definedName name="feb_rm">#REF!</definedName>
    <definedName name="febaud">#REF!</definedName>
    <definedName name="FEBDATA?">#REF!</definedName>
    <definedName name="Febevents">#REF!</definedName>
    <definedName name="febhkd">#REF!</definedName>
    <definedName name="Febnames">#REF!</definedName>
    <definedName name="February_Control_Totals">#REF!</definedName>
    <definedName name="febsgd">#REF!</definedName>
    <definedName name="febthb">#REF!</definedName>
    <definedName name="febtwd">#REF!</definedName>
    <definedName name="fec">#REF!</definedName>
    <definedName name="Federal_Rate__adjusted_for_State_tax_rate_with_full_phase_out">_461__FDSAUDITLINK__</definedName>
    <definedName name="FEDR_D">#REF!</definedName>
    <definedName name="feee" hidden="1">{"'買掛金'!$J$6"}</definedName>
    <definedName name="fees">#REF!</definedName>
    <definedName name="fer" hidden="1">{#N/A,#N/A,FALSE,"Sales Graph";#N/A,#N/A,FALSE,"PSBM";#N/A,#N/A,FALSE,"BUC Graph";#N/A,#N/A,FALSE,"P&amp;L - YTD"}</definedName>
    <definedName name="few">#REF!</definedName>
    <definedName name="fewq">#REF!</definedName>
    <definedName name="FF">#REF!</definedName>
    <definedName name="FF_945_956">#REF!</definedName>
    <definedName name="FF_967">#REF!</definedName>
    <definedName name="ffa">#REF!</definedName>
    <definedName name="ffa_1">#REF!</definedName>
    <definedName name="ffa_2">#REF!</definedName>
    <definedName name="ffa_3">#REF!</definedName>
    <definedName name="ffa_4">#REF!</definedName>
    <definedName name="FFAbove1_1">#REF!</definedName>
    <definedName name="FFAbove2_1">#REF!</definedName>
    <definedName name="FFAbove3_1">#REF!</definedName>
    <definedName name="FFAbove4_1">#REF!</definedName>
    <definedName name="FFAbove5_1">#REF!</definedName>
    <definedName name="FFAbove6_1">#REF!</definedName>
    <definedName name="FFAppColName1_1">#REF!</definedName>
    <definedName name="FFAPPCOLNAME1_2">#REF!</definedName>
    <definedName name="FFAPPCOLNAME1_3">#REF!</definedName>
    <definedName name="FFAPPCOLNAME1_4">#REF!</definedName>
    <definedName name="FFAPPCOLNAME1_5">#REF!</definedName>
    <definedName name="FFAPPCOLNAME1_6">#REF!</definedName>
    <definedName name="FFAppColName2_1">#REF!</definedName>
    <definedName name="FFAPPCOLNAME2_2">#REF!</definedName>
    <definedName name="FFAPPCOLNAME2_3">#REF!</definedName>
    <definedName name="FFAPPCOLNAME2_4">#REF!</definedName>
    <definedName name="FFAPPCOLNAME2_5">#REF!</definedName>
    <definedName name="FFAPPCOLNAME2_6">#REF!</definedName>
    <definedName name="FFAppColName3_1">#REF!</definedName>
    <definedName name="FFAPPCOLNAME3_2">#REF!</definedName>
    <definedName name="FFAPPCOLNAME3_3">#REF!</definedName>
    <definedName name="FFAPPCOLNAME3_4">#REF!</definedName>
    <definedName name="FFAPPCOLNAME3_5">#REF!</definedName>
    <definedName name="FFAPPCOLNAME3_6">#REF!</definedName>
    <definedName name="FFAppColName4_1">#REF!</definedName>
    <definedName name="FFAPPCOLNAME4_2">#REF!</definedName>
    <definedName name="FFAPPCOLNAME4_3">#REF!</definedName>
    <definedName name="FFAPPCOLNAME4_4">#REF!</definedName>
    <definedName name="FFAPPCOLNAME4_5">#REF!</definedName>
    <definedName name="FFAPPCOLNAME4_6">#REF!</definedName>
    <definedName name="FFAppColName5_1">#REF!</definedName>
    <definedName name="FFAPPCOLNAME5_2">#REF!</definedName>
    <definedName name="FFAPPCOLNAME5_3">#REF!</definedName>
    <definedName name="FFAPPCOLNAME5_4">#REF!</definedName>
    <definedName name="FFAPPCOLNAME5_5">#REF!</definedName>
    <definedName name="FFAPPCOLNAME5_6">#REF!</definedName>
    <definedName name="FFAppColName6_1">#REF!</definedName>
    <definedName name="FFAPPCOLNAME6_2">#REF!</definedName>
    <definedName name="FFAPPCOLNAME6_3">#REF!</definedName>
    <definedName name="FFAPPCOLNAME6_4">#REF!</definedName>
    <definedName name="FFAPPCOLNAME6_5">#REF!</definedName>
    <definedName name="FFAPPCOLNAME6_6">#REF!</definedName>
    <definedName name="FFAPPCOLNAME7_1">#REF!</definedName>
    <definedName name="FFAPPCOLNAME7_2">#REF!</definedName>
    <definedName name="FFAPPCOLNAME8_1">#REF!</definedName>
    <definedName name="FFAPPCOLNAME8_2">#REF!</definedName>
    <definedName name="ffdas">#REF!</definedName>
    <definedName name="ffdas_1">#REF!</definedName>
    <definedName name="ffdas_2">#REF!</definedName>
    <definedName name="ffdas_3">#REF!</definedName>
    <definedName name="ffdas_4">#REF!</definedName>
    <definedName name="FFDisplay1_1">#REF!</definedName>
    <definedName name="FFDisplay2_1">#REF!</definedName>
    <definedName name="FFDisplay3_1">#REF!</definedName>
    <definedName name="FFDisplay4_1">#REF!</definedName>
    <definedName name="FFDisplay5_1">#REF!</definedName>
    <definedName name="FFDisplay6_1">#REF!</definedName>
    <definedName name="ffee" hidden="1">{"'買掛金'!$J$6"}</definedName>
    <definedName name="fff">#REF!</definedName>
    <definedName name="FFFF">#REF!</definedName>
    <definedName name="fffff">#REF!</definedName>
    <definedName name="ffffff">#REF!</definedName>
    <definedName name="fffffff" hidden="1">{#N/A,#N/A,FALSE,"Pharm";#N/A,#N/A,FALSE,"WWCM"}</definedName>
    <definedName name="ffffffffff">#REF!</definedName>
    <definedName name="fffffffffff">{"'Standalone List Price Trends'!$A$1:$X$56"}</definedName>
    <definedName name="FFFFFFFFFFFF">#REF!</definedName>
    <definedName name="FFFFFFFFFFFFFFF">#REF!</definedName>
    <definedName name="FFMaximum1_1">#REF!</definedName>
    <definedName name="FFMaximum2_1">#REF!</definedName>
    <definedName name="FFMaximum3_1">#REF!</definedName>
    <definedName name="FFMaximum4_1">#REF!</definedName>
    <definedName name="FFMaximum5_1">#REF!</definedName>
    <definedName name="FFMaximum6_1">#REF!</definedName>
    <definedName name="FFSEGDESC1_1">#REF!</definedName>
    <definedName name="FFSEGDESC2_1">#REF!</definedName>
    <definedName name="FFSEGDESC3_1">#REF!</definedName>
    <definedName name="FFSEGDESC4_1">#REF!</definedName>
    <definedName name="FFSEGDESC5_1">#REF!</definedName>
    <definedName name="FFSEGDESC6_1">#REF!</definedName>
    <definedName name="FFSegment1_1">#REF!</definedName>
    <definedName name="FFSEGMENT1_2">#REF!</definedName>
    <definedName name="FFSEGMENT1_3">#REF!</definedName>
    <definedName name="FFSEGMENT1_4">#REF!</definedName>
    <definedName name="FFSEGMENT1_5">#REF!</definedName>
    <definedName name="FFSEGMENT1_6">#REF!</definedName>
    <definedName name="FFSegment2_1">#REF!</definedName>
    <definedName name="FFSEGMENT2_2">#REF!</definedName>
    <definedName name="FFSEGMENT2_3">#REF!</definedName>
    <definedName name="FFSEGMENT2_4">#REF!</definedName>
    <definedName name="FFSEGMENT2_5">#REF!</definedName>
    <definedName name="FFSEGMENT2_6">#REF!</definedName>
    <definedName name="FFSegment3_1">#REF!</definedName>
    <definedName name="FFSEGMENT3_2">#REF!</definedName>
    <definedName name="FFSEGMENT3_3">#REF!</definedName>
    <definedName name="FFSEGMENT3_4">#REF!</definedName>
    <definedName name="FFSEGMENT3_5">#REF!</definedName>
    <definedName name="FFSEGMENT3_6">#REF!</definedName>
    <definedName name="FFSegment4_1">#REF!</definedName>
    <definedName name="FFSEGMENT4_2">#REF!</definedName>
    <definedName name="FFSEGMENT4_3">#REF!</definedName>
    <definedName name="FFSEGMENT4_4">#REF!</definedName>
    <definedName name="FFSEGMENT4_5">#REF!</definedName>
    <definedName name="FFSEGMENT4_6">#REF!</definedName>
    <definedName name="FFSegment5_1">#REF!</definedName>
    <definedName name="FFSEGMENT5_2">#REF!</definedName>
    <definedName name="FFSEGMENT5_3">#REF!</definedName>
    <definedName name="FFSEGMENT5_4">#REF!</definedName>
    <definedName name="FFSEGMENT5_5">#REF!</definedName>
    <definedName name="FFSEGMENT5_6">#REF!</definedName>
    <definedName name="FFSegment6_1">#REF!</definedName>
    <definedName name="FFSEGMENT6_2">#REF!</definedName>
    <definedName name="FFSEGMENT6_3">#REF!</definedName>
    <definedName name="FFSEGMENT6_4">#REF!</definedName>
    <definedName name="FFSEGMENT6_5">#REF!</definedName>
    <definedName name="FFSEGMENT6_6">#REF!</definedName>
    <definedName name="FFSEGMENT7_1">#REF!</definedName>
    <definedName name="FFSEGMENT7_2">#REF!</definedName>
    <definedName name="FFSEGMENT8_1">#REF!</definedName>
    <definedName name="FFSEGMENT8_2">#REF!</definedName>
    <definedName name="FFSegSeparator1">#REF!</definedName>
    <definedName name="FFSEGSEPARATOR2">#REF!</definedName>
    <definedName name="FFSEGSEPARATOR3">#REF!</definedName>
    <definedName name="FFSEGSEPARATOR4">#REF!</definedName>
    <definedName name="FFSEGSEPARATOR5">#REF!</definedName>
    <definedName name="FFSEGSEPARATOR6">#REF!</definedName>
    <definedName name="fg" hidden="1">{"bs",#N/A,FALSE,"Balance Sheet"}</definedName>
    <definedName name="FG46TBTB4RTDKDK">#REF!</definedName>
    <definedName name="fgafgagag">#REF!</definedName>
    <definedName name="fgd">"F34KLQJ0VOAI82GQ960QLG56I"</definedName>
    <definedName name="fgefgef">#REF!</definedName>
    <definedName name="fgfdg">#REF!</definedName>
    <definedName name="fgfgf">#REF!</definedName>
    <definedName name="fgghhg">#REF!</definedName>
    <definedName name="fgjfg">#REF!</definedName>
    <definedName name="fgjgf">#REF!</definedName>
    <definedName name="fgjgfj">#REF!</definedName>
    <definedName name="fgk" hidden="1">{#N/A,#N/A,FALSE,"Pharm";#N/A,#N/A,FALSE,"WWCM"}</definedName>
    <definedName name="FGR53C11R63C11TB3RTCN">#REF!</definedName>
    <definedName name="FGR6C8R8C8TB4RTCN">#REF!</definedName>
    <definedName name="FGR6C9R8C9TB3RTCN">#REF!</definedName>
    <definedName name="fgs">#REF!</definedName>
    <definedName name="fgsdfgdfg">#REF!</definedName>
    <definedName name="fgsdfgf">#REF!</definedName>
    <definedName name="FGSOUTMP">#N/A</definedName>
    <definedName name="FGSOUTPP">#N/A</definedName>
    <definedName name="fgsssrewew">#REF!</definedName>
    <definedName name="fgyu" hidden="1">{#N/A,#N/A,TRUE,"CPRD";#N/A,#N/A,TRUE,"BCCPDR";#N/A,#N/A,TRUE,"EWRD";#N/A,#N/A,TRUE,"5100";#N/A,#N/A,TRUE,"5110"}</definedName>
    <definedName name="fhgfgh">#REF!</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fhfghgfhfg" hidden="1">{"Central",#N/A,FALSE,"Total"}</definedName>
    <definedName name="FHorizontalAxis">#REF!</definedName>
    <definedName name="fhrghgrd">#REF!</definedName>
    <definedName name="fi">#REF!</definedName>
    <definedName name="Fiber">#REF!</definedName>
    <definedName name="FIBOR">#REF!</definedName>
    <definedName name="field">0.3951</definedName>
    <definedName name="FIELDNAMECOLUMN1">#REF!</definedName>
    <definedName name="FIELDNAMECOLUMN2">#REF!</definedName>
    <definedName name="FIELDNAMECOLUMN3">#REF!</definedName>
    <definedName name="FIELDNAMECOLUMN4">#REF!</definedName>
    <definedName name="FIELDNAMECOLUMN5">#REF!</definedName>
    <definedName name="FIELDNAMECOLUMN6">#REF!</definedName>
    <definedName name="FIELDNAMEROW1">#REF!</definedName>
    <definedName name="FIELDNAMEROW2">#REF!</definedName>
    <definedName name="FIELDNAMEROW3">#REF!</definedName>
    <definedName name="FIELDNAMEROW4">#REF!</definedName>
    <definedName name="FIELDNAMEROW5">#REF!</definedName>
    <definedName name="FIELDNAMEROW6">#REF!</definedName>
    <definedName name="fieldtools">#REF!</definedName>
    <definedName name="FII">#REF!</definedName>
    <definedName name="FIK_FG">#REF!</definedName>
    <definedName name="FIK_Pkg">#REF!</definedName>
    <definedName name="FIK_Raw">#REF!</definedName>
    <definedName name="FileChart" hidden="1">#REF!</definedName>
    <definedName name="Filecomp">#REF!</definedName>
    <definedName name="FilingPriceIncrement">#REF!</definedName>
    <definedName name="Filll">#REF!</definedName>
    <definedName name="Filter_Range">#REF!</definedName>
    <definedName name="FIMeXToEUR" hidden="1">1/EUReXToFIM</definedName>
    <definedName name="FIN">#REF!</definedName>
    <definedName name="FINAL">#REF!</definedName>
    <definedName name="FINAL..">#REF!</definedName>
    <definedName name="FINAL_CONFIG">#REF!</definedName>
    <definedName name="FINAL_CONFIG..">#REF!</definedName>
    <definedName name="FINAL_FS">#REF!</definedName>
    <definedName name="FINAL_INSPECT">#REF!</definedName>
    <definedName name="FINAL_INSPECT..">#REF!</definedName>
    <definedName name="FINAL_PRODUCT">#REF!</definedName>
    <definedName name="FINAL_PRODUCT1">#REF!</definedName>
    <definedName name="FINAL_PRODUCTSTATERATE">#REF!</definedName>
    <definedName name="Final_Summary">#REF!</definedName>
    <definedName name="Final_Unposted_Trial">#REF!</definedName>
    <definedName name="finalReport">#REF!</definedName>
    <definedName name="FINANCE" hidden="1">{#N/A,#N/A,FALSE,"INDEX";#N/A,#N/A,FALSE,"CIS";#N/A,#N/A,FALSE,"CIS INLINE";#N/A,#N/A,FALSE,"summary";#N/A,#N/A,FALSE,"detail";#N/A,#N/A,FALSE,"SALESTAT";#N/A,#N/A,FALSE,"budget graph";#N/A,#N/A,FALSE,"SALES CHART";#N/A,#N/A,FALSE,"SALES REP";#N/A,#N/A,FALSE,"ORDER BACKLOG";#N/A,#N/A,FALSE,"AR AGE";#N/A,#N/A,FALSE,"AGEREP";#N/A,#N/A,FALSE,"RATIO";"Components_Cover",#N/A,FALSE,"COVERS";"ComponentsA_1",#N/A,FALSE,"IS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PL";"Instruments_Cover",#N/A,FALSE,"COVERS";"InstrumentsB_1",#N/A,FALSE,"IS BY DIV";"InstrumentsB_2a",#N/A,FALSE,"COGS BY DIV";"InstrumentsB_2b",#N/A,FALSE,"COGS BY DIV";"InstrumentsB_3",#N/A,FALSE,"TOTAL PF";"InstrumentsB_4",#N/A,FALSE,"TOTAL PF";"Instruments_PL",#N/A,FALSE,"Sales by PL";"Resale_Cover",#N/A,FALSE,"COVERS";"ResaleC_1",#N/A,FALSE,"IS BY DIV";"ResaleC_2",#N/A,FALSE,"COGS BY DIV";"ResaleC_3",#N/A,FALSE,"TOTAL PF";"ResaleC_4",#N/A,FALSE,"TOTAL PF";"Resale_PL",#N/A,FALSE,"Sales by PL";#N/A,#N/A,FALSE,"GMA SUMMARY";#N/A,#N/A,FALSE,"COMPONENTS";#N/A,#N/A,FALSE,"INSTRUMENTS";#N/A,#N/A,FALSE,"RESALE";"Overhead_Summary",#N/A,FALSE,"overhead schedule";"Overhead",#N/A,FALSE,"overhead schedule"}</definedName>
    <definedName name="FINANCE_ADMIN">#REF!</definedName>
    <definedName name="FINANCE_GEORGE" hidden="1">{#N/A,#N/A,FALSE,"INDEX";#N/A,#N/A,FALSE,"CIS";#N/A,#N/A,FALSE,"CIS INLINE";#N/A,#N/A,FALSE,"summary";#N/A,#N/A,FALSE,"detail";#N/A,#N/A,FALSE,"SALESTAT";#N/A,#N/A,FALSE,"budget graph";#N/A,#N/A,FALSE,"SALES CHART";#N/A,#N/A,FALSE,"SALES REP";#N/A,#N/A,FALSE,"ORDER BACKLOG";#N/A,#N/A,FALSE,"AR AGE";#N/A,#N/A,FALSE,"AGEREP";#N/A,#N/A,FALSE,"RATIO";"Components_Cover",#N/A,FALSE,"COVERS";"ComponentsA_1",#N/A,FALSE,"IS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PL";"Instruments_Cover",#N/A,FALSE,"COVERS";"InstrumentsB_1",#N/A,FALSE,"IS BY DIV";"InstrumentsB_2a",#N/A,FALSE,"COGS BY DIV";"InstrumentsB_2b",#N/A,FALSE,"COGS BY DIV";"InstrumentsB_3",#N/A,FALSE,"TOTAL PF";"InstrumentsB_4",#N/A,FALSE,"TOTAL PF";"Instruments_PL",#N/A,FALSE,"Sales by PL";"Resale_Cover",#N/A,FALSE,"COVERS";"ResaleC_1",#N/A,FALSE,"IS BY DIV";"ResaleC_2",#N/A,FALSE,"COGS BY DIV";"ResaleC_3",#N/A,FALSE,"TOTAL PF";"ResaleC_4",#N/A,FALSE,"TOTAL PF";"Resale_PL",#N/A,FALSE,"Sales by PL";#N/A,#N/A,FALSE,"GMA SUMMARY";#N/A,#N/A,FALSE,"COMPONENTS";#N/A,#N/A,FALSE,"INSTRUMENTS";#N/A,#N/A,FALSE,"RESALE";"Overhead_Summary",#N/A,FALSE,"overhead schedule";"Overhead",#N/A,FALSE,"overhead schedule"}</definedName>
    <definedName name="FINANCE2" hidden="1">{#N/A,#N/A,FALSE,"INDEX";#N/A,#N/A,FALSE,"CIS";#N/A,#N/A,FALSE,"CIS INLINE";#N/A,#N/A,FALSE,"summary";#N/A,#N/A,FALSE,"detail";#N/A,#N/A,FALSE,"SALESTAT";#N/A,#N/A,FALSE,"budget graph";#N/A,#N/A,FALSE,"SALES CHART";#N/A,#N/A,FALSE,"SALES REP";#N/A,#N/A,FALSE,"ORDER BACKLOG";#N/A,#N/A,FALSE,"AR AGE";#N/A,#N/A,FALSE,"AGEREP";#N/A,#N/A,FALSE,"RATIO";"Components_Cover",#N/A,FALSE,"COVERS";"ComponentsA_1",#N/A,FALSE,"IS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PL";"Instruments_Cover",#N/A,FALSE,"COVERS";"InstrumentsB_1",#N/A,FALSE,"IS BY DIV";"InstrumentsB_2a",#N/A,FALSE,"COGS BY DIV";"InstrumentsB_2b",#N/A,FALSE,"COGS BY DIV";"InstrumentsB_3",#N/A,FALSE,"TOTAL PF";"InstrumentsB_4",#N/A,FALSE,"TOTAL PF";"Instruments_PL",#N/A,FALSE,"Sales by PL";"Resale_Cover",#N/A,FALSE,"COVERS";"ResaleC_1",#N/A,FALSE,"IS BY DIV";"ResaleC_2",#N/A,FALSE,"COGS BY DIV";"ResaleC_3",#N/A,FALSE,"TOTAL PF";"ResaleC_4",#N/A,FALSE,"TOTAL PF";"Resale_PL",#N/A,FALSE,"Sales by PL";#N/A,#N/A,FALSE,"GMA SUMMARY";#N/A,#N/A,FALSE,"COMPONENTS";#N/A,#N/A,FALSE,"INSTRUMENTS";#N/A,#N/A,FALSE,"RESALE";"Overhead_Summary",#N/A,FALSE,"overhead schedule";"Overhead",#N/A,FALSE,"overhead schedule"}</definedName>
    <definedName name="FINANCE2_GEORGE" hidden="1">{#N/A,#N/A,FALSE,"INDEX";#N/A,#N/A,FALSE,"CIS";#N/A,#N/A,FALSE,"CIS INLINE";#N/A,#N/A,FALSE,"summary";#N/A,#N/A,FALSE,"detail";#N/A,#N/A,FALSE,"SALESTAT";#N/A,#N/A,FALSE,"budget graph";#N/A,#N/A,FALSE,"SALES CHART";#N/A,#N/A,FALSE,"SALES REP";#N/A,#N/A,FALSE,"ORDER BACKLOG";#N/A,#N/A,FALSE,"AR AGE";#N/A,#N/A,FALSE,"AGEREP";#N/A,#N/A,FALSE,"RATIO";"Components_Cover",#N/A,FALSE,"COVERS";"ComponentsA_1",#N/A,FALSE,"IS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PL";"Instruments_Cover",#N/A,FALSE,"COVERS";"InstrumentsB_1",#N/A,FALSE,"IS BY DIV";"InstrumentsB_2a",#N/A,FALSE,"COGS BY DIV";"InstrumentsB_2b",#N/A,FALSE,"COGS BY DIV";"InstrumentsB_3",#N/A,FALSE,"TOTAL PF";"InstrumentsB_4",#N/A,FALSE,"TOTAL PF";"Instruments_PL",#N/A,FALSE,"Sales by PL";"Resale_Cover",#N/A,FALSE,"COVERS";"ResaleC_1",#N/A,FALSE,"IS BY DIV";"ResaleC_2",#N/A,FALSE,"COGS BY DIV";"ResaleC_3",#N/A,FALSE,"TOTAL PF";"ResaleC_4",#N/A,FALSE,"TOTAL PF";"Resale_PL",#N/A,FALSE,"Sales by PL";#N/A,#N/A,FALSE,"GMA SUMMARY";#N/A,#N/A,FALSE,"COMPONENTS";#N/A,#N/A,FALSE,"INSTRUMENTS";#N/A,#N/A,FALSE,"RESALE";"Overhead_Summary",#N/A,FALSE,"overhead schedule";"Overhead",#N/A,FALSE,"overhead schedule"}</definedName>
    <definedName name="FINANCIAL_CHARGES">#REF!</definedName>
    <definedName name="FINANCIAL_YTD">#REF!</definedName>
    <definedName name="financialcharges">#REF!</definedName>
    <definedName name="financialinc.">#REF!</definedName>
    <definedName name="finding" hidden="1">{#N/A,#N/A,FALSE,"BS";#N/A,#N/A,FALSE,"PL";#N/A,#N/A,FALSE,"처분";#N/A,#N/A,FALSE,"현금";#N/A,#N/A,FALSE,"매출";#N/A,#N/A,FALSE,"원가";#N/A,#N/A,FALSE,"경영"}</definedName>
    <definedName name="findingss" hidden="1">{#N/A,#N/A,FALSE,"Aging Summary";#N/A,#N/A,FALSE,"Ratio Analysis";#N/A,#N/A,FALSE,"Test 120 Day Accts";#N/A,#N/A,FALSE,"Tickmarks"}</definedName>
    <definedName name="findingss_3">#REF!</definedName>
    <definedName name="FindLink_Substitution">#REF!</definedName>
    <definedName name="Finolexcables">#REF!</definedName>
    <definedName name="FINOptions">"0,0,1,1,1,0,0,-1,0,0,2,0,"</definedName>
    <definedName name="FINRATE">0.0135</definedName>
    <definedName name="First.w.e.date">DATE(98,10,9)</definedName>
    <definedName name="first_pmt_date">#REF!</definedName>
    <definedName name="First_Year">#REF!</definedName>
    <definedName name="FirstCall">#REF!</definedName>
    <definedName name="FirstCommYr">#REF!</definedName>
    <definedName name="FIRSTDATAROW1">#REF!</definedName>
    <definedName name="FIRSTDATAROW2">#REF!</definedName>
    <definedName name="FIRSTDATAROW3">#REF!</definedName>
    <definedName name="FIRSTDATAROW4">#REF!</definedName>
    <definedName name="FIRSTDATAROW5">#REF!</definedName>
    <definedName name="FIRSTDATAROW6">#REF!</definedName>
    <definedName name="fiscal">#REF!</definedName>
    <definedName name="fiscal_year">#REF!</definedName>
    <definedName name="Five">"c2903"</definedName>
    <definedName name="FIVEDAY">#REF!</definedName>
    <definedName name="FIX">#REF!</definedName>
    <definedName name="FIX_ASSET_CUM">#REF!</definedName>
    <definedName name="FIX_ASSET_FINAL">#REF!</definedName>
    <definedName name="Fixed">#REF!</definedName>
    <definedName name="Fixed.Assets">#REF!</definedName>
    <definedName name="Fixed_assets">#REF!</definedName>
    <definedName name="fixed123">#REF!</definedName>
    <definedName name="FixedExp">#REF!</definedName>
    <definedName name="fj" hidden="1">{#N/A,#N/A,FALSE,"Pharm";#N/A,#N/A,FALSE,"WWCM"}</definedName>
    <definedName name="fjalaslaslfasllaa" hidden="1">{#N/A,#N/A,FALSE,"을지 (4)";#N/A,#N/A,FALSE,"을지 (5)";#N/A,#N/A,FALSE,"을지 (6)"}</definedName>
    <definedName name="fjdi0s" hidden="1">#N/A</definedName>
    <definedName name="fjdks" hidden="1">{#N/A,#N/A,FALSE,"Aging Summary";#N/A,#N/A,FALSE,"Ratio Analysis";#N/A,#N/A,FALSE,"Test 120 Day Accts";#N/A,#N/A,FALSE,"Tickmarks"}</definedName>
    <definedName name="fjdks_3">#REF!</definedName>
    <definedName name="FJEZK" hidden="1">{#N/A,#N/A,FALSE,"Pharm";#N/A,#N/A,FALSE,"WWCM"}</definedName>
    <definedName name="fjgfj">#REF!</definedName>
    <definedName name="fjy" hidden="1">{#N/A,#N/A,FALSE,"Pharm";#N/A,#N/A,FALSE,"WWCM"}</definedName>
    <definedName name="fkasjdfkjasdfkasdf">4</definedName>
    <definedName name="FKFK">#REF!</definedName>
    <definedName name="FL_Strat1">#REF!</definedName>
    <definedName name="FL_Strat1b">#REF!</definedName>
    <definedName name="FL_Strat2">#REF!</definedName>
    <definedName name="FL_Strat2b">#REF!</definedName>
    <definedName name="FL_Strat3">#REF!</definedName>
    <definedName name="FL_Strat3b">#REF!</definedName>
    <definedName name="FL_Strat4">#REF!</definedName>
    <definedName name="FL_Strat4b">#REF!</definedName>
    <definedName name="FL_Strat5">#REF!</definedName>
    <definedName name="FL_Strat5b">#REF!</definedName>
    <definedName name="flajfkajfa">#REF!</definedName>
    <definedName name="FlatBOM">#REF!</definedName>
    <definedName name="Flmv">0</definedName>
    <definedName name="FLUCTUATIONS">#REF!</definedName>
    <definedName name="FModelCompany">#REF!</definedName>
    <definedName name="FMTYP">"*STD"</definedName>
    <definedName name="FMV">#REF!</definedName>
    <definedName name="FNDNAM1">#REF!</definedName>
    <definedName name="FNDNAM2">#REF!</definedName>
    <definedName name="FNDNAM3">#REF!</definedName>
    <definedName name="FNDNAM4">#REF!</definedName>
    <definedName name="FNDNAM5">#REF!</definedName>
    <definedName name="FNDNAM6">#REF!</definedName>
    <definedName name="FNDUserID1">#REF!</definedName>
    <definedName name="FNDUSERID2">#REF!</definedName>
    <definedName name="FNDUSERID3">#REF!</definedName>
    <definedName name="FNDUSERID4">#REF!</definedName>
    <definedName name="FNDUSERID5">#REF!</definedName>
    <definedName name="FNDUSERID6">#REF!</definedName>
    <definedName name="fo">#REF!</definedName>
    <definedName name="FOB">#REF!</definedName>
    <definedName name="foo" hidden="1">{#N/A,#N/A,FALSE,"Bgt";#N/A,#N/A,FALSE,"Act";#N/A,#N/A,FALSE,"Chrt Data";#N/A,#N/A,FALSE,"Bus Result";#N/A,#N/A,FALSE,"Main Charts";#N/A,#N/A,FALSE,"P&amp;L Ttl";#N/A,#N/A,FALSE,"P&amp;L C_Ttl";#N/A,#N/A,FALSE,"P&amp;L C_Oct";#N/A,#N/A,FALSE,"P&amp;L C_Sep";#N/A,#N/A,FALSE,"1996";#N/A,#N/A,FALSE,"Data"}</definedName>
    <definedName name="FOOD">#REF!</definedName>
    <definedName name="FOOTER">#REF!</definedName>
    <definedName name="fop" hidden="1">{#N/A,#N/A,FALSE,"Title";#N/A,#N/A,FALSE,"Index";#N/A,#N/A,FALSE,"1";#N/A,#N/A,FALSE,"2";#N/A,#N/A,FALSE,"3";#N/A,#N/A,FALSE,"4";#N/A,#N/A,FALSE,"5";#N/A,#N/A,FALSE,"6";#N/A,#N/A,FALSE,"7";#N/A,#N/A,FALSE,"8"}</definedName>
    <definedName name="FORE">#REF!</definedName>
    <definedName name="Forecast" hidden="1">{"inflated_pl",#N/A,FALSE,"P&amp;L"}</definedName>
    <definedName name="Forecast_Code">#REF!</definedName>
    <definedName name="Forecast_Names">#REF!</definedName>
    <definedName name="ForecastPeriod" hidden="1">#REF!</definedName>
    <definedName name="FOREEXRS">#REF!</definedName>
    <definedName name="FOREEXUS">#REF!</definedName>
    <definedName name="Foreign">#REF!</definedName>
    <definedName name="Foreign.Info">#REF!</definedName>
    <definedName name="Foreign_Base_Company_Income">#REF!</definedName>
    <definedName name="foreignf" hidden="1">{#N/A,#N/A,FALSE,"Income";#N/A,#N/A,FALSE,"Cost of Goods Sold";#N/A,#N/A,FALSE,"Other Costs";#N/A,#N/A,FALSE,"Other Income";#N/A,#N/A,FALSE,"Taxes";#N/A,#N/A,FALSE,"Other Deductions";#N/A,#N/A,FALSE,"Compensation of Officers"}</definedName>
    <definedName name="forex">#REF!</definedName>
    <definedName name="forfeit">#REF!</definedName>
    <definedName name="forget">#REF!</definedName>
    <definedName name="forget_1">#REF!</definedName>
    <definedName name="forget_3">#REF!</definedName>
    <definedName name="forget1">#REF!</definedName>
    <definedName name="FORK">#REF!</definedName>
    <definedName name="Form_10ccac">#REF!</definedName>
    <definedName name="Form_10ccac1">#REF!</definedName>
    <definedName name="form_3cd1">#REF!</definedName>
    <definedName name="form_3cd2">#REF!</definedName>
    <definedName name="form_3cd3">#REF!</definedName>
    <definedName name="form_3cd4">#REF!</definedName>
    <definedName name="form_3cd5">#REF!</definedName>
    <definedName name="form1">#REF!</definedName>
    <definedName name="Format">#REF!</definedName>
    <definedName name="Format_Value">#REF!</definedName>
    <definedName name="Formula">#REF!</definedName>
    <definedName name="Formulaline">#REF!</definedName>
    <definedName name="Formulas">#REF!</definedName>
    <definedName name="formulaspm1">#REF!</definedName>
    <definedName name="formulaspm2">#REF!</definedName>
    <definedName name="formulaspm3">#REF!</definedName>
    <definedName name="formulaspm4">#REF!</definedName>
    <definedName name="formulaspm5">#REF!</definedName>
    <definedName name="formulaspm6">#REF!</definedName>
    <definedName name="forrest123" hidden="1">#REF!</definedName>
    <definedName name="forrest93" hidden="1">#REF!</definedName>
    <definedName name="forward">(1.1^0.25)</definedName>
    <definedName name="FOtherAxes">#REF!</definedName>
    <definedName name="Founders_Preferred">#REF!</definedName>
    <definedName name="four">#REF!</definedName>
    <definedName name="FourWeekAvg">#REF!</definedName>
    <definedName name="FP">#REF!</definedName>
    <definedName name="FPL_MOUNT">#REF!</definedName>
    <definedName name="Fps">#REF!</definedName>
    <definedName name="FQ">#REF!</definedName>
    <definedName name="FQSDF">#REF!</definedName>
    <definedName name="FR">#REF!</definedName>
    <definedName name="FR_1">#REF!</definedName>
    <definedName name="FR_2">#REF!</definedName>
    <definedName name="FR_3">#REF!</definedName>
    <definedName name="FR_4">#REF!</definedName>
    <definedName name="FR_5">#REF!</definedName>
    <definedName name="FR_6">#REF!</definedName>
    <definedName name="FR_7">#REF!</definedName>
    <definedName name="FRA">#REF!</definedName>
    <definedName name="FrAcct">#REF!</definedName>
    <definedName name="FRAMES">#REF!</definedName>
    <definedName name="FRAMES..">#REF!</definedName>
    <definedName name="FRAN">#REF!</definedName>
    <definedName name="FRANCE">#REF!</definedName>
    <definedName name="frate">#REF!</definedName>
    <definedName name="fre">#REF!</definedName>
    <definedName name="FRED_calcs_98_FooterType">"INTERNAL"</definedName>
    <definedName name="FRED_calcs_99_FooterType">"INTERNAL"</definedName>
    <definedName name="FRED_calcs_FooterType">"INTERNAL"</definedName>
    <definedName name="FRED_calculations_FooterType">"INTERNAL"</definedName>
    <definedName name="FRED_FooterType">"EXTERNAL"</definedName>
    <definedName name="FREDDY" hidden="1">{"Q2_Fcst_Fcst_Var_Detail",#N/A,FALSE,"REPORT FORMAT";"Q2_Fcst_Fcst_Var_Summary",#N/A,FALSE,"REPORT FORMAT"}</definedName>
    <definedName name="Free_Rent_Half_First_End_Date">#REF!</definedName>
    <definedName name="Free_Rent_Half_First_Start_Date">#REF!</definedName>
    <definedName name="Free_Rent_Half_Ground_End_Date">#REF!</definedName>
    <definedName name="Free_Rent_Half_Ground_Start_Date">#REF!</definedName>
    <definedName name="Freight_Est.">#REF!</definedName>
    <definedName name="FReportArea">#REF!</definedName>
    <definedName name="FReportBody">#REF!</definedName>
    <definedName name="FReportTitle">#REF!</definedName>
    <definedName name="frequency">{"Annually";"Semi-Annually";"Quarterly";"Bi-Monthly";"Monthly";"Bi-Weekly"}</definedName>
    <definedName name="FRFERFE" hidden="1">{#N/A,#N/A,FALSE,"Pharm";#N/A,#N/A,FALSE,"WWCM"}</definedName>
    <definedName name="FRFeXToEUR" hidden="1">1/EUReXToFRF</definedName>
    <definedName name="frfr">#REF!</definedName>
    <definedName name="FRJRNL">#REF!</definedName>
    <definedName name="frm">#REF!</definedName>
    <definedName name="From">#REF!</definedName>
    <definedName name="FromSH1Left2Up6">OFFSET(!A1,-5-!$A1,-2)</definedName>
    <definedName name="FromSH1Left3Down37">OFFSET(!A1,38-!$A1,-3)</definedName>
    <definedName name="FromSH1Left3Up6">OFFSET(!A1,-5-!$A1,-3)</definedName>
    <definedName name="FromSH1Left4Up6">OFFSET(!A1,-5-!$A1,-4)</definedName>
    <definedName name="FromSH1Right1Up5">OFFSET(!A1,-4-!$A1,1)</definedName>
    <definedName name="FromSH1Right1Up6">OFFSET(!A1,-5-!$A1,1)</definedName>
    <definedName name="FromSH1Up4">OFFSET(!A1,-3-!$A1,0)</definedName>
    <definedName name="FromSH1Up5">OFFSET(!A1,-4-!$A1,0)</definedName>
    <definedName name="FromSH1Up6">OFFSET(!A1,-5-!$A1,0)</definedName>
    <definedName name="FrontLine_Detail">#REF!</definedName>
    <definedName name="FRPRD">#REF!</definedName>
    <definedName name="FRS">#REF!</definedName>
    <definedName name="FRTRNDT">#REF!</definedName>
    <definedName name="FRTRNREF">#REF!</definedName>
    <definedName name="FS">#REF!</definedName>
    <definedName name="FS_Sub_Type">#REF!</definedName>
    <definedName name="FS_Type">#REF!</definedName>
    <definedName name="FS97Ratios">#REF!</definedName>
    <definedName name="fsa">#REF!</definedName>
    <definedName name="fsa_1">#REF!</definedName>
    <definedName name="fsa_2">#REF!</definedName>
    <definedName name="fsa_3">#REF!</definedName>
    <definedName name="fsa_4">#REF!</definedName>
    <definedName name="fsadf">#REF!</definedName>
    <definedName name="fsadf_1">#REF!</definedName>
    <definedName name="fsadf_2">#REF!</definedName>
    <definedName name="fsadf_3">#REF!</definedName>
    <definedName name="fsadf_4">#REF!</definedName>
    <definedName name="fsadfsaf">#REF!</definedName>
    <definedName name="fsadga">#REF!</definedName>
    <definedName name="FSAFSAF">#REF!</definedName>
    <definedName name="fsd">#REF!</definedName>
    <definedName name="fsd_1">#REF!</definedName>
    <definedName name="fsd_2">#REF!</definedName>
    <definedName name="fsd_3">#REF!</definedName>
    <definedName name="fsd_4">#REF!</definedName>
    <definedName name="fsda">#REF!</definedName>
    <definedName name="fsda_1">#REF!</definedName>
    <definedName name="fsda_2">#REF!</definedName>
    <definedName name="fsda_3">#REF!</definedName>
    <definedName name="fsda_4">#REF!</definedName>
    <definedName name="fsdafas">#REF!</definedName>
    <definedName name="fsdafas_1">#REF!</definedName>
    <definedName name="fsdafas_2">#REF!</definedName>
    <definedName name="fsdafas_3">#REF!</definedName>
    <definedName name="fsdafas_4">#REF!</definedName>
    <definedName name="fsdf">#REF!</definedName>
    <definedName name="fsdf_1">#REF!</definedName>
    <definedName name="fsdf_2">#REF!</definedName>
    <definedName name="fsdf_3">#REF!</definedName>
    <definedName name="fsdf_4">#REF!</definedName>
    <definedName name="fsdfasd">#REF!</definedName>
    <definedName name="fsdfasd_1">#REF!</definedName>
    <definedName name="fsdfasd_2">#REF!</definedName>
    <definedName name="fsdfasd_3">#REF!</definedName>
    <definedName name="fsdfasd_4">#REF!</definedName>
    <definedName name="fsdfdfa">#REF!</definedName>
    <definedName name="FSDFDS" hidden="1">{#N/A,#N/A,FALSE,"REPORT"}</definedName>
    <definedName name="fsdfdsf">Indexn1,IndexN2</definedName>
    <definedName name="fsdfsdf">#REF!</definedName>
    <definedName name="fsdfsdf_1">#REF!</definedName>
    <definedName name="fsdfsdf_2">#REF!</definedName>
    <definedName name="fsdfsdf_3">#REF!</definedName>
    <definedName name="fsdfsdf_4">#REF!</definedName>
    <definedName name="fsdfsdfs">Allx3,Allx4,Allx5</definedName>
    <definedName name="fsdsfafd" hidden="1">{"CSheet",#N/A,FALSE,"C";"SmCap",#N/A,FALSE,"VAL1";"GulfCoast",#N/A,FALSE,"VAL1";"nav",#N/A,FALSE,"NAV";"Summary",#N/A,FALSE,"NAV"}</definedName>
    <definedName name="fsgdr">#REF!</definedName>
    <definedName name="Fsmv">0</definedName>
    <definedName name="FSoPacific">#REF!</definedName>
    <definedName name="fsr">#REF!</definedName>
    <definedName name="FST">#REF!</definedName>
    <definedName name="FST_1">#REF!</definedName>
    <definedName name="FST_2">#REF!</definedName>
    <definedName name="fsv">#REF!</definedName>
    <definedName name="FSWRN.FRP"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hidden="1">{#N/A,#N/A,FALSE,"Title";#N/A,#N/A,FALSE,"Index";#N/A,#N/A,FALSE,"1";#N/A,#N/A,FALSE,"2";#N/A,#N/A,FALSE,"3";#N/A,#N/A,FALSE,"4";#N/A,#N/A,FALSE,"5";#N/A,#N/A,FALSE,"5A";#N/A,#N/A,FALSE,"6";#N/A,#N/A,FALSE,"7";#N/A,#N/A,FALSE,"8"}</definedName>
    <definedName name="ftjy">#REF!</definedName>
    <definedName name="ftrbhtrghstr">#REF!</definedName>
    <definedName name="ftrbhtrghstr_1">#REF!</definedName>
    <definedName name="ftrbhtrghstr_2">#REF!</definedName>
    <definedName name="ftrbhtrghstr_3">#REF!</definedName>
    <definedName name="ftrbhtrghstr_4">#REF!</definedName>
    <definedName name="fts">#REF!</definedName>
    <definedName name="FTT">#N/A</definedName>
    <definedName name="ftyf">#REF!</definedName>
    <definedName name="ftytf">#REF!</definedName>
    <definedName name="fuckface">#REF!</definedName>
    <definedName name="FUEL">#REF!</definedName>
    <definedName name="Full_IS">#REF!</definedName>
    <definedName name="Full256">#REF!</definedName>
    <definedName name="Full256W">#REF!</definedName>
    <definedName name="Fullcost">#REF!</definedName>
    <definedName name="FullE1">#REF!</definedName>
    <definedName name="FullE1W">#REF!</definedName>
    <definedName name="fully">#REF!</definedName>
    <definedName name="FUNCTIONALCURRENCY1">#REF!</definedName>
    <definedName name="FUNCTIONALCURRENCY2">#REF!</definedName>
    <definedName name="FUNCTIONALCURRENCY3">#REF!</definedName>
    <definedName name="FUNCTIONALCURRENCY4">#REF!</definedName>
    <definedName name="FUNCTIONALCURRENCY5">#REF!</definedName>
    <definedName name="FUNCTIONALCURRENCY6">#REF!</definedName>
    <definedName name="Funding">#REF!</definedName>
    <definedName name="fur" hidden="1">{#N/A,#N/A,FALSE,"Taxblinc";#N/A,#N/A,FALSE,"Rsvsacls"}</definedName>
    <definedName name="FURN_FIX" hidden="1">{#N/A,#N/A,FALSE,"Aging Summary";#N/A,#N/A,FALSE,"Ratio Analysis";#N/A,#N/A,FALSE,"Test 120 Day Accts";#N/A,#N/A,FALSE,"Tickmarks"}</definedName>
    <definedName name="FURNITURE_ACQUISITION_98_99">#REF!</definedName>
    <definedName name="Furnitures">#REF!</definedName>
    <definedName name="FV">2014</definedName>
    <definedName name="fvbgfchj">#REF!</definedName>
    <definedName name="fvbgfchj_1">#REF!</definedName>
    <definedName name="FVerticalAxis">#REF!</definedName>
    <definedName name="FVG" hidden="1">{#N/A,#N/A,FALSE,"Pharm";#N/A,#N/A,FALSE,"WWCM"}</definedName>
    <definedName name="fvlook">#REF!</definedName>
    <definedName name="FW">#REF!</definedName>
    <definedName name="FX">#REF!</definedName>
    <definedName name="FX_TABLE">#REF!</definedName>
    <definedName name="FX_TABLEH">#REF!</definedName>
    <definedName name="FX_TABLEV">#REF!</definedName>
    <definedName name="fxdghsfgh">#REF!</definedName>
    <definedName name="fxdghsfgh_1">#REF!</definedName>
    <definedName name="FXH">#REF!</definedName>
    <definedName name="FXrate">#REF!</definedName>
    <definedName name="FXV">#REF!</definedName>
    <definedName name="fy03aud">#REF!</definedName>
    <definedName name="fy03hkd">#REF!</definedName>
    <definedName name="fy03sgd">#REF!</definedName>
    <definedName name="fy03thb">#REF!</definedName>
    <definedName name="fy03twd">#REF!</definedName>
    <definedName name="fy12cost" hidden="1">#REF!</definedName>
    <definedName name="FY98FILE">#REF!</definedName>
    <definedName name="fyaud">#REF!</definedName>
    <definedName name="FYE">"FYE"</definedName>
    <definedName name="FYeleven">#REF!</definedName>
    <definedName name="fyf">#REF!</definedName>
    <definedName name="FYfive">#REF!</definedName>
    <definedName name="FYfour">#REF!</definedName>
    <definedName name="fyhkd">#REF!</definedName>
    <definedName name="FYI">#REF!</definedName>
    <definedName name="FYseven">#REF!</definedName>
    <definedName name="fysgd">#REF!</definedName>
    <definedName name="FYsix">#REF!</definedName>
    <definedName name="fythb">#REF!</definedName>
    <definedName name="FYthirteen">#REF!</definedName>
    <definedName name="FYthree">#REF!</definedName>
    <definedName name="fytwd">#REF!</definedName>
    <definedName name="FYtwelve">#REF!</definedName>
    <definedName name="g" hidden="1">{#N/A,#N/A,TRUE,"Condensed IS";#N/A,#N/A,TRUE,"Condensed BS";#N/A,#N/A,TRUE,"Outlook";#N/A,#N/A,TRUE,"Condensed CF";#N/A,#N/A,TRUE,"Condensed CF - qtr"}</definedName>
    <definedName name="G.A.exp.">#REF!</definedName>
    <definedName name="G_1">#REF!</definedName>
    <definedName name="g_intl">#REF!</definedName>
    <definedName name="G_L_FooterType">"INTERNAL"</definedName>
    <definedName name="G_Lhistory_FooterType">"INTERNAL"</definedName>
    <definedName name="g_total">#REF!</definedName>
    <definedName name="g_US">#REF!</definedName>
    <definedName name="G1ClearAll">g1clear,G1Clear2</definedName>
    <definedName name="G2NCheck_Red1.1">OFFSET(#REF!,1,0, EmpCount,2)</definedName>
    <definedName name="G2NCheck_Red1.2">OFFSET(#REF!,1,0, EmpCount,1)</definedName>
    <definedName name="G2NCheck_Red1.3">OFFSET(#REF!,1,0, EmpCount,4)</definedName>
    <definedName name="G2NCheck_Red2">OFFSET(#REF!,1,0, EmpCount,21)</definedName>
    <definedName name="G2NCheck_Red3">OFFSET(#REF!,1,0, EmpCount,22)</definedName>
    <definedName name="G2NCheck_Red4">OFFSET(#REF!,1,0, EmpCount,103)</definedName>
    <definedName name="G2NTM_Yellow1.1">OFFSET(#REF!,1,0, EmpCount,81)</definedName>
    <definedName name="G2NTM_Yellow1.2">OFFSET(#REF!,1,0, EmpCount,22)</definedName>
    <definedName name="G2NTM_Yellow1.3">OFFSET(#REF!,1,0, EmpCount,8)</definedName>
    <definedName name="G2NTM_Yellow1.4">OFFSET(#REF!,1,0, EmpCount,15)</definedName>
    <definedName name="G2NTM_Yellow1.5">OFFSET(#REF!,1,0, EmpCount,1)</definedName>
    <definedName name="G2NVariance_Y1.1">OFFSET(#REF!,1,0, EmpCount,81)</definedName>
    <definedName name="G2NVariance_Y1.2">OFFSET(#REF!,1,0, EmpCount,22)</definedName>
    <definedName name="G2NVariance_Y1.3">OFFSET(#REF!,1,0, EmpCount,8)</definedName>
    <definedName name="G2NVariance_Y1.4">OFFSET(#REF!,1,0, EmpCount,15)</definedName>
    <definedName name="G2NVariance_Y1.5">OFFSET(#REF!,1,0, EmpCount,2)</definedName>
    <definedName name="ga" hidden="1">{#N/A,#N/A,FALSE,"Aging Summary";#N/A,#N/A,FALSE,"Ratio Analysis";#N/A,#N/A,FALSE,"Test 120 Day Accts";#N/A,#N/A,FALSE,"Tickmarks"}</definedName>
    <definedName name="GA_1">#REF!</definedName>
    <definedName name="ga_3">#REF!</definedName>
    <definedName name="GA_SUMMARY">#REF!</definedName>
    <definedName name="gaa">#REF!</definedName>
    <definedName name="gab">#REF!</definedName>
    <definedName name="gadew">#REF!</definedName>
    <definedName name="gadfsh">#REF!</definedName>
    <definedName name="gads">#REF!</definedName>
    <definedName name="gadse">#REF!</definedName>
    <definedName name="GAE">#REF!</definedName>
    <definedName name="gaf">#REF!</definedName>
    <definedName name="gaf_1">#REF!</definedName>
    <definedName name="gaf_2">#REF!</definedName>
    <definedName name="gaf_3">#REF!</definedName>
    <definedName name="gaf_4">#REF!</definedName>
    <definedName name="gail">#REF!</definedName>
    <definedName name="galsas">{"'Feb 99'!$A$1:$G$30"}</definedName>
    <definedName name="ganehs">#REF!</definedName>
    <definedName name="ganesh">#REF!</definedName>
    <definedName name="ganesh1">#REF!</definedName>
    <definedName name="ganesh19844">#REF!</definedName>
    <definedName name="gas_to_oil">6</definedName>
    <definedName name="gasdf">#REF!</definedName>
    <definedName name="gasdf_1">#REF!</definedName>
    <definedName name="gasdf_2">#REF!</definedName>
    <definedName name="gasdf_3">#REF!</definedName>
    <definedName name="gasdf_4">#REF!</definedName>
    <definedName name="gawea">#REF!</definedName>
    <definedName name="gawen">#REF!</definedName>
    <definedName name="gb">#REF!</definedName>
    <definedName name="GBP">#REF!</definedName>
    <definedName name="gd">#REF!</definedName>
    <definedName name="gd_1">#REF!</definedName>
    <definedName name="gd_2">#REF!</definedName>
    <definedName name="gd_3">#REF!</definedName>
    <definedName name="gd_4">#REF!</definedName>
    <definedName name="GDF">#REF!</definedName>
    <definedName name="gdf_1">#REF!</definedName>
    <definedName name="gdf_2">#REF!</definedName>
    <definedName name="gdf_3">#REF!</definedName>
    <definedName name="gdf_4">#REF!</definedName>
    <definedName name="GDFA">#REF!</definedName>
    <definedName name="gdfg">#REF!</definedName>
    <definedName name="gdfg_1">#REF!</definedName>
    <definedName name="gdfg_2">#REF!</definedName>
    <definedName name="gdfg_3">#REF!</definedName>
    <definedName name="gdfg_4">#REF!</definedName>
    <definedName name="gdfgdf" hidden="1">{#N/A,#N/A,FALSE,"Pharm";#N/A,#N/A,FALSE,"WWCM"}</definedName>
    <definedName name="gdfgdfg">#REF!</definedName>
    <definedName name="gdfgdfg_1">#REF!</definedName>
    <definedName name="gdfgdfg_2">#REF!</definedName>
    <definedName name="gdfgdfg_3">#REF!</definedName>
    <definedName name="gdfgdfg_4">#REF!</definedName>
    <definedName name="gdfgh">#REF!</definedName>
    <definedName name="gdfgh_1">#REF!</definedName>
    <definedName name="gdfgh_2">#REF!</definedName>
    <definedName name="gdfgh_3">#REF!</definedName>
    <definedName name="gdfgh_4">#REF!</definedName>
    <definedName name="gdfgjj" hidden="1">#REF!</definedName>
    <definedName name="gdgf" hidden="1">{#N/A,#N/A,FALSE,"Pharm";#N/A,#N/A,FALSE,"WWCM"}</definedName>
    <definedName name="gdkjghfhfyfr">"c83"</definedName>
    <definedName name="gdsassd" hidden="1">{#N/A,#N/A,FALSE,"Australia";#N/A,#N/A,FALSE,"Austria";#N/A,#N/A,FALSE,"Belgium";#N/A,#N/A,FALSE,"Canada";#N/A,#N/A,FALSE,"France";#N/A,#N/A,FALSE,"Germany";#N/A,#N/A,FALSE,"Hong Kong";#N/A,#N/A,FALSE,"Italy";#N/A,#N/A,FALSE,"Japan";#N/A,#N/A,FALSE,"Korea";#N/A,#N/A,FALSE,"Mexico";#N/A,#N/A,FALSE,"Poland";#N/A,#N/A,FALSE,"Spain";#N/A,#N/A,FALSE,"Switzerland";#N/A,#N/A,FALSE,"UK"}</definedName>
    <definedName name="gdsassd_3">#REF!</definedName>
    <definedName name="gdsd" hidden="1">{#N/A,#N/A,FALSE,"KMC최종회의(7월) 자료"}</definedName>
    <definedName name="gdsf">#REF!</definedName>
    <definedName name="gdsf_1">#REF!</definedName>
    <definedName name="gdsf_2">#REF!</definedName>
    <definedName name="gdsf_3">#REF!</definedName>
    <definedName name="gdsf_4">#REF!</definedName>
    <definedName name="gdsgfdsg" hidden="1">{#N/A,#N/A,FALSE,"Pharm";#N/A,#N/A,FALSE,"WWCM"}</definedName>
    <definedName name="ge">#REF!</definedName>
    <definedName name="GeelCapexFcst">#REF!</definedName>
    <definedName name="gejsdfngjkosdnm">{"'Sheet1'!$A$5:$E$42"}</definedName>
    <definedName name="general">#REF!</definedName>
    <definedName name="General_Information_and_Questions">#REF!</definedName>
    <definedName name="Generic">#REF!</definedName>
    <definedName name="Genesc">#REF!</definedName>
    <definedName name="GEO">#REF!</definedName>
    <definedName name="george">#REF!</definedName>
    <definedName name="george3">#REF!</definedName>
    <definedName name="GEORSB">#REF!</definedName>
    <definedName name="GEOSEGTYPEASP">#REF!</definedName>
    <definedName name="GEOSEGTYPEB">#REF!</definedName>
    <definedName name="GEOSEGTYPEV">#REF!</definedName>
    <definedName name="GEOTYPEB">#REF!</definedName>
    <definedName name="GEOTYPEPFASP">#REF!</definedName>
    <definedName name="GEOTYPESEGCL">#REF!</definedName>
    <definedName name="geotypesegpfvlb">#REF!</definedName>
    <definedName name="geotypesegpfvlv">#REF!</definedName>
    <definedName name="GEOTYPEV">#REF!</definedName>
    <definedName name="GERM">#REF!</definedName>
    <definedName name="GERMANY">#REF!</definedName>
    <definedName name="Germany_FooterType">"INTERNAL"</definedName>
    <definedName name="GEShip">#REF!</definedName>
    <definedName name="Get_More_Web_Queries_2">#REF!</definedName>
    <definedName name="gf" hidden="1">{#N/A,#N/A,FALSE,"Aging Summary";#N/A,#N/A,FALSE,"Ratio Analysis";#N/A,#N/A,FALSE,"Test 120 Day Accts";#N/A,#N/A,FALSE,"Tickmarks"}</definedName>
    <definedName name="gf_3">#REF!</definedName>
    <definedName name="GFACTOR_9901기준">#REF!</definedName>
    <definedName name="gfad">#REF!</definedName>
    <definedName name="gfasd">#REF!</definedName>
    <definedName name="gfbngnhjdf">#REF!</definedName>
    <definedName name="gfbngnhjdf_1">#REF!</definedName>
    <definedName name="gfbngnhjdf_2">#REF!</definedName>
    <definedName name="gfbngnhjdf_3">#REF!</definedName>
    <definedName name="gfbngnhjdf_4">#REF!</definedName>
    <definedName name="gfd" hidden="1">{#N/A,#N/A,TRUE,"CPRD";#N/A,#N/A,TRUE,"BCCPDR";#N/A,#N/A,TRUE,"EWRD";#N/A,#N/A,TRUE,"5100";#N/A,#N/A,TRUE,"5110"}</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f">#REF!</definedName>
    <definedName name="gffff">#REF!</definedName>
    <definedName name="gfg">#REF!</definedName>
    <definedName name="gfgf" hidden="1">{#N/A,#N/A,FALSE,"REPORT"}</definedName>
    <definedName name="gfh">#REF!</definedName>
    <definedName name="gfh_1">#REF!</definedName>
    <definedName name="gfh_2">#REF!</definedName>
    <definedName name="gfh_3">#REF!</definedName>
    <definedName name="gfh_4">#REF!</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#REF!</definedName>
    <definedName name="gfjf">#REF!</definedName>
    <definedName name="gfjfj">#REF!</definedName>
    <definedName name="gfjfj_1">#REF!</definedName>
    <definedName name="gfjfj_2">#REF!</definedName>
    <definedName name="gfjfj_3">#REF!</definedName>
    <definedName name="gfjfj_4">#REF!</definedName>
    <definedName name="gfjgfj">#REF!</definedName>
    <definedName name="gfjgfjgf">#REF!</definedName>
    <definedName name="GFJHGJHGJKH">{"'OCT  VOIDS'!$A$1:$G$33","'OCT '!$A$1:$G$48","'OCT Adj'!$A$1:$L$37"}</definedName>
    <definedName name="gfkhk">#REF!</definedName>
    <definedName name="gfsdhgsfdhjggsdh" hidden="1">{#N/A,#N/A,FALSE,"Australia";#N/A,#N/A,FALSE,"Austria";#N/A,#N/A,FALSE,"Belgium";#N/A,#N/A,FALSE,"Canada";#N/A,#N/A,FALSE,"France";#N/A,#N/A,FALSE,"Germany";#N/A,#N/A,FALSE,"Hong Kong";#N/A,#N/A,FALSE,"Italy";#N/A,#N/A,FALSE,"Japan";#N/A,#N/A,FALSE,"Korea";#N/A,#N/A,FALSE,"Mexico";#N/A,#N/A,FALSE,"Poland";#N/A,#N/A,FALSE,"Spain";#N/A,#N/A,FALSE,"Switzerland";#N/A,#N/A,FALSE,"UK"}</definedName>
    <definedName name="gfsdhgsfdhjggsdh_3">#REF!</definedName>
    <definedName name="gfsdn">#REF!</definedName>
    <definedName name="gg">#REF!</definedName>
    <definedName name="gg_1">#REF!</definedName>
    <definedName name="gg_2">#REF!</definedName>
    <definedName name="gg_3">#REF!</definedName>
    <definedName name="gg_4">#REF!</definedName>
    <definedName name="ggg">#REF!</definedName>
    <definedName name="gggff">#REF!</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_3">#REF!</definedName>
    <definedName name="GGGGGGGGGGGGG">#REF!</definedName>
    <definedName name="GGGH">#REF!</definedName>
    <definedName name="GGHH">#REF!</definedName>
    <definedName name="ggsdf">#REF!</definedName>
    <definedName name="ggsdf_1">#REF!</definedName>
    <definedName name="ggsdf_2">#REF!</definedName>
    <definedName name="ggsdf_3">#REF!</definedName>
    <definedName name="ggsdf_4">#REF!</definedName>
    <definedName name="gh">#REF!</definedName>
    <definedName name="gh_1">#REF!</definedName>
    <definedName name="gh_2">#REF!</definedName>
    <definedName name="gh_3">#REF!</definedName>
    <definedName name="gh_4">#REF!</definedName>
    <definedName name="GHD">#REF!</definedName>
    <definedName name="ghdf">#REF!</definedName>
    <definedName name="ghdf_1">#REF!</definedName>
    <definedName name="ghdf_2">#REF!</definedName>
    <definedName name="ghdf_3">#REF!</definedName>
    <definedName name="ghdf_4">#REF!</definedName>
    <definedName name="GHDSAG" hidden="1">{#N/A,#N/A,FALSE,"Pharm";#N/A,#N/A,FALSE,"WWCM"}</definedName>
    <definedName name="ghfghgf">#REF!</definedName>
    <definedName name="ghgjh">#REF!</definedName>
    <definedName name="ghgtj" hidden="1">{#N/A,#N/A,TRUE,"Summary";#N/A,#N/A,TRUE,"Description";#N/A,#N/A,TRUE,"AstLst";#N/A,#N/A,TRUE,"CshFlow";#N/A,#N/A,TRUE,"Inc-Stmt";#N/A,#N/A,TRUE,"B-Sht"}</definedName>
    <definedName name="ghi">#REF!</definedName>
    <definedName name="ghjg">#REF!</definedName>
    <definedName name="ghjggjh" hidden="1">{#N/A,#N/A,FALSE,"Pharm";#N/A,#N/A,FALSE,"WWCM"}</definedName>
    <definedName name="ghjkhgk">#REF!</definedName>
    <definedName name="ghjkhjkhjkh">#REF!</definedName>
    <definedName name="ghjnhnnhj">#REF!</definedName>
    <definedName name="ghjnhnnhj_1">#REF!</definedName>
    <definedName name="ghjnhnnhj_2">#REF!</definedName>
    <definedName name="ghjnhnnhj_3">#REF!</definedName>
    <definedName name="ghjnhnnhj_4">#REF!</definedName>
    <definedName name="ghk" hidden="1">{#N/A,#N/A,FALSE,"Pharm";#N/A,#N/A,FALSE,"WWCM"}</definedName>
    <definedName name="ghkghk">#REF!</definedName>
    <definedName name="ghkgjkhjkhjk">#REF!</definedName>
    <definedName name="ghkhjkjhkjh">#REF!</definedName>
    <definedName name="ghkjhkhk">#REF!</definedName>
    <definedName name="ghmkjf">#REF!</definedName>
    <definedName name="ghmkjf_1">#REF!</definedName>
    <definedName name="ghmkjf_2">#REF!</definedName>
    <definedName name="ghmkjf_3">#REF!</definedName>
    <definedName name="ghmkjf_4">#REF!</definedName>
    <definedName name="gilgul">#REF!</definedName>
    <definedName name="gilgul_rivon_kodem">#REF!</definedName>
    <definedName name="gjdft">#REF!</definedName>
    <definedName name="GJGJGJG">#REF!</definedName>
    <definedName name="GJJ">#REF!</definedName>
    <definedName name="gjty">#REF!</definedName>
    <definedName name="gjygj">#REF!</definedName>
    <definedName name="gkhluoueurqqwireqwrj">5</definedName>
    <definedName name="gkn">#REF!</definedName>
    <definedName name="gl">#REF!</definedName>
    <definedName name="GL_Balance">#REF!</definedName>
    <definedName name="GL_Convert">#REF!</definedName>
    <definedName name="gla" hidden="1">{#N/A,#N/A,FALSE,"Inc Month";#N/A,#N/A,FALSE,"Inc YTD";#N/A,#N/A,FALSE,"Bal Sheet";#N/A,#N/A,FALSE,"Base Cert";#N/A,#N/A,FALSE,"AR-Detail";#N/A,#N/A,FALSE,"PAC Bal";#N/A,#N/A,FALSE,"PAC Cash";#N/A,#N/A,FALSE,"Equity";#N/A,#N/A,FALSE,"PEI Bal";#N/A,#N/A,FALSE,"PEI Cash"}</definedName>
    <definedName name="Glad">#REF!</definedName>
    <definedName name="GLADDATA">#REF!</definedName>
    <definedName name="GLANCE">#REF!</definedName>
    <definedName name="Glaxo">#REF!</definedName>
    <definedName name="GLCR">#REF!</definedName>
    <definedName name="glcredits">#REF!</definedName>
    <definedName name="GlDR">#REF!</definedName>
    <definedName name="GlideChartMarker">"Chart!A1"</definedName>
    <definedName name="GlideDataMarker">"Data!A1"</definedName>
    <definedName name="GlideHiddenMarker">"Costcurvedata!A1"</definedName>
    <definedName name="GlideMaxCharts">7</definedName>
    <definedName name="global_tax">#REF!</definedName>
    <definedName name="global_tax2">#REF!</definedName>
    <definedName name="globalcsmrevenue">#REF!</definedName>
    <definedName name="GLTRX">#REF!</definedName>
    <definedName name="GM">#REF!</definedName>
    <definedName name="gmaint">84000</definedName>
    <definedName name="gmcomm">17957.67</definedName>
    <definedName name="gmd" hidden="1">{#N/A,#N/A,FALSE,"REPORT"}</definedName>
    <definedName name="gmr">#REF!</definedName>
    <definedName name="gnaes">#REF!</definedName>
    <definedName name="go">#REF!</definedName>
    <definedName name="GO_____">#REF!</definedName>
    <definedName name="Goa">#REF!</definedName>
    <definedName name="GoAssetChart">#N/A</definedName>
    <definedName name="GoBack">#N/A</definedName>
    <definedName name="GoBalanceSheet">#N/A</definedName>
    <definedName name="GoCashFlow">#N/A</definedName>
    <definedName name="GoData">#N/A</definedName>
    <definedName name="GOES_BACK_TO_FI">#REF!</definedName>
    <definedName name="GOES_BACK_TO_RE">#REF!</definedName>
    <definedName name="GOFER">#REF!</definedName>
    <definedName name="GOILOAN">#REF!</definedName>
    <definedName name="GoIncomeChart">#N/A</definedName>
    <definedName name="GoingConcernScenarios">#REF!</definedName>
    <definedName name="golia">#REF!</definedName>
    <definedName name="goo">#REF!</definedName>
    <definedName name="good">{"'Budget v2'!$B$78:$H$95","'Budget v2'!$B$78:$M$95"}</definedName>
    <definedName name="goodwill">#REF!</definedName>
    <definedName name="google.data">#REF!</definedName>
    <definedName name="gooo">#REF!</definedName>
    <definedName name="gosbal">499230.33</definedName>
    <definedName name="gotof4">#REF!</definedName>
    <definedName name="GoToF4Ytd">#REF!</definedName>
    <definedName name="gotos3">#REF!</definedName>
    <definedName name="GoToWaterfall">#REF!</definedName>
    <definedName name="gpcomm">142950</definedName>
    <definedName name="GpDollars">#REF!</definedName>
    <definedName name="gproduct">443140</definedName>
    <definedName name="gprpayment">0</definedName>
    <definedName name="gqpayment">135620.67</definedName>
    <definedName name="Grade_Names">#REF!</definedName>
    <definedName name="GradeChg">#REF!</definedName>
    <definedName name="Grand_Total">#REF!</definedName>
    <definedName name="GrandTotal">#REF!</definedName>
    <definedName name="graph" hidden="1">{#N/A,#N/A,FALSE,"REPORT"}</definedName>
    <definedName name="graphs2" hidden="1">{#N/A,#N/A,FALSE,"REPORT"}</definedName>
    <definedName name="grasim">#REF!</definedName>
    <definedName name="GRate">#REF!</definedName>
    <definedName name="GRBLOCK">#REF!</definedName>
    <definedName name="grd">#REF!</definedName>
    <definedName name="grd_1">#REF!</definedName>
    <definedName name="greerererer">#REF!</definedName>
    <definedName name="Greg">#REF!</definedName>
    <definedName name="grftegt" hidden="1">{#N/A,#N/A,FALSE,"REPORT"}</definedName>
    <definedName name="Grid">#REF!</definedName>
    <definedName name="GridCash">#REF!</definedName>
    <definedName name="gross">#REF!</definedName>
    <definedName name="Gross_inc_growth">#REF!</definedName>
    <definedName name="Gross_Margin___Rs_M">#REF!</definedName>
    <definedName name="Gross_margin_fore">#REF!</definedName>
    <definedName name="Gross_Profit">#REF!</definedName>
    <definedName name="GROSS_REAL">#REF!</definedName>
    <definedName name="grossprofit">#REF!</definedName>
    <definedName name="GROUP">#REF!</definedName>
    <definedName name="Group1">#REF!</definedName>
    <definedName name="Group2">#REF!</definedName>
    <definedName name="Group4">#REF!</definedName>
    <definedName name="Grouped">#REF!</definedName>
    <definedName name="groupings">#REF!</definedName>
    <definedName name="groupings1">#REF!</definedName>
    <definedName name="groups">#REF!</definedName>
    <definedName name="GrphActSales">#REF!</definedName>
    <definedName name="GrphActSales.">#REF!</definedName>
    <definedName name="GrphActStk">#REF!</definedName>
    <definedName name="GrphActStk.">#REF!</definedName>
    <definedName name="GrphPlanSales">#REF!</definedName>
    <definedName name="Grphplansales.">#REF!</definedName>
    <definedName name="GrphTgtStk">#REF!</definedName>
    <definedName name="Grphtgtstk.">#REF!</definedName>
    <definedName name="GRPL">#REF!</definedName>
    <definedName name="GRPS">#REF!</definedName>
    <definedName name="grwvfs">#REF!</definedName>
    <definedName name="grwvfs_1">#REF!</definedName>
    <definedName name="gscomm">15500</definedName>
    <definedName name="gsd">#REF!</definedName>
    <definedName name="gsd_1">#REF!</definedName>
    <definedName name="gsd_2">#REF!</definedName>
    <definedName name="gsd_3">#REF!</definedName>
    <definedName name="gsd_4">#REF!</definedName>
    <definedName name="gsdf">#REF!</definedName>
    <definedName name="gsdf_1">#REF!</definedName>
    <definedName name="gsdf_2">#REF!</definedName>
    <definedName name="gsdf_3">#REF!</definedName>
    <definedName name="gsdf_4">#REF!</definedName>
    <definedName name="gsdfdf">#REF!</definedName>
    <definedName name="gsdfdf_1">#REF!</definedName>
    <definedName name="gsdfdf_2">#REF!</definedName>
    <definedName name="gsdfdf_3">#REF!</definedName>
    <definedName name="gsdfdf_4">#REF!</definedName>
    <definedName name="gsdfgfdhg" hidden="1">{#N/A,#N/A,FALSE,"Pharm";#N/A,#N/A,FALSE,"WWCM"}</definedName>
    <definedName name="gsdfgsdf_1">#REF!</definedName>
    <definedName name="gsdfgsdf_2">#REF!</definedName>
    <definedName name="gsdfgsdf_3">#REF!</definedName>
    <definedName name="gsdfgsdf_4">#REF!</definedName>
    <definedName name="gsdfsf">#REF!</definedName>
    <definedName name="gsdfsf_1">#REF!</definedName>
    <definedName name="gsdfsf_2">#REF!</definedName>
    <definedName name="gsdfsf_3">#REF!</definedName>
    <definedName name="gsdfsf_4">#REF!</definedName>
    <definedName name="gservice">107711</definedName>
    <definedName name="gsfdgfsdgrydet" hidden="1">{#N/A,#N/A,FALSE,"Pharm";#N/A,#N/A,FALSE,"WWCM"}</definedName>
    <definedName name="gsfdh">#REF!</definedName>
    <definedName name="gsfdh_1">#REF!</definedName>
    <definedName name="gsfdh_2">#REF!</definedName>
    <definedName name="gsfdh_3">#REF!</definedName>
    <definedName name="gsfdh_4">#REF!</definedName>
    <definedName name="gsfgs">#REF!</definedName>
    <definedName name="gsgseg">#REF!</definedName>
    <definedName name="gsrgr">#REF!</definedName>
    <definedName name="GST">#REF!</definedName>
    <definedName name="GTFixedPrice">#REF!</definedName>
    <definedName name="gtotal">634851</definedName>
    <definedName name="GTScaler">#REF!</definedName>
    <definedName name="GTVariablePrice">#REF!</definedName>
    <definedName name="gu">#REF!</definedName>
    <definedName name="GUIDELINES">#REF!</definedName>
    <definedName name="guj_ambuja">#REF!</definedName>
    <definedName name="gujambuja">#REF!</definedName>
    <definedName name="gujaratalka">#REF!</definedName>
    <definedName name="gujaratambuja">#REF!</definedName>
    <definedName name="Gujratambuja">#REF!</definedName>
    <definedName name="gus">#REF!</definedName>
    <definedName name="gusg" hidden="1">{#N/A,#N/A,TRUE,"Summary";#N/A,#N/A,TRUE,"IS";#N/A,#N/A,TRUE,"Adj";#N/A,#N/A,TRUE,"BS";#N/A,#N/A,TRUE,"CF";#N/A,#N/A,TRUE,"Debt";#N/A,#N/A,TRUE,"IRR"}</definedName>
    <definedName name="gusrmagmfma" hidden="1">{#N/A,#N/A,TRUE,"Summary";#N/A,#N/A,TRUE,"IS";#N/A,#N/A,TRUE,"Adj";#N/A,#N/A,TRUE,"BS";#N/A,#N/A,TRUE,"CF";#N/A,#N/A,TRUE,"Debt";#N/A,#N/A,TRUE,"IRR"}</definedName>
    <definedName name="GVJH">#REF!</definedName>
    <definedName name="GVKey">""</definedName>
    <definedName name="GWEEygera">#REF!</definedName>
    <definedName name="GWIP">#REF!</definedName>
    <definedName name="GWYUID1">#REF!</definedName>
    <definedName name="GWYUID2">#REF!</definedName>
    <definedName name="GWYUID3">#REF!</definedName>
    <definedName name="GWYUID4">#REF!</definedName>
    <definedName name="GWYUID5">#REF!</definedName>
    <definedName name="GWYUID6">#REF!</definedName>
    <definedName name="gytuy">#REF!</definedName>
    <definedName name="gyuy">#REF!</definedName>
    <definedName name="h">#REF!</definedName>
    <definedName name="H_1">{"'Sheet1'!$A$5:$E$42"}</definedName>
    <definedName name="H_1_1">{"'Sheet1'!$A$5:$E$42"}</definedName>
    <definedName name="H_1_2">{"'Sheet1'!$A$5:$E$42"}</definedName>
    <definedName name="H_1_3">{"'Sheet1'!$A$5:$E$42"}</definedName>
    <definedName name="H_2">{"'Sheet1'!$A$5:$E$42"}</definedName>
    <definedName name="H_3">{"'Sheet1'!$A$5:$E$42"}</definedName>
    <definedName name="H_4">{"'Sheet1'!$A$5:$E$42"}</definedName>
    <definedName name="H1_">#REF!</definedName>
    <definedName name="ha">#REF!</definedName>
    <definedName name="Haelth.">#REF!</definedName>
    <definedName name="Handling_Charges">#REF!</definedName>
    <definedName name="harish">#REF!</definedName>
    <definedName name="hb">#REF!</definedName>
    <definedName name="HBA">#REF!</definedName>
    <definedName name="hbhbhj">#REF!</definedName>
    <definedName name="hbhbhj_3">#REF!</definedName>
    <definedName name="HC" hidden="1">{#N/A,#N/A,FALSE,"MP96"}</definedName>
    <definedName name="hcc감가">#REF!</definedName>
    <definedName name="hcc매출">#REF!</definedName>
    <definedName name="hcc인원">#REF!</definedName>
    <definedName name="hd" hidden="1">{#N/A,#N/A,FALSE,"Pharm";#N/A,#N/A,FALSE,"WWCM"}</definedName>
    <definedName name="HdctTrnd">#REF!</definedName>
    <definedName name="hdf" hidden="1">{#N/A,#N/A,FALSE,"REPORT"}</definedName>
    <definedName name="hdfc">#REF!</definedName>
    <definedName name="hdfcbank">#REF!</definedName>
    <definedName name="hdfg">#REF!</definedName>
    <definedName name="hdfg_1">#REF!</definedName>
    <definedName name="hdfg_2">#REF!</definedName>
    <definedName name="hdfg_3">#REF!</definedName>
    <definedName name="hdfg_4">#REF!</definedName>
    <definedName name="hdghgfhdfh" hidden="1">{#N/A,#N/A,FALSE,"Pharm";#N/A,#N/A,FALSE,"WWCM"}</definedName>
    <definedName name="hdn2oui3nbd">17</definedName>
    <definedName name="HDP">#REF!</definedName>
    <definedName name="hds">#REF!</definedName>
    <definedName name="hds_1">#REF!</definedName>
    <definedName name="hds_2">#REF!</definedName>
    <definedName name="hds_3">#REF!</definedName>
    <definedName name="hds_4">#REF!</definedName>
    <definedName name="hdsfh" hidden="1">{#N/A,#N/A,FALSE,"Pharm";#N/A,#N/A,FALSE,"WWCM"}</definedName>
    <definedName name="hdtm">#REF!</definedName>
    <definedName name="hdtm_1">#REF!</definedName>
    <definedName name="he">#REF!</definedName>
    <definedName name="hea">#REF!</definedName>
    <definedName name="HEAD">#REF!</definedName>
    <definedName name="Headcount">#REF!</definedName>
    <definedName name="Headcount2">{"'WS Sales by Rep'!$A$24:$L$46"}</definedName>
    <definedName name="Headcount2_1">{"'WS Sales by Rep'!$A$24:$L$46"}</definedName>
    <definedName name="Header">#REF!</definedName>
    <definedName name="Header_Area">#REF!</definedName>
    <definedName name="HEALTH">#REF!</definedName>
    <definedName name="Heat" hidden="1">#REF!</definedName>
    <definedName name="HedgeTotal">#REF!</definedName>
    <definedName name="helek_yahsi">#REF!</definedName>
    <definedName name="HELLO" hidden="1">{#N/A,#N/A,TRUE,"Key Indices";#N/A,#N/A,TRUE,"Mfg Spending";#N/A,#N/A,TRUE,"Mfg Spending Per Unit";#N/A,#N/A,TRUE,"Spending by Organization";#N/A,#N/A,TRUE,"Inventory";#N/A,#N/A,TRUE,"IDM";#N/A,#N/A,TRUE,"Equipment";#N/A,#N/A,TRUE,"Headcount"}</definedName>
    <definedName name="Hello1">#REF!</definedName>
    <definedName name="help">#REF!</definedName>
    <definedName name="herohonda">#REF!</definedName>
    <definedName name="hfd">#REF!</definedName>
    <definedName name="hfdsdadsfgf">#REF!</definedName>
    <definedName name="hfgh" hidden="1">{#N/A,#N/A,FALSE,"Pharm";#N/A,#N/A,FALSE,"WWCM"}</definedName>
    <definedName name="HFJ" hidden="1">{#N/A,#N/A,FALSE,"REPORT"}</definedName>
    <definedName name="hfjm">#REF!</definedName>
    <definedName name="hfjm_1">#REF!</definedName>
    <definedName name="hfydf">#REF!</definedName>
    <definedName name="hg" hidden="1">{#N/A,#N/A,FALSE,"Pharm";#N/A,#N/A,FALSE,"WWCM"}</definedName>
    <definedName name="HGDSH" hidden="1">{#N/A,#N/A,FALSE,"Pharm";#N/A,#N/A,FALSE,"WWCM"}</definedName>
    <definedName name="hger" hidden="1">{#N/A,#N/A,FALSE,"REPORT"}</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FDHGF" hidden="1">{#N/A,#N/A,FALSE,"REPORT"}</definedName>
    <definedName name="hgfhfgh">#REF!</definedName>
    <definedName name="HGFHGFDH" hidden="1">{#N/A,#N/A,FALSE,"Pharm";#N/A,#N/A,FALSE,"WWCM"}</definedName>
    <definedName name="hgfhgg">#REF!</definedName>
    <definedName name="hgfhtr">#REF!</definedName>
    <definedName name="hgfjfh">#REF!</definedName>
    <definedName name="hgfjfh_1">#REF!</definedName>
    <definedName name="hgfjfh_2">#REF!</definedName>
    <definedName name="hgfjfh_3">#REF!</definedName>
    <definedName name="hgfjfh_4">#REF!</definedName>
    <definedName name="hghjgjh">#REF!</definedName>
    <definedName name="HGJ">#REF!</definedName>
    <definedName name="HGJDJ">#REF!</definedName>
    <definedName name="hgkh">#REF!</definedName>
    <definedName name="hgkhjk" hidden="1">{#N/A,#N/A,FALSE,"Pharm";#N/A,#N/A,FALSE,"WWCM"}</definedName>
    <definedName name="hgsrt">#REF!</definedName>
    <definedName name="hh">#REF!</definedName>
    <definedName name="hhfdh" hidden="1">{#N/A,#N/A,FALSE,"Pharm";#N/A,#N/A,FALSE,"WWCM"}</definedName>
    <definedName name="hhgjghj">#REF!</definedName>
    <definedName name="hhh">#REF!</definedName>
    <definedName name="HHHH">#REF!</definedName>
    <definedName name="HHHHHHHHHHH">#REF!</definedName>
    <definedName name="hhhsdf">#REF!</definedName>
    <definedName name="HHIhs">#REF!</definedName>
    <definedName name="hi">#REF!</definedName>
    <definedName name="HICOUT">#N/A</definedName>
    <definedName name="HiddenRows">#REF!</definedName>
    <definedName name="hij">#REF!</definedName>
    <definedName name="hijs">#REF!</definedName>
    <definedName name="Hillview">#REF!</definedName>
    <definedName name="hind">#REF!</definedName>
    <definedName name="hind_petro">#REF!</definedName>
    <definedName name="Hindalco">#REF!</definedName>
    <definedName name="Hindlever">#REF!</definedName>
    <definedName name="hindpetro">#REF!</definedName>
    <definedName name="hindustan_lever">#REF!</definedName>
    <definedName name="HindustanPetro">#REF!</definedName>
    <definedName name="hjghj">#REF!</definedName>
    <definedName name="hjhjhj">#REF!</definedName>
    <definedName name="hjhjhj_1">#REF!</definedName>
    <definedName name="hjhjhj_2">#REF!</definedName>
    <definedName name="hjhjhj_3">#REF!</definedName>
    <definedName name="hjhjhj_4">#REF!</definedName>
    <definedName name="hjhka">#REF!</definedName>
    <definedName name="hjhohjk" hidden="1">{"FN_JE98",#N/A,FALSE,"98 W Options"}</definedName>
    <definedName name="hjhyjy">#REF!</definedName>
    <definedName name="hjjh" hidden="1">{"'08-14'!$A$3:$I$112"}</definedName>
    <definedName name="hjjjh" hidden="1">{#N/A,#N/A,FALSE,"Aging Summary";#N/A,#N/A,FALSE,"Ratio Analysis";#N/A,#N/A,FALSE,"Test 120 Day Accts";#N/A,#N/A,FALSE,"Tickmarks"}</definedName>
    <definedName name="hjjjh_3">#REF!</definedName>
    <definedName name="hjk">#REF!</definedName>
    <definedName name="hjk_1">#REF!</definedName>
    <definedName name="HJK_SUM">#REF!</definedName>
    <definedName name="hjkh">#REF!</definedName>
    <definedName name="hjkjl">#REF!</definedName>
    <definedName name="hjkjlkj">#REF!</definedName>
    <definedName name="hjklhu">#REF!</definedName>
    <definedName name="hjkljlj">#REF!</definedName>
    <definedName name="hjkljlk">#REF!</definedName>
    <definedName name="HJKOL" hidden="1">#N/A</definedName>
    <definedName name="hjlkhgkh">#REF!</definedName>
    <definedName name="hjutyu">#REF!</definedName>
    <definedName name="HK">#REF!</definedName>
    <definedName name="hka">#REF!</definedName>
    <definedName name="HKCCC_Aug03">#REF!</definedName>
    <definedName name="hkd">#REF!</definedName>
    <definedName name="HKIS2Q2">#REF!</definedName>
    <definedName name="HKIS3Q2">#REF!</definedName>
    <definedName name="hkk">#REF!</definedName>
    <definedName name="hkk_1">#REF!</definedName>
    <definedName name="HLREC">#REF!</definedName>
    <definedName name="HMG" hidden="1">{#N/A,#N/A,FALSE,"REPORT"}</definedName>
    <definedName name="hmngf">#REF!</definedName>
    <definedName name="hmngf_1">#REF!</definedName>
    <definedName name="hn._I006">#REF!</definedName>
    <definedName name="hn._I018">#REF!</definedName>
    <definedName name="hn._I024">#REF!</definedName>
    <definedName name="hn._I028">#REF!</definedName>
    <definedName name="hn._I029">#REF!</definedName>
    <definedName name="hn._I030">#REF!</definedName>
    <definedName name="hn._I031">#REF!</definedName>
    <definedName name="hn._I059">#REF!</definedName>
    <definedName name="hn._I071">#REF!</definedName>
    <definedName name="hn._I075">#REF!</definedName>
    <definedName name="hn._I083">#REF!</definedName>
    <definedName name="hn._I085">#REF!</definedName>
    <definedName name="hn._P001">#REF!</definedName>
    <definedName name="hn._P004">#REF!</definedName>
    <definedName name="hn._P014">#REF!</definedName>
    <definedName name="hn._P016">#REF!</definedName>
    <definedName name="hn._P021">#REF!</definedName>
    <definedName name="hn._P024">#REF!</definedName>
    <definedName name="hn.Add015">#REF!</definedName>
    <definedName name="hn.Delete015">#REF!</definedName>
    <definedName name="hn.ExtDb" hidden="1">FALSE</definedName>
    <definedName name="hn.ModelType" hidden="1">"DEAL"</definedName>
    <definedName name="hn.ModelVersion" hidden="1">1</definedName>
    <definedName name="hn.NoUpload" hidden="1">0</definedName>
    <definedName name="hn.PrivateLTMYear">#REF!</definedName>
    <definedName name="HO_COMMON">#REF!</definedName>
    <definedName name="HO_Uncommon">#REF!</definedName>
    <definedName name="hod">#REF!</definedName>
    <definedName name="hod_1">#REF!</definedName>
    <definedName name="hod_2">#REF!</definedName>
    <definedName name="hod_3">#REF!</definedName>
    <definedName name="hod_4">#REF!</definedName>
    <definedName name="holdback_without_3">#REF!</definedName>
    <definedName name="HoldingsPrintArea">#REF!</definedName>
    <definedName name="holdper">#REF!</definedName>
    <definedName name="holdper2">#REF!</definedName>
    <definedName name="Holidays">#REF!</definedName>
    <definedName name="HOLL">#REF!</definedName>
    <definedName name="HOLLAND">#REF!</definedName>
    <definedName name="home">#REF!</definedName>
    <definedName name="HomeKee_Drug">#REF!</definedName>
    <definedName name="HONGK_Aug03">#REF!</definedName>
    <definedName name="Hooi_Choo_Teh">#REF!</definedName>
    <definedName name="hoppner" hidden="1">{#N/A,#N/A,TRUE,"R&amp;D";#N/A,#N/A,TRUE,"Drct exp";#N/A,#N/A,TRUE,"OPEX";#N/A,#N/A,TRUE,"R&amp;D";#N/A,#N/A,TRUE,"S&amp;M";#N/A,#N/A,TRUE,"G&amp;A"}</definedName>
    <definedName name="Horz">{"'MIS format'!$B$2:$W$101"}</definedName>
    <definedName name="houeling">#REF!</definedName>
    <definedName name="HOURS">#REF!</definedName>
    <definedName name="HOURS..">#REF!</definedName>
    <definedName name="houy">#REF!</definedName>
    <definedName name="houy_1">#REF!</definedName>
    <definedName name="houy_2">#REF!</definedName>
    <definedName name="houy_3">#REF!</definedName>
    <definedName name="houy_4">#REF!</definedName>
    <definedName name="HO비">#REF!</definedName>
    <definedName name="hp">#REF!</definedName>
    <definedName name="hpcl">#REF!</definedName>
    <definedName name="HPD">#REF!</definedName>
    <definedName name="HPDDATA">#REF!</definedName>
    <definedName name="hpm">#REF!</definedName>
    <definedName name="hpy">#REF!</definedName>
    <definedName name="HQ">#REF!</definedName>
    <definedName name="HQOTHER">#REF!</definedName>
    <definedName name="HR">#REF!</definedName>
    <definedName name="hr_1">#REF!</definedName>
    <definedName name="hr_2">#REF!</definedName>
    <definedName name="hr_3">#REF!</definedName>
    <definedName name="hr_4">#REF!</definedName>
    <definedName name="hracla">#REF!</definedName>
    <definedName name="HRGLOBAL_SCHEMA_GLOBAL_HR_PROFILE">#REF!</definedName>
    <definedName name="HRSGFlow">#REF!</definedName>
    <definedName name="hrtrt">#REF!</definedName>
    <definedName name="hrwth" hidden="1">{#N/A,#N/A,FALSE,"REPORT"}</definedName>
    <definedName name="hs">#REF!</definedName>
    <definedName name="hs_1">#REF!</definedName>
    <definedName name="hs_2">#REF!</definedName>
    <definedName name="hs_3">#REF!</definedName>
    <definedName name="hs_4">#REF!</definedName>
    <definedName name="HSBC_CC">#REF!</definedName>
    <definedName name="hsdhdr">#REF!</definedName>
    <definedName name="HspLogonApplication">"'UTSIplan'"</definedName>
    <definedName name="HspLogonDomain">"'CAHYPAPP'"</definedName>
    <definedName name="HspLogonServer">"'cahypapp'"</definedName>
    <definedName name="HspLogonUserName">"'HypAdmin'"</definedName>
    <definedName name="ht">{"'표지'!$B$5"}</definedName>
    <definedName name="htgrer">#REF!</definedName>
    <definedName name="hth">#REF!</definedName>
    <definedName name="htht">#REF!</definedName>
    <definedName name="hthtrh">#REF!</definedName>
    <definedName name="hthtrh_1">#REF!</definedName>
    <definedName name="hthtrh_2">#REF!</definedName>
    <definedName name="hthtrh_3">#REF!</definedName>
    <definedName name="hthtrh_4">#REF!</definedName>
    <definedName name="htm">{"'WS Sales by Rep'!$A$24:$L$46"}</definedName>
    <definedName name="htm_1">{"'WS Sales by Rep'!$A$24:$L$46"}</definedName>
    <definedName name="htm_cc">{"'WS Sales by Rep'!$A$24:$L$46"}</definedName>
    <definedName name="htm_cc_1">{"'WS Sales by Rep'!$A$24:$L$46"}</definedName>
    <definedName name="htm_cc_ws">{"'WS Sales by Rep'!$A$24:$L$46"}</definedName>
    <definedName name="htm_cc_ws_1">{"'WS Sales by Rep'!$A$24:$L$46"}</definedName>
    <definedName name="htm_cc_ws4">{"'WS Sales by Rep'!$A$24:$L$46"}</definedName>
    <definedName name="htm_cc_ws4_1">{"'WS Sales by Rep'!$A$24:$L$46"}</definedName>
    <definedName name="htm_cc2">{"'WS Sales by Rep'!$A$24:$L$46"}</definedName>
    <definedName name="htm_cc2_1">{"'WS Sales by Rep'!$A$24:$L$46"}</definedName>
    <definedName name="htm_cc2_ws">{"'WS Sales by Rep'!$A$24:$L$46"}</definedName>
    <definedName name="htm_cc2_ws_1">{"'WS Sales by Rep'!$A$24:$L$46"}</definedName>
    <definedName name="htm_cc3">{"'WS Sales by Rep'!$A$24:$L$46"}</definedName>
    <definedName name="htm_cc3_1">{"'WS Sales by Rep'!$A$24:$L$46"}</definedName>
    <definedName name="htm_cc3_ws">{"'WS Sales by Rep'!$A$24:$L$46"}</definedName>
    <definedName name="htm_cc3_ws_1">{"'WS Sales by Rep'!$A$24:$L$46"}</definedName>
    <definedName name="htm_cc4">{"'WS Sales by Rep'!$A$24:$L$46"}</definedName>
    <definedName name="htm_cc4_1">{"'WS Sales by Rep'!$A$24:$L$46"}</definedName>
    <definedName name="htm_fac">{"'WS Sales by Rep'!$A$24:$L$46"}</definedName>
    <definedName name="htm_fac_1">{"'WS Sales by Rep'!$A$24:$L$46"}</definedName>
    <definedName name="htm_fac2">{"'WS Sales by Rep'!$A$24:$L$46"}</definedName>
    <definedName name="htm_fac2_1">{"'WS Sales by Rep'!$A$24:$L$46"}</definedName>
    <definedName name="htm_fin">{"'WS Sales by Rep'!$A$24:$L$46"}</definedName>
    <definedName name="htm_fin_1">{"'WS Sales by Rep'!$A$24:$L$46"}</definedName>
    <definedName name="htm_fin2">{"'WS Sales by Rep'!$A$24:$L$46"}</definedName>
    <definedName name="htm_fin2_1">{"'WS Sales by Rep'!$A$24:$L$46"}</definedName>
    <definedName name="htm_fin3">{"'WS Sales by Rep'!$A$24:$L$46"}</definedName>
    <definedName name="htm_fin3_1">{"'WS Sales by Rep'!$A$24:$L$46"}</definedName>
    <definedName name="htm_fin4">{"'WS Sales by Rep'!$A$24:$L$46"}</definedName>
    <definedName name="htm_fin4_1">{"'WS Sales by Rep'!$A$24:$L$46"}</definedName>
    <definedName name="htm_fin5">{"'WS Sales by Rep'!$A$24:$L$46"}</definedName>
    <definedName name="htm_fin5_1">{"'WS Sales by Rep'!$A$24:$L$46"}</definedName>
    <definedName name="htm_ga">{"'WS Sales by Rep'!$A$24:$L$46"}</definedName>
    <definedName name="htm_ga_1">{"'WS Sales by Rep'!$A$24:$L$46"}</definedName>
    <definedName name="htm_ga_fin">{"'WS Sales by Rep'!$A$24:$L$46"}</definedName>
    <definedName name="htm_ga_fin_1">{"'WS Sales by Rep'!$A$24:$L$46"}</definedName>
    <definedName name="htm_hr">{"'WS Sales by Rep'!$A$24:$L$46"}</definedName>
    <definedName name="htm_hr_1">{"'WS Sales by Rep'!$A$24:$L$46"}</definedName>
    <definedName name="htm_hr2">{"'WS Sales by Rep'!$A$24:$L$46"}</definedName>
    <definedName name="htm_hr2_1">{"'WS Sales by Rep'!$A$24:$L$46"}</definedName>
    <definedName name="htm_plan_cc">{"'WS Sales by Rep'!$A$24:$L$46"}</definedName>
    <definedName name="htm_plan_cc_1">{"'WS Sales by Rep'!$A$24:$L$46"}</definedName>
    <definedName name="htm_plan_cc2">{"'WS Sales by Rep'!$A$24:$L$46"}</definedName>
    <definedName name="htm_plan_cc2_1">{"'WS Sales by Rep'!$A$24:$L$46"}</definedName>
    <definedName name="htm_plan_fin5">{"'WS Sales by Rep'!$A$24:$L$46"}</definedName>
    <definedName name="htm_plan_fin5_1">{"'WS Sales by Rep'!$A$24:$L$46"}</definedName>
    <definedName name="htm_plana">{"'WS Sales by Rep'!$A$24:$L$46"}</definedName>
    <definedName name="htm_plana_1">{"'WS Sales by Rep'!$A$24:$L$46"}</definedName>
    <definedName name="htm_plana_fin">{"'WS Sales by Rep'!$A$24:$L$46"}</definedName>
    <definedName name="htm_plana_fin_1">{"'WS Sales by Rep'!$A$24:$L$46"}</definedName>
    <definedName name="htm_planfac">{"'WS Sales by Rep'!$A$24:$L$46"}</definedName>
    <definedName name="htm_planfac_1">{"'WS Sales by Rep'!$A$24:$L$46"}</definedName>
    <definedName name="htm_planfin">{"'WS Sales by Rep'!$A$24:$L$46"}</definedName>
    <definedName name="htm_planfin_1">{"'WS Sales by Rep'!$A$24:$L$46"}</definedName>
    <definedName name="htm_planhr">{"'WS Sales by Rep'!$A$24:$L$46"}</definedName>
    <definedName name="htm_planhr_1">{"'WS Sales by Rep'!$A$24:$L$46"}</definedName>
    <definedName name="htm_ws">{"'WS Sales by Rep'!$A$24:$L$46"}</definedName>
    <definedName name="htm_ws_1">{"'WS Sales by Rep'!$A$24:$L$46"}</definedName>
    <definedName name="html">{"'debtors'!$A$1:$I$305","'debtors'!$A$1:$J$285"}</definedName>
    <definedName name="HTML__Control">{"'Sheet1'!$F$15"}</definedName>
    <definedName name="html_cnt">{"'표지'!$B$5"}</definedName>
    <definedName name="html_cnt2">{"'표지'!$B$5"}</definedName>
    <definedName name="HTML_CodePage" hidden="1">1252</definedName>
    <definedName name="HTML_Cont">{"'vert'!$A$1:$T$117"}</definedName>
    <definedName name="HTML_Control" hidden="1">{"'Sheet1'!$A$1:$J$121"}</definedName>
    <definedName name="HTML_Control_1">{"'WS Sales by Rep'!$A$24:$L$46"}</definedName>
    <definedName name="HTML_Control_1_1">{"'GNS Projects'!$A$1:$I$51"}</definedName>
    <definedName name="HTML_Control_1_2">{"'GNS Projects'!$A$1:$I$51"}</definedName>
    <definedName name="HTML_Control_1_3">{"'GNS Projects'!$A$1:$I$51"}</definedName>
    <definedName name="HTML_Control_2">{"'vert'!$A$1:$T$117"}</definedName>
    <definedName name="HTML_Control_2_1">{"'GNS Projects'!$A$1:$I$51"}</definedName>
    <definedName name="HTML_Control_2_2">{"'GNS Projects'!$A$1:$I$51"}</definedName>
    <definedName name="HTML_Control_2_3">{"'GNS Projects'!$A$1:$I$51"}</definedName>
    <definedName name="HTML_Control_3">{"'GNS Projects'!$A$1:$I$51"}</definedName>
    <definedName name="HTML_Control_3_1">{"'GNS Projects'!$A$1:$I$51"}</definedName>
    <definedName name="HTML_Control_3_2">{"'GNS Projects'!$A$1:$I$51"}</definedName>
    <definedName name="HTML_Control_4">{"'GNS Projects'!$A$1:$I$51"}</definedName>
    <definedName name="HTML_Control_5">{"'GNS Projects'!$A$1:$I$51"}</definedName>
    <definedName name="html_control_cc">{"'WS Sales by Rep'!$A$24:$L$46"}</definedName>
    <definedName name="html_control_cc_1">{"'WS Sales by Rep'!$A$24:$L$46"}</definedName>
    <definedName name="html_control_cc2">{"'WS Sales by Rep'!$A$24:$L$46"}</definedName>
    <definedName name="html_control_cc2_1">{"'WS Sales by Rep'!$A$24:$L$46"}</definedName>
    <definedName name="html_control_cc3">{"'WS Sales by Rep'!$A$24:$L$46"}</definedName>
    <definedName name="html_control_cc3_1">{"'WS Sales by Rep'!$A$24:$L$46"}</definedName>
    <definedName name="html_control_cc4">{"'WS Sales by Rep'!$A$24:$L$46"}</definedName>
    <definedName name="html_control_cc4_1">{"'WS Sales by Rep'!$A$24:$L$46"}</definedName>
    <definedName name="html_control_fac">{"'WS Sales by Rep'!$A$24:$L$46"}</definedName>
    <definedName name="html_control_fac_1">{"'WS Sales by Rep'!$A$24:$L$46"}</definedName>
    <definedName name="html_control_fac2">{"'WS Sales by Rep'!$A$24:$L$46"}</definedName>
    <definedName name="html_control_fac2_1">{"'WS Sales by Rep'!$A$24:$L$46"}</definedName>
    <definedName name="HTML_Control_fin">{"'WS Sales by Rep'!$A$24:$L$46"}</definedName>
    <definedName name="HTML_Control_fin_1">{"'WS Sales by Rep'!$A$24:$L$46"}</definedName>
    <definedName name="html_control_fin2">{"'WS Sales by Rep'!$A$24:$L$46"}</definedName>
    <definedName name="html_control_fin2_1">{"'WS Sales by Rep'!$A$24:$L$46"}</definedName>
    <definedName name="html_control_fin3">{"'WS Sales by Rep'!$A$24:$L$46"}</definedName>
    <definedName name="html_control_fin3_1">{"'WS Sales by Rep'!$A$24:$L$46"}</definedName>
    <definedName name="html_control_fin4">{"'WS Sales by Rep'!$A$24:$L$46"}</definedName>
    <definedName name="html_control_fin4_1">{"'WS Sales by Rep'!$A$24:$L$46"}</definedName>
    <definedName name="html_control_fin5">{"'WS Sales by Rep'!$A$24:$L$46"}</definedName>
    <definedName name="html_control_fin5_1">{"'WS Sales by Rep'!$A$24:$L$46"}</definedName>
    <definedName name="html_control_fin6">{"'WS Sales by Rep'!$A$24:$L$46"}</definedName>
    <definedName name="html_control_fin6_1">{"'WS Sales by Rep'!$A$24:$L$46"}</definedName>
    <definedName name="html_control_finance">{"'WS Sales by Rep'!$A$24:$L$46"}</definedName>
    <definedName name="html_control_finance_1">{"'WS Sales by Rep'!$A$24:$L$46"}</definedName>
    <definedName name="html_control_ga">{"'WS Sales by Rep'!$A$24:$L$46"}</definedName>
    <definedName name="html_control_ga_1">{"'WS Sales by Rep'!$A$24:$L$46"}</definedName>
    <definedName name="html_control_hr">{"'WS Sales by Rep'!$A$24:$L$46"}</definedName>
    <definedName name="html_control_hr_1">{"'WS Sales by Rep'!$A$24:$L$46"}</definedName>
    <definedName name="html_control_hr2">{"'WS Sales by Rep'!$A$24:$L$46"}</definedName>
    <definedName name="html_control_hr2_1">{"'WS Sales by Rep'!$A$24:$L$46"}</definedName>
    <definedName name="html_control_plan_cc">{"'WS Sales by Rep'!$A$24:$L$46"}</definedName>
    <definedName name="html_control_plan_cc_1">{"'WS Sales by Rep'!$A$24:$L$46"}</definedName>
    <definedName name="html_control_plan_cc3">{"'WS Sales by Rep'!$A$24:$L$46"}</definedName>
    <definedName name="html_control_plan_cc3_1">{"'WS Sales by Rep'!$A$24:$L$46"}</definedName>
    <definedName name="html_control_plana">{"'WS Sales by Rep'!$A$24:$L$46"}</definedName>
    <definedName name="html_control_plana_1">{"'WS Sales by Rep'!$A$24:$L$46"}</definedName>
    <definedName name="html_control_planfac">{"'WS Sales by Rep'!$A$24:$L$46"}</definedName>
    <definedName name="html_control_planfac_1">{"'WS Sales by Rep'!$A$24:$L$46"}</definedName>
    <definedName name="html_control_planfin">{"'WS Sales by Rep'!$A$24:$L$46"}</definedName>
    <definedName name="html_control_planfin_1">{"'WS Sales by Rep'!$A$24:$L$46"}</definedName>
    <definedName name="html_control_planfin2">{"'WS Sales by Rep'!$A$24:$L$46"}</definedName>
    <definedName name="html_control_planfin2_1">{"'WS Sales by Rep'!$A$24:$L$46"}</definedName>
    <definedName name="html_control_planhr">{"'WS Sales by Rep'!$A$24:$L$46"}</definedName>
    <definedName name="html_control_planhr_1">{"'WS Sales by Rep'!$A$24:$L$46"}</definedName>
    <definedName name="HTML_Control1">{"'Sheet1'!$A$1:$J$121"}</definedName>
    <definedName name="html_control2" hidden="1">{"'Planning Data'!$A$2:$X$120"}</definedName>
    <definedName name="HTML_Control3" hidden="1">{"'Planning Data'!$A$2:$X$120"}</definedName>
    <definedName name="HTML_Description" hidden="1">""</definedName>
    <definedName name="HTML_Email" hidden="1">""</definedName>
    <definedName name="HTML_Header" hidden="1">"Sheet1"</definedName>
    <definedName name="HTML_LastUpdate" hidden="1">"10/21/99"</definedName>
    <definedName name="HTML_LineAfter" hidden="1">FALSE</definedName>
    <definedName name="HTML_LineBefore" hidden="1">FALSE</definedName>
    <definedName name="HTML_Name" hidden="1">"Paulette Peoples"</definedName>
    <definedName name="HTML_OBDlg2" hidden="1">TRUE</definedName>
    <definedName name="HTML_OBDlg3">TRUE</definedName>
    <definedName name="HTML_OBDlg4" hidden="1">TRUE</definedName>
    <definedName name="HTML_OS" hidden="1">0</definedName>
    <definedName name="HTML_PathFile" hidden="1">"\\Bhincres01\groups\Mkt_Dev\EXECMKTR\RIGS\RigBible\Web NA.htm"</definedName>
    <definedName name="HTML_PathFileMac">"Senna:shockwave.com:Statistics:Customer support:SWCS_stats.html"</definedName>
    <definedName name="HTML_PathTemplate">"C:\My Documents\Excel\HTMLTemp.htm"</definedName>
    <definedName name="HTML_Title" hidden="1">"Total North America"</definedName>
    <definedName name="HTML1">{"'Trend_Total'!$A$7:$V$10","'Trend_Total'!$A$1:$V$4"}</definedName>
    <definedName name="HTML1_1" hidden="1">"[수주관리98.xls]회선현황!$A$5:$O$53"</definedName>
    <definedName name="HTML1_10">""</definedName>
    <definedName name="HTML1_11">1</definedName>
    <definedName name="HTML1_12">"Aswath:Adobe SiteMill™ 1.0.2:MyHomePage:FCFF3.html"</definedName>
    <definedName name="HTML1_13">#REF!</definedName>
    <definedName name="HTML1_14">#REF!</definedName>
    <definedName name="HTML1_15">#REF!</definedName>
    <definedName name="HTML1_2">1</definedName>
    <definedName name="HTML1_3">"FCFF3"</definedName>
    <definedName name="HTML1_4">"Three-Stage FCFF Model"</definedName>
    <definedName name="HTML1_5">""</definedName>
    <definedName name="HTML1_6">-4146</definedName>
    <definedName name="HTML1_7">-4146</definedName>
    <definedName name="HTML1_8">"10/22/96"</definedName>
    <definedName name="HTML1_9">"Aswath Damodaran"</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"technology@midwal.ca"</definedName>
    <definedName name="HTML2_11">1</definedName>
    <definedName name="HTML2_12">"u:\internet\comps2.htm"</definedName>
    <definedName name="HTML2_2">1</definedName>
    <definedName name="HTML2_3">"Technology Stock Comparables"</definedName>
    <definedName name="HTML2_4">"Software Comparables"</definedName>
    <definedName name="HTML2_5">"Year End March 1997"</definedName>
    <definedName name="HTML2_6">1</definedName>
    <definedName name="HTML2_7">1</definedName>
    <definedName name="HTML2_8">35192</definedName>
    <definedName name="HTML2_9">"Alberto Pagliano Ext (8560)"</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definedName>
    <definedName name="HTML3_11">1</definedName>
    <definedName name="HTML3_12">"C:\Ian\Techsite\telecom.htm"</definedName>
    <definedName name="HTML3_2">1</definedName>
    <definedName name="HTML3_3">"Technology Stock Comparables"</definedName>
    <definedName name="HTML3_4">"Telecom &amp; Network &amp; Semi."</definedName>
    <definedName name="HTML3_5">"Year End March 1997"</definedName>
    <definedName name="HTML3_6">-4146</definedName>
    <definedName name="HTML3_7">-4146</definedName>
    <definedName name="HTML3_8">35355</definedName>
    <definedName name="HTML3_9">"Ian Prittie"</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definedName>
    <definedName name="HTML4_11">1</definedName>
    <definedName name="HTML4_12">"C:\Ian\Techsite\docs.htm"</definedName>
    <definedName name="HTML4_2">1</definedName>
    <definedName name="HTML4_3">"Technology Stock Comparables"</definedName>
    <definedName name="HTML4_4">"Volpe, Welty &amp; Co. Comps."</definedName>
    <definedName name="HTML4_5">"Financial model by Charlie Tillett of Frontier Software (charlie@frontier.com)
"</definedName>
    <definedName name="HTML4_6">-4146</definedName>
    <definedName name="HTML4_7">-4146</definedName>
    <definedName name="HTML4_8">35355</definedName>
    <definedName name="HTML4_9">"Ian Prittie"</definedName>
    <definedName name="HTML5_1" hidden="1">"[수주관리98.xls]영업!$A$1:$N$29"</definedName>
    <definedName name="HTML5_10">""</definedName>
    <definedName name="HTML5_11">1</definedName>
    <definedName name="HTML5_12">"C:\Ian\Techsite\fibre.htm"</definedName>
    <definedName name="HTML5_2">1</definedName>
    <definedName name="HTML5_3">"Technology Stock Comparables"</definedName>
    <definedName name="HTML5_4">"Fibre Optics"</definedName>
    <definedName name="HTML5_5">"Financial model by Charlie Tillett of Frontier Software (charlie@frontier.com)"</definedName>
    <definedName name="HTML5_6">-4146</definedName>
    <definedName name="HTML5_7">-4146</definedName>
    <definedName name="HTML5_8">35355</definedName>
    <definedName name="HTML5_9">"Ian Prittie"</definedName>
    <definedName name="HTML6_1" hidden="1">"'[수주관리98.xls]2월'!$A$1:$P$48"</definedName>
    <definedName name="HTML6_10">""</definedName>
    <definedName name="HTML6_11">1</definedName>
    <definedName name="HTML6_12">"C:\Ian\Techsite\internet.htm"</definedName>
    <definedName name="HTML6_2">1</definedName>
    <definedName name="HTML6_3">"Technology Stock Comparables"</definedName>
    <definedName name="HTML6_4">"Internet"</definedName>
    <definedName name="HTML6_5">"Financial model by Charlie Tillett of Frontier Software (charlie@frontier.com)"</definedName>
    <definedName name="HTML6_6">-4146</definedName>
    <definedName name="HTML6_7">-4146</definedName>
    <definedName name="HTML6_8">35355</definedName>
    <definedName name="HTML6_9">"Ian Prittie"</definedName>
    <definedName name="HTML7_1" hidden="1">"'[수주관리98.xls]2월'!$A$3:$P$30"</definedName>
    <definedName name="HTML7_10">""</definedName>
    <definedName name="HTML7_11">1</definedName>
    <definedName name="HTML7_12">"C:\My Documents\DoubleEntry.htm"</definedName>
    <definedName name="HTML7_2">1</definedName>
    <definedName name="HTML7_3">"Double Entry Primer"</definedName>
    <definedName name="HTML7_4">"Double Entry Primer"</definedName>
    <definedName name="HTML7_5">"Financial model by Charlie Tillett of Frontier Software (charlie@frontier.com)"</definedName>
    <definedName name="HTML7_6">-4146</definedName>
    <definedName name="HTML7_7">-4146</definedName>
    <definedName name="HTML7_8">""</definedName>
    <definedName name="HTML7_9">""</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ntrol2">{"'표지'!$B$5"}</definedName>
    <definedName name="HTMLCount">1</definedName>
    <definedName name="htr" hidden="1">#N/A</definedName>
    <definedName name="HTRH">{"'표지'!$B$5"}</definedName>
    <definedName name="htrhdfgagadf">#REF!</definedName>
    <definedName name="htrhdfgagadf_1">#REF!</definedName>
    <definedName name="htrhdfgagadf_2">#REF!</definedName>
    <definedName name="htrhdfgagadf_3">#REF!</definedName>
    <definedName name="htrhdfgagadf_4">#REF!</definedName>
    <definedName name="hubperinst">#REF!</definedName>
    <definedName name="HUh">{"'Standalone List Price Trends'!$A$1:$X$56"}</definedName>
    <definedName name="HUI" hidden="1">#N/A</definedName>
    <definedName name="Human2">#REF!</definedName>
    <definedName name="Hun">#REF!</definedName>
    <definedName name="hundred">100</definedName>
    <definedName name="HUSI">{"'Check Request'!$A$1:$BF$37"}</definedName>
    <definedName name="huy" hidden="1">#REF!</definedName>
    <definedName name="HVR">#REF!</definedName>
    <definedName name="HYD">#REF!</definedName>
    <definedName name="Hypertention" hidden="1">{#N/A,#N/A,FALSE,"Pharm";#N/A,#N/A,FALSE,"WWCM"}</definedName>
    <definedName name="hypo" hidden="1">{#N/A,#N/A,FALSE,"Pharm";#N/A,#N/A,FALSE,"WWCM"}</definedName>
    <definedName name="hytjy">#REF!</definedName>
    <definedName name="hyw" hidden="1">{#N/A,#N/A,FALSE,"Summary";#N/A,#N/A,FALSE,"Fed.State Prov";#N/A,#N/A,FALSE,"Foreign Prov";#N/A,#N/A,FALSE,"Thera Fgrn";#N/A,#N/A,FALSE,"CCD Fgrn";#N/A,#N/A,FALSE,"Biocine Fgrn";#N/A,#N/A,FALSE,"Vision Fgrn";#N/A,#N/A,FALSE,"Frgn vs Dom"}</definedName>
    <definedName name="H매출">#REF!</definedName>
    <definedName name="H이자">#REF!</definedName>
    <definedName name="H인원">#REF!</definedName>
    <definedName name="i" hidden="1">{"inflated_pl",#N/A,FALSE,"P&amp;L"}</definedName>
    <definedName name="i_?3">#REF!</definedName>
    <definedName name="i_E">#REF!</definedName>
    <definedName name="i_E__.3">#REF!</definedName>
    <definedName name="i_E_O">#REF!</definedName>
    <definedName name="i_E_O__.3">#REF!</definedName>
    <definedName name="I16S_L">#REF!</definedName>
    <definedName name="I8a">{"'Sheet3'!$CL$329:$CU$335"}</definedName>
    <definedName name="ia" hidden="1">{#N/A,#N/A,FALSE,"Aging Summary";#N/A,#N/A,FALSE,"Ratio Analysis";#N/A,#N/A,FALSE,"Test 120 Day Accts";#N/A,#N/A,FALSE,"Tickmarks"}</definedName>
    <definedName name="ia_3">#REF!</definedName>
    <definedName name="IASprofit">#REF!</definedName>
    <definedName name="IBD_FINAL">#REF!</definedName>
    <definedName name="IC_DIV_INC">#REF!</definedName>
    <definedName name="IC_DIV_REC">#REF!</definedName>
    <definedName name="IC_PURCH_AHNA">#REF!</definedName>
    <definedName name="IC_PURCH_CONS_GROUP">#REF!</definedName>
    <definedName name="IC_PURCH_UNCONSOL_GROUP">#REF!</definedName>
    <definedName name="icannpay">#REF!</definedName>
    <definedName name="icd">#REF!</definedName>
    <definedName name="ICF">#REF!</definedName>
    <definedName name="ichrpay">#REF!</definedName>
    <definedName name="icic">#REF!</definedName>
    <definedName name="ICICI">#REF!</definedName>
    <definedName name="ICICIBank">#REF!</definedName>
    <definedName name="ICICIBanking">#REF!</definedName>
    <definedName name="icotpr">#REF!</definedName>
    <definedName name="IDC">#REF!</definedName>
    <definedName name="IDC工場">#REF!</definedName>
    <definedName name="IDC本社">#REF!</definedName>
    <definedName name="IDF_Data2">#REF!</definedName>
    <definedName name="IDO">#REF!</definedName>
    <definedName name="idontknow" hidden="1">#REF!</definedName>
    <definedName name="IDR">#REF!</definedName>
    <definedName name="idsjf">{"'Sheet1'!$A$1:$H$145"}</definedName>
    <definedName name="IELWSALES">#REF!</definedName>
    <definedName name="IELWSALES.">#REF!</definedName>
    <definedName name="IELYSALES">#REF!</definedName>
    <definedName name="IELYSALES.">#REF!</definedName>
    <definedName name="IEPeXToEUR" hidden="1">1/EUReXToIEP</definedName>
    <definedName name="IEPLANSALES">#REF!</definedName>
    <definedName name="IEPLANSALES.">#REF!</definedName>
    <definedName name="IESP">#REF!</definedName>
    <definedName name="IESP.">#REF!</definedName>
    <definedName name="iflexsolutions">#REF!</definedName>
    <definedName name="IFlmv">0</definedName>
    <definedName name="IFsmv">0</definedName>
    <definedName name="ignore">{"'weekly data'!$A$2:$AS$36"}</definedName>
    <definedName name="ihidepw">"FALSE"</definedName>
    <definedName name="IHY" hidden="1">{#N/A,#N/A,FALSE,"Pharm";#N/A,#N/A,FALSE,"WWCM"}</definedName>
    <definedName name="iiiii">#REF!</definedName>
    <definedName name="iiiiii">#REF!</definedName>
    <definedName name="iiiiii_1">#REF!</definedName>
    <definedName name="iiiiii_2">#REF!</definedName>
    <definedName name="iiiiii_3">#REF!</definedName>
    <definedName name="iiiiii_4">#REF!</definedName>
    <definedName name="IIIIIIIIIIII">#REF!</definedName>
    <definedName name="iiiiiiiiiiiiiiii">#REF!</definedName>
    <definedName name="iiiiiiiiiiiiiiiiiiiiiiiiiiiiiiiiiiii">#REF!</definedName>
    <definedName name="IIIPO" hidden="1">{#N/A,#N/A,FALSE,"Pharm";#N/A,#N/A,FALSE,"WWCM"}</definedName>
    <definedName name="IIS3Q2">#REF!</definedName>
    <definedName name="ij">#REF!</definedName>
    <definedName name="IJHY" hidden="1">#N/A</definedName>
    <definedName name="IK">#REF!</definedName>
    <definedName name="IK_1">#REF!</definedName>
    <definedName name="IK_12">#REF!</definedName>
    <definedName name="IK_2">#REF!</definedName>
    <definedName name="iklutilk">#REF!</definedName>
    <definedName name="iklutilk_1">#REF!</definedName>
    <definedName name="Ikotin" hidden="1">{"Central",#N/A,FALSE,"Total"}</definedName>
    <definedName name="Ikotin.." hidden="1">{"Central",#N/A,FALSE,"Total"}</definedName>
    <definedName name="IL">#REF!</definedName>
    <definedName name="IL_CE">#REF!</definedName>
    <definedName name="IL_CE.">#REF!</definedName>
    <definedName name="IL_OE">#REF!</definedName>
    <definedName name="illll">#REF!</definedName>
    <definedName name="ILT">#REF!</definedName>
    <definedName name="ILT_1">#REF!</definedName>
    <definedName name="ILT_2">#REF!</definedName>
    <definedName name="IM_T">#REF!</definedName>
    <definedName name="ImAClientOrganizer">TRUE</definedName>
    <definedName name="Img_ML_1a9i6f1a" hidden="1">"IMG_11"</definedName>
    <definedName name="Img_ML_1c3d1n6n" hidden="1">"IMG_17"</definedName>
    <definedName name="Img_ML_1e1k9n5y" hidden="1">"IMG_18"</definedName>
    <definedName name="Img_ML_1g9y2u4q" hidden="1">"IMG_3"</definedName>
    <definedName name="Img_ML_1h4n3h8h" hidden="1">"IMG_17"</definedName>
    <definedName name="Img_ML_1k4g9u7k" hidden="1">"IMG_18"</definedName>
    <definedName name="Img_ML_1t5s6u1f" hidden="1">"IMG_17"</definedName>
    <definedName name="Img_ML_1y7a6c1t" hidden="1">"IMG_12"</definedName>
    <definedName name="Img_ML_2b1a1a6f" hidden="1">"IMG_11"</definedName>
    <definedName name="Img_ML_2b2b8h8h" hidden="1">"IMG_5"</definedName>
    <definedName name="Img_ML_2b4d2b3c" hidden="1">"IMG_11"</definedName>
    <definedName name="Img_ML_2b5e9i4d" hidden="1">"IMG_12"</definedName>
    <definedName name="Img_ML_2b9i6f3c" hidden="1">"IMG_12"</definedName>
    <definedName name="Img_ML_2e1r5p2m" hidden="1">"IMG_18"</definedName>
    <definedName name="Img_ML_2i4d6c2r" hidden="1">"IMG_11"</definedName>
    <definedName name="Img_ML_2j4h5d5y" hidden="1">"IMG_18"</definedName>
    <definedName name="Img_ML_2j6i5k6b" hidden="1">"IMG_17"</definedName>
    <definedName name="Img_ML_2v6s9i5c" hidden="1">"IMG_6"</definedName>
    <definedName name="Img_ML_2x1b8j5c" hidden="1">"IMG_5"</definedName>
    <definedName name="Img_ML_2x8r4a2e" hidden="1">"IMG_56"</definedName>
    <definedName name="Img_ML_3b3j3x9k" hidden="1">"IMG_12"</definedName>
    <definedName name="Img_ML_3c4d1a4d" hidden="1">"IMG_12"</definedName>
    <definedName name="Img_ML_3c4d2b5e" hidden="1">"IMG_12"</definedName>
    <definedName name="Img_ML_3c6e9c4g" hidden="1">"IMG_5"</definedName>
    <definedName name="Img_ML_3c7g1a7g" hidden="1">"IMG_6"</definedName>
    <definedName name="Img_ML_3c9i9i4d" hidden="1">"IMG_10"</definedName>
    <definedName name="Img_ML_3e2q4k7i" hidden="1">"IMG_55"</definedName>
    <definedName name="Img_ML_3g8d6p6r" hidden="1">"IMG_10"</definedName>
    <definedName name="Img_ML_3h2n3p4v" hidden="1">"IMG_18"</definedName>
    <definedName name="Img_ML_3p2b9c6w" hidden="1">"IMG_18"</definedName>
    <definedName name="Img_ML_3p5d9q5j" hidden="1">"IMG_12"</definedName>
    <definedName name="Img_ML_3r4u7k1k" hidden="1">"IMG_6"</definedName>
    <definedName name="Img_ML_3x8m5t8j" hidden="1">"IMG_18"</definedName>
    <definedName name="Img_ML_3y1j4m2m" hidden="1">"IMG_10"</definedName>
    <definedName name="Img_ML_4b5r5k9y" hidden="1">"IMG_17"</definedName>
    <definedName name="Img_ML_4d4d7g3c" hidden="1">"IMG_6"</definedName>
    <definedName name="Img_ML_4k8k7q4x" hidden="1">"IMG_17"</definedName>
    <definedName name="Img_ML_4m3p5r8j" hidden="1">"IMG_18"</definedName>
    <definedName name="Img_ML_4n6t1k1h" hidden="1">"IMG_17"</definedName>
    <definedName name="Img_ML_4r3t2p9g" hidden="1">"IMG_56"</definedName>
    <definedName name="Img_ML_4u2s9f9y" hidden="1">"IMG_17"</definedName>
    <definedName name="Img_ML_4u3z1k5l" hidden="1">"IMG_11"</definedName>
    <definedName name="Img_ML_5d3i8b5s" hidden="1">"IMG_56"</definedName>
    <definedName name="Img_ML_5e6f9i8h" hidden="1">"IMG_12"</definedName>
    <definedName name="Img_ML_5e7g5e5e" hidden="1">"IMG_5"</definedName>
    <definedName name="Img_ML_5e7s6t2u" hidden="1">"IMG_17"</definedName>
    <definedName name="Img_ML_5e9i9i2b" hidden="1">"IMG_10"</definedName>
    <definedName name="Img_ML_5e9m1k3s" hidden="1">"IMG_5"</definedName>
    <definedName name="Img_ML_5f9d1i5x" hidden="1">"IMG_6"</definedName>
    <definedName name="Img_ML_5f9x9u4u" hidden="1">"IMG_12"</definedName>
    <definedName name="Img_ML_5h6q3g8u" hidden="1">"IMG_18"</definedName>
    <definedName name="Img_ML_5k1g6v5e" hidden="1">"IMG_56"</definedName>
    <definedName name="Img_ML_5k7e4n8n" hidden="1">"IMG_18"</definedName>
    <definedName name="Img_ML_5k8u7s9i" hidden="1">"IMG_18"</definedName>
    <definedName name="Img_ML_6a6y1x1h" hidden="1">"IMG_11"</definedName>
    <definedName name="Img_ML_6f2b1a5e" hidden="1">"IMG_10"</definedName>
    <definedName name="Img_ML_6f2p1m9g" hidden="1">"IMG_10"</definedName>
    <definedName name="Img_ML_6f5e5e4d" hidden="1">"IMG_12"</definedName>
    <definedName name="Img_ML_6f6f4d9i" hidden="1">"IMG_12"</definedName>
    <definedName name="Img_ML_6f9i2b5e" hidden="1">"IMG_10"</definedName>
    <definedName name="Img_ML_6j2t7j8z" hidden="1">"IMG_4"</definedName>
    <definedName name="Img_ML_6j4v6x5i" hidden="1">"IMG_11"</definedName>
    <definedName name="Img_ML_6k9c9p4d" hidden="1">"IMG_11"</definedName>
    <definedName name="Img_ML_6m3p7m9h" hidden="1">"IMG_17"</definedName>
    <definedName name="Img_ML_6m6i9t6k" hidden="1">"IMG_11"</definedName>
    <definedName name="Img_ML_6n6c2h1d" hidden="1">"IMG_17"</definedName>
    <definedName name="Img_ML_6p2b6u6k" hidden="1">"IMG_11"</definedName>
    <definedName name="Img_ML_6p3m8v1n" hidden="1">"IMG_17"</definedName>
    <definedName name="Img_ML_6r9u1n9k" hidden="1">"IMG_18"</definedName>
    <definedName name="Img_ML_6u1b6h4m" hidden="1">"IMG_17"</definedName>
    <definedName name="Img_ML_6u4t7r7e" hidden="1">"IMG_17"</definedName>
    <definedName name="Img_ML_6w6m7b7r" hidden="1">"IMG_56"</definedName>
    <definedName name="Img_ML_6y9f7y3n" hidden="1">"IMG_18"</definedName>
    <definedName name="Img_ML_7b3x8f2f" hidden="1">"IMG_17"</definedName>
    <definedName name="Img_ML_7e1g7x4r" hidden="1">"IMG_12"</definedName>
    <definedName name="Img_ML_7g3c2b9i" hidden="1">"IMG_12"</definedName>
    <definedName name="Img_ML_7g4k9d6i" hidden="1">"IMG_18"</definedName>
    <definedName name="Img_ML_7g5e5e2b" hidden="1">"IMG_6"</definedName>
    <definedName name="Img_ML_7m3b4p7p" hidden="1">"IMG_17"</definedName>
    <definedName name="Img_ML_7m5m4k3b" hidden="1">"IMG_10"</definedName>
    <definedName name="Img_ML_7n6h3t1t" hidden="1">"IMG_12"</definedName>
    <definedName name="Img_ML_7s4w7c6r" hidden="1">"IMG_18"</definedName>
    <definedName name="Img_ML_7s7w4o2i" hidden="1">"IMG_3"</definedName>
    <definedName name="Img_ML_7w3j1h9t" hidden="1">"IMG_17"</definedName>
    <definedName name="Img_ML_8a8m2p9x" hidden="1">"IMG_12"</definedName>
    <definedName name="Img_ML_8b4s3j4n" hidden="1">"IMG_18"</definedName>
    <definedName name="Img_ML_8b9j5t1p" hidden="1">"IMG_18"</definedName>
    <definedName name="Img_ML_8c2q5i2r" hidden="1">"IMG_55"</definedName>
    <definedName name="Img_ML_8c4u3q4u" hidden="1">"IMG_17"</definedName>
    <definedName name="Img_ML_8d2w4j7j" hidden="1">"IMG_4"</definedName>
    <definedName name="Img_ML_8g3e4a7v" hidden="1">"IMG_6"</definedName>
    <definedName name="Img_ML_8h3m3i1m" hidden="1">"IMG_6"</definedName>
    <definedName name="Img_ML_8h4d9i2b" hidden="1">"IMG_11"</definedName>
    <definedName name="Img_ML_8h5e9i3c" hidden="1">"IMG_5"</definedName>
    <definedName name="Img_ML_8h7g3c9i" hidden="1">"IMG_10"</definedName>
    <definedName name="Img_ML_8h7g4d4d" hidden="1">"IMG_10"</definedName>
    <definedName name="Img_ML_8i9u7w8k" hidden="1">"IMG_56"</definedName>
    <definedName name="Img_ML_8j3w6p4c" hidden="1">"IMG_17"</definedName>
    <definedName name="Img_ML_8r1k8t4y" hidden="1">"IMG_18"</definedName>
    <definedName name="Img_ML_8r9f4n4f" hidden="1">"IMG_11"</definedName>
    <definedName name="Img_ML_8s3q3c1i" hidden="1">"IMG_18"</definedName>
    <definedName name="Img_ML_8t3m5u6f" hidden="1">"IMG_18"</definedName>
    <definedName name="Img_ML_9c9p6w6g" hidden="1">"IMG_11"</definedName>
    <definedName name="Img_ML_9g2r1i7c" hidden="1">"IMG_17"</definedName>
    <definedName name="Img_ML_9g3r6t7h" hidden="1">"IMG_17"</definedName>
    <definedName name="Img_ML_9j3t2m3v" hidden="1">"IMG_56"</definedName>
    <definedName name="Img_ML_9n1s4m5f" hidden="1">"IMG_11"</definedName>
    <definedName name="Img_ML_9u2c1d4e" hidden="1">"IMG_11"</definedName>
    <definedName name="Img_ML_9v6s2g1u" hidden="1">"IMG_18"</definedName>
    <definedName name="Img_Production_Breakdown" hidden="1">"IMG_3"</definedName>
    <definedName name="Img_ROIC_proforma" hidden="1">"IMG_11"</definedName>
    <definedName name="immr">#REF!</definedName>
    <definedName name="Import_in_Area">#REF!</definedName>
    <definedName name="Import_Out_of_Area">#REF!</definedName>
    <definedName name="IMPORTDFF1">#REF!</definedName>
    <definedName name="IMPORTDFF2">#REF!</definedName>
    <definedName name="IMPORTDFF3">#REF!</definedName>
    <definedName name="IMPORTDFF4">#REF!</definedName>
    <definedName name="IMPORTDFF5">#REF!</definedName>
    <definedName name="IMPORTDFF6">#REF!</definedName>
    <definedName name="ImportedSALT">TRUE</definedName>
    <definedName name="ImpôtNormatif">0.35</definedName>
    <definedName name="ImpotStandard">0.35</definedName>
    <definedName name="IMT_HW">#REF!</definedName>
    <definedName name="IMT_OPEX">#REF!</definedName>
    <definedName name="IMT_SCENARIO_INR">#REF!</definedName>
    <definedName name="IMT_SCENARIO_USD">#REF!</definedName>
    <definedName name="IMT_SUMMARY">#REF!</definedName>
    <definedName name="IMT_SW">#REF!</definedName>
    <definedName name="IN">#REF!</definedName>
    <definedName name="IN_TAMT">#N/A</definedName>
    <definedName name="IN_TOTAL">#N/A</definedName>
    <definedName name="IN_TQTY">#N/A</definedName>
    <definedName name="IN_UC">#N/A</definedName>
    <definedName name="INAMT">#N/A</definedName>
    <definedName name="inb" hidden="1">{#N/A,#N/A,FALSE,"Aging Summary";#N/A,#N/A,FALSE,"Ratio Analysis";#N/A,#N/A,FALSE,"Test 120 Day Accts";#N/A,#N/A,FALSE,"Tickmarks"}</definedName>
    <definedName name="INC">#REF!</definedName>
    <definedName name="Inc_HC_CEU">#REF!</definedName>
    <definedName name="Inc_HC_EMEA">#REF!</definedName>
    <definedName name="Inc_HC_Ireland">#REF!</definedName>
    <definedName name="INC_HC_UK">#REF!</definedName>
    <definedName name="INC_STMT_CUM">#REF!</definedName>
    <definedName name="INC_STMT_FINAL">#REF!</definedName>
    <definedName name="INCBUD">#REF!</definedName>
    <definedName name="incentive">#REF!</definedName>
    <definedName name="Incentives_Post_Commencement">#REF!</definedName>
    <definedName name="income">#REF!</definedName>
    <definedName name="Income_before_taxes">#REF!</definedName>
    <definedName name="INCOME_MO">#REF!</definedName>
    <definedName name="INCOME_MO1">#REF!</definedName>
    <definedName name="Income_Statement">#REF!</definedName>
    <definedName name="INCOME_STMT1">#REF!</definedName>
    <definedName name="Income_Taxes_Paid">#REF!</definedName>
    <definedName name="incomebef.taxes">#REF!</definedName>
    <definedName name="incomefromoper.">#REF!</definedName>
    <definedName name="IncomeStatementDates">#REF!</definedName>
    <definedName name="IncomeTaxRate">0.35</definedName>
    <definedName name="Increase_in_other_liabilities">#REF!</definedName>
    <definedName name="Incremental_ROIC">#REF!</definedName>
    <definedName name="Incremental_ROIC_DCF">#REF!</definedName>
    <definedName name="IncStmt">#REF!</definedName>
    <definedName name="ind_equity">#REF!</definedName>
    <definedName name="INDD_Aug03">#REF!</definedName>
    <definedName name="INDEX">#N/A</definedName>
    <definedName name="INDEX1">#REF!</definedName>
    <definedName name="IndexAddModRow">42</definedName>
    <definedName name="IndexNames">Indexn1,IndexN2</definedName>
    <definedName name="IndexSubtractModRow">48</definedName>
    <definedName name="Indhotels">#REF!</definedName>
    <definedName name="INDIA_PLASTIC_in_KUSD">#REF!</definedName>
    <definedName name="IndiaCement">#REF!</definedName>
    <definedName name="indian_hotels">#REF!</definedName>
    <definedName name="indianhotels">#REF!</definedName>
    <definedName name="IndianOil">#REF!</definedName>
    <definedName name="indianpetro">#REF!</definedName>
    <definedName name="IndiaRange">#REF!</definedName>
    <definedName name="INDIG">#REF!</definedName>
    <definedName name="indirect_expenses">#REF!</definedName>
    <definedName name="Indirect_or_Sub">#REF!</definedName>
    <definedName name="Indonesia">#REF!</definedName>
    <definedName name="INDPL">#REF!</definedName>
    <definedName name="industrial">#REF!</definedName>
    <definedName name="ines">#REF!</definedName>
    <definedName name="Infgod">#REF!</definedName>
    <definedName name="inflator">#REF!</definedName>
    <definedName name="inflList" hidden="1">"00000000000000000000000000000000000000000000000000000000000000000000000000000000000000000000000000000000000000000000000000000000000000000000000000000000000000000000000000000000000000000000000000000000"</definedName>
    <definedName name="INFO">#REF!</definedName>
    <definedName name="INFO_BI_EXE_NAME">"BICORE.EXE"</definedName>
    <definedName name="INFO_EXE_SERVER_PATH">"C:\Program Files (x86)\Sage Software\Sage MAS 500 Client\Managed Applications\SMIFramework\BICORE.EXE"</definedName>
    <definedName name="INFO_INSTANCE_ID">"0"</definedName>
    <definedName name="INFO_REPORT_CODE">"S500-AI01-1-0"</definedName>
    <definedName name="INFO_REPORT_ID">"9"</definedName>
    <definedName name="INFO_REPORT_NAME">"FY20141_Financials"</definedName>
    <definedName name="INFO_RUN_USER">""</definedName>
    <definedName name="INFO_RUN_WORKSTATION">"TS1"</definedName>
    <definedName name="infomemo">#REF!</definedName>
    <definedName name="Infosed">#REF!</definedName>
    <definedName name="Infosys">#REF!</definedName>
    <definedName name="infosystech">#REF!</definedName>
    <definedName name="InfoTech2">#REF!</definedName>
    <definedName name="INFRA">#REF!</definedName>
    <definedName name="ing" hidden="1">{#N/A,#N/A,FALSE,"Aging Summary";#N/A,#N/A,FALSE,"Ratio Analysis";#N/A,#N/A,FALSE,"Test 120 Day Accts";#N/A,#N/A,FALSE,"Tickmarks"}</definedName>
    <definedName name="ini_button_Click">#REF!</definedName>
    <definedName name="InitializeCommand">"$d$1"</definedName>
    <definedName name="INLINE">#REF!</definedName>
    <definedName name="INLINE..">#REF!</definedName>
    <definedName name="inn" hidden="1">{#N/A,#N/A,FALSE,"Aging Summary";#N/A,#N/A,FALSE,"Ratio Analysis";#N/A,#N/A,FALSE,"Test 120 Day Accts";#N/A,#N/A,FALSE,"Tickmarks"}</definedName>
    <definedName name="Innovmarine">#REF!</definedName>
    <definedName name="inprocess3">#REF!</definedName>
    <definedName name="INPUT">#REF!</definedName>
    <definedName name="INPUT1">#REF!</definedName>
    <definedName name="InputIndicator">#REF!</definedName>
    <definedName name="inputs">#REF!</definedName>
    <definedName name="INQTY">#N/A</definedName>
    <definedName name="INRBSRate">#REF!</definedName>
    <definedName name="INSECT">#REF!</definedName>
    <definedName name="insert">#REF!</definedName>
    <definedName name="Inspection_Detail">#REF!</definedName>
    <definedName name="Inspection_Summary">#REF!</definedName>
    <definedName name="insrateBH">1545800+13346</definedName>
    <definedName name="insratedom">7065000+135816+375000</definedName>
    <definedName name="instodate">73415420</definedName>
    <definedName name="Instructions">#REF!</definedName>
    <definedName name="insurance">#REF!</definedName>
    <definedName name="Int">#REF!</definedName>
    <definedName name="Int_Ass">#REF!</definedName>
    <definedName name="INT_CO_PAYABLES">#REF!</definedName>
    <definedName name="INT_CO_RECEIVAB">#REF!</definedName>
    <definedName name="int_ext_sel">1</definedName>
    <definedName name="INT_INC_AHNA">#REF!</definedName>
    <definedName name="INT_INC_CONSOL">#REF!</definedName>
    <definedName name="INT_INC_PARENT">#REF!</definedName>
    <definedName name="INT_INC_UNCONSOL">#REF!</definedName>
    <definedName name="INT_Table">#REF!</definedName>
    <definedName name="int234B">#REF!</definedName>
    <definedName name="int234C">#REF!</definedName>
    <definedName name="Int256W">#REF!</definedName>
    <definedName name="INTCALC">#REF!</definedName>
    <definedName name="INTCOV">#REF!</definedName>
    <definedName name="intdty">#REF!</definedName>
    <definedName name="IntE1">#REF!</definedName>
    <definedName name="IntE1W">#REF!</definedName>
    <definedName name="interco">#REF!</definedName>
    <definedName name="Intercomapny_Rent_Expense">#REF!</definedName>
    <definedName name="Intercompany_Commission_Expense">#REF!</definedName>
    <definedName name="Intercompany_Commission_Income">#REF!</definedName>
    <definedName name="Intercompany_Interest_Expense">#REF!</definedName>
    <definedName name="Intercompany_Interest_Income">#REF!</definedName>
    <definedName name="Intercompany_Purchases">#REF!</definedName>
    <definedName name="Intercompany_Receivables">#REF!</definedName>
    <definedName name="Intercompany_Rent_Income">#REF!</definedName>
    <definedName name="Intercompany_Royalty_Expense">#REF!</definedName>
    <definedName name="Intercompany_Royalty_Income">#REF!</definedName>
    <definedName name="Intercompany_Sales">#REF!</definedName>
    <definedName name="interest">#REF!</definedName>
    <definedName name="Interest_Rate">#REF!</definedName>
    <definedName name="INTEREST_RECEIVED_OT">40643</definedName>
    <definedName name="INTEREST1">#REF!</definedName>
    <definedName name="interestoverall" hidden="1">{#N/A,#N/A,FALSE,"Aging Summary";#N/A,#N/A,FALSE,"Ratio Analysis";#N/A,#N/A,FALSE,"Test 120 Day Accts";#N/A,#N/A,FALSE,"Tickmarks"}</definedName>
    <definedName name="interestoverall_3">#REF!</definedName>
    <definedName name="IntermediateCapFullyDilutedShares">#REF!</definedName>
    <definedName name="InternalVersion">#REF!</definedName>
    <definedName name="International.new" localSheetId="0"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national.new" hidden="1">{"fdsup://directions/FAT Viewer?action=UPDATE&amp;creator=factset&amp;DYN_ARGS=TRUE&amp;DOC_NAME=FAT:FQL_AUDITING_CLIENT_TEMPLATE.FAT&amp;display_string=Audit&amp;VAR:KEY=CZIDODGVEV&amp;VAR:QUERY=Q1NGX0RJVl9ZTEQoUVRSX1IsMTIvMzEvMjAwNCk=&amp;WINDOW=FIRST_POPUP&amp;HEIGHT=450&amp;WIDTH=450&amp;STAR","T_MAXIMIZED=FALSE&amp;VAR:CALENDAR=US&amp;VAR:SYMBOL=MO&amp;VAR:INDEX=0"}</definedName>
    <definedName name="Interunit_accounts">#REF!</definedName>
    <definedName name="intexp">#REF!</definedName>
    <definedName name="IntFreeCre.">#REF!</definedName>
    <definedName name="IntFreeCred">#REF!</definedName>
    <definedName name="intinc">#REF!</definedName>
    <definedName name="Intl_tax">#REF!</definedName>
    <definedName name="Intl_tax2">#REF!</definedName>
    <definedName name="intrec">#REF!</definedName>
    <definedName name="INTRO">#REF!</definedName>
    <definedName name="IntroPrintArea">#REF!</definedName>
    <definedName name="intsch">#REF!</definedName>
    <definedName name="intspun">#REF!</definedName>
    <definedName name="INTT_EXP">#REF!</definedName>
    <definedName name="inttrgtdty">#REF!</definedName>
    <definedName name="inttrgtspun">#REF!</definedName>
    <definedName name="INV">#REF!</definedName>
    <definedName name="Invalid">"Invalid"</definedName>
    <definedName name="InvDiv">#REF!</definedName>
    <definedName name="Inventory">#REF!</definedName>
    <definedName name="Inventory_Avail">#REF!</definedName>
    <definedName name="INVENTORY_TRANS">#REF!</definedName>
    <definedName name="invest" hidden="1">{"00000summary",#N/A,FALSE,"00000";"10000summary",#N/A,FALSE,"10000"}</definedName>
    <definedName name="Invest_Inp">#REF!,#REF!</definedName>
    <definedName name="Investment">{"'Sch B'!$B$15:$L$17"}</definedName>
    <definedName name="invoice">#REF!</definedName>
    <definedName name="invoices">#REF!</definedName>
    <definedName name="InvSt" hidden="1">{#N/A,#N/A,TRUE,"CPRD";#N/A,#N/A,TRUE,"BCCPDR";#N/A,#N/A,TRUE,"EWRD";#N/A,#N/A,TRUE,"5100";#N/A,#N/A,TRUE,"5110"}</definedName>
    <definedName name="InvStage" hidden="1">{#N/A,#N/A,TRUE,"CPRD";#N/A,#N/A,TRUE,"BCCPDR";#N/A,#N/A,TRUE,"EWRD";#N/A,#N/A,TRUE,"5100";#N/A,#N/A,TRUE,"5110"}</definedName>
    <definedName name="INVT">{"'Sch B'!$B$15:$L$17"}</definedName>
    <definedName name="invtype">#REF!</definedName>
    <definedName name="invtype2">#REF!</definedName>
    <definedName name="inwon" hidden="1">{#N/A,#N/A,FALSE,"UNIT";#N/A,#N/A,FALSE,"UNIT";#N/A,#N/A,FALSE,"계정"}</definedName>
    <definedName name="io_2">#REF!</definedName>
    <definedName name="IO_CUR_COL">1</definedName>
    <definedName name="IO_CUR_ROW">7</definedName>
    <definedName name="iob">#REF!</definedName>
    <definedName name="iolwehf" hidden="1">{#N/A,#N/A,FALSE,"REPORT"}</definedName>
    <definedName name="IP" hidden="1">{#N/A,#N/A,FALSE,"Pharm";#N/A,#N/A,FALSE,"WWCM"}</definedName>
    <definedName name="IPOTRIG">#REF!</definedName>
    <definedName name="iprd_drate">#REF!</definedName>
    <definedName name="IPRD_mites">#REF!</definedName>
    <definedName name="IPRD_Pollen">#REF!</definedName>
    <definedName name="IQ_00EL">"c449"</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_CHANGE" hidden="1">"c1449"</definedName>
    <definedName name="IQ_ACCOUNT_CHANGE_1">"c413"</definedName>
    <definedName name="IQ_Account_delta">"c413"</definedName>
    <definedName name="IQ_ACCOUNTS_PAY" hidden="1">"c1343"</definedName>
    <definedName name="IQ_ACCOUNTS_PAY_1">"c32"</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EXP_1">"c8"</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_DEP_1">"c7"</definedName>
    <definedName name="IQ_ACCUMULATED_PENSION_OBLIGATION" hidden="1">"c2244"</definedName>
    <definedName name="IQ_ACCUMULATED_PENSION_OBLIGATION_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"c6535"</definedName>
    <definedName name="IQ_ACQUISITION_RE_ASSETS" hidden="1">"c1628"</definedName>
    <definedName name="IQ_AD" hidden="1">"c7"</definedName>
    <definedName name="IQ_ADD_PAID_IN" hidden="1">"c1344"</definedName>
    <definedName name="IQ_ADD_PAID_IN_1">"c39"</definedName>
    <definedName name="IQ_ADDIN" hidden="1">"AUTO"</definedName>
    <definedName name="IQ_ADDITIONAL_NON_INT_INC_FDIC">"c6574"</definedName>
    <definedName name="IQ_ADJ_AVG_BANK_ASSETS" hidden="1">"c2671"</definedName>
    <definedName name="IQ_ADJUSTABLE_RATE_LOANS_FDIC">"c6375"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CONST_1">"c16"</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"c6499"</definedName>
    <definedName name="IQ_AMORT_EXPENSE_FDIC">"c6677"</definedName>
    <definedName name="IQ_AMORTIZATION" hidden="1">"c1591"</definedName>
    <definedName name="IQ_AMORTIZATION_1">"c1471"</definedName>
    <definedName name="IQ_AMORTIZED_COST_FDIC">"c6426"</definedName>
    <definedName name="IQ_AMT_OUT" hidden="1">"c2145"</definedName>
    <definedName name="IQ_ANALYST_DET_EST_REUT">"c12135"</definedName>
    <definedName name="IQ_ANALYST_NON_PER_DET_EST_REUT">"c12758"</definedName>
    <definedName name="IQ_ANNU_DISTRIBUTION_UNIT" hidden="1">"c3004"</definedName>
    <definedName name="IQ_ANNUAL_DIVIDEND">"c229"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"c6305"</definedName>
    <definedName name="IQ_ASSETS_OPER_LEASE_DEPR" hidden="1">"c2070"</definedName>
    <definedName name="IQ_ASSETS_OPER_LEASE_GROSS" hidden="1">"c2071"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"c5315"</definedName>
    <definedName name="IQ_AVG_BROKER_REC_REUT">"c3630"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AVG_VOLUME_1">"c65"</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 hidden="1">"c2544"</definedName>
    <definedName name="IQ_BANK_DEBT_PCT" hidden="1">"c2545"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"c90"</definedName>
    <definedName name="IQ_BIZ_SEG_EBT">"c91"</definedName>
    <definedName name="IQ_BIZ_SEG_GP">"c92"</definedName>
    <definedName name="IQ_BIZ_SEG_NI">"c93"</definedName>
    <definedName name="IQ_BIZ_SEG_OPER_INC">"c94"</definedName>
    <definedName name="IQ_BIZ_SEG_REV">"c95"</definedName>
    <definedName name="IQ_BOARD_MEMBER" hidden="1">"c96"</definedName>
    <definedName name="IQ_BOARD_MEMBER_BACKGROUND" hidden="1">"c2101"</definedName>
    <definedName name="IQ_BOARD_MEMBER_FAX">"c2100"</definedName>
    <definedName name="IQ_BOARD_MEMBER_OFFICE">"c2098"</definedName>
    <definedName name="IQ_BOARD_MEMBER_PHONE">"c2099"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"IQ_BONDRATING_FITCH"</definedName>
    <definedName name="IQ_BONDRATING_FITCH_DATE">"c241"</definedName>
    <definedName name="IQ_BONDRATING_MOODYS">"IQ_BONDRATING_MOODYS"</definedName>
    <definedName name="IQ_BONDRATING_SP">"IQ_BONDRATING_SP"</definedName>
    <definedName name="IQ_BONDRATING_SP_DATE">"c242"</definedName>
    <definedName name="IQ_BOOK_VALUE">"IQ_BOOK_VALUE"</definedName>
    <definedName name="IQ_BROK_COMISSION" hidden="1">"c98"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 hidden="1">"c1349"</definedName>
    <definedName name="IQ_BV_OVER_SHARES_1">"c100"</definedName>
    <definedName name="IQ_BV_SHARE" hidden="1">"c100"</definedName>
    <definedName name="IQ_BV_SHARE_ACT_OR_EST_REUT">"c5477"</definedName>
    <definedName name="IQ_BV_SHARE_DET_EST_CURRENCY_REUT">"c12524"</definedName>
    <definedName name="IQ_BV_SHARE_DET_EST_DATE_REUT">"c12281"</definedName>
    <definedName name="IQ_BV_SHARE_DET_EST_INCL_REUT">"c12407"</definedName>
    <definedName name="IQ_BV_SHARE_DET_EST_ORIGIN_REUT">"c12649"</definedName>
    <definedName name="IQ_BV_SHARE_DET_EST_REUT">"c12139"</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BV_STDDEV_EST_THOM">"c5152"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"c6800"</definedName>
    <definedName name="IQ_CAL_Y" hidden="1">"c102"</definedName>
    <definedName name="IQ_CAL_Y_EST_REUT">"c6801"</definedName>
    <definedName name="IQ_CALL_DATE_SCHEDULE" hidden="1">"c2481"</definedName>
    <definedName name="IQ_CALL_FEATURE" hidden="1">"c2197"</definedName>
    <definedName name="IQ_CALL_PRICE_SCHEDULE" hidden="1">"c2482"</definedName>
    <definedName name="IQ_CALLABLE" hidden="1">"c2196"</definedName>
    <definedName name="IQ_Cap">"c2076"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ACT_OR_EST_REUT">"c5474"</definedName>
    <definedName name="IQ_CAPEX_BR" hidden="1">"c111"</definedName>
    <definedName name="IQ_CAPEX_DET_EST_CURRENCY_REUT">"c12525"</definedName>
    <definedName name="IQ_CAPEX_DET_EST_DATE_REUT">"c12282"</definedName>
    <definedName name="IQ_CAPEX_DET_EST_INCL_REUT">"c12408"</definedName>
    <definedName name="IQ_CAPEX_DET_EST_ORIGIN_REUT">"c12768"</definedName>
    <definedName name="IQ_CAPEX_DET_EST_REUT">"c12140"</definedName>
    <definedName name="IQ_CAPEX_EST_REUT">"c3969"</definedName>
    <definedName name="IQ_CAPEX_HIGH_EST_REUT">"c3971"</definedName>
    <definedName name="IQ_CAPEX_LOW_EST_REUT">"c3972"</definedName>
    <definedName name="IQ_CAPEX_MEDIAN_EST_REUT">"c3970"</definedName>
    <definedName name="IQ_CAPEX_NUM_EST_REUT">"c3973"</definedName>
    <definedName name="IQ_CAPEX_STDDEV_EST_REUT">"c3974"</definedName>
    <definedName name="IQ_CAPITAL_LEASE_1">"c115"</definedName>
    <definedName name="IQ_CAPITAL_LEASES_TOTAL" hidden="1">"c3031"</definedName>
    <definedName name="IQ_CAPITAL_LEASES_TOTAL_PCT" hidden="1">"c2506"</definedName>
    <definedName name="IQ_CAPITALIZED_INTEREST" hidden="1">"c2076"</definedName>
    <definedName name="IQ_CAPITALIZED_INTEREST_1">"c3460"</definedName>
    <definedName name="IQ_CASH_1">"c118"</definedName>
    <definedName name="IQ_CASH_ACQUIRE_CF_1">"c1630"</definedName>
    <definedName name="IQ_CASH_ACQUIRE_CF2">"c1630"</definedName>
    <definedName name="IQ_CASH_DIVIDENDS_NET_INCOME_FDIC">"c6738"</definedName>
    <definedName name="IQ_CASH_DUE_BANKS_1">"c118"</definedName>
    <definedName name="IQ_CASH_IN_PROCESS_FDIC">"c6386"</definedName>
    <definedName name="IQ_CASH_SHARE" hidden="1">"c1911"</definedName>
    <definedName name="IQ_CASH_ST_1">"c124"</definedName>
    <definedName name="IQ_CCE_FDIC">"c6296"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PS_ACT_OR_EST_REUT">"c5463"</definedName>
    <definedName name="IQ_CFPS_DET_EST_CURRENCY_REUT">"c12526"</definedName>
    <definedName name="IQ_CFPS_DET_EST_DATE_REUT">"c12283"</definedName>
    <definedName name="IQ_CFPS_DET_EST_INCL_REUT">"c12409"</definedName>
    <definedName name="IQ_CFPS_DET_EST_ORIGIN_REUT">"c12651"</definedName>
    <definedName name="IQ_CFPS_DET_EST_REUT">"c12141"</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_BR" hidden="1">"c135"</definedName>
    <definedName name="IQ_CHANGE_AR_BR" hidden="1">"c142"</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NET_WORKING_CAPITAL" hidden="1">"c1909"</definedName>
    <definedName name="IQ_CHANGE_OTHER_NET_OPER_ASSETS_BR">"c3595"</definedName>
    <definedName name="IQ_CHANGE_OTHER_WORK_CAP_BR" hidden="1">"c154"</definedName>
    <definedName name="IQ_CHANGES_WORK_CAP_1">"c161"</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"c1972"</definedName>
    <definedName name="IQ_CLASSB_OUTSTANDING_FILING_DATE">"c1974"</definedName>
    <definedName name="IQ_CLOSEPRICE_ADJ" hidden="1">"c2115"</definedName>
    <definedName name="IQ_CMO_FDIC">"c6406"</definedName>
    <definedName name="IQ_COLLECTION_DOMESTIC_FDIC">"c6387"</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 hidden="1">"c177"</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 hidden="1">"c179"</definedName>
    <definedName name="IQ_COMMERCIAL_RE_CONSTRUCTION_LAND_DEV_FDIC">"c6526"</definedName>
    <definedName name="IQ_COMMERCIAL_RE_LOANS_FDIC">"c6312"</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_APIC_BR" hidden="1">"c185"</definedName>
    <definedName name="IQ_COMMON_DIV" hidden="1">"c3006"</definedName>
    <definedName name="IQ_COMMON_FDIC">"c6350"</definedName>
    <definedName name="IQ_COMMON_ISSUED_BR" hidden="1">"c199"</definedName>
    <definedName name="IQ_COMMON_REP_BR" hidden="1">"c208"</definedName>
    <definedName name="IQ_COMMON_STOCK_1">"c182"</definedName>
    <definedName name="IQ_COMPANY_STATUS" hidden="1">"c2097"</definedName>
    <definedName name="IQ_COMPANY_TYPE" hidden="1">"c2096"</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TRACTS_OTHER_COMMODITIES_EQUITIES._FDIC">"c6522"</definedName>
    <definedName name="IQ_CONTRACTS_OTHER_COMMODITIES_EQUITIES_FDIC">"c6522"</definedName>
    <definedName name="IQ_CONTRIB_ID_DET_EST_REUT">"c12137"</definedName>
    <definedName name="IQ_CONTRIB_ID_NON_PER_DET_EST_REUT">"c13827"</definedName>
    <definedName name="IQ_CONTRIB_NAME_DET_EST_REUT">"c12138"</definedName>
    <definedName name="IQ_CONTRIB_NAME_NON_PER_DET_EST_REUT">"c12763"</definedName>
    <definedName name="IQ_CONTRIB_REC_DET_EST_DATE_REUT">"c12285"</definedName>
    <definedName name="IQ_CONTRIB_REC_DET_EST_ORIGIN_REUT">"c12653"</definedName>
    <definedName name="IQ_CONTRIB_REC_DET_EST_REUT">"c12143"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"c224"</definedName>
    <definedName name="IQ_CONVERT_PCT" hidden="1">"c2537"</definedName>
    <definedName name="IQ_CONVEXITY" hidden="1">"c2182"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 hidden="1">"c2936"</definedName>
    <definedName name="IQ_COST_OF_FUNDING_ASSETS_FDIC">"c6725"</definedName>
    <definedName name="IQ_COST_REVENUE_1">"c226"</definedName>
    <definedName name="IQ_COVERED_POPS" hidden="1">"c2124"</definedName>
    <definedName name="IQ_CP" hidden="1">"c2495"</definedName>
    <definedName name="IQ_CP_PCT" hidden="1">"c2496"</definedName>
    <definedName name="IQ_CQ">5000</definedName>
    <definedName name="IQ_CREDIT_CARD_CHARGE_OFFS_FDIC">"c6652"</definedName>
    <definedName name="IQ_CREDIT_CARD_FEE">"c231"</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PROVISION_NET_CHARGE_OFFS_FDIC">"c6734"</definedName>
    <definedName name="IQ_CUMULATIVE_SPLIT_FACTOR" hidden="1">"c2094"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 hidden="1">"c2074"</definedName>
    <definedName name="IQ_CURR_FOREIGN_TAXES" hidden="1">"c2075"</definedName>
    <definedName name="IQ_CURRENCY_COIN_DOMESTIC_FDIC">"c6388"</definedName>
    <definedName name="IQ_CURRENCY_GAIN_BR" hidden="1">"c236"</definedName>
    <definedName name="IQ_CURRENT_PORT_DEBT_BR" hidden="1">"c1567"</definedName>
    <definedName name="IQ_CURRENT_PORT_PCT" hidden="1">"c2541"</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ATED_DATE" hidden="1">"c2185"</definedName>
    <definedName name="IQ_DAY_COUNT" hidden="1">"c2161"</definedName>
    <definedName name="IQ_DAYS_PAY_OUTST_1">"c274"</definedName>
    <definedName name="IQ_DAYS_SALES_OUTST_1">"c275"</definedName>
    <definedName name="IQ_DEBT_ADJ" hidden="1">"c2515"</definedName>
    <definedName name="IQ_DEBT_ADJ_PCT" hidden="1">"c2516"</definedName>
    <definedName name="IQ_DEBT_EQUIV_NET_PBO" hidden="1">"c2938"</definedName>
    <definedName name="IQ_DEBT_EQUIV_OPER_LEASE" hidden="1">"c2935"</definedName>
    <definedName name="IQ_DEF_ACQ_CST_1">"c301"</definedName>
    <definedName name="IQ_DEF_AMORT_BR" hidden="1">"c278"</definedName>
    <definedName name="IQ_DEF_BENEFIT_INTEREST_COST_DOMESTIC" hidden="1">"c2652"</definedName>
    <definedName name="IQ_DEF_BENEFIT_INTEREST_COST_FOREIGN" hidden="1">"c2660"</definedName>
    <definedName name="IQ_DEF_BENEFIT_OTHER_COST_DOMESTIC" hidden="1">"c2654"</definedName>
    <definedName name="IQ_DEF_BENEFIT_OTHER_COST_FOREIGN" hidden="1">"c2662"</definedName>
    <definedName name="IQ_DEF_BENEFIT_ROA_DOMESTIC" hidden="1">"c2653"</definedName>
    <definedName name="IQ_DEF_BENEFIT_ROA_FOREIGN" hidden="1">"c2661"</definedName>
    <definedName name="IQ_DEF_BENEFIT_SERVICE_COST_DOMESTIC" hidden="1">"c2651"</definedName>
    <definedName name="IQ_DEF_BENEFIT_SERVICE_COST_FOREIGN" hidden="1">"c2659"</definedName>
    <definedName name="IQ_DEF_BENEFIT_TOTAL_COST_DOMESTIC" hidden="1">"c2655"</definedName>
    <definedName name="IQ_DEF_BENEFIT_TOTAL_COST_FOREIGN" hidden="1">"c2663"</definedName>
    <definedName name="IQ_DEF_CHARGES_BR" hidden="1">"c288"</definedName>
    <definedName name="IQ_DEF_CHARGES_LT_BR" hidden="1">"c294"</definedName>
    <definedName name="IQ_DEF_INC_TAX_1">"c313"</definedName>
    <definedName name="IQ_DEF_TAX_ASSET_LT_BR" hidden="1">"c304"</definedName>
    <definedName name="IQ_DEF_TAX_LIAB_LT_BR" hidden="1">"c315"</definedName>
    <definedName name="IQ_DEFERRED_DOMESTIC_TAXES" hidden="1">"c2077"</definedName>
    <definedName name="IQ_DEFERRED_FOREIGN_TAXES" hidden="1">"c2078"</definedName>
    <definedName name="IQ_DEFERRED_INC_TAX_1">"c315"</definedName>
    <definedName name="IQ_DEFERRED_TAXES_1">"c147"</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_1">"c247"</definedName>
    <definedName name="IQ_DEPRE_DEPLE_1">"c261"</definedName>
    <definedName name="IQ_DERIVATIVES_FDIC">"c6523"</definedName>
    <definedName name="IQ_DESCRIPTION_LONG_1">"c322"</definedName>
    <definedName name="IQ_DIFF_LASTCLOSE_TARGET_PRICE" hidden="1">"c1854"</definedName>
    <definedName name="IQ_DIFF_LASTCLOSE_TARGET_PRICE_REUT">"c5436"</definedName>
    <definedName name="IQ_DILUT_EPS_NORM" hidden="1">"c1903"</definedName>
    <definedName name="IQ_DILUT_NI" hidden="1">"c2079"</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_1">"c333"</definedName>
    <definedName name="IQ_DISTRIBUTABLE_CASH" hidden="1">"c3002"</definedName>
    <definedName name="IQ_DISTRIBUTABLE_CASH_EST_CIQ">"c4802"</definedName>
    <definedName name="IQ_DISTRIBUTABLE_CASH_HIGH_EST_CIQ">"c4805"</definedName>
    <definedName name="IQ_DISTRIBUTABLE_CASH_LOW_EST_CIQ">"c4806"</definedName>
    <definedName name="IQ_DISTRIBUTABLE_CASH_MEDIAN_EST_CIQ">"c4807"</definedName>
    <definedName name="IQ_DISTRIBUTABLE_CASH_NUM_EST_CIQ">"c4808"</definedName>
    <definedName name="IQ_DISTRIBUTABLE_CASH_PAYOUT" hidden="1">"c3005"</definedName>
    <definedName name="IQ_DISTRIBUTABLE_CASH_SHARE" hidden="1">"c3003"</definedName>
    <definedName name="IQ_DISTRIBUTABLE_CASH_SHARE_EST_CIQ">"c4810"</definedName>
    <definedName name="IQ_DISTRIBUTABLE_CASH_SHARE_HIGH_EST_CIQ">"c4813"</definedName>
    <definedName name="IQ_DISTRIBUTABLE_CASH_SHARE_LOW_EST_CIQ">"c4814"</definedName>
    <definedName name="IQ_DISTRIBUTABLE_CASH_SHARE_MEDIAN_EST_CIQ">"c4815"</definedName>
    <definedName name="IQ_DISTRIBUTABLE_CASH_SHARE_NUM_EST_CIQ">"c4816"</definedName>
    <definedName name="IQ_DISTRIBUTABLE_CASH_SHARE_STDDEV_EST_CIQ">"c4817"</definedName>
    <definedName name="IQ_DISTRIBUTABLE_CASH_STDDEV_EST_CIQ">"c4819"</definedName>
    <definedName name="IQ_DIV_AMOUNT" hidden="1">"c3041"</definedName>
    <definedName name="IQ_DIV_PAYMENT_DATE" hidden="1">"c2205"</definedName>
    <definedName name="IQ_DIV_PAYMENT_DATE_1">"c2106"</definedName>
    <definedName name="IQ_DIV_RECORD_DATE" hidden="1">"c2204"</definedName>
    <definedName name="IQ_DIV_RECORD_DATE_1">"c2105"</definedName>
    <definedName name="IQ_DIVID_SHARE_1">"c330"</definedName>
    <definedName name="IQ_DIVIDENDS_DECLARED_COMMON_FDIC">"c6659"</definedName>
    <definedName name="IQ_DIVIDENDS_DECLARED_PREFERRED_FDIC">"c6658"</definedName>
    <definedName name="IQ_DIVIDENDS_FDIC">"c6660"</definedName>
    <definedName name="IQ_DNTM" hidden="1">700000</definedName>
    <definedName name="IQ_DPAC">"c2801"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ACT_OR_EST_REUT">"c5464"</definedName>
    <definedName name="IQ_DPS_DET_EST_CURRENCY_REUT">"c12527"</definedName>
    <definedName name="IQ_DPS_DET_EST_DATE_REUT">"c12286"</definedName>
    <definedName name="IQ_DPS_DET_EST_INCL_REUT">"c12410"</definedName>
    <definedName name="IQ_DPS_DET_EST_ORIGIN_REUT">"c12654"</definedName>
    <definedName name="IQ_DPS_DET_EST_REUT">"c12144"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DURATION" hidden="1">"c2181"</definedName>
    <definedName name="IQ_DYSCONT_OPER">"c1367"</definedName>
    <definedName name="IQ_EARNING_ASSETS_FDIC">"c6360"</definedName>
    <definedName name="IQ_EARNING_ASSETS_YIELD_FDIC">"c6724"</definedName>
    <definedName name="IQ_EARNINGS_ANNOUNCE_DATE" hidden="1">"c1649"</definedName>
    <definedName name="IQ_EARNINGS_ANNOUNCE_DATE_REUT">"c5314"</definedName>
    <definedName name="IQ_EARNINGS_COVERAGE_NET_CHARGE_OFFS_FDIC">"c6735"</definedName>
    <definedName name="IQ_EBIT_10K">"IQ_EBIT_10K"</definedName>
    <definedName name="IQ_EBIT_10Q">"IQ_EBIT_10Q"</definedName>
    <definedName name="IQ_EBIT_10Q1">"IQ_EBIT_10Q1"</definedName>
    <definedName name="IQ_EBIT_ACT_OR_EST_REUT">"c5465"</definedName>
    <definedName name="IQ_EBIT_DET_EST_CURRENCY_REUT">"c12528"</definedName>
    <definedName name="IQ_EBIT_DET_EST_DATE_REUT">"c12287"</definedName>
    <definedName name="IQ_EBIT_DET_EST_INCL_REUT">"c12411"</definedName>
    <definedName name="IQ_EBIT_DET_EST_ORIGIN_REUT">"c12655"</definedName>
    <definedName name="IQ_EBIT_DET_EST_REUT">"c12145"</definedName>
    <definedName name="IQ_EBIT_EST_REUT">"c5333"</definedName>
    <definedName name="IQ_EBIT_GROWTH_1">"IQ_EBIT_GROWTH_1"</definedName>
    <definedName name="IQ_EBIT_GROWTH_2">"IQ_EBIT_GROWTH_2"</definedName>
    <definedName name="IQ_EBIT_HIGH_EST_REUT">"c5335"</definedName>
    <definedName name="IQ_EBIT_LOW_EST_REUT">"c5336"</definedName>
    <definedName name="IQ_EBIT_MEDIAN_EST_REUT">"c5334"</definedName>
    <definedName name="IQ_EBIT_NET_INT">"c360"</definedName>
    <definedName name="IQ_EBIT_NUM_EST_REUT">"c5337"</definedName>
    <definedName name="IQ_EBIT_OVER_IE_1">"c360"</definedName>
    <definedName name="IQ_EBIT_STDDEV_EST_REUT">"c5338"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_10K">"IQ_EBITDA_10K"</definedName>
    <definedName name="IQ_EBITDA_10Q">"IQ_EBITDA_10Q"</definedName>
    <definedName name="IQ_EBITDA_10Q1">"IQ_EBITDA_10Q1"</definedName>
    <definedName name="IQ_EBITDA_ACT_OR_EST_REUT">"c5462"</definedName>
    <definedName name="IQ_EBITDA_CAPEX_NET_INT">"c368"</definedName>
    <definedName name="IQ_EBITDA_CAPEX_OVER_TOTAL_IE_1">"c368"</definedName>
    <definedName name="IQ_EBITDA_DET_EST_CURRENCY_REUT">"c12529"</definedName>
    <definedName name="IQ_EBITDA_DET_EST_DATE_REUT">"c12288"</definedName>
    <definedName name="IQ_EBITDA_DET_EST_INCL_REUT">"c12412"</definedName>
    <definedName name="IQ_EBITDA_DET_EST_ORIGIN_REUT">"c12656"</definedName>
    <definedName name="IQ_EBITDA_DET_EST_REUT">"c12146"</definedName>
    <definedName name="IQ_EBITDA_EST_REUT">"c3640"</definedName>
    <definedName name="IQ_EBITDA_GROWTH_1">"IQ_EBITDA_GROWTH_1"</definedName>
    <definedName name="IQ_EBITDA_GROWTH_2">"IQ_EBITDA_GROWTH_2"</definedName>
    <definedName name="IQ_EBITDA_HIGH_EST_REUT">"c3642"</definedName>
    <definedName name="IQ_EBITDA_LOW_EST_REUT">"c3643"</definedName>
    <definedName name="IQ_EBITDA_MEDIAN_EST_REUT">"c3641"</definedName>
    <definedName name="IQ_EBITDA_NET_INT">"c373"</definedName>
    <definedName name="IQ_EBITDA_NO_EST">"c267"</definedName>
    <definedName name="IQ_EBITDA_NUM_EST_REUT">"c3644"</definedName>
    <definedName name="IQ_EBITDA_OVER_TOTAL_IE_1">"c373"</definedName>
    <definedName name="IQ_EBITDA_STDDEV_EST_REUT">"c3645"</definedName>
    <definedName name="IQ_EBITDAR" hidden="1">"c2989"</definedName>
    <definedName name="IQ_EBT_BR" hidden="1">"c378"</definedName>
    <definedName name="IQ_EBT_EXCL_BR" hidden="1">"c381"</definedName>
    <definedName name="IQ_EBT_INCL_MARGIN" hidden="1">"c387"</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TAX_RATE" hidden="1">"c1899"</definedName>
    <definedName name="IQ_EFFICIENCY_RATIO_FDIC">"c6736"</definedName>
    <definedName name="IQ_ENTERPRISE_VALUE_1">"c84"</definedName>
    <definedName name="IQ_ENTITLEMENT_DET_EST_REUT">"c12136"</definedName>
    <definedName name="IQ_EPS">"IQ_EPS"</definedName>
    <definedName name="IQ_EPS_10K">"IQ_EPS_10K"</definedName>
    <definedName name="IQ_EPS_10Q">"IQ_EPS_10Q"</definedName>
    <definedName name="IQ_EPS_10Q1">"IQ_EPS_10Q1"</definedName>
    <definedName name="IQ_EPS_ACT_OR_EST" hidden="1">"c2213"</definedName>
    <definedName name="IQ_EPS_ACT_OR_EST_REUT">"c5460"</definedName>
    <definedName name="IQ_EPS_DET_EST_CURRENCY_REUT">"c13584"</definedName>
    <definedName name="IQ_EPS_DET_EST_DATE_REUT">"c13576"</definedName>
    <definedName name="IQ_EPS_DET_EST_INCL_REUT">"c13588"</definedName>
    <definedName name="IQ_EPS_DET_EST_ORIGIN_REUT">"c13580"</definedName>
    <definedName name="IQ_EPS_DET_EST_REUT">"c13572"</definedName>
    <definedName name="IQ_EPS_EST_1">"IQ_EPS_EST_1"</definedName>
    <definedName name="IQ_EPS_EST_BOTTOM_UP_REUT">"c5497"</definedName>
    <definedName name="IQ_EPS_EST_REUT">"c5453"</definedName>
    <definedName name="IQ_EPS_GW_ACT_OR_EST_REUT">"c5469"</definedName>
    <definedName name="IQ_EPS_GW_DET_EST_CURRENCY_REUT">"c12533"</definedName>
    <definedName name="IQ_EPS_GW_DET_EST_DATE_REUT">"c12292"</definedName>
    <definedName name="IQ_EPS_GW_DET_EST_INCL_REUT">"c12416"</definedName>
    <definedName name="IQ_EPS_GW_DET_EST_ORIGIN_REUT">"c12660"</definedName>
    <definedName name="IQ_EPS_GW_DET_EST_REUT">"c12150"</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 hidden="1">"c1661"</definedName>
    <definedName name="IQ_EPS_MEDIAN_EST_REUT">"c5456"</definedName>
    <definedName name="IQ_EPS_NO_EST">"c271"</definedName>
    <definedName name="IQ_EPS_NORM" hidden="1">"c1902"</definedName>
    <definedName name="IQ_EPS_NORM_DET_EST_CURRENCY_REUT">"c12535"</definedName>
    <definedName name="IQ_EPS_NORM_DET_EST_DATE_REUT">"c12294"</definedName>
    <definedName name="IQ_EPS_NORM_DET_EST_INCL_REUT">"c12418"</definedName>
    <definedName name="IQ_EPS_NORM_DET_EST_ORIGIN_REUT">"c12662"</definedName>
    <definedName name="IQ_EPS_NORM_DET_EST_REUT">"c12152"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PRIMARY_EST">"c2226"</definedName>
    <definedName name="IQ_EPS_PRIMARY_HIGH_EST">"c2228"</definedName>
    <definedName name="IQ_EPS_PRIMARY_LOW_EST">"c2229"</definedName>
    <definedName name="IQ_EPS_PRIMARY_MEDIAN_EST">"c2227"</definedName>
    <definedName name="IQ_EPS_PRIMARY_NUM_EST">"c2230"</definedName>
    <definedName name="IQ_EPS_PRIMARY_STDDEV_EST">"c2231"</definedName>
    <definedName name="IQ_EPS_REPORT_ACT_OR_EST_REUT">"c5470"</definedName>
    <definedName name="IQ_EPS_REPORTED_DET_EST_CURRENCY_REUT">"c12534"</definedName>
    <definedName name="IQ_EPS_REPORTED_DET_EST_DATE_REUT">"c12293"</definedName>
    <definedName name="IQ_EPS_REPORTED_DET_EST_INCL_REUT">"c12417"</definedName>
    <definedName name="IQ_EPS_REPORTED_DET_EST_ORIGIN_REUT">"c12661"</definedName>
    <definedName name="IQ_EPS_REPORTED_DET_EST_REUT">"c12151"</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_1">"c552"</definedName>
    <definedName name="IQ_EQUITY_CAPITAL_ASSETS_FDIC">"c6744"</definedName>
    <definedName name="IQ_EQUITY_FDIC">"c6353"</definedName>
    <definedName name="IQ_EQUITY_SECURITIES_FDIC">"c6304"</definedName>
    <definedName name="IQ_EQUITY_SECURITY_EXPOSURES_FDIC">"c6664"</definedName>
    <definedName name="IQ_EQV_OVER_LTM_PRETAX_INC_1">"c739"</definedName>
    <definedName name="IQ_EST_ACT_BV_REUT">"c5409"</definedName>
    <definedName name="IQ_EST_ACT_BV_SHARE_REUT">"c5445"</definedName>
    <definedName name="IQ_EST_ACT_BV_THOM">"c5153"</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PRIMARY">"c2232"</definedName>
    <definedName name="IQ_EST_ACT_EPS_REPORTED_REUT">"c5402"</definedName>
    <definedName name="IQ_EST_ACT_EPS_REUT">"c5457"</definedName>
    <definedName name="IQ_EST_ACT_FFO_CIQ_1">"c4932"</definedName>
    <definedName name="IQ_EST_ACT_FFO_REUT">"c3843"</definedName>
    <definedName name="IQ_EST_ACT_FFO_SHARE_CIQ_1">"c3674"</definedName>
    <definedName name="IQ_EST_ACT_FFO_SHARE_REUT">"c3843"</definedName>
    <definedName name="IQ_EST_ACT_FFO_SHARE_SHARE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GW_THOM">"c5139"</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CIQ">"c4765"</definedName>
    <definedName name="IQ_EST_BV_DIFF_REUT">"c5433"</definedName>
    <definedName name="IQ_EST_BV_DIFF_THOM">"c5204"</definedName>
    <definedName name="IQ_EST_BV_SURPRISE_PERCENT_CIQ">"c4766"</definedName>
    <definedName name="IQ_EST_BV_SURPRISE_PERCENT_REUT">"c5434"</definedName>
    <definedName name="IQ_EST_BV_SURPRISE_PERCENT_THOM">"c5205"</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 hidden="1">"c2140"</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 hidden="1">"c1864"</definedName>
    <definedName name="IQ_EST_EPS_DIFF_REUT">"c5458"</definedName>
    <definedName name="IQ_EST_EPS_GROWTH_1YR_REUT">"c3646"</definedName>
    <definedName name="IQ_EST_EPS_GROWTH_2YR_REUT">"c3858"</definedName>
    <definedName name="IQ_EST_EPS_GROWTH_5YR" hidden="1">"c1655"</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CIQ_1">"c4969"</definedName>
    <definedName name="IQ_EST_FFO_DIFF_REUT">"c3890"</definedName>
    <definedName name="IQ_EST_FFO_DIFF_THOM">"c5186"</definedName>
    <definedName name="IQ_EST_FFO_GROWTH_1YR_CIQ_1">"c4950"</definedName>
    <definedName name="IQ_EST_FFO_GROWTH_1YR_REUT">"c3874"</definedName>
    <definedName name="IQ_EST_FFO_GROWTH_2YR_CIQ_1">"c4951"</definedName>
    <definedName name="IQ_EST_FFO_GROWTH_2YR_REUT">"c3875"</definedName>
    <definedName name="IQ_EST_FFO_GROWTH_Q_1YR_CIQ_1">"c4952"</definedName>
    <definedName name="IQ_EST_FFO_GROWTH_Q_1YR_REUT">"c3876"</definedName>
    <definedName name="IQ_EST_FFO_SEQ_GROWTH_Q_CIQ_1">"c4953"</definedName>
    <definedName name="IQ_EST_FFO_SEQ_GROWTH_Q_REUT">"c3877"</definedName>
    <definedName name="IQ_EST_FFO_SHARE_DIFF_CIQ_1">"c3721"</definedName>
    <definedName name="IQ_EST_FFO_SHARE_DIFF_REUT">"c3890"</definedName>
    <definedName name="IQ_EST_FFO_SHARE_GROWTH_1YR_CIQ_1">"c3705"</definedName>
    <definedName name="IQ_EST_FFO_SHARE_GROWTH_2YR_CIQ_1">"c3706"</definedName>
    <definedName name="IQ_EST_FFO_SHARE_GROWTH_Q_1YR_CIQ_1">"c3707"</definedName>
    <definedName name="IQ_EST_FFO_SHARE_SEQ_GROWTH_Q_CIQ_1">"c3708"</definedName>
    <definedName name="IQ_EST_FFO_SHARE_SHARE_DIFF_REUT">"c3890"</definedName>
    <definedName name="IQ_EST_FFO_SHARE_SHARE_DIFF_THOM">"c5186"</definedName>
    <definedName name="IQ_EST_FFO_SHARE_SHARE_SURPRISE_PERCENT_REUT">"c3891"</definedName>
    <definedName name="IQ_EST_FFO_SHARE_SHARE_SURPRISE_PERCENT_THOM">"c5187"</definedName>
    <definedName name="IQ_EST_FFO_SHARE_SURPRISE_PERCENT_CIQ_1">"c3722"</definedName>
    <definedName name="IQ_EST_FFO_SHARE_SURPRISE_PERCENT_REUT">"c3891"</definedName>
    <definedName name="IQ_EST_FFO_SURPRISE_PERCENT_CIQ_1">"c4982"</definedName>
    <definedName name="IQ_EST_FFO_SURPRISE_PERCENT_REUT">"c3891"</definedName>
    <definedName name="IQ_EST_FFO_SURPRISE_PERCENT_THOM">"c5187"</definedName>
    <definedName name="IQ_EST_FOOTNOTE_REUT">"c5478"</definedName>
    <definedName name="IQ_EST_NAV_SURPRISE_PERCENT_1">"c1896"</definedName>
    <definedName name="IQ_EST_NI_DIFF_REUT">"c5423"</definedName>
    <definedName name="IQ_EST_NI_GW_DIFF_REUT">"c5425"</definedName>
    <definedName name="IQ_EST_NI_GW_DIFF_THOM">"c5200"</definedName>
    <definedName name="IQ_EST_NI_GW_SURPRISE_PERCENT_REUT">"c5426"</definedName>
    <definedName name="IQ_EST_NI_GW_SURPRISE_PERCENT_THOM">"c5201"</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UT_ACT_CAPEX">"c3975"</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_1">"c1225"</definedName>
    <definedName name="IQ_EV_OVER_LTM_EBIT_1">"c1221"</definedName>
    <definedName name="IQ_EV_OVER_LTM_EBITDA_1">"c1223"</definedName>
    <definedName name="IQ_EV_OVER_LTM_REVENUE_1">"c1227"</definedName>
    <definedName name="IQ_EV_OVER_REVENUE_EST">"IQ_EV_OVER_REVENUE_EST"</definedName>
    <definedName name="IQ_EV_OVER_REVENUE_EST_1">"IQ_EV_OVER_REVENUE_EST_1"</definedName>
    <definedName name="IQ_EVAL_DATE" hidden="1">"c2180"</definedName>
    <definedName name="IQ_EXERCISE_PRICE_1">"c406"</definedName>
    <definedName name="IQ_EXERCISED" hidden="1">"c406"</definedName>
    <definedName name="IQ_EXPENSE_CODE_">"001"</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_BR" hidden="1">"c412"</definedName>
    <definedName name="IQ_EXTRA_ITEMS_1">"c413"</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ED_FUNDS_PURCHASED_FDIC">"c6343"</definedName>
    <definedName name="IQ_FED_FUNDS_SOLD_FDIC">"c6307"</definedName>
    <definedName name="IQ_FEDFUNDS_SOLD" hidden="1">"c2256"</definedName>
    <definedName name="IQ_FFO_ADJ_EST_CIQ">"c4959"</definedName>
    <definedName name="IQ_FFO_ADJ_HIGH_EST_CIQ">"c4962"</definedName>
    <definedName name="IQ_FFO_ADJ_LOW_EST_CIQ">"c4963"</definedName>
    <definedName name="IQ_FFO_ADJ_MEDIAN_EST_CIQ">"c4964"</definedName>
    <definedName name="IQ_FFO_ADJ_NUM_EST_CIQ">"c4965"</definedName>
    <definedName name="IQ_FFO_ADJ_STDDEV_EST_CIQ">"c4966"</definedName>
    <definedName name="IQ_FFO_EST_CIQ">"c3668"</definedName>
    <definedName name="IQ_FFO_EST_CIQ_1">"c3668"</definedName>
    <definedName name="IQ_FFO_EST_DET_EST">"c12059"</definedName>
    <definedName name="IQ_FFO_EST_DET_EST_CIQ">"c12121"</definedName>
    <definedName name="IQ_FFO_EST_DET_EST_CURRENCY">"c12466"</definedName>
    <definedName name="IQ_FFO_EST_DET_EST_CURRENCY_CIQ">"c12512"</definedName>
    <definedName name="IQ_FFO_EST_DET_EST_CURRENCY_REUT">"c12536"</definedName>
    <definedName name="IQ_FFO_EST_DET_EST_CURRENCY_THOM">"c12487"</definedName>
    <definedName name="IQ_FFO_EST_DET_EST_DATE">"c12212"</definedName>
    <definedName name="IQ_FFO_EST_DET_EST_DATE_CIQ">"c12267"</definedName>
    <definedName name="IQ_FFO_EST_DET_EST_DATE_REUT">"c12295"</definedName>
    <definedName name="IQ_FFO_EST_DET_EST_DATE_THOM">"c12238"</definedName>
    <definedName name="IQ_FFO_EST_DET_EST_INCL">"c12349"</definedName>
    <definedName name="IQ_FFO_EST_DET_EST_INCL_CIQ">"c12395"</definedName>
    <definedName name="IQ_FFO_EST_DET_EST_INCL_REUT">"c12419"</definedName>
    <definedName name="IQ_FFO_EST_DET_EST_INCL_THOM">"c12370"</definedName>
    <definedName name="IQ_FFO_EST_DET_EST_ORIGIN">"c12722"</definedName>
    <definedName name="IQ_FFO_EST_DET_EST_ORIGIN_CIQ">"c12720"</definedName>
    <definedName name="IQ_FFO_EST_DET_EST_ORIGIN_REUT">"c12724"</definedName>
    <definedName name="IQ_FFO_EST_DET_EST_ORIGIN_THOM">"c12608"</definedName>
    <definedName name="IQ_FFO_EST_DET_EST_REUT">"c12153"</definedName>
    <definedName name="IQ_FFO_EST_DET_EST_THOM">"c12088"</definedName>
    <definedName name="IQ_FFO_EST_REUT">"c3837"</definedName>
    <definedName name="IQ_FFO_EST_THOM">"c3999"</definedName>
    <definedName name="IQ_FFO_HIGH_EST_CIQ">"c3670"</definedName>
    <definedName name="IQ_FFO_HIGH_EST_CIQ_1">"c3670"</definedName>
    <definedName name="IQ_FFO_HIGH_EST_REUT">"c3839"</definedName>
    <definedName name="IQ_FFO_HIGH_EST_THOM">"c4001"</definedName>
    <definedName name="IQ_FFO_LOW_EST_CIQ">"c3671"</definedName>
    <definedName name="IQ_FFO_LOW_EST_CIQ_1">"c3671"</definedName>
    <definedName name="IQ_FFO_LOW_EST_REUT">"c3840"</definedName>
    <definedName name="IQ_FFO_LOW_EST_THOM">"c4002"</definedName>
    <definedName name="IQ_FFO_MEDIAN_EST_CIQ">"c3669"</definedName>
    <definedName name="IQ_FFO_MEDIAN_EST_CIQ_1">"c3669"</definedName>
    <definedName name="IQ_FFO_MEDIAN_EST_REUT">"c3838"</definedName>
    <definedName name="IQ_FFO_MEDIAN_EST_THOM">"c4000"</definedName>
    <definedName name="IQ_FFO_NO_EST">"c276"</definedName>
    <definedName name="IQ_FFO_NUM_EST_CIQ">"c3672"</definedName>
    <definedName name="IQ_FFO_NUM_EST_CIQ_1">"c3672"</definedName>
    <definedName name="IQ_FFO_NUM_EST_REUT">"c3841"</definedName>
    <definedName name="IQ_FFO_NUM_EST_THOM">"c4003"</definedName>
    <definedName name="IQ_FFO_SHARE_EST_CIQ_1">"c3668"</definedName>
    <definedName name="IQ_FFO_SHARE_EST_DET_EST_CURRENCY_REUT">"c12536"</definedName>
    <definedName name="IQ_FFO_SHARE_EST_DET_EST_DATE_REUT">"c12295"</definedName>
    <definedName name="IQ_FFO_SHARE_EST_DET_EST_INCL_REUT">"c12419"</definedName>
    <definedName name="IQ_FFO_SHARE_EST_DET_EST_ORIGIN_REUT">"c12724"</definedName>
    <definedName name="IQ_FFO_SHARE_EST_DET_EST_REUT">"c12153"</definedName>
    <definedName name="IQ_FFO_SHARE_EST_REUT">"c3837"</definedName>
    <definedName name="IQ_FFO_SHARE_HIGH_EST_CIQ_1">"c3670"</definedName>
    <definedName name="IQ_FFO_SHARE_HIGH_EST_REUT">"c3839"</definedName>
    <definedName name="IQ_FFO_SHARE_LOW_EST_CIQ_1">"c3671"</definedName>
    <definedName name="IQ_FFO_SHARE_LOW_EST_REUT">"c3840"</definedName>
    <definedName name="IQ_FFO_SHARE_MEDIAN_EST_CIQ_1">"c3669"</definedName>
    <definedName name="IQ_FFO_SHARE_MEDIAN_EST_REUT">"c3838"</definedName>
    <definedName name="IQ_FFO_SHARE_NUM_EST_CIQ_1">"c3672"</definedName>
    <definedName name="IQ_FFO_SHARE_NUM_EST_REUT">"c3841"</definedName>
    <definedName name="IQ_FFO_SHARE_SHARE_EST_DET_EST">"c12059"</definedName>
    <definedName name="IQ_FFO_SHARE_SHARE_EST_DET_EST_CIQ">"c12121"</definedName>
    <definedName name="IQ_FFO_SHARE_SHARE_EST_DET_EST_CURRENCY">"c12466"</definedName>
    <definedName name="IQ_FFO_SHARE_SHARE_EST_DET_EST_CURRENCY_CIQ">"c12512"</definedName>
    <definedName name="IQ_FFO_SHARE_SHARE_EST_DET_EST_CURRENCY_REUT">"c12536"</definedName>
    <definedName name="IQ_FFO_SHARE_SHARE_EST_DET_EST_CURRENCY_THOM">"c12487"</definedName>
    <definedName name="IQ_FFO_SHARE_SHARE_EST_DET_EST_DATE">"c12212"</definedName>
    <definedName name="IQ_FFO_SHARE_SHARE_EST_DET_EST_DATE_CIQ">"c12267"</definedName>
    <definedName name="IQ_FFO_SHARE_SHARE_EST_DET_EST_DATE_REUT">"c12295"</definedName>
    <definedName name="IQ_FFO_SHARE_SHARE_EST_DET_EST_DATE_THOM">"c12238"</definedName>
    <definedName name="IQ_FFO_SHARE_SHARE_EST_DET_EST_INCL">"c12349"</definedName>
    <definedName name="IQ_FFO_SHARE_SHARE_EST_DET_EST_INCL_CIQ">"c12395"</definedName>
    <definedName name="IQ_FFO_SHARE_SHARE_EST_DET_EST_INCL_REUT">"c12419"</definedName>
    <definedName name="IQ_FFO_SHARE_SHARE_EST_DET_EST_INCL_THOM">"c12370"</definedName>
    <definedName name="IQ_FFO_SHARE_SHARE_EST_DET_EST_ORIGIN">"c12722"</definedName>
    <definedName name="IQ_FFO_SHARE_SHARE_EST_DET_EST_ORIGIN_CIQ">"c12720"</definedName>
    <definedName name="IQ_FFO_SHARE_SHARE_EST_DET_EST_ORIGIN_REUT">"c12724"</definedName>
    <definedName name="IQ_FFO_SHARE_SHARE_EST_DET_EST_ORIGIN_THOM">"c12608"</definedName>
    <definedName name="IQ_FFO_SHARE_SHARE_EST_DET_EST_REUT">"c12153"</definedName>
    <definedName name="IQ_FFO_SHARE_SHARE_EST_DET_EST_THOM">"c12088"</definedName>
    <definedName name="IQ_FFO_SHARE_SHARE_EST_REUT">"c3837"</definedName>
    <definedName name="IQ_FFO_SHARE_SHARE_EST_THOM">"c3999"</definedName>
    <definedName name="IQ_FFO_SHARE_SHARE_HIGH_EST_REUT">"c3839"</definedName>
    <definedName name="IQ_FFO_SHARE_SHARE_HIGH_EST_THOM">"c4001"</definedName>
    <definedName name="IQ_FFO_SHARE_SHARE_LOW_EST_REUT">"c3840"</definedName>
    <definedName name="IQ_FFO_SHARE_SHARE_LOW_EST_THOM">"c4002"</definedName>
    <definedName name="IQ_FFO_SHARE_SHARE_MEDIAN_EST_REUT">"c3838"</definedName>
    <definedName name="IQ_FFO_SHARE_SHARE_MEDIAN_EST_THOM">"c4000"</definedName>
    <definedName name="IQ_FFO_SHARE_SHARE_NUM_EST_REUT">"c3841"</definedName>
    <definedName name="IQ_FFO_SHARE_SHARE_NUM_EST_THOM">"c4003"</definedName>
    <definedName name="IQ_FFO_SHARE_SHARE_STDDEV_EST_REUT">"c3842"</definedName>
    <definedName name="IQ_FFO_SHARE_SHARE_STDDEV_EST_THOM">"c4004"</definedName>
    <definedName name="IQ_FFO_SHARE_STDDEV_EST_CIQ_1">"c3673"</definedName>
    <definedName name="IQ_FFO_SHARE_STDDEV_EST_REUT">"c3842"</definedName>
    <definedName name="IQ_FFO_STDDEV_EST_CIQ">"c3673"</definedName>
    <definedName name="IQ_FFO_STDDEV_EST_CIQ_1">"c3673"</definedName>
    <definedName name="IQ_FFO_STDDEV_EST_REUT">"c3842"</definedName>
    <definedName name="IQ_FFO_STDDEV_EST_THOM">"c4004"</definedName>
    <definedName name="IQ_FH">100000</definedName>
    <definedName name="IQ_FHLB_ADVANCES_FDIC">"c6366"</definedName>
    <definedName name="IQ_FHLB_DUE_AFTER_FIVE">"c2086"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"c6571"</definedName>
    <definedName name="IQ_FIFETEEN_YEAR_FIXED_AND_FLOATING_RATE_FDIC">"c6423"</definedName>
    <definedName name="IQ_FIFETEEN_YEAR_MORTGAGE_PASS_THROUGHS_FDIC">"c6415"</definedName>
    <definedName name="IQ_FII_12M_RETURN">"c25807"</definedName>
    <definedName name="IQ_FII_3M_RETURN">"c25808"</definedName>
    <definedName name="IQ_FII_6M_RETURN">"c25809"</definedName>
    <definedName name="IQ_FII_AVGBIDSPREAD">"c25820"</definedName>
    <definedName name="IQ_FII_CONVEX">"c25799"</definedName>
    <definedName name="IQ_FII_COUPON">"c25800"</definedName>
    <definedName name="IQ_FII_DAILY_RETURN">"c25810"</definedName>
    <definedName name="IQ_FII_DURTW">"c25802"</definedName>
    <definedName name="IQ_FII_EXCESS_RETURN">"c25819"</definedName>
    <definedName name="IQ_FII_INDEXPRICE">"c25806"</definedName>
    <definedName name="IQ_FII_MATURITY">"c25804"</definedName>
    <definedName name="IQ_FII_MODDUR">"c25801"</definedName>
    <definedName name="IQ_FII_MTD_RETURN_COUPON">"c25813"</definedName>
    <definedName name="IQ_FII_MTD_RETURN_CURRENCY">"c25814"</definedName>
    <definedName name="IQ_FII_MTD_RETURN_PAYDOWN">"c25815"</definedName>
    <definedName name="IQ_FII_MTD_RETURN_PRICE">"c25816"</definedName>
    <definedName name="IQ_FII_MTD_RETURN_TOTAL">"c25812"</definedName>
    <definedName name="IQ_FII_MV">"c25803"</definedName>
    <definedName name="IQ_FII_NUMISSUE">"c25805"</definedName>
    <definedName name="IQ_FII_OAS">"c25798"</definedName>
    <definedName name="IQ_FII_RETURN_INCEPTION">"c25811"</definedName>
    <definedName name="IQ_FII_YTD_RETURN">"c25817"</definedName>
    <definedName name="IQ_FII_YTW">"c25818"</definedName>
    <definedName name="IQ_FILING_CURRENCY" hidden="1">"c2129"</definedName>
    <definedName name="IQ_FILM_RIGHTS" hidden="1">"c2254"</definedName>
    <definedName name="IQ_FIN_DIV_CURRENT_PORT_DEBT_TOTAL">"c5524"</definedName>
    <definedName name="IQ_FIN_DIV_CURRENT_PORT_LEASES_TOTAL">"c5523"</definedName>
    <definedName name="IQ_FIN_DIV_DEBT_LT_TOTAL">"c5526"</definedName>
    <definedName name="IQ_FIN_DIV_LEASES_LT_TOTAL">"c5525"</definedName>
    <definedName name="IQ_FIN_DIV_NOTES_PAY_TOTAL">"c5522"</definedName>
    <definedName name="IQ_FINANCING_CASH_1">"c893"</definedName>
    <definedName name="IQ_FINANCING_CASH_SUPPL_1">"c899"</definedName>
    <definedName name="IQ_FINANCING_OBLIG_CURRENT_1">"c6190"</definedName>
    <definedName name="IQ_FINANCING_OBLIG_NON_CURRENT_1">"c6191"</definedName>
    <definedName name="IQ_FIRST_INT_DATE" hidden="1">"c2186"</definedName>
    <definedName name="IQ_FIRST_YEAR_LIFE_PREM" hidden="1">"c2787"</definedName>
    <definedName name="IQ_FIRST_YEAR_PREM" hidden="1">"c2786"</definedName>
    <definedName name="IQ_FIRSTPRICINGDATE" hidden="1">"c3050"</definedName>
    <definedName name="IQ_FISCAL_Q_EST_REUT">"c6798"</definedName>
    <definedName name="IQ_FISCAL_Y_EST_REUT">"c6799"</definedName>
    <definedName name="IQ_FIVE_PERCENT_AMOUNT">"c240"</definedName>
    <definedName name="IQ_FIVE_YEAR_FIXED_AND_FLOATING_RATE_FDIC">"c6422"</definedName>
    <definedName name="IQ_FIVE_YEAR_MORTGAGE_PASS_THROUGHS_FDIC">"c6414"</definedName>
    <definedName name="IQ_FIVEPERCENT_OWNER">"c239"</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OSITS_NONTRANSACTION_ACCOUNTS_FDIC">"c6549"</definedName>
    <definedName name="IQ_FOREIGN_DEPOSITS_TRANSACTION_ACCOUNTS_FDIC">"c6541"</definedName>
    <definedName name="IQ_FOREIGN_EXCHANGE_1">"c451"</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Q">500</definedName>
    <definedName name="IQ_FULLY_INSURED_DEPOSITS_FDIC">"c6487"</definedName>
    <definedName name="IQ_FUTURES_FORWARD_CONTRACTS_NOTIONAL_AMOUNT_FDIC">"c6518"</definedName>
    <definedName name="IQ_FUTURES_FORWARD_CONTRACTS_RATE_RISK_FDIC">"c6508"</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_CONTRACTS_FDIC">"c6517"</definedName>
    <definedName name="IQ_FX_CONTRACTS_SPOT_FDIC">"c6356"</definedName>
    <definedName name="IQ_FY">1000</definedName>
    <definedName name="IQ_FY_DATE">"IQ_FY_DATE"</definedName>
    <definedName name="IQ_GA_EXP" hidden="1">"c2241"</definedName>
    <definedName name="IQ_GAIN_ASSETS_BR" hidden="1">"c454"</definedName>
    <definedName name="IQ_GAIN_ASSETS_CF_BR" hidden="1">"c457"</definedName>
    <definedName name="IQ_GAIN_ASSETS_REC">"c464"</definedName>
    <definedName name="IQ_GAIN_ASSETS_REC_BNK">"c465"</definedName>
    <definedName name="IQ_GAIN_ASSETS_REC_BR">"c466"</definedName>
    <definedName name="IQ_GAIN_ASSETS_REC_FIN">"c467"</definedName>
    <definedName name="IQ_GAIN_ASSETS_REC_INS">"c468"</definedName>
    <definedName name="IQ_GAIN_ASSETS_REC_REIT">"c469"</definedName>
    <definedName name="IQ_GAIN_ASSETS_REC_UTI">"c470"</definedName>
    <definedName name="IQ_GAIN_ASSETS_REV_BR" hidden="1">"c474"</definedName>
    <definedName name="IQ_GAIN_INVEST_BR" hidden="1">"c1464"</definedName>
    <definedName name="IQ_GAIN_INVEST_CF_BR" hidden="1">"c482"</definedName>
    <definedName name="IQ_GAIN_INVEST_REC">"c487"</definedName>
    <definedName name="IQ_GAIN_INVEST_REC_BNK">"c488"</definedName>
    <definedName name="IQ_GAIN_INVEST_REC_BR">"c489"</definedName>
    <definedName name="IQ_GAIN_INVEST_REC_FIN">"c490"</definedName>
    <definedName name="IQ_GAIN_INVEST_REC_INS">"c491"</definedName>
    <definedName name="IQ_GAIN_INVEST_REC_REIT">"c492"</definedName>
    <definedName name="IQ_GAIN_INVEST_REC_UTI">"c493"</definedName>
    <definedName name="IQ_GAIN_INVEST_REV_BR" hidden="1">"c496"</definedName>
    <definedName name="IQ_GAIN_SALE_ASSETS_1">"c452"</definedName>
    <definedName name="IQ_GAIN_SALE_LOANS_FDIC">"c6673"</definedName>
    <definedName name="IQ_GAIN_SALE_RE_FDIC">"c6674"</definedName>
    <definedName name="IQ_GAINS_SALE_ASSETS_FDIC">"c6675"</definedName>
    <definedName name="IQ_GNMA_FDIC">"c6398"</definedName>
    <definedName name="IQ_GOODWILL_FDIC">"c6334"</definedName>
    <definedName name="IQ_GOODWILL_IMPAIRMENT_FDIC">"c6678"</definedName>
    <definedName name="IQ_GOODWILL_INTAN_FDIC">"c6333"</definedName>
    <definedName name="IQ_GOODWILL_NET_1">"c530"</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_1">"c192"</definedName>
    <definedName name="IQ_GROSS_EARNED" hidden="1">"c2732"</definedName>
    <definedName name="IQ_GROSS_INTAN">"c520"</definedName>
    <definedName name="IQ_GROSS_LIFE_EARNED" hidden="1">"c2737"</definedName>
    <definedName name="IQ_GROSS_LIFE_IN_FORCE" hidden="1">"c2767"</definedName>
    <definedName name="IQ_GROSS_PC_EARNED" hidden="1">"c2747"</definedName>
    <definedName name="IQ_GROSS_PROFIT_1">"c511"</definedName>
    <definedName name="IQ_GROSS_SPRD" hidden="1">"c2155"</definedName>
    <definedName name="IQ_GROSS_WRITTEN" hidden="1">"c2726"</definedName>
    <definedName name="IQ_GW_AMORT">"c531"</definedName>
    <definedName name="IQ_GW_AMORT_BR" hidden="1">"c532"</definedName>
    <definedName name="IQ_GW_AMORT_CF">"c533"</definedName>
    <definedName name="IQ_GW_AMORT_CF_BNK">"c534"</definedName>
    <definedName name="IQ_GW_AMORT_CF_BR">"c535"</definedName>
    <definedName name="IQ_GW_AMORT_CF_FIN">"c536"</definedName>
    <definedName name="IQ_GW_AMORT_CF_INS">"c537"</definedName>
    <definedName name="IQ_GW_AMORT_CF_REIT">"c538"</definedName>
    <definedName name="IQ_GW_AMORT_CF_UTI">"c539"</definedName>
    <definedName name="IQ_GW_AMORT_FIN" hidden="1">"c540"</definedName>
    <definedName name="IQ_GW_AMORT_INS" hidden="1">"c541"</definedName>
    <definedName name="IQ_GW_AMORT_REIT" hidden="1">"c542"</definedName>
    <definedName name="IQ_GW_AMORT_UTI" hidden="1">"c543"</definedName>
    <definedName name="IQ_GW_INTAN_AMORT_BR" hidden="1">"c1470"</definedName>
    <definedName name="IQ_GW_INTAN_AMORT_CF_BR" hidden="1">"c1473"</definedName>
    <definedName name="IQ_HC뱟AVG⡟BEDS_SV䱃">"c5951"</definedName>
    <definedName name="IQ_HELD_MATURITY_FDIC">"c6408"</definedName>
    <definedName name="IQ_HG_REV_OTHER_HOTEL_MOTEL">"c8731"</definedName>
    <definedName name="IQ_HG_REV_TOTAL_CASINO_GAMING">"c8723"</definedName>
    <definedName name="IQ_HG_REV_TOTAL_HOTEL_MOTEL">"c8732"</definedName>
    <definedName name="IQ_HIGH_TARGET_PRICE" hidden="1">"c1651"</definedName>
    <definedName name="IQ_HIGH_TARGET_PRICE_REUT">"c5317"</definedName>
    <definedName name="IQ_HOME_EQUITY_LOC_NET_CHARGE_OFFS_FDIC">"c6644"</definedName>
    <definedName name="IQ_HOME_EQUITY_LOC_TOTAL_CHARGE_OFFS_FDIC">"c6606"</definedName>
    <definedName name="IQ_HOME_EQUITY_LOC_TOTAL_RECOVERIES_FDIC">"c6625"</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MPUT_OPER_LEASE_DEPR" hidden="1">"c2987"</definedName>
    <definedName name="IQ_IMPUT_OPER_LEASE_INT_EXP" hidden="1">"c2986"</definedName>
    <definedName name="IQ_INC_AVAIL_EXCL_1">"c789"</definedName>
    <definedName name="IQ_INC_AVAIL_INCL_1">"c791"</definedName>
    <definedName name="IQ_INC_BEFORE_TAX_1">"c386"</definedName>
    <definedName name="IQ_INC_EQUITY_BR" hidden="1">"c550"</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 hidden="1">"c19241"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REV" hidden="1">"c2788"</definedName>
    <definedName name="IQ_INS_SETTLE_BR" hidden="1">"c572"</definedName>
    <definedName name="IQ_INSIDER_3MTH_BOUGHT">"c1534"</definedName>
    <definedName name="IQ_INSIDER_3MTH_NET">"c1535"</definedName>
    <definedName name="IQ_INSIDER_3MTH_SOLD">"c1533"</definedName>
    <definedName name="IQ_INSIDER_6MTH_BOUGHT">"c1537"</definedName>
    <definedName name="IQ_INSIDER_6MTH_NET">"c1538"</definedName>
    <definedName name="IQ_INSIDER_6MTH_SOLD">"c1536"</definedName>
    <definedName name="IQ_INSIDER_AMOUNT">"c238"</definedName>
    <definedName name="IQ_INSIDER_LOANS_FDIC">"c6365"</definedName>
    <definedName name="IQ_INSTITUTIONAL_AMOUNT">"c236"</definedName>
    <definedName name="IQ_INSTITUTIONS_EARNINGS_GAINS_FDIC">"c6723"</definedName>
    <definedName name="IQ_INSURANCE_COMMISSION_FEES_FDIC">"c6670"</definedName>
    <definedName name="IQ_INSURANCE_UNDERWRITING_INCOME_FDIC">"c6671"</definedName>
    <definedName name="IQ_INT_DEMAND_NOTES_FDIC">"c6567"</definedName>
    <definedName name="IQ_INT_DOMESTIC_DEPOSITS_FDIC">"c6564"</definedName>
    <definedName name="IQ_INT_EXP_BR" hidden="1">"c586"</definedName>
    <definedName name="IQ_INT_EXP_INCL_CAP" hidden="1">"c2988"</definedName>
    <definedName name="IQ_INT_EXP_LTD" hidden="1">"c2086"</definedName>
    <definedName name="IQ_INT_EXP_TOTAL_FDIC">"c6569"</definedName>
    <definedName name="IQ_INT_FED_FUNDS_FDIC">"c6566"</definedName>
    <definedName name="IQ_INT_FOREIGN_DEPOSITS_FDIC">"c6565"</definedName>
    <definedName name="IQ_INT_INC_BR" hidden="1">"c593"</definedName>
    <definedName name="IQ_INT_INC_DEPOSITORY_INST_FDIC">"c6558"</definedName>
    <definedName name="IQ_INT_INC_DOM_LOANS_FDIC">"c6555"</definedName>
    <definedName name="IQ_INT_INC_FED_FUNDS_FDIC">"c6561"</definedName>
    <definedName name="IQ_INT_INC_FOREIGN_LOANS_FDIC">"c6556"</definedName>
    <definedName name="IQ_INT_INC_LEASE_RECEIVABLES_FDIC">"c6557"</definedName>
    <definedName name="IQ_INT_INC_OTHER_FDIC">"c6562"</definedName>
    <definedName name="IQ_INT_INC_SECURITIES_FDIC">"c6559"</definedName>
    <definedName name="IQ_INT_INC_TOTAL_FDIC">"c6563"</definedName>
    <definedName name="IQ_INT_INC_TRADING_ACCOUNTS_FDIC">"c6560"</definedName>
    <definedName name="IQ_INT_SUB_NOTES_FDIC">"c6568"</definedName>
    <definedName name="IQ_INTAN_AMORT">"c605"</definedName>
    <definedName name="IQ_INTAN_AMORT_BR">"c606"</definedName>
    <definedName name="IQ_INTAN_AMORT_CF">"c607"</definedName>
    <definedName name="IQ_INTAN_AMORT_CF_BNK">"c608"</definedName>
    <definedName name="IQ_INTAN_AMORT_CF_BR">"c609"</definedName>
    <definedName name="IQ_INTAN_AMORT_CF_FIN">"c610"</definedName>
    <definedName name="IQ_INTAN_AMORT_CF_INS">"c611"</definedName>
    <definedName name="IQ_INTAN_AMORT_CF_REIT">"c612"</definedName>
    <definedName name="IQ_INTAN_AMORT_CF_UTI">"c613"</definedName>
    <definedName name="IQ_INTAN_AMORT_FIN">"c614"</definedName>
    <definedName name="IQ_INTAN_AMORT_INS">"c615"</definedName>
    <definedName name="IQ_INTAN_AMORT_REIT">"c616"</definedName>
    <definedName name="IQ_INTAN_AMORT_UTI">"c617"</definedName>
    <definedName name="IQ_INTANGIBLES_NET_1">"c907"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 hidden="1">"c2255"</definedName>
    <definedName name="IQ_INTEREST_EXP_NON_1">"c618"</definedName>
    <definedName name="IQ_INTEREST_INC_1">"c769"</definedName>
    <definedName name="IQ_INTEREST_INC_10K">"IQ_INTEREST_INC_10K"</definedName>
    <definedName name="IQ_INTEREST_INC_10Q">"IQ_INTEREST_INC_10Q"</definedName>
    <definedName name="IQ_INTEREST_INC_10Q1">"IQ_INTEREST_INC_10Q1"</definedName>
    <definedName name="IQ_INTEREST_INC_NON_1">"c619"</definedName>
    <definedName name="IQ_INTEREST_LT_DEBT">"c2086"</definedName>
    <definedName name="IQ_INTEREST_RATE_CONTRACTS_FDIC">"c6512"</definedName>
    <definedName name="IQ_INTEREST_RATE_EXPOSURES_FDIC">"c6662"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ENTORIES_POP_塅䕃">"c8001"</definedName>
    <definedName name="IQ_INVEST_LOANS_CF_BR" hidden="1">"c630"</definedName>
    <definedName name="IQ_INVEST_SECURITY_CF_BR" hidden="1">"c639"</definedName>
    <definedName name="IQ_INVESTMENT_BANKING_OTHER_FEES_FDIC">"c6666"</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_1">"c751"</definedName>
    <definedName name="IQ_ISSUE_CURRENCY" hidden="1">"c2156"</definedName>
    <definedName name="IQ_ISSUE_NAME" hidden="1">"c2142"</definedName>
    <definedName name="IQ_ISSUED_GUARANTEED_US_FDIC">"c6404"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ST_EBIT_MARGIN">"IQ_LAST_EBIT_MARGIN"</definedName>
    <definedName name="IQ_LAST_EBITDA_MARGIN">"IQ_LAST_EBITDA_MARGIN"</definedName>
    <definedName name="IQ_LAST_GROSS_MARGIN">"IQ_LAST_GROSS_MARGIN"</definedName>
    <definedName name="IQ_LAST_NET_INC_MARGIN">"IQ_LAST_NET_INC_MARGIN"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_DATE" hidden="1">"c2109"</definedName>
    <definedName name="IQ_LATEST">"1"</definedName>
    <definedName name="IQ_LATESTK" hidden="1">1000</definedName>
    <definedName name="IQ_LATESTKFR">"100"</definedName>
    <definedName name="IQ_LATESTQ" hidden="1">500</definedName>
    <definedName name="IQ_LATESTQFR">"50"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_BR" hidden="1">"c649"</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"c6372"</definedName>
    <definedName name="IQ_LISTING_CURRENCY">"c2127"</definedName>
    <definedName name="IQ_LOAN_COMMITMENTS_REVOLVING_FDIC">"c6524"</definedName>
    <definedName name="IQ_LOAN_LOSS_1">"c656"</definedName>
    <definedName name="IQ_LOAN_LOSS_ALLOW_FDIC">"c6326"</definedName>
    <definedName name="IQ_LOAN_LOSS_ALLOWANCE_NONCURRENT_LOANS_FDIC">"c6740"</definedName>
    <definedName name="IQ_LOAN_LOSSES_FDIC">"c6580"</definedName>
    <definedName name="IQ_LOANS_AND_LEASES_HELD_FDIC">"c6367"</definedName>
    <definedName name="IQ_LOANS_CF_BR" hidden="1">"c661"</definedName>
    <definedName name="IQ_LOANS_DEPOSITORY_INSTITUTIONS_FDIC">"c6382"</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_1">"c674"</definedName>
    <definedName name="IQ_LONG_TERM_DEBT_OVER_TOTAL_CAP_1">"c677"</definedName>
    <definedName name="IQ_LONG_TERM_INV_1">"c697"</definedName>
    <definedName name="IQ_LOSS_ALLOWANCE_LOANS_FDIC">"c6739"</definedName>
    <definedName name="IQ_LOSS_TO_NET_EARNED" hidden="1">"c2751"</definedName>
    <definedName name="IQ_LOW_TARGET_PRICE" hidden="1">"c1652"</definedName>
    <definedName name="IQ_LOW_TARGET_PRICE_REUT">"c5318"</definedName>
    <definedName name="IQ_LT_DEBT_BR" hidden="1">"c676"</definedName>
    <definedName name="IQ_LT_DEBT_CAPITAL_LEASES" hidden="1">"c2542"</definedName>
    <definedName name="IQ_LT_DEBT_CAPITAL_LEASES_PCT" hidden="1">"c2543"</definedName>
    <definedName name="IQ_LT_DEBT_ISSUED_BR" hidden="1">"c683"</definedName>
    <definedName name="IQ_LT_DEBT_REPAID_BR" hidden="1">"c691"</definedName>
    <definedName name="IQ_LT_GROWTH_DET_EST_DATE_REUT">"c12296"</definedName>
    <definedName name="IQ_LT_GROWTH_DET_EST_INCL_REUT">"c12420"</definedName>
    <definedName name="IQ_LT_GROWTH_DET_EST_ORIGIN_REUT">"c12728"</definedName>
    <definedName name="IQ_LT_GROWTH_DET_EST_REUT">"c12154"</definedName>
    <definedName name="IQ_LT_INVEST_BR" hidden="1">"c698"</definedName>
    <definedName name="IQ_LT_SENIOR_DEBT">"c702"</definedName>
    <definedName name="IQ_LT_SUB_DEBT">"c703"</definedName>
    <definedName name="IQ_LTM">2000</definedName>
    <definedName name="IQ_LTM_DATE">"IQ_LTM_DATE"</definedName>
    <definedName name="IQ_LTM_REVENUE_OVER_EMPLOYEES_1">"c1304"</definedName>
    <definedName name="IQ_LTMMONTH" hidden="1">120000</definedName>
    <definedName name="IQ_MACRO_SURVEY_CONSUMER_SENTIMENT">"c20808"</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ING" hidden="1">"c2239"</definedName>
    <definedName name="IQ_MARKTCAP">"c258"</definedName>
    <definedName name="IQ_MATURITY_DATE" hidden="1">"c2146"</definedName>
    <definedName name="IQ_MATURITY_ONE_YEAR_LESS_FDIC">"c6425"</definedName>
    <definedName name="IQ_MC_GA_MARGIN">"c9930"</definedName>
    <definedName name="IQ_MC_GA_OPERATING_REV">"c9929"</definedName>
    <definedName name="IQ_MC_MEDICAL_EXPENSE_RATIO">"c9927"</definedName>
    <definedName name="IQ_MC_RATIO" hidden="1">"c2783"</definedName>
    <definedName name="IQ_MC_SGA_MARGIN">"c9932"</definedName>
    <definedName name="IQ_MC_SGA_OPERATING_REV">"c9931"</definedName>
    <definedName name="IQ_MC_STATUTORY_SURPLUS" hidden="1">"c2772"</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 hidden="1">"c1650"</definedName>
    <definedName name="IQ_MEDIAN_TARGET_PRICE_REUT">"c5316"</definedName>
    <definedName name="IQ_MERGER_BR" hidden="1">"c715"</definedName>
    <definedName name="IQ_MERGER_RESTRUCTURE_BR" hidden="1">"c721"</definedName>
    <definedName name="IQ_MINORITY_INTEREST_BR" hidden="1">"c729"</definedName>
    <definedName name="IQ_MINORITY_INTEREST_TOTAL" hidden="1">"c1905"</definedName>
    <definedName name="IQ_MKTCAP_TOTAL_REV_FWD_REUT">"c4048"</definedName>
    <definedName name="IQ_MONEY_MARKET_DEPOSIT_ACCOUNTS_FDIC">"c6553"</definedName>
    <definedName name="IQ_MONTH">15000</definedName>
    <definedName name="IQ_MORTGAGE_BACKED_SECURITIES_FDIC">"c6402"</definedName>
    <definedName name="IQ_MORTGAGE_SERV_RIGHTS" hidden="1">"c2242"</definedName>
    <definedName name="IQ_MORTGAGE_SERVICING_FDIC">"c6335"</definedName>
    <definedName name="IQ_MTD" hidden="1">800000</definedName>
    <definedName name="IQ_MULTIFAMILY_RESIDENTIAL_LOANS_FDIC">"c6311"</definedName>
    <definedName name="IQ_NAMES_REVISION_DATE_" hidden="1">45737.7049189815</definedName>
    <definedName name="IQ_NAMES_REVISION_DATE__1">40879.6773263888</definedName>
    <definedName name="IQ_NAV_ACT_OR_EST" hidden="1">"c2225"</definedName>
    <definedName name="IQ_NAV_SHARE_ACT_OR_EST_REUT">"c5623"</definedName>
    <definedName name="IQ_NAV_SHARE_DET_EST_CURRENCY_REUT">"c12538"</definedName>
    <definedName name="IQ_NAV_SHARE_DET_EST_DATE_REUT">"c12297"</definedName>
    <definedName name="IQ_NAV_SHARE_DET_EST_INCL_REUT">"c12421"</definedName>
    <definedName name="IQ_NAV_SHARE_DET_EST_ORIGIN_REUT">"c12665"</definedName>
    <definedName name="IQ_NAV_SHARE_DET_EST_REUT">"c12155"</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RGE_OFFS_FDIC">"c6641"</definedName>
    <definedName name="IQ_NET_CHARGE_OFFS_LOANS_FDIC">"c6751"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_ACT_OR_EST_REUT">"c5473"</definedName>
    <definedName name="IQ_NET_DEBT_DET_EST_CURRENCY_REUT">"c12539"</definedName>
    <definedName name="IQ_NET_DEBT_DET_EST_DATE_REUT">"c12298"</definedName>
    <definedName name="IQ_NET_DEBT_DET_EST_INCL_REUT">"c12422"</definedName>
    <definedName name="IQ_NET_DEBT_DET_EST_ORIGIN_REUT">"c12666"</definedName>
    <definedName name="IQ_NET_DEBT_DET_EST_REUT">"c12156"</definedName>
    <definedName name="IQ_NET_DEBT_EBITDA_CAPEX" hidden="1">"c2949"</definedName>
    <definedName name="IQ_NET_DEBT_EST_REUT">"c3976"</definedName>
    <definedName name="IQ_NET_DEBT_HIGH_EST_REUT">"c3978"</definedName>
    <definedName name="IQ_NET_DEBT_ISSUED_BR" hidden="1">"c753"</definedName>
    <definedName name="IQ_NET_DEBT_LOW_EST_REUT">"c3979"</definedName>
    <definedName name="IQ_NET_DEBT_MEDIAN_EST_REUT">"c3977"</definedName>
    <definedName name="IQ_NET_DEBT_NUM_EST_REUT">"c3980"</definedName>
    <definedName name="IQ_NET_DEBT_STDDEV_EST_REUT">"c3981"</definedName>
    <definedName name="IQ_NET_EARNED" hidden="1">"c2734"</definedName>
    <definedName name="IQ_NET_INC_1">"c781"</definedName>
    <definedName name="IQ_NET_INC_10K">"IQ_NET_INC_10K"</definedName>
    <definedName name="IQ_NET_INC_10Q">"IQ_NET_INC_10Q"</definedName>
    <definedName name="IQ_NET_INC_10Q1">"IQ_NET_INC_10Q1"</definedName>
    <definedName name="IQ_NET_INC_BEFORE_1">"c344"</definedName>
    <definedName name="IQ_NET_INC_CF_1">"c793"</definedName>
    <definedName name="IQ_NET_INC_GROWTH_1">"IQ_NET_INC_GROWTH_1"</definedName>
    <definedName name="IQ_NET_INC_GROWTH_2">"IQ_NET_INC_GROWTH_2"</definedName>
    <definedName name="IQ_NET_INC_MARGIN_1">"c794"</definedName>
    <definedName name="IQ_NET_INCOME_FDIC">"c6587"</definedName>
    <definedName name="IQ_NET_INT_INC_BNK_FDIC">"c6570"</definedName>
    <definedName name="IQ_NET_INT_INC_BR" hidden="1">"c765"</definedName>
    <definedName name="IQ_NET_INTEREST_INC_1">"c764"</definedName>
    <definedName name="IQ_NET_INTEREST_MARGIN_FDIC">"c6726"</definedName>
    <definedName name="IQ_NET_LIFE_INS_IN_FORCE" hidden="1">"c2769"</definedName>
    <definedName name="IQ_NET_LOANS_LEASES_CORE_DEPOSITS_FDIC">"c6743"</definedName>
    <definedName name="IQ_NET_LOANS_LEASES_DEPOSITS_FDIC">"c6742"</definedName>
    <definedName name="IQ_NET_OPERATING_INCOME_ASSETS_FDIC">"c6729"</definedName>
    <definedName name="IQ_NET_SECURITIZATION_INCOME_FDIC">"c6669"</definedName>
    <definedName name="IQ_NET_SERVICING_FEES_FDIC">"c6668"</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_ACT_OR_EST_REUT">"c5468"</definedName>
    <definedName name="IQ_NI_DET_EST_CURRENCY_REUT">"c12540"</definedName>
    <definedName name="IQ_NI_DET_EST_DATE_REUT">"c12299"</definedName>
    <definedName name="IQ_NI_DET_EST_INCL_REUT">"c12423"</definedName>
    <definedName name="IQ_NI_DET_EST_ORIGIN_REUT">"c12667"</definedName>
    <definedName name="IQ_NI_DET_EST_REUT">"c12157"</definedName>
    <definedName name="IQ_NI_EST_REUT">"c5368"</definedName>
    <definedName name="IQ_NI_GW_DET_EST_CURRENCY_REUT">"c12541"</definedName>
    <definedName name="IQ_NI_GW_DET_EST_DATE_REUT">"c12300"</definedName>
    <definedName name="IQ_NI_GW_DET_EST_INCL_REUT">"c12424"</definedName>
    <definedName name="IQ_NI_GW_DET_EST_ORIGIN_REUT">"c12668"</definedName>
    <definedName name="IQ_NI_GW_DET_EST_REUT">"c12158"</definedName>
    <definedName name="IQ_NI_GW_EST_REUT">"c5375"</definedName>
    <definedName name="IQ_NI_GW_EST_THOM">"c5133"</definedName>
    <definedName name="IQ_NI_GW_HIGH_EST_REUT">"c5377"</definedName>
    <definedName name="IQ_NI_GW_HIGH_EST_THOM">"c5135"</definedName>
    <definedName name="IQ_NI_GW_LOW_EST_REUT">"c5378"</definedName>
    <definedName name="IQ_NI_GW_LOW_EST_THOM">"c5136"</definedName>
    <definedName name="IQ_NI_GW_MEDIAN_EST_REUT">"c5376"</definedName>
    <definedName name="IQ_NI_GW_MEDIAN_EST_THOM">"c5134"</definedName>
    <definedName name="IQ_NI_GW_NUM_EST_REUT">"c5379"</definedName>
    <definedName name="IQ_NI_GW_NUM_EST_THOM">"c5137"</definedName>
    <definedName name="IQ_NI_GW_STDDEV_EST_REUT">"c5380"</definedName>
    <definedName name="IQ_NI_GW_STDDEV_EST_THOM">"c5138"</definedName>
    <definedName name="IQ_NI_HIGH_EST_REUT">"c5370"</definedName>
    <definedName name="IQ_NI_LOW_EST_REUT">"c5371"</definedName>
    <definedName name="IQ_NI_MEDIAN_EST_REUT">"c5369"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"c5372"</definedName>
    <definedName name="IQ_NI_REPORTED_DET_EST_CURRENCY_REUT">"c12542"</definedName>
    <definedName name="IQ_NI_REPORTED_DET_EST_DATE_REUT">"c12301"</definedName>
    <definedName name="IQ_NI_REPORTED_DET_EST_INCL_REUT">"c12425"</definedName>
    <definedName name="IQ_NI_REPORTED_DET_EST_ORIGIN_REUT">"c12669"</definedName>
    <definedName name="IQ_NI_REPORTED_DET_EST_REUT">"c12159"</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TDDEV_EST_REUT">"c5373"</definedName>
    <definedName name="IQ_NON_CASH_1">"c797"</definedName>
    <definedName name="IQ_NON_INT_EXP_FDIC">"c6579"</definedName>
    <definedName name="IQ_NON_INT_INC_FDIC">"c6575"</definedName>
    <definedName name="IQ_NON_INTEREST_EXP_1">"c801"</definedName>
    <definedName name="IQ_NON_INTEREST_INC_1">"c802"</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PENSION_EXP" hidden="1">"c3000"</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COURSE_DEBT" hidden="1">"c2550"</definedName>
    <definedName name="IQ_NONRECOURSE_DEBT_PCT" hidden="1">"c2551"</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 hidden="1">"c2089"</definedName>
    <definedName name="IQ_NORM_EPS_ACT_OR_EST_REUT">"c5472"</definedName>
    <definedName name="IQ_NOTES_PAY_1">"c1176"</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TM">6000</definedName>
    <definedName name="IQ_NUM_BRANCHES" hidden="1">"c2088"</definedName>
    <definedName name="IQ_NUM_OFFICES">"c2088"</definedName>
    <definedName name="IQ_NUMBER_ADRHOLDERS" hidden="1">"c1970"</definedName>
    <definedName name="IQ_NUMBER_DAYS" hidden="1">"c1904"</definedName>
    <definedName name="IQ_NUMBER_DEPOSITS_LESS_THAN_100K_FDIC">"c6495"</definedName>
    <definedName name="IQ_NUMBER_DEPOSITS_MORE_THAN_100K_FDIC">"c6493"</definedName>
    <definedName name="IQ_NUMBER_SHAREHOLDERS" hidden="1">"c1967"</definedName>
    <definedName name="IQ_NUMBER_SHAREHOLDERS_CLASSA" hidden="1">"c1968"</definedName>
    <definedName name="IQ_NUMBER_SHAREHOLDERS_CLASSB">"c1969"</definedName>
    <definedName name="IQ_NUMBER_SHAREHOLDERS_OTHER" hidden="1">"c1969"</definedName>
    <definedName name="IQ_OBLIGATIONS_OF_STATES_TOTAL_LOANS_FOREIGN_FDIC">"c6447"</definedName>
    <definedName name="IQ_OBLIGATIONS_STATES_FDIC">"c6431"</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AILY_PRDUCTION_GROWTH_GAS_1">"c12732"</definedName>
    <definedName name="IQ_OG_DAILY_PRDUCTION_GROWTH_GAS_EQUIVALENT_1">"c12733"</definedName>
    <definedName name="IQ_OG_DAILY_PRDUCTION_GROWTH_NGL_1">"c12734"</definedName>
    <definedName name="IQ_OG_DAILY_PRDUCTION_GROWTH_OIL_1">"c12735"</definedName>
    <definedName name="IQ_OG_DAILY_PRDUCTION_GROWTH_OIL_EQUIVALENT_1">"c12736"</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_1">"c12737"</definedName>
    <definedName name="IQ_OG_PRDUCTION_GROWTH_GAS_EQUIVALENT_1">"c12738"</definedName>
    <definedName name="IQ_OG_PRDUCTION_GROWTH_NGL_1">"c12739"</definedName>
    <definedName name="IQ_OG_PRDUCTION_GROWTH_OIL_1">"c12740"</definedName>
    <definedName name="IQ_OG_PRDUCTION_GROWTH_OIL_EQUIVALENT_1">"c12741"</definedName>
    <definedName name="IQ_OG_PRDUCTION_GROWTH_TOAL_1">"c12742"</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PEB_OBLIGATION_ACTUARIAL_GAIN_LOSS_DOMօ鑤㊦">"c3369"</definedName>
    <definedName name="IQ_OPENED55">1</definedName>
    <definedName name="IQ_OPER_INC_ACT_OR_EST_REUT">"c5466"</definedName>
    <definedName name="IQ_OPER_INC_BR" hidden="1">"c850"</definedName>
    <definedName name="IQ_OPER_INC_DET_EST_CURRENCY_REUT">"c12543"</definedName>
    <definedName name="IQ_OPER_INC_DET_EST_DATE_REUT">"c12302"</definedName>
    <definedName name="IQ_OPER_INC_DET_EST_INCL_REUT">"c12426"</definedName>
    <definedName name="IQ_OPER_INC_DET_EST_ORIGIN_REUT">"c12670"</definedName>
    <definedName name="IQ_OPER_INC_DET_EST_REUT">"c12160"</definedName>
    <definedName name="IQ_OPER_INC_EST_REUT">"c5340"</definedName>
    <definedName name="IQ_OPER_INC_HIGH_EST_REUT">"c5342"</definedName>
    <definedName name="IQ_OPER_INC_LOW_EST_REUT">"c5343"</definedName>
    <definedName name="IQ_OPER_INC_MARGIN_1">"c362"</definedName>
    <definedName name="IQ_OPER_INC_MEDIAN_EST_REUT">"c5341"</definedName>
    <definedName name="IQ_OPER_INC_NUM_EST_REUT">"c5344"</definedName>
    <definedName name="IQ_OPER_INC_STDDEV_EST_REUT">"c5345"</definedName>
    <definedName name="IQ_OPTIONS_EXCERCISED">"c2116"</definedName>
    <definedName name="IQ_OPTIONS_EXERCISED" hidden="1">"c2116"</definedName>
    <definedName name="IQ_OPTIONS_GRANTED" hidden="1">"c2673"</definedName>
    <definedName name="IQ_OPTIONS_OS">"c858"</definedName>
    <definedName name="IQ_OPTIONS_STRIKE_PRICE_GRANTED" hidden="1">"c2678"</definedName>
    <definedName name="IQ_OPTIONS_STRIKE_PRICE_OS" hidden="1">"c2677"</definedName>
    <definedName name="IQ_ORDER_BACKLOG" hidden="1">"c2090"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MORT_BR">"c5566"</definedName>
    <definedName name="IQ_OTHER_ASSETS_BR" hidden="1">"c862"</definedName>
    <definedName name="IQ_OTHER_ASSETS_FDIC">"c6338"</definedName>
    <definedName name="IQ_OTHER_ASSETS_SERV_RIGHTS" hidden="1">"c2243"</definedName>
    <definedName name="IQ_OTHER_BORROWED_FUNDS_FDIC">"c6345"</definedName>
    <definedName name="IQ_OTHER_CA_SUPPL_BR" hidden="1">"c871"</definedName>
    <definedName name="IQ_OTHER_CL_SUPPL_BR" hidden="1">"c880"</definedName>
    <definedName name="IQ_OTHER_COMPREHENSIVE_INCOME_FDIC">"c6503"</definedName>
    <definedName name="IQ_OTHER_CURRENT_ASSETS_1">"c868"</definedName>
    <definedName name="IQ_OTHER_CURRENT_LIAB_1">"c877"</definedName>
    <definedName name="IQ_OTHER_DEBT" hidden="1">"c2507"</definedName>
    <definedName name="IQ_OTHER_DEBT_PCT" hidden="1">"c2508"</definedName>
    <definedName name="IQ_OTHER_DEPOSITORY_INSTITUTIONS_LOANS_FDIC">"c6436"</definedName>
    <definedName name="IQ_OTHER_DEPOSITORY_INSTITUTIONS_TOTAL_LOANS_FOREIGN_FDIC">"c6442"</definedName>
    <definedName name="IQ_OTHER_DOMESTIC_DEBT_SECURITIES_FDIC">"c6302"</definedName>
    <definedName name="IQ_OTHER_EQUITY_BR" hidden="1">"c888"</definedName>
    <definedName name="IQ_OTHER_FINANCE_ACT_BR" hidden="1">"c895"</definedName>
    <definedName name="IQ_OTHER_FINANCE_ACT_SUPPL_BR" hidden="1">"c901"</definedName>
    <definedName name="IQ_OTHER_INSURANCE_FEES_FDIC">"c6672"</definedName>
    <definedName name="IQ_OTHER_INTAN_BR" hidden="1">"c909"</definedName>
    <definedName name="IQ_OTHER_INTANGIBLE_FDIC">"c6337"</definedName>
    <definedName name="IQ_OTHER_INVEST_ACT_BR" hidden="1">"c918"</definedName>
    <definedName name="IQ_OTHER_INVEST_ACT_SUPPL_BR" hidden="1">"c924"</definedName>
    <definedName name="IQ_OTHER_INVESTING_1">"c916"</definedName>
    <definedName name="IQ_OTHER_LIAB_BR" hidden="1">"c932"</definedName>
    <definedName name="IQ_OTHER_LIAB_LT_BR" hidden="1">"c937"</definedName>
    <definedName name="IQ_OTHER_LIABILITIES_FDIC">"c6347"</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_1">"c946"</definedName>
    <definedName name="IQ_OTHER_LT_ASSETS_BR" hidden="1">"c948"</definedName>
    <definedName name="IQ_OTHER_MINING_REVENUE_COAL" hidden="1">"c15931"</definedName>
    <definedName name="IQ_OTHER_NET_1">"c959"</definedName>
    <definedName name="IQ_OTHER_NON_INT_EXP_FDIC">"c6578"</definedName>
    <definedName name="IQ_OTHER_NON_INT_EXPENSE_FDIC">"c6679"</definedName>
    <definedName name="IQ_OTHER_NON_INT_INC_FDIC">"c6676"</definedName>
    <definedName name="IQ_OTHER_NON_OPER_EXP_BR" hidden="1">"c957"</definedName>
    <definedName name="IQ_OTHER_NON_OPER_EXP_SUPPL_BR" hidden="1">"c962"</definedName>
    <definedName name="IQ_OTHER_NON_REC">"c968"</definedName>
    <definedName name="IQ_OTHER_NON_REC_BNK">"c969"</definedName>
    <definedName name="IQ_OTHER_NON_REC_BR">"c970"</definedName>
    <definedName name="IQ_OTHER_NON_REC_FIN">"c971"</definedName>
    <definedName name="IQ_OTHER_NON_REC_INS">"c972"</definedName>
    <definedName name="IQ_OTHER_NON_REC_REIT">"c973"</definedName>
    <definedName name="IQ_OTHER_NON_REC_SUPPL">"c974"</definedName>
    <definedName name="IQ_OTHER_NON_REC_SUPPL_BNK">"c975"</definedName>
    <definedName name="IQ_OTHER_NON_REC_SUPPL_BR">"c976"</definedName>
    <definedName name="IQ_OTHER_NON_REC_SUPPL_FIN">"c977"</definedName>
    <definedName name="IQ_OTHER_NON_REC_SUPPL_INS">"c978"</definedName>
    <definedName name="IQ_OTHER_NON_REC_SUPPL_REIT">"c979"</definedName>
    <definedName name="IQ_OTHER_NON_REC_SUPPL_UTI">"c980"</definedName>
    <definedName name="IQ_OTHER_NON_REC_UTI">"c981"</definedName>
    <definedName name="IQ_OTHER_OFF_BS_LIAB_FDIC">"c6533"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RE_OWNED_FDIC">"c6330"</definedName>
    <definedName name="IQ_OTHER_REV_BR" hidden="1">"c1011"</definedName>
    <definedName name="IQ_OTHER_REV_SUPPL_BR" hidden="1">"c1016"</definedName>
    <definedName name="IQ_OTHER_REVENUE_1">"c1010"</definedName>
    <definedName name="IQ_OTHER_SAVINGS_DEPOSITS_FDIC">"c6554"</definedName>
    <definedName name="IQ_OTHER_STRIKE_PRICE_GRANTED" hidden="1">"c2692"</definedName>
    <definedName name="IQ_OTHER_TRANSACTIONS_FDIC">"c6504"</definedName>
    <definedName name="IQ_OTHER_UNDRAWN" hidden="1">"c2522"</definedName>
    <definedName name="IQ_OTHER_UNUSAL">"c998"</definedName>
    <definedName name="IQ_OTHER_UNUSAL_BNK">"c999"</definedName>
    <definedName name="IQ_OTHER_UNUSAL_BR">"c1000"</definedName>
    <definedName name="IQ_OTHER_UNUSAL_FIN">"c1001"</definedName>
    <definedName name="IQ_OTHER_UNUSAL_INS">"c1002"</definedName>
    <definedName name="IQ_OTHER_UNUSAL_REIT">"c1003"</definedName>
    <definedName name="IQ_OTHER_UNUSAL_SUPPL">"c1004"</definedName>
    <definedName name="IQ_OTHER_UNUSAL_SUPPL_BNK">"c1005"</definedName>
    <definedName name="IQ_OTHER_UNUSAL_SUPPL_BR">"c1006"</definedName>
    <definedName name="IQ_OTHER_UNUSAL_SUPPL_FIN">"c1007"</definedName>
    <definedName name="IQ_OTHER_UNUSAL_SUPPL_INS">"c1008"</definedName>
    <definedName name="IQ_OTHER_UNUSAL_SUPPL_REIT">"c1009"</definedName>
    <definedName name="IQ_OTHER_UNUSAL_SUPPL_UTI">"c1010"</definedName>
    <definedName name="IQ_OTHER_UNUSAL_UTI">"c1011"</definedName>
    <definedName name="IQ_OTHER_UNUSED_COMMITMENTS_FDIC">"c6530"</definedName>
    <definedName name="IQ_OTHER_UNUSUAL_BR" hidden="1">"c1561"</definedName>
    <definedName name="IQ_OTHER_UNUSUAL_SUPPL_BR" hidden="1">"c1496"</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_1">"c1022"</definedName>
    <definedName name="IQ_OUTSTANDING_FILING_DATE_1">"c1023"</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OWNERSHIP" hidden="1">"c2160"</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_1">"c8"</definedName>
    <definedName name="IQ_PAYOUT_RATIO" hidden="1">"c1900"</definedName>
    <definedName name="IQ_PBV_FWD_REUT">"c15238"</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_FWD_REUT">"c4049"</definedName>
    <definedName name="IQ_PE_NORMALIZED" hidden="1">"c2207"</definedName>
    <definedName name="IQ_PEG_FWD_REUT">"c4052"</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 hidden="1">"c1828"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 hidden="1">"c1829"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 hidden="1">"c1825"</definedName>
    <definedName name="IQ_PERCENT_CHANGE_EST_FFO_3MONTHS_CIQ">"c3766"</definedName>
    <definedName name="IQ_PERCENT_CHANGE_EST_FFO_3MONTHS_REUT">"c3935"</definedName>
    <definedName name="IQ_PERCENT_CHANGE_EST_FFO_3MONTHS_THOM">"c5245"</definedName>
    <definedName name="IQ_PERCENT_CHANGE_EST_FFO_6MONTHS" hidden="1">"c1826"</definedName>
    <definedName name="IQ_PERCENT_CHANGE_EST_FFO_6MONTHS_CIQ">"c3767"</definedName>
    <definedName name="IQ_PERCENT_CHANGE_EST_FFO_6MONTHS_REUT">"c3936"</definedName>
    <definedName name="IQ_PERCENT_CHANGE_EST_FFO_6MONTHS_THOM">"c5246"</definedName>
    <definedName name="IQ_PERCENT_CHANGE_EST_FFO_9MONTHS" hidden="1">"c1827"</definedName>
    <definedName name="IQ_PERCENT_CHANGE_EST_FFO_9MONTHS_CIQ">"c3768"</definedName>
    <definedName name="IQ_PERCENT_CHANGE_EST_FFO_9MONTHS_REUT">"c3937"</definedName>
    <definedName name="IQ_PERCENT_CHANGE_EST_FFO_9MONTHS_THOM">"c5247"</definedName>
    <definedName name="IQ_PERCENT_CHANGE_EST_FFO_DAY" hidden="1">"c1822"</definedName>
    <definedName name="IQ_PERCENT_CHANGE_EST_FFO_DAY_CIQ">"c3764"</definedName>
    <definedName name="IQ_PERCENT_CHANGE_EST_FFO_DAY_REUT">"c3933"</definedName>
    <definedName name="IQ_PERCENT_CHANGE_EST_FFO_DAY_THOM">"c5243"</definedName>
    <definedName name="IQ_PERCENT_CHANGE_EST_FFO_MONTH" hidden="1">"c1824"</definedName>
    <definedName name="IQ_PERCENT_CHANGE_EST_FFO_MONTH_CIQ">"c3765"</definedName>
    <definedName name="IQ_PERCENT_CHANGE_EST_FFO_MONTH_REUT">"c3934"</definedName>
    <definedName name="IQ_PERCENT_CHANGE_EST_FFO_MONTH_THOM">"c5244"</definedName>
    <definedName name="IQ_PERCENT_CHANGE_EST_FFO_SHARE_12MONTHS_REUT">"c3938"</definedName>
    <definedName name="IQ_PERCENT_CHANGE_EST_FFO_SHARE_18MONTHS_REUT">"c3939"</definedName>
    <definedName name="IQ_PERCENT_CHANGE_EST_FFO_SHARE_3MONTHS_REUT">"c3935"</definedName>
    <definedName name="IQ_PERCENT_CHANGE_EST_FFO_SHARE_6MONTHS_REUT">"c3936"</definedName>
    <definedName name="IQ_PERCENT_CHANGE_EST_FFO_SHARE_9MONTHS_REUT">"c3937"</definedName>
    <definedName name="IQ_PERCENT_CHANGE_EST_FFO_SHARE_DAY_REUT">"c3933"</definedName>
    <definedName name="IQ_PERCENT_CHANGE_EST_FFO_SHARE_MONTH_REUT">"c3934"</definedName>
    <definedName name="IQ_PERCENT_CHANGE_EST_FFO_SHARE_SHARE_12MONTHS">"c1828"</definedName>
    <definedName name="IQ_PERCENT_CHANGE_EST_FFO_SHARE_SHARE_12MONTHS_CIQ">"c3769"</definedName>
    <definedName name="IQ_PERCENT_CHANGE_EST_FFO_SHARE_SHARE_12MONTHS_REUT">"c3938"</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REUT">"c3939"</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REUT">"c3935"</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REUT">"c3936"</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REUT">"c3937"</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REUT">"c3933"</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REUT">"c3934"</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REUT">"c3964"</definedName>
    <definedName name="IQ_PERCENT_CHANGE_EST_FFO_SHARE_SHARE_WEEK_THOM">"c5274"</definedName>
    <definedName name="IQ_PERCENT_CHANGE_EST_FFO_SHARE_WEEK_REUT">"c3964"</definedName>
    <definedName name="IQ_PERCENT_CHANGE_EST_FFO_WEEK" hidden="1">"c1823"</definedName>
    <definedName name="IQ_PERCENT_CHANGE_EST_FFO_WEEK_CIQ">"c3795"</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FLOAT">"c227"</definedName>
    <definedName name="IQ_PERCENT_INSURED_FDIC">"c6374"</definedName>
    <definedName name="IQ_PERIODDATE_1">"c1034"</definedName>
    <definedName name="IQ_PERIODDATE_FDIC">"c13646"</definedName>
    <definedName name="IQ_PHARMBIO_NUMBER_PROD__APPROVED_DURING_PERIOD_1">"c12750"</definedName>
    <definedName name="IQ_PHARMBIO_NUMBER_PROD__CLINICAL_DEV_1">"c12745"</definedName>
    <definedName name="IQ_PHARMBIO_NUMBER_PROD__LAUNCHED_DURING_PERIOD_1">"c12751"</definedName>
    <definedName name="IQ_PHARMBIO_NUMBER_PROD__PHASE_I_1">"c12746"</definedName>
    <definedName name="IQ_PHARMBIO_NUMBER_PROD__PHASE_II_1">"c12747"</definedName>
    <definedName name="IQ_PHARMBIO_NUMBER_PROD__PHASE_III_1">"c12748"</definedName>
    <definedName name="IQ_PHARMBIO_NUMBER_PROD__PRE_CLINICAL_TRIALS_1">"c12744"</definedName>
    <definedName name="IQ_PHARMBIO_NUMBER_PROD__PRE_REGISTRATION_1">"c12749"</definedName>
    <definedName name="IQ_PHARMBIO_NUMBER_PROD__RESEARCH_DEV_1">"c12743"</definedName>
    <definedName name="IQ_PLEDGED_SECURITIES_FDIC">"c6401"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STPAID_CHURN" hidden="1">"c2121"</definedName>
    <definedName name="IQ_POSTPAID_SUBS" hidden="1">"c2118"</definedName>
    <definedName name="IQ_POTENTIAL_UPSIDE_REUT">"c3968"</definedName>
    <definedName name="IQ_PRE_TAX_ACT_OR_EST_REUT">"c5467"</definedName>
    <definedName name="IQ_PRE_TAX_INCOME_FDIC">"c6581"</definedName>
    <definedName name="IQ_PREF_ISSUED_BR" hidden="1">"c1047"</definedName>
    <definedName name="IQ_PREF_OTHER_BR" hidden="1">"c1055"</definedName>
    <definedName name="IQ_PREF_REP_BR" hidden="1">"c1062"</definedName>
    <definedName name="IQ_PREF_STOCK_1">"c1052"</definedName>
    <definedName name="IQ_PREF_TOT_1">"c1044"</definedName>
    <definedName name="IQ_PREFERRED_FDIC">"c6349"</definedName>
    <definedName name="IQ_PREMISES_EQUIPMENT_FDIC">"c6577"</definedName>
    <definedName name="IQ_PREPAID_CHURN" hidden="1">"c2120"</definedName>
    <definedName name="IQ_PREPAID_EXPEN_1">"c1068"</definedName>
    <definedName name="IQ_PREPAID_SUBS" hidden="1">"c2117"</definedName>
    <definedName name="IQ_PRETAX_GW_INC_DET_EST_CURRENCY_REUT">"c12531"</definedName>
    <definedName name="IQ_PRETAX_GW_INC_DET_EST_DATE_REUT">"c12290"</definedName>
    <definedName name="IQ_PRETAX_GW_INC_DET_EST_INCL_REUT">"c12414"</definedName>
    <definedName name="IQ_PRETAX_GW_INC_DET_EST_ORIGIN_REUT">"c12658"</definedName>
    <definedName name="IQ_PRETAX_GW_INC_DET_EST_REUT">"c12148"</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"IQ_PRETAX_INC"</definedName>
    <definedName name="IQ_PRETAX_INC_10K">"IQ_PRETAX_INC_10K"</definedName>
    <definedName name="IQ_PRETAX_INC_10Q">"IQ_PRETAX_INC_10Q"</definedName>
    <definedName name="IQ_PRETAX_INC_10Q1">"IQ_PRETAX_INC_10Q1"</definedName>
    <definedName name="IQ_PRETAX_INC_DET_EST_CURRENCY_REUT">"c12530"</definedName>
    <definedName name="IQ_PRETAX_INC_DET_EST_DATE_REUT">"c12289"</definedName>
    <definedName name="IQ_PRETAX_INC_DET_EST_INCL_REUT">"c12413"</definedName>
    <definedName name="IQ_PRETAX_INC_DET_EST_ORIGIN_REUT">"c12657"</definedName>
    <definedName name="IQ_PRETAX_INC_DET_EST_REUT">"c12147"</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DET_EST_CURRENCY_REUT">"c12532"</definedName>
    <definedName name="IQ_PRETAX_REPORT_INC_DET_EST_DATE_REUT">"c12291"</definedName>
    <definedName name="IQ_PRETAX_REPORT_INC_DET_EST_INCL_REUT">"c12415"</definedName>
    <definedName name="IQ_PRETAX_REPORT_INC_DET_EST_ORIGIN_REUT">"c12769"</definedName>
    <definedName name="IQ_PRETAX_REPORT_INC_DET_EST_REUT">"c12149"</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_1">"c1026"</definedName>
    <definedName name="IQ_PRICE_OVER_EPS_EST">"IQ_PRICE_OVER_EPS_EST"</definedName>
    <definedName name="IQ_PRICE_OVER_EPS_EST_1">"IQ_PRICE_OVER_EPS_EST_1"</definedName>
    <definedName name="IQ_PRICE_OVER_LTM_EPS_1">"c1029"</definedName>
    <definedName name="IQ_PRICE_TARGET" hidden="1">"c82"</definedName>
    <definedName name="IQ_PRICE_TARGET_BOTTOM_UP_REUT">"c5494"</definedName>
    <definedName name="IQ_PRICE_TARGET_REUT">"c3631"</definedName>
    <definedName name="IQ_PRICEDATETIME">"IQ_PRICEDATETIME"</definedName>
    <definedName name="IQ_PRIMARY_EPS_TYPE_REUT">"c5481"</definedName>
    <definedName name="IQ_PRIMARY_EPS_TYPE_THOM">"c5297"</definedName>
    <definedName name="IQ_PRINCIPAL_AMT" hidden="1">"c2157"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NET_INC_1">"c795"</definedName>
    <definedName name="IQ_PROJECTED_PENSION_OBLIGATION" hidden="1">"c1292"</definedName>
    <definedName name="IQ_PROJECTED_PENSION_OBLIGATION_DOMESTIC" hidden="1">"c2656"</definedName>
    <definedName name="IQ_PROJECTED_PENSION_OBLIGATION_FOREIGN" hidden="1">"c2664"</definedName>
    <definedName name="IQ_PROPERTY_GROSS_1">"c518"</definedName>
    <definedName name="IQ_PROPERTY_NET_1">"c829"</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PUT_DATE_SCHEDULE" hidden="1">"c2483"</definedName>
    <definedName name="IQ_PUT_NOTIFICATION" hidden="1">"c2485"</definedName>
    <definedName name="IQ_PUT_PRICE_SCHEDULE" hidden="1">"c2484"</definedName>
    <definedName name="IQ_QTD" hidden="1">750000</definedName>
    <definedName name="IQ_RC" hidden="1">"c2497"</definedName>
    <definedName name="IQ_RC_PCT" hidden="1">"c2498"</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_1">"c1059"</definedName>
    <definedName name="IQ_RELATED_PLANS_FDIC">"c6320"</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_1">"c1090"</definedName>
    <definedName name="IQ_RESIDENTIAL_LOANS" hidden="1">"c1102"</definedName>
    <definedName name="IQ_RESTATEMENTS_NET_FDIC">"c6500"</definedName>
    <definedName name="IQ_RESTRUCTURE_BR" hidden="1">"c1106"</definedName>
    <definedName name="IQ_RESTRUCTURED_LOANS_1_4_RESIDENTIAL_FDIC">"c6378"</definedName>
    <definedName name="IQ_RESTRUCTURED_LOANS_LEASES_FDIC">"c6377"</definedName>
    <definedName name="IQ_RESTRUCTURED_LOANS_NON_1_4_FDIC">"c6379"</definedName>
    <definedName name="IQ_RETAIL_ACQUIRED_FRANCHISE_STORES" hidden="1">"c2903"</definedName>
    <definedName name="IQ_RETAIL_ACQUIRED_FRANCHISE_STORES_1">"c2895"</definedName>
    <definedName name="IQ_RETAIL_ACQUIRED_OWNED_STORES" hidden="1">"c2895"</definedName>
    <definedName name="IQ_RETAIL_ACQUIRED_OWNED_STORES_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_1">"c1092"</definedName>
    <definedName name="IQ_RETAINED_EARNINGS_AVERAGE_EQUITY_FDIC">"c6733"</definedName>
    <definedName name="IQ_RETURN_ASSETS_ACT_OR_EST_REUT">"c5475"</definedName>
    <definedName name="IQ_RETURN_ASSETS_BROK" hidden="1">"c1115"</definedName>
    <definedName name="IQ_RETURN_ASSETS_DET_EST_DATE_REUT">"c12304"</definedName>
    <definedName name="IQ_RETURN_ASSETS_DET_EST_INCL_REUT">"c12428"</definedName>
    <definedName name="IQ_RETURN_ASSETS_DET_EST_ORIGIN_REUT">"c12672"</definedName>
    <definedName name="IQ_RETURN_ASSETS_DET_EST_REUT">"c12162"</definedName>
    <definedName name="IQ_RETURN_ASSETS_EST_REUT">"c3990"</definedName>
    <definedName name="IQ_RETURN_ASSETS_FDIC">"c6730"</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EQUITY_ACT_OR_EST_REUT">"c5476"</definedName>
    <definedName name="IQ_RETURN_EQUITY_BROK" hidden="1">"c1120"</definedName>
    <definedName name="IQ_RETURN_EQUITY_DET_EST_DATE_REUT">"c12305"</definedName>
    <definedName name="IQ_RETURN_EQUITY_DET_EST_INCL_REUT">"c12429"</definedName>
    <definedName name="IQ_RETURN_EQUITY_DET_EST_ORIGIN_REUT">"c12673"</definedName>
    <definedName name="IQ_RETURN_EQUITY_DET_EST_REUT">"c12163"</definedName>
    <definedName name="IQ_RETURN_EQUITY_EST_REUT">"c3983"</definedName>
    <definedName name="IQ_RETURN_EQUITY_FDIC">"c6732"</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_1">"c1117"</definedName>
    <definedName name="IQ_REV_DET_EST_CURRENCY_REUT">"c12544"</definedName>
    <definedName name="IQ_REV_DET_EST_DATE_REUT">"c12303"</definedName>
    <definedName name="IQ_REV_DET_EST_INCL_REUT">"c12427"</definedName>
    <definedName name="IQ_REV_DET_EST_ORIGIN_REUT">"c12671"</definedName>
    <definedName name="IQ_REV_DET_EST_REUT">"c12161"</definedName>
    <definedName name="IQ_REV_STDDEV_EST_REUT">"c3639"</definedName>
    <definedName name="IQ_REVALUATION_GAINS_FDIC">"c6428"</definedName>
    <definedName name="IQ_REVALUATION_LOSSES_FDIC">"c6429"</definedName>
    <definedName name="IQ_REVENUE_1">"c1122"</definedName>
    <definedName name="IQ_REVENUE_10K">"IQ_REVENUE_10K"</definedName>
    <definedName name="IQ_REVENUE_10Q">"IQ_REVENUE_10Q"</definedName>
    <definedName name="IQ_REVENUE_10Q1">"IQ_REVENUE_10Q1"</definedName>
    <definedName name="IQ_REVENUE_ACT_OR_EST_REUT">"c5461"</definedName>
    <definedName name="IQ_REVENUE_EST_1">"IQ_REVENUE_EST_1"</definedName>
    <definedName name="IQ_REVENUE_EST_BOTTOM_UP_REUT">"c5496"</definedName>
    <definedName name="IQ_REVENUE_EST_REUT">"c3634"</definedName>
    <definedName name="IQ_REVENUE_GROWTH_1">"IQ_REVENUE_GROWTH_1"</definedName>
    <definedName name="IQ_REVENUE_GROWTH_2">"IQ_REVENUE_GROWTH_2"</definedName>
    <definedName name="IQ_REVENUE_HIGH_EST_REUT">"c3636"</definedName>
    <definedName name="IQ_REVENUE_LOW_EST_REUT">"c3637"</definedName>
    <definedName name="IQ_REVENUE_MEDIAN_EST_REUT">"c3635"</definedName>
    <definedName name="IQ_REVENUE_NO_EST">"c263"</definedName>
    <definedName name="IQ_REVENUE_NUM_EST_REUT">"c3638"</definedName>
    <definedName name="IQ_REVISION_DATE_" hidden="1">39220.6890046296</definedName>
    <definedName name="IQ_REVISION_DATE__1">39244.4696180556</definedName>
    <definedName name="IQ_Revision_date_2" hidden="1">38784.4474652778</definedName>
    <definedName name="IQ_REVOLVING_SECURED_1_–4_NON_ACCRUAL_FFIEC">"c13314"</definedName>
    <definedName name="IQ_RISK_ADJ_BANK_ASSETS" hidden="1">"c2670"</definedName>
    <definedName name="IQ_RISK_WEIGHTED_ASSETS_FDIC">"c6370"</definedName>
    <definedName name="IQ_ROYALTY_REVENUE_COAL" hidden="1">"c15932"</definedName>
    <definedName name="IQ_SALARY_FDIC">"c6576"</definedName>
    <definedName name="IQ_SALE_CONVERSION_RETIREMENT_STOCK_FDIC">"c6661"</definedName>
    <definedName name="IQ_SALE_INTAN_CF_BR" hidden="1">"c1133"</definedName>
    <definedName name="IQ_SALE_PPE_CF_BR" hidden="1">"c1139"</definedName>
    <definedName name="IQ_SALE_REAL_ESTATE_CF_BR" hidden="1">"c1145"</definedName>
    <definedName name="IQ_SALES_MARKETING" hidden="1">"c2240"</definedName>
    <definedName name="IQ_SAME_STORE_FRANCHISE" hidden="1">"c2900"</definedName>
    <definedName name="IQ_SAME_STORE_OWNED" hidden="1">"c2908"</definedName>
    <definedName name="IQ_SAME_STORE_TOTAL" hidden="1">"c2892"</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 hidden="1">"c2546"</definedName>
    <definedName name="IQ_SECURED_DEBT_PCT" hidden="1">"c2547"</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LEVEL" hidden="1">"c2159"</definedName>
    <definedName name="IQ_SECURITY_NOTES" hidden="1">"c2202"</definedName>
    <definedName name="IQ_SECURITY_TYPE" hidden="1">"c2158"</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RVICE_CHARGES_FDIC">"c6572"</definedName>
    <definedName name="IQ_SGA_MARGIN" hidden="1">"c1898"</definedName>
    <definedName name="IQ_SHAREOUTSTANDING" hidden="1">"c1347"</definedName>
    <definedName name="IQ_SHAREOUTSTANDING_1">"c83"</definedName>
    <definedName name="IQ_SHORT_INTEREST_VOLUME">"c228"</definedName>
    <definedName name="IQ_SHORT_TERM_INVEST_1">"c1197"</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"c2644"</definedName>
    <definedName name="IQ_SP_ISSUE_LC_DATE">"c2643"</definedName>
    <definedName name="IQ_SP_ISSUE_LC_LT">"c2645"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_BR" hidden="1">"c1171"</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_BR" hidden="1">"c1178"</definedName>
    <definedName name="IQ_ST_DEBT_ISSUED_BR" hidden="1">"c1183"</definedName>
    <definedName name="IQ_ST_DEBT_PCT" hidden="1">"c2539"</definedName>
    <definedName name="IQ_ST_DEBT_REPAID_BR" hidden="1">"c1191"</definedName>
    <definedName name="IQ_STAND_REC_DET_EST_DATE_REUT">"c12307"</definedName>
    <definedName name="IQ_STAND_REC_DET_EST_ORIGIN_REUT">"c12675"</definedName>
    <definedName name="IQ_STAND_REC_DET_EST_REUT">"c12165"</definedName>
    <definedName name="IQ_STAND_REC_NUM_DET_EST_DATE_REUT">"c12306"</definedName>
    <definedName name="IQ_STAND_REC_NUM_DET_EST_ORIGIN_REUT">"c12674"</definedName>
    <definedName name="IQ_STAND_REC_NUM_DET_EST_REUT">"c12164"</definedName>
    <definedName name="IQ_STATES_NONTRANSACTION_ACCOUNTS_FDIC">"c6547"</definedName>
    <definedName name="IQ_STATES_TOTAL_DEPOSITS_FDIC">"c6473"</definedName>
    <definedName name="IQ_STATES_TRANSACTION_ACCOUNTS_FDIC">"c6539"</definedName>
    <definedName name="IQ_STOCK_BASED_AT" hidden="1">"c2999"</definedName>
    <definedName name="IQ_STOCK_BASED_COGS" hidden="1">"c2990"</definedName>
    <definedName name="IQ_STOCK_BASED_COGS_FIN">"c2998"</definedName>
    <definedName name="IQ_STOCK_BASED_COGS_UTIL">"c2997"</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"c6346"</definedName>
    <definedName name="IQ_SUB_DEBT_PCT" hidden="1">"c2533"</definedName>
    <definedName name="IQ_SURPLUS_FDIC">"c6351"</definedName>
    <definedName name="IQ_TARGET_PRICE_DET_EST_CURRENCY_REUT">"c12547"</definedName>
    <definedName name="IQ_TARGET_PRICE_DET_EST_DATE_REUT">"c12308"</definedName>
    <definedName name="IQ_TARGET_PRICE_DET_EST_INCL_REUT">"c12430"</definedName>
    <definedName name="IQ_TARGET_PRICE_DET_EST_ORIGIN_REUT">"c12731"</definedName>
    <definedName name="IQ_TARGET_PRICE_DET_EST_REUT">"c12166"</definedName>
    <definedName name="IQ_TARGET_PRICE_LASTCLOSE">"c1855"</definedName>
    <definedName name="IQ_TARGET_PRICE_NUM" hidden="1">"c1653"</definedName>
    <definedName name="IQ_TARGET_PRICE_NUM_REUT">"c5319"</definedName>
    <definedName name="IQ_TARGET_PRICE_STDDEV" hidden="1">"c1654"</definedName>
    <definedName name="IQ_TARGET_PRICE_STDDEV_REUT">"c5320"</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EMPLATE_BS">"c1211"</definedName>
    <definedName name="IQ_TEMPLATE_CF">"c1212"</definedName>
    <definedName name="IQ_TEMPLATE_IS">"c1213"</definedName>
    <definedName name="IQ_TERM_LOANS" hidden="1">"c2499"</definedName>
    <definedName name="IQ_TERM_LOANS_PCT" hidden="1">"c2500"</definedName>
    <definedName name="IQ_TEV_EBIT_FWD_REUT">"c4054"</definedName>
    <definedName name="IQ_TEV_EBITDA_FWD_REUT">"c4050"</definedName>
    <definedName name="IQ_TEV_TOTAL_REV_FWD_REUT">"c4051"</definedName>
    <definedName name="IQ_TEV_UFCF" hidden="1">"c2208"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CAPITAL" hidden="1">"c2667"</definedName>
    <definedName name="IQ_TIER_ONE_FDIC">"c6369"</definedName>
    <definedName name="IQ_TIER_TWO_CAPITAL" hidden="1">"c2669"</definedName>
    <definedName name="IQ_TIME_DEPOSITS_LESS_THAN_100K_FDIC">"c6465"</definedName>
    <definedName name="IQ_TIME_DEPOSITS_MORE_THAN_100K_FDIC">"c6470"</definedName>
    <definedName name="IQ_TODAY" hidden="1">0</definedName>
    <definedName name="IQ_TOTAL_AR_BR" hidden="1">"c1231"</definedName>
    <definedName name="IQ_TOTAL_ASSETS_FDIC">"c6339"</definedName>
    <definedName name="IQ_TOTAL_BANK_CAPITAL" hidden="1">"c2668"</definedName>
    <definedName name="IQ_TOTAL_CASH_DIVID_1">"c1266"</definedName>
    <definedName name="IQ_TOTAL_CASH_FINAN_1">"c119"</definedName>
    <definedName name="IQ_TOTAL_CASH_INVEST_1">"c121"</definedName>
    <definedName name="IQ_TOTAL_CASH_OPER_1">"c122"</definedName>
    <definedName name="IQ_TOTAL_CHARGE_OFFS_FDIC">"c6603"</definedName>
    <definedName name="IQ_TOTAL_CHURN" hidden="1">"c2122"</definedName>
    <definedName name="IQ_TOTAL_COMMON_1">"c1022"</definedName>
    <definedName name="IQ_TOTAL_CURRENT_ASSETS_1">"c1243"</definedName>
    <definedName name="IQ_TOTAL_CURRENT_LIAB_1">"c1245"</definedName>
    <definedName name="IQ_TOTAL_DEBT_DUE">"c2509"</definedName>
    <definedName name="IQ_TOTAL_DEBT_EBITDA_CAPEX" hidden="1">"c2948"</definedName>
    <definedName name="IQ_TOTAL_DEBT_EXCL_FIN" hidden="1">"c2937"</definedName>
    <definedName name="IQ_TOTAL_DEBT_ISSUED_BR" hidden="1">"c1253"</definedName>
    <definedName name="IQ_TOTAL_DEBT_OVER_EBITDA_1">"c1249"</definedName>
    <definedName name="IQ_TOTAL_DEBT_OVER_TOTAL_BV_1">"c1250"</definedName>
    <definedName name="IQ_TOTAL_DEBT_OVER_TOTAL_CAP_1">"c1248"</definedName>
    <definedName name="IQ_TOTAL_DEBT_REPAID_BR" hidden="1">"c1260"</definedName>
    <definedName name="IQ_TOTAL_DEBT_SECURITIES_FDIC">"c6410"</definedName>
    <definedName name="IQ_TOTAL_DEPOSITS_FDIC">"c6342"</definedName>
    <definedName name="IQ_TOTAL_EMPLOYEE_1">"c1522"</definedName>
    <definedName name="IQ_TOTAL_EMPLOYEES" hidden="1">"c1522"</definedName>
    <definedName name="IQ_TOTAL_EMPLOYEES_FDIC">"c6355"</definedName>
    <definedName name="IQ_TOTAL_INTEREST_EXP_1">"c591"</definedName>
    <definedName name="IQ_TOTAL_INVENTORY_1">"c622"</definedName>
    <definedName name="IQ_TOTAL_LIAB_BR" hidden="1">"c1278"</definedName>
    <definedName name="IQ_TOTAL_LIAB_EQUITY_FDIC">"c6354"</definedName>
    <definedName name="IQ_TOTAL_LIAB_SHAREHOLD_1">"c1279"</definedName>
    <definedName name="IQ_TOTAL_LIABILITIES_FDIC">"c6348"</definedName>
    <definedName name="IQ_TOTAL_NON_REC" hidden="1">"c1444"</definedName>
    <definedName name="IQ_TOTAL_OPER_EXP_BR" hidden="1">"c1284"</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UTSTANDING_BS_DATE" hidden="1">"c1022"</definedName>
    <definedName name="IQ_TOTAL_OUTSTANDING_FILING_DATE" hidden="1">"c2107"</definedName>
    <definedName name="IQ_TOTAL_PENSION_ASSETS_DOMESTIC" hidden="1">"c2658"</definedName>
    <definedName name="IQ_TOTAL_PENSION_ASSETS_FOREIGN" hidden="1">"c2666"</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OVERIES_FDIC">"c6622"</definedName>
    <definedName name="IQ_TOTAL_REV_BNK_FDIC">"c6786"</definedName>
    <definedName name="IQ_TOTAL_REV_BR" hidden="1">"c1303"</definedName>
    <definedName name="IQ_TOTAL_REV_SHARE" hidden="1">"c1912"</definedName>
    <definedName name="IQ_TOTAL_REVENUE_1">"c1294"</definedName>
    <definedName name="IQ_TOTAL_RISK_BASED_CAPITAL_RATIO_FDIC">"c6747"</definedName>
    <definedName name="IQ_TOTAL_SECURITIES_FDIC">"c6306"</definedName>
    <definedName name="IQ_TOTAL_ST_BORROW_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"c6497"</definedName>
    <definedName name="IQ_TOTAL_TIME_SAVINGS_DEPOSITS_FDIC">"c6498"</definedName>
    <definedName name="IQ_TOTAL_UNUSAL">"c1308"</definedName>
    <definedName name="IQ_TOTAL_UNUSED_COMMITMENTS_FDIC">"c6536"</definedName>
    <definedName name="IQ_TOTAL_UNUSUAL_BR">"c5517"</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_1">"c40"</definedName>
    <definedName name="IQ_TRADING_ACCOUNT_GAINS_FEES_FDIC">"c6573"</definedName>
    <definedName name="IQ_TRADING_ASSETS_FDIC">"c6328"</definedName>
    <definedName name="IQ_TRADING_CURRENCY" hidden="1">"c2212"</definedName>
    <definedName name="IQ_TRADING_LIABILITIES_FDIC">"c6344"</definedName>
    <definedName name="IQ_TRANSACTION_ACCOUNTS_FDIC">"c6544"</definedName>
    <definedName name="IQ_TREASURY_OTHER_EQUITY_BR" hidden="1">"c1314"</definedName>
    <definedName name="IQ_TREASURY_STOCK_1">"c1311"</definedName>
    <definedName name="IQ_TREASURY_STOCK_TRANSACTIONS_FDIC">"c6501"</definedName>
    <definedName name="IQ_TRUST_PREFERRED" hidden="1">"c3029"</definedName>
    <definedName name="IQ_TRUST_PREFERRED_PCT" hidden="1">"c3030"</definedName>
    <definedName name="IQ_TWELVE_MONTHS_FIXED_AND_FLOATING_FDIC">"c6420"</definedName>
    <definedName name="IQ_TWELVE_MONTHS_MORTGAGE_PASS_THROUGHS_FDIC">"c6412"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"c6352"</definedName>
    <definedName name="IQ_UNDRAWN_CP" hidden="1">"c2518"</definedName>
    <definedName name="IQ_UNDRAWN_CREDIT" hidden="1">"c3032"</definedName>
    <definedName name="IQ_UNDRAWN_RC" hidden="1">"c2517"</definedName>
    <definedName name="IQ_UNDRAWN_TL" hidden="1">"c2519"</definedName>
    <definedName name="IQ_UNEARN_REV_CURRENT_BR" hidden="1">"c1324"</definedName>
    <definedName name="IQ_UNEARNED_INCOME_FDIC">"c6324"</definedName>
    <definedName name="IQ_UNEARNED_INCOME_FOREIGN_FDIC">"c6385"</definedName>
    <definedName name="IQ_UNLEVERED_FCF" hidden="1">"c1908"</definedName>
    <definedName name="IQ_UNPROFITABLE_INSTITUTIONS_FDIC">"c6722"</definedName>
    <definedName name="IQ_UNSECURED_DEBT" hidden="1">"c2548"</definedName>
    <definedName name="IQ_UNSECURED_DEBT_PCT" hidden="1">"c2549"</definedName>
    <definedName name="IQ_UNUSED_LOAN_COMMITMENTS_FDIC">"c6368"</definedName>
    <definedName name="IQ_UNUSUAL_EXP" hidden="1">"c1456"</definedName>
    <definedName name="IQ_US_BRANCHES_FOREIGN_BANK_LOANS_FDIC">"c6435"</definedName>
    <definedName name="IQ_US_BRANCHES_FOREIGN_BANKS_FDIC">"c6390"</definedName>
    <definedName name="IQ_US_GAAP_BASIC_EPS_EXCL" hidden="1">"c2984"</definedName>
    <definedName name="IQ_US_GAAP_BASIC_EPS_INCL" hidden="1">"c2982"</definedName>
    <definedName name="IQ_US_GAAP_BASIC_WEIGHT" hidden="1">"c2980"</definedName>
    <definedName name="IQ_US_GAAP_CA">"c2930"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"c2932"</definedName>
    <definedName name="IQ_US_GAAP_CL_ADJ" hidden="1">"c2927"</definedName>
    <definedName name="IQ_US_GAAP_COST_REV">"c2965"</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"c2973"</definedName>
    <definedName name="IQ_US_GAAP_DO_ADJ" hidden="1">"c2959"</definedName>
    <definedName name="IQ_US_GAAP_EXTRA_ACC_ITEMS">"c2972"</definedName>
    <definedName name="IQ_US_GAAP_EXTRA_ACC_ITEMS_ADJ" hidden="1">"c2958"</definedName>
    <definedName name="IQ_US_GAAP_INC_TAX">"c2975"</definedName>
    <definedName name="IQ_US_GAAP_INC_TAX_ADJ" hidden="1">"c2961"</definedName>
    <definedName name="IQ_US_GAAP_INTEREST_EXP">"c2971"</definedName>
    <definedName name="IQ_US_GAAP_INTEREST_EXP_ADJ" hidden="1">"c2957"</definedName>
    <definedName name="IQ_US_GAAP_LIAB_LT">"c2933"</definedName>
    <definedName name="IQ_US_GAAP_LIAB_LT_ADJ" hidden="1">"c2928"</definedName>
    <definedName name="IQ_US_GAAP_LIAB_TOTAL_LIAB" hidden="1">"c2933"</definedName>
    <definedName name="IQ_US_GAAP_MINORITY_INTEREST_IS">"c2974"</definedName>
    <definedName name="IQ_US_GAAP_MINORITY_INTEREST_IS_ADJ" hidden="1">"c2960"</definedName>
    <definedName name="IQ_US_GAAP_NCA">"c2931"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"c2977"</definedName>
    <definedName name="IQ_US_GAAP_NI_AVAIL_INCL" hidden="1">"c2978"</definedName>
    <definedName name="IQ_US_GAAP_OTHER_ADJ_ADJ" hidden="1">"c2962"</definedName>
    <definedName name="IQ_US_GAAP_OTHER_NON_OPER">"c2969"</definedName>
    <definedName name="IQ_US_GAAP_OTHER_NON_OPER_ADJ" hidden="1">"c2955"</definedName>
    <definedName name="IQ_US_GAAP_OTHER_OPER">"c2968"</definedName>
    <definedName name="IQ_US_GAAP_OTHER_OPER_ADJ" hidden="1">"c2954"</definedName>
    <definedName name="IQ_US_GAAP_RD">"c2967"</definedName>
    <definedName name="IQ_US_GAAP_RD_ADJ" hidden="1">"c2953"</definedName>
    <definedName name="IQ_US_GAAP_SGA">"c2966"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"c2964"</definedName>
    <definedName name="IQ_US_GAAP_TOTAL_REV_ADJ" hidden="1">"c2950"</definedName>
    <definedName name="IQ_US_GAAP_TOTAL_UNUSUAL">"c2970"</definedName>
    <definedName name="IQ_US_GAAP_TOTAL_UNUSUAL_ADJ" hidden="1">"c2956"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REV" hidden="1">"c2091"</definedName>
    <definedName name="IQ_VALUATION_ALLOWANCES_FDIC">"c6400"</definedName>
    <definedName name="IQ_VC_REVENUE_FDIC">"c6667"</definedName>
    <definedName name="IQ_VOLATILE_LIABILITIES_FDIC">"c6364"</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RITTEN_OPTION_CONTRACTS_FDIC">"c6509"</definedName>
    <definedName name="IQ_WRITTEN_OPTION_CONTRACTS_FX_RISK_FDIC">"c6514"</definedName>
    <definedName name="IQ_WRITTEN_OPTION_CONTRACTS_NON_FX_IR_FDIC">"c6519"</definedName>
    <definedName name="IQ_XDIV_DATE" hidden="1">"c2203"</definedName>
    <definedName name="IQ_XDIV_DATE_1">"c2104"</definedName>
    <definedName name="IQ_YEARHIGH_DATE" hidden="1">"c2250"</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B_BOOKMARK_COUNT">0</definedName>
    <definedName name="IQB_BOOKMARK_LOCATION_0">#REF!</definedName>
    <definedName name="IQB_BOOKMARK_LOCATION_1">#REF!</definedName>
    <definedName name="IQB_BOOKMARK_LOCATION_2">#REF!</definedName>
    <definedName name="IQB_BOOKMARK_LOCATION_3">#REF!</definedName>
    <definedName name="IQB_CURRENT_BOOKMARK">0</definedName>
    <definedName name="IQRA10">"$A$11:$A$262"</definedName>
    <definedName name="IQRA11">"$A$12:$A$1285"</definedName>
    <definedName name="IQRA190">"$A$191:$A$202"</definedName>
    <definedName name="IQRA22">"$A$23:$A$2539"</definedName>
    <definedName name="IQRA25">"$A$26:$A$31"</definedName>
    <definedName name="IQRA3">"$A$4:$A$36"</definedName>
    <definedName name="IQRA4">"$A$5:$A$256"</definedName>
    <definedName name="IQRA45">"$A$46:$A$51"</definedName>
    <definedName name="IQRA5">"$A$6:$A$11"</definedName>
    <definedName name="IQRA55">"$A$56:$A$61"</definedName>
    <definedName name="IQRA6">"$A$7:$A$12"</definedName>
    <definedName name="IQRA65">"$A$66:$A$71"</definedName>
    <definedName name="IQRA7">"$A$8:$A$2522"</definedName>
    <definedName name="IQRA8">"$A$9:$A$282"</definedName>
    <definedName name="IQRA9">"$A$10:$A$1269"</definedName>
    <definedName name="IQRAC38">"$AC$39:$AC$43"</definedName>
    <definedName name="IQRAD38">"$AD$39:$AD$43"</definedName>
    <definedName name="IQRAF22">"$AF$23:$AF$2539"</definedName>
    <definedName name="IQRAG38">"$AG$39:$AG$43"</definedName>
    <definedName name="IQRAH38">"$AH$39:$AH$43"</definedName>
    <definedName name="IQRAL22">"$AL$23:$AL$2539"</definedName>
    <definedName name="IQRAR22">"$AR$23:$AR$2539"</definedName>
    <definedName name="IQRAX22">"$AX$23:$AX$2539"</definedName>
    <definedName name="IQRB10">"$B$11:$B$263"</definedName>
    <definedName name="IQRB100">"$B$101:$B$363"</definedName>
    <definedName name="IQRB104">"$B$105:$B$164"</definedName>
    <definedName name="IQRB11">"$B$12:$B$264"</definedName>
    <definedName name="IQRB12">"$B$13:$B$265"</definedName>
    <definedName name="IQRB13">"$B$14:$B$266"</definedName>
    <definedName name="IQRB14">"$B$15:$B$267"</definedName>
    <definedName name="IQRB15">"$B$16:$B$17"</definedName>
    <definedName name="IQRB16">"$B$17:$B$520"</definedName>
    <definedName name="IQRB17">"$B$18:$B$22"</definedName>
    <definedName name="IQRB18">"$B$19:$B$23"</definedName>
    <definedName name="IQRB19">"$B$20:$B$24"</definedName>
    <definedName name="IQRB20">"$B$21:$B$25"</definedName>
    <definedName name="IQRB21">"$B$22:$B$26"</definedName>
    <definedName name="IQRB22">"$B$23:$B$27"</definedName>
    <definedName name="IQRB23">"$B$24:$B$28"</definedName>
    <definedName name="IQRB24">"$B$25:$B$29"</definedName>
    <definedName name="IQRB25">"$B$26:$B$31"</definedName>
    <definedName name="IQRB27">"$B$28:$B$1301"</definedName>
    <definedName name="IQRB3">"$B$4:$B$38"</definedName>
    <definedName name="IQRB32">"$B$33:$B$37"</definedName>
    <definedName name="IQRB33">"$B$34:$B$38"</definedName>
    <definedName name="IQRB34">"$B$35:$B$39"</definedName>
    <definedName name="IQRB4">"$B$5:$B$6807"</definedName>
    <definedName name="IQRB45">"$B$46:$B$51"</definedName>
    <definedName name="IQRB5">"$B$6:$B$257"</definedName>
    <definedName name="IQRB55">"$B$56:$B$61"</definedName>
    <definedName name="IQRB6">"$B$7:$B$259"</definedName>
    <definedName name="IQRB65">"$B$66:$B$71"</definedName>
    <definedName name="IQRB7">"$B$8:$B$260"</definedName>
    <definedName name="IQRB8">"$B$9:$B$261"</definedName>
    <definedName name="IQRB9">"$B$10:$B$262"</definedName>
    <definedName name="IQRB99">"$B$100:$B$160"</definedName>
    <definedName name="IQRBA4">"$BA$5:$BA$9"</definedName>
    <definedName name="IQRBB17">"$BB$18:$BB$1299"</definedName>
    <definedName name="IQRBB4">"$BB$5:$BB$9"</definedName>
    <definedName name="IQRBD22">"$BD$23:$BD$2539"</definedName>
    <definedName name="IQRBellweatherDataA3">#REF!</definedName>
    <definedName name="IQRBI34">"$BJ$34:$BS$34"</definedName>
    <definedName name="IQRBI35">"$BJ$35:$BS$35"</definedName>
    <definedName name="IQRBI36">"$BJ$36:$BS$36"</definedName>
    <definedName name="IQRBI37">"$BJ$37:$BS$37"</definedName>
    <definedName name="IQRBI38">"$BJ$38:$BS$38"</definedName>
    <definedName name="IQRBI39">"$BJ$39"</definedName>
    <definedName name="IQRBI40">"$BJ$40"</definedName>
    <definedName name="IQRBI41">"$BJ$41"</definedName>
    <definedName name="IQRBI42">"$BJ$42"</definedName>
    <definedName name="IQRBI43">"$BJ$43"</definedName>
    <definedName name="IQRBJ22">"$BJ$23:$BJ$2539"</definedName>
    <definedName name="IQRBN51">"$BN$52"</definedName>
    <definedName name="IQRC11">"$C$12:$C$264"</definedName>
    <definedName name="IQRC13">"$C$14:$C$73"</definedName>
    <definedName name="IQRC14">"$C$15:$C$119"</definedName>
    <definedName name="IQRC15">"$C$16:$C$20"</definedName>
    <definedName name="IQRC16">"$C$17:$C$756"</definedName>
    <definedName name="IQRC24">"$C$25:$C$29"</definedName>
    <definedName name="IQRC25">"$C$26:$C$31"</definedName>
    <definedName name="IQRC27">"$C$28:$C$37"</definedName>
    <definedName name="IQRC3">"$C$4:$C$256"</definedName>
    <definedName name="IQRC4">"$C$5:$C$6807"</definedName>
    <definedName name="IQRC45">"$C$46:$C$51"</definedName>
    <definedName name="IQRC5">"$C$6:$C$25"</definedName>
    <definedName name="IQRC55">"$C$56:$C$61"</definedName>
    <definedName name="IQRC6">"$C$7:$C$15"</definedName>
    <definedName name="IQRC7">"$C$8:$C$511"</definedName>
    <definedName name="IQRC8">"$C$9:$C$282"</definedName>
    <definedName name="IQRCI25">"$CI$26"</definedName>
    <definedName name="IQRCI51">"$CI$52"</definedName>
    <definedName name="IQRControlPanelG95">#REF!</definedName>
    <definedName name="IQRControlPanelG96">#REF!</definedName>
    <definedName name="IQRD10">"$D$11:$D$263"</definedName>
    <definedName name="IQRD108">"$D$109:$D$111"</definedName>
    <definedName name="IQRD11">"$D$12:$D$259"</definedName>
    <definedName name="IQRD110">"$D$111:$D$114"</definedName>
    <definedName name="IQRD13">"$D$14:$D$275"</definedName>
    <definedName name="IQRD14">"$D$15:$D$38"</definedName>
    <definedName name="IQRD15">"$D$16:$D$17"</definedName>
    <definedName name="IQRD22">"$D$23:$D$25"</definedName>
    <definedName name="IQRD3">"$D$4:$D$23"</definedName>
    <definedName name="IQRD4">"$D$5:$D$254"</definedName>
    <definedName name="IQRD44">"$D$45:$D$54"</definedName>
    <definedName name="IQRD5">"$D$6:$D$257"</definedName>
    <definedName name="IQRD66">"$D$67:$D$69"</definedName>
    <definedName name="IQRD67">"$D$68:$D$77"</definedName>
    <definedName name="IQRD7">"$D$8:$D$259"</definedName>
    <definedName name="IQRD77">"$D$78:$D$87"</definedName>
    <definedName name="IQRD78">"$D$79:$D$88"</definedName>
    <definedName name="IQRD8">"$D$9:$D$261"</definedName>
    <definedName name="IQRD88">"$D$89"</definedName>
    <definedName name="IQRD90">"$D$91:$D$100"</definedName>
    <definedName name="IQRDataA1">#REF!</definedName>
    <definedName name="IQRE11">"$E$12:$E$264"</definedName>
    <definedName name="IQRE121">"$F$121"</definedName>
    <definedName name="IQRE133">"$E$134:$E$173"</definedName>
    <definedName name="IQRE138">"$E$139:$E$178"</definedName>
    <definedName name="IQRE176">"$E$177:$E$216"</definedName>
    <definedName name="IQRE219">"$E$220:$E$224"</definedName>
    <definedName name="IQRE224">"$E$225:$E$232"</definedName>
    <definedName name="IQRE25">"$E$26:$E$31"</definedName>
    <definedName name="IQRE254">"$E$255:$E$501"</definedName>
    <definedName name="IQRE262">"$E$263:$E$302"</definedName>
    <definedName name="IQRE267">"$E$268:$E$307"</definedName>
    <definedName name="IQRE27">"$E$28:$E$274"</definedName>
    <definedName name="IQRE305">"$E$306:$E$338"</definedName>
    <definedName name="IQRE310">"$E$311:$E$348"</definedName>
    <definedName name="IQRE348">"$E$349:$E$355"</definedName>
    <definedName name="IQRE353">"$E$354:$E$360"</definedName>
    <definedName name="IQRE391">"$E$392:$E$411"</definedName>
    <definedName name="IQRE396">"$E$397:$E$416"</definedName>
    <definedName name="IQRE434">"$E$435:$E$449"</definedName>
    <definedName name="IQRE439">"$E$440:$E$454"</definedName>
    <definedName name="IQRE45">"$E$46:$E$51"</definedName>
    <definedName name="IQRE5">"$E$6:$E$11"</definedName>
    <definedName name="IQRE52">"$E$53:$E$90"</definedName>
    <definedName name="IQRE55">"$E$56:$E$61"</definedName>
    <definedName name="IQRE7">"$E$8:$E$260"</definedName>
    <definedName name="IQRE8">"$E$9:$E$261"</definedName>
    <definedName name="IQRE95">"$E$96:$E$108"</definedName>
    <definedName name="IQRF4">"$F$5:$F$24"</definedName>
    <definedName name="IQRF6">"$F$7:$F$27"</definedName>
    <definedName name="IQRF8">"$F$9:$F$260"</definedName>
    <definedName name="IQRFedexDataA3">#REF!</definedName>
    <definedName name="IQRG11">"$G$12:$G$31"</definedName>
    <definedName name="IQRG24">"$G$25:$G$550"</definedName>
    <definedName name="IQRG25">"$G$26:$G$31"</definedName>
    <definedName name="IQRG27">"$G$28:$G$553"</definedName>
    <definedName name="IQRG35">"$G$36:$G$41"</definedName>
    <definedName name="IQRG45">"$G$46:$G$51"</definedName>
    <definedName name="IQRG5">"$G$6"</definedName>
    <definedName name="IQRG65">"$G$66:$G$71"</definedName>
    <definedName name="IQRG7">"$G$8:$G$260"</definedName>
    <definedName name="IQRG8">"$G$9:$G$260"</definedName>
    <definedName name="IQRH11">"$H$12:$H$31"</definedName>
    <definedName name="IQRH22">"$H$23:$H$2539"</definedName>
    <definedName name="IQRH25">"$H$26:$H$31"</definedName>
    <definedName name="IQRH35">"$H$36:$H$41"</definedName>
    <definedName name="IQRH45">"$H$46:$H$51"</definedName>
    <definedName name="IQRH5">"$H$6:$H$11"</definedName>
    <definedName name="IQRH65">"$H$66:$H$71"</definedName>
    <definedName name="IQRH7">"$H$8:$H$70"</definedName>
    <definedName name="IQRH8">"$H$9:$H$260"</definedName>
    <definedName name="IQRI25">"$I$26:$I$31"</definedName>
    <definedName name="IQRI28">"$I$29:$I$276"</definedName>
    <definedName name="IQRI35">"$I$36:$I$41"</definedName>
    <definedName name="IQRI37">"$I$38:$I$42"</definedName>
    <definedName name="IQRI38">"$I$39:$I$43"</definedName>
    <definedName name="IQRI4">"$I$5:$I$1768"</definedName>
    <definedName name="IQRI45">"$I$46:$I$51"</definedName>
    <definedName name="IQRI5">"$I$6:$I$11"</definedName>
    <definedName name="IQRI8">"$I$9:$I$260"</definedName>
    <definedName name="IQRJ25">"$J$26:$J$31"</definedName>
    <definedName name="IQRJ35">"$J$36:$J$41"</definedName>
    <definedName name="IQRJ37">"$J$38:$J$42"</definedName>
    <definedName name="IQRJ38">"$J$39:$J$43"</definedName>
    <definedName name="IQRJ39">"$J$40:$J$2553"</definedName>
    <definedName name="IQRJ45">"$J$46:$J$51"</definedName>
    <definedName name="IQRJ5">"$J$6:$J$11"</definedName>
    <definedName name="IQRJ8">"$J$9"</definedName>
    <definedName name="IQRK25">"$K$26:$K$31"</definedName>
    <definedName name="IQRK35">"$K$36:$K$41"</definedName>
    <definedName name="IQRK45">"$K$46:$K$51"</definedName>
    <definedName name="IQRK5">"$K$6:$K$11"</definedName>
    <definedName name="IQRL25">"$L$26:$L$31"</definedName>
    <definedName name="IQRL35">"$L$36:$L$41"</definedName>
    <definedName name="IQRL45">"$L$46:$L$51"</definedName>
    <definedName name="IQRL5">"$L$6:$L$11"</definedName>
    <definedName name="IQRM15">"$M$16:$M$21"</definedName>
    <definedName name="IQRM17">"$M$18:$M$264"</definedName>
    <definedName name="IQRM25">"$M$26:$M$31"</definedName>
    <definedName name="IQRM35">"$M$36:$M$41"</definedName>
    <definedName name="IQRM37">"$M$38:$M$42"</definedName>
    <definedName name="IQRM38">"$M$39:$M$43"</definedName>
    <definedName name="IQRM45">"$M$46:$M$51"</definedName>
    <definedName name="IQRM5">"$M$6:$M$11"</definedName>
    <definedName name="IQRM65">"$M$66:$M$71"</definedName>
    <definedName name="IQRN129">"$N$130:$N$147"</definedName>
    <definedName name="IQRN15">"$N$16:$N$21"</definedName>
    <definedName name="IQRN22">"$N$23:$N$2539"</definedName>
    <definedName name="IQRN25">"$N$26:$N$31"</definedName>
    <definedName name="IQRN35">"$N$36:$N$41"</definedName>
    <definedName name="IQRN37">"$N$38:$N$42"</definedName>
    <definedName name="IQRN38">"$N$39:$N$43"</definedName>
    <definedName name="IQRN45">"$N$46:$N$51"</definedName>
    <definedName name="IQRN5">"$N$6:$N$11"</definedName>
    <definedName name="IQRN65">"$N$66:$N$71"</definedName>
    <definedName name="IQRO15">"$O$16:$O$21"</definedName>
    <definedName name="IQRO25">"$O$26:$O$31"</definedName>
    <definedName name="IQRO35">"$O$36:$O$41"</definedName>
    <definedName name="IQRO45">"$O$46:$O$51"</definedName>
    <definedName name="IQRO5">"$O$6:$O$11"</definedName>
    <definedName name="IQRO65">"$O$66"</definedName>
    <definedName name="IQRP15">"$P$16:$P$21"</definedName>
    <definedName name="IQRP25">"$P$26:$P$31"</definedName>
    <definedName name="IQRP35">"$P$36:$P$41"</definedName>
    <definedName name="IQRP45">"$P$46:$P$51"</definedName>
    <definedName name="IQRP5">"$P$6:$P$11"</definedName>
    <definedName name="IQRQ15">"$Q$16:$Q$21"</definedName>
    <definedName name="IQRQ25">"$Q$26:$Q$31"</definedName>
    <definedName name="IQRQ35">"$Q$36:$Q$41"</definedName>
    <definedName name="IQRQ37">"$Q$38:$Q$42"</definedName>
    <definedName name="IQRQ38">"$Q$39:$Q$43"</definedName>
    <definedName name="IQRQ45">"$Q$46:$Q$51"</definedName>
    <definedName name="IQRQ5">"$Q$6:$Q$11"</definedName>
    <definedName name="IQRR14">"$R$15:$R$267"</definedName>
    <definedName name="IQRR15">"$R$16:$R$21"</definedName>
    <definedName name="IQRR25">"$R$26:$R$31"</definedName>
    <definedName name="IQRR32">"$R$33:$R$60"</definedName>
    <definedName name="IQRR35">"$R$36:$R$41"</definedName>
    <definedName name="IQRR37">"$R$38:$R$42"</definedName>
    <definedName name="IQRR38">"$R$39:$R$43"</definedName>
    <definedName name="IQRR45">"$R$46:$R$51"</definedName>
    <definedName name="IQRR5">"$R$6:$R$11"</definedName>
    <definedName name="IQRS15">"$S$16:$S$21"</definedName>
    <definedName name="IQRS25">"$S$26:$S$31"</definedName>
    <definedName name="IQRS35">"$S$36:$S$41"</definedName>
    <definedName name="IQRS4">"$S$5:$S$2518"</definedName>
    <definedName name="IQRS45">"$S$46:$S$51"</definedName>
    <definedName name="IQRS5">"$S$6:$S$11"</definedName>
    <definedName name="IQRS65">"$S$66:$S$71"</definedName>
    <definedName name="IQRSheet1A1">#REF!</definedName>
    <definedName name="IQRSheet2A1">#REF!</definedName>
    <definedName name="IQRSheet2A3">#REF!</definedName>
    <definedName name="IQRSheet2A5">#REF!</definedName>
    <definedName name="IQRSheet2D225">#REF!</definedName>
    <definedName name="IQRSheet2D871">#REF!</definedName>
    <definedName name="IQRSPEarningsA3">#REF!</definedName>
    <definedName name="IQRT15">"$T$16:$T$21"</definedName>
    <definedName name="IQRT22">"$T$23:$T$2539"</definedName>
    <definedName name="IQRT25">"$T$26:$T$31"</definedName>
    <definedName name="IQRT35">"$T$36:$T$41"</definedName>
    <definedName name="IQRT45">"$T$46:$T$51"</definedName>
    <definedName name="IQRT5">"$T$6:$T$11"</definedName>
    <definedName name="IQRT65">"$T$66:$T$71"</definedName>
    <definedName name="IQRU14">"$U$15:$U$266"</definedName>
    <definedName name="IQRU15">"$U$16:$U$21"</definedName>
    <definedName name="IQRU25">"$U$26:$U$31"</definedName>
    <definedName name="IQRU35">"$U$36:$U$41"</definedName>
    <definedName name="IQRU37">"$U$38:$U$42"</definedName>
    <definedName name="IQRU38">"$U$39:$U$43"</definedName>
    <definedName name="IQRU4">"$U$5:$U$2518"</definedName>
    <definedName name="IQRU45">"$U$46:$U$51"</definedName>
    <definedName name="IQRU5">"$U$6:$U$11"</definedName>
    <definedName name="IQRV15">"$V$16:$V$21"</definedName>
    <definedName name="IQRV25">"$V$26:$V$31"</definedName>
    <definedName name="IQRV35">"$V$36:$V$41"</definedName>
    <definedName name="IQRV37">"$V$38:$V$42"</definedName>
    <definedName name="IQRV38">"$V$39:$V$43"</definedName>
    <definedName name="IQRV45">"$V$46:$V$51"</definedName>
    <definedName name="IQRV5">"$V$6:$V$11"</definedName>
    <definedName name="IQRV8">"$V$9:$V$261"</definedName>
    <definedName name="IQRW15">"$W$16:$W$21"</definedName>
    <definedName name="IQRW25">"$W$26:$W$31"</definedName>
    <definedName name="IQRW35">"$W$36:$W$41"</definedName>
    <definedName name="IQRW45">"$W$46:$W$51"</definedName>
    <definedName name="IQRW5">"$W$6:$W$11"</definedName>
    <definedName name="IQRW65">"$W$66:$W$71"</definedName>
    <definedName name="IQRX15">"$X$16:$X$21"</definedName>
    <definedName name="IQRX25">"$X$26:$X$31"</definedName>
    <definedName name="IQRX35">"$X$36:$X$41"</definedName>
    <definedName name="IQRX45">"$X$46:$X$51"</definedName>
    <definedName name="IQRX5">"$X$6:$X$11"</definedName>
    <definedName name="IQRX65">"$X$66:$X$71"</definedName>
    <definedName name="IQRY38">"$Y$39:$Y$43"</definedName>
    <definedName name="IQRY65">"$Y$66:$Y$69"</definedName>
    <definedName name="IQRZ22">"$Z$23:$Z$2539"</definedName>
    <definedName name="IQRZ38">"$Z$39:$Z$43"</definedName>
    <definedName name="iQShowHideColumns" hidden="1">"iQShowAnnual"</definedName>
    <definedName name="IQSKey2012IPOsB27">"$B$28:$B$46"</definedName>
    <definedName name="IQSL24MoDealsA3">"$A$4:$A$319"</definedName>
    <definedName name="IQSL24MoDealsB22">"$B$23:$B$125"</definedName>
    <definedName name="IQSL24MoDealsB26">"$B$27:$B$146"</definedName>
    <definedName name="IQSSheet1A1">"$A$2:$A$13"</definedName>
    <definedName name="IQSSheet1B2">"$C$2:$N$2"</definedName>
    <definedName name="IQSSheet2A1">"$B$1:$IQ$1"</definedName>
    <definedName name="IQSSheet2H21">"$H$22:$H$271"</definedName>
    <definedName name="IQSSheet3A1">"$A$2:$A$156"</definedName>
    <definedName name="IQSTransactionCompsA12" hidden="1">"$A$13:$A$56"</definedName>
    <definedName name="IQSTransactionsRedBrickA12" hidden="1">"$A$13:$A$52"</definedName>
    <definedName name="IQSTransactionsRedBrickA13" hidden="1">"$A$14:$A$43"</definedName>
    <definedName name="IR_Oven__speed">#REF!</definedName>
    <definedName name="IR_Oven_speed..">#REF!</definedName>
    <definedName name="irange_1_App">"ZEUS2"</definedName>
    <definedName name="irange_1_DB">"ACCOUNTS"</definedName>
    <definedName name="irange_1_Svr">"olympia.equant.com"</definedName>
    <definedName name="irange_1_Updated">"12/07/2002 17:26:32"</definedName>
    <definedName name="irange_2_App">"ZEUS2"</definedName>
    <definedName name="irange_2_DB">"ACCOUNTS"</definedName>
    <definedName name="irange_2_Svr">"olympia.equant.com"</definedName>
    <definedName name="irange_2_Updated">"12/07/2002 17:32:59"</definedName>
    <definedName name="irange_3_App">"ZEUS2"</definedName>
    <definedName name="irange_3_DB">"ACCOUNTS"</definedName>
    <definedName name="irange_3_Svr">"olympia.equant.com"</definedName>
    <definedName name="irange_3_Updated">"12/07/2002 17:37:42"</definedName>
    <definedName name="irange_4_App">"ZEUS2"</definedName>
    <definedName name="irange_4_DB">"ACCOUNTS"</definedName>
    <definedName name="irange_4_Svr">"olympia.equant.com"</definedName>
    <definedName name="irange_4_Updated">"12/07/2002 17:43:57"</definedName>
    <definedName name="irange_5_App">"ZEUS2"</definedName>
    <definedName name="irange_5_DB">"ACCOUNTS"</definedName>
    <definedName name="irange_5_Svr">"olympia.equant.com"</definedName>
    <definedName name="irange_5_Updated">"12/07/2002 18:01:54"</definedName>
    <definedName name="irange_6_App">"ZEUS2"</definedName>
    <definedName name="irange_6_DB">"ACCOUNTS"</definedName>
    <definedName name="irange_6_Svr">"olympia.equant.com"</definedName>
    <definedName name="irange_6_Updated">"16/07/2002 13:05:30"</definedName>
    <definedName name="irange_7_App">"ZEUS2"</definedName>
    <definedName name="irange_7_DB">"ACCOUNTS"</definedName>
    <definedName name="irange_7_Svr">"olympia.equant.com"</definedName>
    <definedName name="irange_7_Updated">"12/07/2002 18:02:12"</definedName>
    <definedName name="irange_A_Updated">"03/07/2002 09:49:04"</definedName>
    <definedName name="irange_B_Updated">"03/07/2002 11:10:47"</definedName>
    <definedName name="iRange_P10_App">"Icarus2"</definedName>
    <definedName name="iRange_P10_DB">"Revenue"</definedName>
    <definedName name="iRange_P10_Svr">"Olympia.Equant.Com"</definedName>
    <definedName name="iRange_P10_Updated">"02/07/2002 11:03:32"</definedName>
    <definedName name="iRange_P11_App">"Icarus2"</definedName>
    <definedName name="iRange_P11_DB">"Revenue"</definedName>
    <definedName name="iRange_P11_Svr">"Olympia.Equant.Com"</definedName>
    <definedName name="iRange_P11_Updated">"02/07/2002 11:03:56"</definedName>
    <definedName name="iRange_p12_App">"Icarus2"</definedName>
    <definedName name="iRange_p12_DB">"Revenue"</definedName>
    <definedName name="iRange_p12_Svr">"Olympia.Equant.Com"</definedName>
    <definedName name="iRange_p12_Updated">"02/07/2002 11:03:59"</definedName>
    <definedName name="iRange_P13_App">"Icarus2"</definedName>
    <definedName name="iRange_P13_DB">"Revenue"</definedName>
    <definedName name="iRange_P13_Svr">"Olympia.Equant.Com"</definedName>
    <definedName name="iRange_P13_Updated">"02/07/2002 11:04:04"</definedName>
    <definedName name="iRange_P14_App">"Icarus2"</definedName>
    <definedName name="iRange_P14_DB">"Revenue"</definedName>
    <definedName name="iRange_P14_Svr">"Olympia.Equant.Com"</definedName>
    <definedName name="iRange_P14_Updated">"02/07/2002 11:04:13"</definedName>
    <definedName name="iRange_P15_App">"Icarus2"</definedName>
    <definedName name="iRange_P15_DB">"Revenue"</definedName>
    <definedName name="iRange_P15_Svr">"Olympia.Equant.Com"</definedName>
    <definedName name="iRange_P15_Updated">"02/07/2002 11:04:35"</definedName>
    <definedName name="iRange_P2_App">"Zeus2"</definedName>
    <definedName name="iRange_P2_DB">"Accounts"</definedName>
    <definedName name="iRange_P2_Svr">"Olympia.Equant.Com"</definedName>
    <definedName name="iRange_P2_Updated">"02/07/2002 11:04:38"</definedName>
    <definedName name="iRange_p3_App">"Zeus2"</definedName>
    <definedName name="iRange_p3_DB">"Accounts"</definedName>
    <definedName name="iRange_p3_Svr">"Olympia.Equant.Com"</definedName>
    <definedName name="iRange_p3_Updated">"02/07/2002 11:04:42"</definedName>
    <definedName name="iRange_P4_App">"Zeus2"</definedName>
    <definedName name="iRange_P4_DB">"Accounts"</definedName>
    <definedName name="iRange_P4_Svr">"Olympia.Equant.Com"</definedName>
    <definedName name="iRange_P4_Updated">"02/07/2002 11:04:44"</definedName>
    <definedName name="iRange_P5_App">"ZEUS2"</definedName>
    <definedName name="iRange_P5_DB">"Accounts"</definedName>
    <definedName name="iRange_P5_Svr">"Olympia.Equant.Com"</definedName>
    <definedName name="iRange_P5_Updated">"02/07/2002 11:04:46"</definedName>
    <definedName name="iRange_P6_App">"ZEUS2"</definedName>
    <definedName name="iRange_P6_DB">"Accounts"</definedName>
    <definedName name="iRange_P6_Svr">"Olympia.Equant.Com"</definedName>
    <definedName name="iRange_P6_Updated">"02/07/2002 11:04:48"</definedName>
    <definedName name="iRange_P7_App">"ZEUS2"</definedName>
    <definedName name="iRange_P7_DB">"Accounts"</definedName>
    <definedName name="iRange_P7_Svr">"Olympia.Equant.Com"</definedName>
    <definedName name="iRange_P7_Updated">"02/07/2002 11:04:50"</definedName>
    <definedName name="iRange_P7b_App">"ZEUS2"</definedName>
    <definedName name="iRange_P7b_DB">"Accounts"</definedName>
    <definedName name="iRange_P7b_Svr">"Olympia.Equant.Com"</definedName>
    <definedName name="iRange_P7b_Updated">"02/07/2002 11:04:51"</definedName>
    <definedName name="irange_P9_App">"ZEUS2"</definedName>
    <definedName name="irange_P9_DB">"Accounts"</definedName>
    <definedName name="irange_P9_Svr">"Olympia.Equant.Com"</definedName>
    <definedName name="irange_P9_Updated">"02/07/2002 11:04:53"</definedName>
    <definedName name="iRANGE_RECON_Updated">"10/07/2002 11:04:49"</definedName>
    <definedName name="iRANGE1_App">"ZEUS2"</definedName>
    <definedName name="iRANGE1_DB">"ACCOUNTS"</definedName>
    <definedName name="iRANGE1_Svr">"olympia.equant.com"</definedName>
    <definedName name="iRANGE1_Updated">"23/07/2002 18:34:38"</definedName>
    <definedName name="Irbe" hidden="1">{#N/A,#N/A,FALSE,"Pharm";#N/A,#N/A,FALSE,"WWCM"}</definedName>
    <definedName name="IRG">#REF!</definedName>
    <definedName name="IRO_L">#REF!</definedName>
    <definedName name="IRR">#REF!</definedName>
    <definedName name="IS">'Income Statement'!$A$1:$BA$67</definedName>
    <definedName name="IS_goodwill">#REF!</definedName>
    <definedName name="IS_intconvert">#REF!</definedName>
    <definedName name="IS_otherexp">#REF!</definedName>
    <definedName name="is2012after_adj">#REF!</definedName>
    <definedName name="ISBL_K">#REF!</definedName>
    <definedName name="IsColHidden" hidden="1">FALSE</definedName>
    <definedName name="ISG">#REF!</definedName>
    <definedName name="IsLTMColHidden" hidden="1">FALSE</definedName>
    <definedName name="Ismael" hidden="1">{#N/A,#N/A,TRUE,"CPRD";#N/A,#N/A,TRUE,"BCCPDR";#N/A,#N/A,TRUE,"EWRD";#N/A,#N/A,TRUE,"5100";#N/A,#N/A,TRUE,"5110"}</definedName>
    <definedName name="Isolate">#REF!</definedName>
    <definedName name="IS최종" hidden="1">{#N/A,#N/A,FALSE,"Aging Summary";#N/A,#N/A,FALSE,"Ratio Analysis";#N/A,#N/A,FALSE,"Test 120 Day Accts";#N/A,#N/A,FALSE,"Tickmarks"}</definedName>
    <definedName name="IT" hidden="1">{"'Sheet1'!$A$1:$H$36"}</definedName>
    <definedName name="ITAL">#REF!</definedName>
    <definedName name="ITALY">#REF!</definedName>
    <definedName name="itc">#REF!</definedName>
    <definedName name="ITCLtd">#REF!</definedName>
    <definedName name="itdep">#REF!</definedName>
    <definedName name="Item_Master">#REF!</definedName>
    <definedName name="ITJ工場">#REF!</definedName>
    <definedName name="ITJ神戸">#REF!</definedName>
    <definedName name="ITLeXToEUR" hidden="1">1/EUReXToITL</definedName>
    <definedName name="itri" hidden="1">{#N/A,#N/A,FALSE,"REPORT"}</definedName>
    <definedName name="IT수정" hidden="1">{"'Sheet1'!$A$1:$H$36"}</definedName>
    <definedName name="IU">{"'Check Request'!$A$1:$BF$37"}</definedName>
    <definedName name="IU_1">#REF!</definedName>
    <definedName name="IU_2">#REF!</definedName>
    <definedName name="iui" hidden="1">{#N/A,#N/A,FALSE,"Pharm";#N/A,#N/A,FALSE,"WWCM"}</definedName>
    <definedName name="iup" hidden="1">{#N/A,#N/A,FALSE,"REPORT"}</definedName>
    <definedName name="iuu">#REF!</definedName>
    <definedName name="iuw5i">#REF!</definedName>
    <definedName name="iv">#REF!</definedName>
    <definedName name="iv_1">#REF!</definedName>
    <definedName name="iv_10">#REF!</definedName>
    <definedName name="iv_12">#REF!</definedName>
    <definedName name="iv_2">#REF!</definedName>
    <definedName name="iv_9">#REF!</definedName>
    <definedName name="IWJJJJ" hidden="1">{#N/A,#N/A,FALSE,"Aging Summary";#N/A,#N/A,FALSE,"Ratio Analysis";#N/A,#N/A,FALSE,"Test 120 Day Accts";#N/A,#N/A,FALSE,"Tickmarks"}</definedName>
    <definedName name="IWJJJJ_3">#REF!</definedName>
    <definedName name="j" hidden="1">{"PL_no_inflated",#N/A,FALSE,"P&amp;L"}</definedName>
    <definedName name="j_1">#REF!</definedName>
    <definedName name="j_2">#REF!</definedName>
    <definedName name="j_3">#REF!</definedName>
    <definedName name="j_4">#REF!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2기타">#REF!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#REF!</definedName>
    <definedName name="jack">{"'Feb 99'!$A$1:$G$30"}</definedName>
    <definedName name="JAI">#REF!</definedName>
    <definedName name="jakdjsjfd">57</definedName>
    <definedName name="jaksdjfkajsf">15</definedName>
    <definedName name="JAN">#REF!</definedName>
    <definedName name="Jan_00">#REF!</definedName>
    <definedName name="Jan_01">#REF!</definedName>
    <definedName name="Jan_02">#REF!</definedName>
    <definedName name="Jan_03">#REF!</definedName>
    <definedName name="Jan_04">"3gstart"</definedName>
    <definedName name="Jan_18">#REF!</definedName>
    <definedName name="Jan_19">#REF!</definedName>
    <definedName name="Jan_20">#REF!</definedName>
    <definedName name="Jan_21">#REF!</definedName>
    <definedName name="Jan_Master_totals">#REF!</definedName>
    <definedName name="janaud">#REF!</definedName>
    <definedName name="JANDATA?">#REF!</definedName>
    <definedName name="jane">#REF!</definedName>
    <definedName name="Janevents">#REF!</definedName>
    <definedName name="janhkd">#REF!</definedName>
    <definedName name="Jannames">#REF!</definedName>
    <definedName name="jansgd">#REF!</definedName>
    <definedName name="janthb">#REF!</definedName>
    <definedName name="jantwd">#REF!</definedName>
    <definedName name="January_Control_Totals">#REF!</definedName>
    <definedName name="JAPA">#REF!</definedName>
    <definedName name="japafx">" "</definedName>
    <definedName name="JAPAN">#REF!</definedName>
    <definedName name="Jas">{"'Feb 99'!$A$1:$G$30"}</definedName>
    <definedName name="jasdkfaksdfj">3</definedName>
    <definedName name="jaskdfjkasdjf">57</definedName>
    <definedName name="jaskfaskdjfa">4</definedName>
    <definedName name="JBNAM">"GL291KS08"</definedName>
    <definedName name="JBNMB">"261143"</definedName>
    <definedName name="jde">#REF!</definedName>
    <definedName name="jdf">#REF!</definedName>
    <definedName name="jdf_1">#REF!</definedName>
    <definedName name="jdf_2">#REF!</definedName>
    <definedName name="jdf_3">#REF!</definedName>
    <definedName name="jdf_4">#REF!</definedName>
    <definedName name="jdfakskajsfd">3</definedName>
    <definedName name="jdjdj">{"'WS Sales by Rep'!$A$24:$L$46"}</definedName>
    <definedName name="jdjdj_1">{"'WS Sales by Rep'!$A$24:$L$46"}</definedName>
    <definedName name="jdk">0</definedName>
    <definedName name="jdkfjdkfjdkfj">#REF!</definedName>
    <definedName name="jdlandnk">#REF!</definedName>
    <definedName name="je">#REF!</definedName>
    <definedName name="jeeeee">#REF!</definedName>
    <definedName name="jeeeee_1">#REF!</definedName>
    <definedName name="jei">#REF!</definedName>
    <definedName name="jeld" hidden="1">{#N/A,#N/A,FALSE,"Sheet5"}</definedName>
    <definedName name="JENS">#REF!</definedName>
    <definedName name="Jerry" hidden="1">{#N/A,#N/A,FALSE,"Title Page (4)";#N/A,#N/A,FALSE,"YTD - Total";#N/A,#N/A,FALSE,"MTH - Total"}</definedName>
    <definedName name="Jerry1" hidden="1">{#N/A,#N/A,FALSE,"Sales Graph";#N/A,#N/A,FALSE,"BUC Graph";#N/A,#N/A,FALSE,"P&amp;L - YTD"}</definedName>
    <definedName name="Jerry2" hidden="1">{#N/A,#N/A,FALSE,"Sales Graph";#N/A,#N/A,FALSE,"PSBM";#N/A,#N/A,FALSE,"BUC Graph";#N/A,#N/A,FALSE,"P&amp;L - YTD"}</definedName>
    <definedName name="Jerry3" hidden="1">{#N/A,#N/A,FALSE,"Pharm";#N/A,#N/A,FALSE,"WWCM"}</definedName>
    <definedName name="Jerry4" hidden="1">{#N/A,#N/A,FALSE,"Sales Graph";#N/A,#N/A,FALSE,"BUC Graph";#N/A,#N/A,FALSE,"P&amp;L - YTD"}</definedName>
    <definedName name="JESUS">#REF!</definedName>
    <definedName name="jet">#REF!</definedName>
    <definedName name="JEType">#REF!</definedName>
    <definedName name="JEType1">#REF!</definedName>
    <definedName name="JEType11">#REF!</definedName>
    <definedName name="JEType12">#REF!</definedName>
    <definedName name="JEType13">#REF!</definedName>
    <definedName name="JEType3">#REF!</definedName>
    <definedName name="JEType4">#REF!</definedName>
    <definedName name="JEType5">#REF!</definedName>
    <definedName name="JEType6">#REF!</definedName>
    <definedName name="JEType7">#REF!</definedName>
    <definedName name="JETypeLC">#REF!</definedName>
    <definedName name="JEV">#REF!</definedName>
    <definedName name="jfgjfgj">#REF!</definedName>
    <definedName name="jfgw" hidden="1">{#N/A,#N/A,FALSE,"Pharm";#N/A,#N/A,FALSE,"WWCM"}</definedName>
    <definedName name="jfiek20d02">#REF!</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f">#REF!</definedName>
    <definedName name="jgf_1">#REF!</definedName>
    <definedName name="jgf_2">#REF!</definedName>
    <definedName name="jgf_3">#REF!</definedName>
    <definedName name="jgf_4">#REF!</definedName>
    <definedName name="jgfj">#REF!</definedName>
    <definedName name="jgfj_1">#REF!</definedName>
    <definedName name="jgfj_2">#REF!</definedName>
    <definedName name="jgfj_3">#REF!</definedName>
    <definedName name="jgfj_4">#REF!</definedName>
    <definedName name="jgfjgfj">#REF!</definedName>
    <definedName name="jgh">#REF!</definedName>
    <definedName name="jgh_1">#REF!</definedName>
    <definedName name="jgh_2">#REF!</definedName>
    <definedName name="jgh_3">#REF!</definedName>
    <definedName name="jgh_4">#REF!</definedName>
    <definedName name="JHBGVC">#REF!</definedName>
    <definedName name="JHBGVC_1">#REF!</definedName>
    <definedName name="jhbjkhkj" hidden="1">{#N/A,#N/A,TRUE,"Summary";#N/A,#N/A,TRUE,"IS";#N/A,#N/A,TRUE,"Adj";#N/A,#N/A,TRUE,"BS";#N/A,#N/A,TRUE,"CF";#N/A,#N/A,TRUE,"Debt";#N/A,#N/A,TRUE,"IRR"}</definedName>
    <definedName name="jhfg">#REF!</definedName>
    <definedName name="jhfg_1">#REF!</definedName>
    <definedName name="JHGD" hidden="1">{#N/A,#N/A,FALSE,"REPORT"}</definedName>
    <definedName name="jhgg">#REF!</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GF" hidden="1">{#N/A,#N/A,FALSE,"Pharm";#N/A,#N/A,FALSE,"WWCM"}</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GFGJ" hidden="1">{#N/A,#N/A,FALSE,"Pharm";#N/A,#N/A,FALSE,"WWCM"}</definedName>
    <definedName name="jhkjh">#REF!</definedName>
    <definedName name="jhljlk" hidden="1">{#N/A,#N/A,FALSE,"Pharm";#N/A,#N/A,FALSE,"WWCM"}</definedName>
    <definedName name="ji">#REF!</definedName>
    <definedName name="jim">#REF!</definedName>
    <definedName name="jj">#REF!</definedName>
    <definedName name="jjf">#REF!</definedName>
    <definedName name="jjf_1">#REF!</definedName>
    <definedName name="jjf_2">#REF!</definedName>
    <definedName name="jjf_3">#REF!</definedName>
    <definedName name="jjf_4">#REF!</definedName>
    <definedName name="jjj" hidden="1">{#N/A,#N/A,TRUE,"4Q BCG";#N/A,#N/A,TRUE,"4Q w|o Wireless";#N/A,#N/A,TRUE,"4Q Wireless"}</definedName>
    <definedName name="jjj_1">#REF!</definedName>
    <definedName name="JJJJ" hidden="1">#N/A</definedName>
    <definedName name="jjjjj">#REF!</definedName>
    <definedName name="jjjjj_1">#REF!</definedName>
    <definedName name="jjjjjjjj">#REF!</definedName>
    <definedName name="JJJJJJJJJJJ">#REF!</definedName>
    <definedName name="jjkk" hidden="1">{"'Planning Data'!$A$2:$X$120"}</definedName>
    <definedName name="jjkl">#REF!</definedName>
    <definedName name="jjl">{"'표지'!$B$5"}</definedName>
    <definedName name="JK">#REF!</definedName>
    <definedName name="jke">#REF!</definedName>
    <definedName name="jkhjfghkjfc" hidden="1">{#N/A,#N/A,FALSE,"Summary";#N/A,#N/A,FALSE,"1991";#N/A,#N/A,FALSE,"91 AMT";#N/A,#N/A,FALSE,"1992";#N/A,#N/A,FALSE,"92 AMT";#N/A,#N/A,FALSE,"1993";#N/A,#N/A,FALSE,"93 AMT"}</definedName>
    <definedName name="jkhjfghkjfc_3">#REF!</definedName>
    <definedName name="jkhjhjk">#REF!</definedName>
    <definedName name="jkhjkhlkj">#REF!</definedName>
    <definedName name="jkj">#REF!</definedName>
    <definedName name="jkj_1">#REF!</definedName>
    <definedName name="jkjklj">#REF!</definedName>
    <definedName name="jkjkljkljlk">#REF!</definedName>
    <definedName name="jkjlk">#REF!</definedName>
    <definedName name="jkjlkj">#REF!</definedName>
    <definedName name="jkkjkljlkj">#REF!</definedName>
    <definedName name="jkkkk">#REF!</definedName>
    <definedName name="jklj">#REF!</definedName>
    <definedName name="jklji">#REF!</definedName>
    <definedName name="jkljkl">#REF!</definedName>
    <definedName name="jkljklj">#REF!</definedName>
    <definedName name="jkljl">#REF!</definedName>
    <definedName name="jkljli">#REF!</definedName>
    <definedName name="jkljlk">#REF!</definedName>
    <definedName name="jkljlkj">#REF!</definedName>
    <definedName name="jkljlkjl" hidden="1">{#N/A,#N/A,FALSE,"UNIT";#N/A,#N/A,FALSE,"UNIT";#N/A,#N/A,FALSE,"계정"}</definedName>
    <definedName name="jklki">#REF!</definedName>
    <definedName name="jklkj">#REF!</definedName>
    <definedName name="jklkjkj">#REF!</definedName>
    <definedName name="jkllj">#REF!</definedName>
    <definedName name="jkyuk">#REF!</definedName>
    <definedName name="jkyuk_1">#REF!</definedName>
    <definedName name="jl">#REF!</definedName>
    <definedName name="jl_1">#REF!</definedName>
    <definedName name="jljlkj">#REF!</definedName>
    <definedName name="jlkjkjl">#REF!</definedName>
    <definedName name="jllk">#REF!</definedName>
    <definedName name="jllk_1">#REF!</definedName>
    <definedName name="JM">#REF!</definedName>
    <definedName name="JNPRpublish">#REF!</definedName>
    <definedName name="JNPRpublish_1">#REF!</definedName>
    <definedName name="JNPRpublish_2">#REF!</definedName>
    <definedName name="JNPRpublish_3">#REF!</definedName>
    <definedName name="JNPRpublish_4">#REF!</definedName>
    <definedName name="job">#REF!</definedName>
    <definedName name="job_run">#REF!</definedName>
    <definedName name="JobID">#REF!</definedName>
    <definedName name="Joerg">#REF!</definedName>
    <definedName name="joñjhlk" hidden="1">{#N/A,#N/A,FALSE,"Pharm";#N/A,#N/A,FALSE,"WWCM"}</definedName>
    <definedName name="JOUR1">#REF!</definedName>
    <definedName name="JOURNAL">#REF!</definedName>
    <definedName name="Journal_Entries">#REF!</definedName>
    <definedName name="JOURT">#REF!</definedName>
    <definedName name="JPY">#REF!</definedName>
    <definedName name="JPY_PL_3">#REF!</definedName>
    <definedName name="JRcomp">#REF!</definedName>
    <definedName name="JSDKFJ">4</definedName>
    <definedName name="jskljsljslk">#REF!</definedName>
    <definedName name="jtdy">#REF!</definedName>
    <definedName name="jtdy_1">#REF!</definedName>
    <definedName name="jtrj">#REF!</definedName>
    <definedName name="jtrj_1">#REF!</definedName>
    <definedName name="jtrj_2">#REF!</definedName>
    <definedName name="jtrj_3">#REF!</definedName>
    <definedName name="jtrj_4">#REF!</definedName>
    <definedName name="jty">#REF!</definedName>
    <definedName name="jty_1">#REF!</definedName>
    <definedName name="jty_2">#REF!</definedName>
    <definedName name="jty_3">#REF!</definedName>
    <definedName name="jty_4">#REF!</definedName>
    <definedName name="jtyj">#REF!</definedName>
    <definedName name="jtyj_1">#REF!</definedName>
    <definedName name="jtyj_2">#REF!</definedName>
    <definedName name="jtyj_3">#REF!</definedName>
    <definedName name="jtyj_4">#REF!</definedName>
    <definedName name="jtyjk">#REF!</definedName>
    <definedName name="jtyjk_1">#REF!</definedName>
    <definedName name="jtyjk_2">#REF!</definedName>
    <definedName name="jtyjk_3">#REF!</definedName>
    <definedName name="jtyjk_4">#REF!</definedName>
    <definedName name="ju">#REF!</definedName>
    <definedName name="judy" hidden="1">{#N/A,#N/A,FALSE,"Pharm";#N/A,#N/A,FALSE,"WWCM"}</definedName>
    <definedName name="judy1" hidden="1">{#N/A,#N/A,FALSE,"Pharm";#N/A,#N/A,FALSE,"WWCM"}</definedName>
    <definedName name="jufn">#REF!</definedName>
    <definedName name="Jul_01">#REF!</definedName>
    <definedName name="Jul_18">#REF!</definedName>
    <definedName name="Jul_19">#REF!</definedName>
    <definedName name="Jul_20">#REF!</definedName>
    <definedName name="Jul_21">#REF!</definedName>
    <definedName name="julaud">#REF!</definedName>
    <definedName name="JULDATA?">#REF!</definedName>
    <definedName name="julhkd">#REF!</definedName>
    <definedName name="julsgd">#REF!</definedName>
    <definedName name="julthb">#REF!</definedName>
    <definedName name="jultwd">#REF!</definedName>
    <definedName name="July">#REF!</definedName>
    <definedName name="July_1">#REF!</definedName>
    <definedName name="July_Control_Totals">#REF!</definedName>
    <definedName name="july1">#REF!</definedName>
    <definedName name="july2001" hidden="1">{#N/A,#N/A,FALSE,"1";#N/A,#N/A,FALSE,"2";#N/A,#N/A,FALSE,"16 - 17";#N/A,#N/A,FALSE,"18 - 19";#N/A,#N/A,FALSE,"26";#N/A,#N/A,FALSE,"27";#N/A,#N/A,FALSE,"28"}</definedName>
    <definedName name="JulyNZ">#REF!</definedName>
    <definedName name="Jun_03">#REF!</definedName>
    <definedName name="Jun_18">#REF!</definedName>
    <definedName name="Jun_19">#REF!</definedName>
    <definedName name="Jun_20">#REF!</definedName>
    <definedName name="Jun_21">#REF!</definedName>
    <definedName name="junaud">#REF!</definedName>
    <definedName name="JUNDATA?">#REF!</definedName>
    <definedName name="June">#REF!</definedName>
    <definedName name="June_1">#REF!</definedName>
    <definedName name="June_Control_Totals">#REF!</definedName>
    <definedName name="junhkd">#REF!</definedName>
    <definedName name="junsgd">#REF!</definedName>
    <definedName name="junthb">#REF!</definedName>
    <definedName name="juntwd">#REF!</definedName>
    <definedName name="juu">#REF!</definedName>
    <definedName name="jv">#REF!</definedName>
    <definedName name="JV_Form">#REF!</definedName>
    <definedName name="JVBDJVDSJVD" hidden="1">#REF!</definedName>
    <definedName name="jy">#REF!</definedName>
    <definedName name="JYBUD">#REF!</definedName>
    <definedName name="jygy">#REF!</definedName>
    <definedName name="jytjty">#REF!</definedName>
    <definedName name="jytyj">#REF!</definedName>
    <definedName name="K">#REF!</definedName>
    <definedName name="K_1">#REF!</definedName>
    <definedName name="K2__MAXEXPCOLS__">100</definedName>
    <definedName name="K2__MAXEXPROWS__">1000</definedName>
    <definedName name="K2__WBEVMODE__">1</definedName>
    <definedName name="K2__WBREFOPTIONS__">134217728</definedName>
    <definedName name="K2_WBEVMODE">-1</definedName>
    <definedName name="k2m">"Ptnr is Final--wp K2"</definedName>
    <definedName name="K7a">255</definedName>
    <definedName name="ka">#REF!</definedName>
    <definedName name="KACr95">#REF!</definedName>
    <definedName name="KACr96">#REF!</definedName>
    <definedName name="KACr97">#REF!</definedName>
    <definedName name="KACr98">#REF!</definedName>
    <definedName name="KACr98.10">#REF!</definedName>
    <definedName name="KACr98.11">#REF!</definedName>
    <definedName name="KADr95">#REF!</definedName>
    <definedName name="KADr96">#REF!</definedName>
    <definedName name="KADr97">#REF!</definedName>
    <definedName name="KADr98">#REF!</definedName>
    <definedName name="KADr98.10">#REF!</definedName>
    <definedName name="KADr98.11">#REF!</definedName>
    <definedName name="kai">{"'OCT  VOIDS'!$A$1:$G$33","'OCT '!$A$1:$G$48","'OCT Adj'!$A$1:$L$37"}</definedName>
    <definedName name="kajsdkjfkajsdfjasdfkjasjdkf">3</definedName>
    <definedName name="kaminami" hidden="1">{#N/A,#N/A,FALSE,"Australia";#N/A,#N/A,FALSE,"Austria";#N/A,#N/A,FALSE,"Belgium";#N/A,#N/A,FALSE,"Canada";#N/A,#N/A,FALSE,"France";#N/A,#N/A,FALSE,"Germany";#N/A,#N/A,FALSE,"Hong Kong";#N/A,#N/A,FALSE,"Italy";#N/A,#N/A,FALSE,"Japan";#N/A,#N/A,FALSE,"Korea";#N/A,#N/A,FALSE,"Mexico";#N/A,#N/A,FALSE,"Poland";#N/A,#N/A,FALSE,"Spain";#N/A,#N/A,FALSE,"Switzerland";#N/A,#N/A,FALSE,"UK"}</definedName>
    <definedName name="karnatakabank">#REF!</definedName>
    <definedName name="kay">#REF!</definedName>
    <definedName name="kb">#REF!</definedName>
    <definedName name="KBRHill">#REF!</definedName>
    <definedName name="KC" hidden="1">{#N/A,#N/A,FALSE,"을지 (4)";#N/A,#N/A,FALSE,"을지 (5)";#N/A,#N/A,FALSE,"을지 (6)"}</definedName>
    <definedName name="Kd">#REF!</definedName>
    <definedName name="KDD">#REF!</definedName>
    <definedName name="KDDD">#REF!</definedName>
    <definedName name="KDilSwitch">#REF!</definedName>
    <definedName name="kdjfkasf">"AS2DocumentBrowse"</definedName>
    <definedName name="KDJHSKDSKH">BLCH</definedName>
    <definedName name="kdkdkkdk">{"'ASIENTOS'!$C$11:$G$144"}</definedName>
    <definedName name="Kent">#REF!</definedName>
    <definedName name="Key_A_CAT">#REF!</definedName>
    <definedName name="Key_A_ELEM">#REF!</definedName>
    <definedName name="Key_A_OPSEC">#REF!</definedName>
    <definedName name="Key_A_PER">#REF!</definedName>
    <definedName name="Key_A_TCUR">#REF!</definedName>
    <definedName name="Key_A_TOFR">#REF!</definedName>
    <definedName name="Key_A_UNIT">#REF!</definedName>
    <definedName name="Key_A1_CAT">#REF!</definedName>
    <definedName name="Key_A1_ELEM">#REF!</definedName>
    <definedName name="Key_A1_OPSEC">#REF!</definedName>
    <definedName name="Key_A1_PER">#REF!</definedName>
    <definedName name="Key_A1_TCUR">#REF!</definedName>
    <definedName name="Key_A1_TOFR">#REF!</definedName>
    <definedName name="Key_A1_UNIT">#REF!</definedName>
    <definedName name="Key_C_CAT">#REF!</definedName>
    <definedName name="Key_C_ELEM">#REF!</definedName>
    <definedName name="Key_C_OPSEC">#REF!</definedName>
    <definedName name="Key_C_PER">#REF!</definedName>
    <definedName name="Key_C_TCUR">#REF!</definedName>
    <definedName name="Key_C_TOFR">#REF!</definedName>
    <definedName name="Key_C_UNIT">#REF!</definedName>
    <definedName name="KEY_HELP_ACC">#REF!</definedName>
    <definedName name="KEY_UNADJ_ACC">#REF!</definedName>
    <definedName name="keysum">#REF!</definedName>
    <definedName name="KFDHVRDATA">#REF!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aap95">#REF!</definedName>
    <definedName name="KGaap96">#REF!</definedName>
    <definedName name="KGaap97">#REF!</definedName>
    <definedName name="KGaap98">#REF!</definedName>
    <definedName name="KGaap98.10">#REF!</definedName>
    <definedName name="KGaap98.11">#REF!</definedName>
    <definedName name="kgdata">#REF!</definedName>
    <definedName name="kgh" hidden="1">{#N/A,#N/A,FALSE,"Pharm";#N/A,#N/A,FALSE,"WWCM"}</definedName>
    <definedName name="kgjlhjmkjmgf">#REF!</definedName>
    <definedName name="kgjlhjmkjmgf_1">#REF!</definedName>
    <definedName name="kgjlhjmkjmgf_2">#REF!</definedName>
    <definedName name="kgjlhjmkjmgf_3">#REF!</definedName>
    <definedName name="kgjlhjmkjmgf_4">#REF!</definedName>
    <definedName name="KGP">#REF!</definedName>
    <definedName name="KGS">#REF!</definedName>
    <definedName name="kh">#REF!</definedName>
    <definedName name="khg" hidden="1">{#N/A,#N/A,FALSE,"Pharm";#N/A,#N/A,FALSE,"WWCM"}</definedName>
    <definedName name="KI_Dev_QA">#REF!</definedName>
    <definedName name="kinis">#REF!</definedName>
    <definedName name="kinop">#REF!</definedName>
    <definedName name="kjh">#REF!</definedName>
    <definedName name="kjh_1">#REF!</definedName>
    <definedName name="KJHG">#REF!</definedName>
    <definedName name="KJHG_1">#REF!</definedName>
    <definedName name="KJHGG" hidden="1">{#N/A,#N/A,FALSE,"Pharm";#N/A,#N/A,FALSE,"WWCM"}</definedName>
    <definedName name="kjj">binary</definedName>
    <definedName name="kjk">#REF!</definedName>
    <definedName name="kjkhui">#REF!</definedName>
    <definedName name="kjkl">#REF!</definedName>
    <definedName name="kjkli">#REF!</definedName>
    <definedName name="kjklji">#REF!</definedName>
    <definedName name="kjkljl">#REF!</definedName>
    <definedName name="kjlkji">#REF!</definedName>
    <definedName name="kjlkjli">#REF!</definedName>
    <definedName name="KJNK">BLCH</definedName>
    <definedName name="kjo">#REF!</definedName>
    <definedName name="kk" hidden="1">{"inflated_pl",#N/A,FALSE,"P&amp;L"}</definedName>
    <definedName name="kka">#REF!</definedName>
    <definedName name="KKK" hidden="1">255</definedName>
    <definedName name="kkk.pp">#REF!</definedName>
    <definedName name="kkkk">#REF!</definedName>
    <definedName name="kkkkk">{"'1-TheatreBkgs'!$A$1:$L$102"}</definedName>
    <definedName name="kkkkkkkk">#REF!</definedName>
    <definedName name="KKKKKKKKKKK">#REF!</definedName>
    <definedName name="KKKLL">#REF!</definedName>
    <definedName name="kkl">{"'Customer Support Trends'!$A$1:$AB$13"}</definedName>
    <definedName name="kl" hidden="1">{#N/A,#N/A,FALSE,"Income";#N/A,#N/A,FALSE,"Cost of Goods Sold";#N/A,#N/A,FALSE,"Other Costs";#N/A,#N/A,FALSE,"Other Income";#N/A,#N/A,FALSE,"Taxes";#N/A,#N/A,FALSE,"Other Deductions";#N/A,#N/A,FALSE,"Compensation of Officers"}</definedName>
    <definedName name="klhj">#REF!</definedName>
    <definedName name="kljklji">#REF!</definedName>
    <definedName name="klk">#REF!</definedName>
    <definedName name="klkl" hidden="1">{#N/A,#N/A,FALSE,"Description"}</definedName>
    <definedName name="klklklkl">#REF!</definedName>
    <definedName name="klklklkl_1">#REF!</definedName>
    <definedName name="klklklkl_2">#REF!</definedName>
    <definedName name="klklklkl_3">#REF!</definedName>
    <definedName name="klklklkl_4">#REF!</definedName>
    <definedName name="kll">#REF!</definedName>
    <definedName name="klop" hidden="1">#REF!</definedName>
    <definedName name="KN" hidden="1">{#N/A,#N/A,FALSE,"을지 (4)";#N/A,#N/A,FALSE,"을지 (5)";#N/A,#N/A,FALSE,"을지 (6)"}</definedName>
    <definedName name="knitplub" hidden="1">{#N/A,#N/A,FALSE,"Income";#N/A,#N/A,FALSE,"Cost of Goods Sold";#N/A,#N/A,FALSE,"Other Costs";#N/A,#N/A,FALSE,"Other Income";#N/A,#N/A,FALSE,"Taxes";#N/A,#N/A,FALSE,"Other Deductions";#N/A,#N/A,FALSE,"Compensation of Officers"}</definedName>
    <definedName name="ko">#REF!</definedName>
    <definedName name="KOLLO">#REF!</definedName>
    <definedName name="Komarla">#REF!</definedName>
    <definedName name="KOREA_PLASTIC_in_KUSD">#REF!</definedName>
    <definedName name="Kotakmahindra">#REF!</definedName>
    <definedName name="KPDCHAR">#REF!</definedName>
    <definedName name="KPDRECAP">#REF!</definedName>
    <definedName name="KPI">#REF!</definedName>
    <definedName name="krutnh">#REF!</definedName>
    <definedName name="krutnh_1">#REF!</definedName>
    <definedName name="KRW">#REF!</definedName>
    <definedName name="kslkjkjlkjd" hidden="1">{#N/A,#N/A,FALSE,"REPORT"}</definedName>
    <definedName name="KUULSD">#REF!</definedName>
    <definedName name="KV_AC">#REF!</definedName>
    <definedName name="kyd.ChngCell.01.">"x"</definedName>
    <definedName name="kyd.CounterLimitCell.01.">"x"</definedName>
    <definedName name="kyd.Dim.01.">"CLG:SUBS"</definedName>
    <definedName name="kyd.ElementList.01.">"x"</definedName>
    <definedName name="kyd.ElementType.01.">1</definedName>
    <definedName name="kyd.FileSaveDir.">"F:\FP&amp;A\Monciela\Test\"</definedName>
    <definedName name="kyd.GroupFileName.">""</definedName>
    <definedName name="kyd.GroupFiles.">-4146</definedName>
    <definedName name="kyd.ItemType.01.">1</definedName>
    <definedName name="kyd.KillLinks.">-4146</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KillRows.">-4146</definedName>
    <definedName name="kyd.MemoSortHide.">FALSE</definedName>
    <definedName name="kyd.NumLevels.01.">999</definedName>
    <definedName name="kyd.PanicStop.">FALSE</definedName>
    <definedName name="kyd.ParentName.01.">"World Wide"</definedName>
    <definedName name="kyd.Password.">""</definedName>
    <definedName name="kyd.PreScreenData.">FALSE</definedName>
    <definedName name="kyd.PrintMemo.">FALSE</definedName>
    <definedName name="kyd.PrintParent.01.">TRUE</definedName>
    <definedName name="kyd.PrintStdWhen.">3</definedName>
    <definedName name="kyd.PrintToWbk.">FALSE</definedName>
    <definedName name="kyd.ProtWbkStruct.">-4146</definedName>
    <definedName name="kyd.ProtWbkWin.">-4146</definedName>
    <definedName name="kyd.ReplaceFile.">-4146</definedName>
    <definedName name="kyd.SaveAsFile.">FALSE</definedName>
    <definedName name="kyd.SaveCopy.">3</definedName>
    <definedName name="kyd.SaveMemo.">FALSE</definedName>
    <definedName name="kyd.SelectString.01.">"*"</definedName>
    <definedName name="kyd.Shortcut.">FALSE</definedName>
    <definedName name="kyd.StdHasFooterRow." hidden="1">-4146</definedName>
    <definedName name="kyd.StdHasHeaderRow." hidden="1">-4146</definedName>
    <definedName name="kyd.StdHideRowRange." hidden="1">#REF!</definedName>
    <definedName name="kyd.StdKillRows.">-4146</definedName>
    <definedName name="kyd.StdKillSheets.">-4146</definedName>
    <definedName name="kyd.StdRecalcAfterSort." hidden="1">-4146</definedName>
    <definedName name="kyd.StdSortHide.">FALSE</definedName>
    <definedName name="kyd.StdSortRpt1." hidden="1">1</definedName>
    <definedName name="kyd.StdSortRpt2." hidden="1">1</definedName>
    <definedName name="kyd.StdSortRpt3." hidden="1">1</definedName>
    <definedName name="kyd.StdSortRptList1." hidden="1">""</definedName>
    <definedName name="kyd.StdSortRptList2." hidden="1">""</definedName>
    <definedName name="kyd.StdSortRptList3." hidden="1">""</definedName>
    <definedName name="kyd.StopRow.">65536</definedName>
    <definedName name="kyd.SuspendEmail.">-4146</definedName>
    <definedName name="kyd.UsePrintCtrlRange.">TRUE</definedName>
    <definedName name="kyd.WriteMemWhenOptn.">3</definedName>
    <definedName name="kyujkgfujhy">#REF!</definedName>
    <definedName name="kyujkgfujhy_1">#REF!</definedName>
    <definedName name="kyujkgfujhy_2">#REF!</definedName>
    <definedName name="kyujkgfujhy_3">#REF!</definedName>
    <definedName name="kyujkgfujhy_4">#REF!</definedName>
    <definedName name="l" hidden="1">{"'Sheet1'!$A$1:$H$36"}</definedName>
    <definedName name="l_3">#REF!</definedName>
    <definedName name="L_AcctDes1">#REF!</definedName>
    <definedName name="L_Adjust">#REF!</definedName>
    <definedName name="L_Adjust_GT1">#REF!</definedName>
    <definedName name="L_Adjust1">#REF!</definedName>
    <definedName name="L_AJE_Tot">#REF!</definedName>
    <definedName name="L_AJE_Tot_GT1">#REF!</definedName>
    <definedName name="L_AJE_Tot1">#REF!</definedName>
    <definedName name="L_CompNum1">#REF!</definedName>
    <definedName name="L_CY_Beg">#REF!</definedName>
    <definedName name="L_CY_Beg_GT1">#REF!</definedName>
    <definedName name="L_CY_Beg1">#REF!</definedName>
    <definedName name="L_CY_End">#REF!</definedName>
    <definedName name="L_CY_End_GT1">#REF!</definedName>
    <definedName name="L_CY_End1">#REF!</definedName>
    <definedName name="L_GrpNum1">#REF!</definedName>
    <definedName name="L_Headings1">#REF!</definedName>
    <definedName name="L_PY_End">#REF!</definedName>
    <definedName name="L_RJE_Tot">#REF!</definedName>
    <definedName name="L_TCost">#REF!</definedName>
    <definedName name="L1_">#REF!</definedName>
    <definedName name="L23_">#REF!</definedName>
    <definedName name="LA_PALMA">#REF!</definedName>
    <definedName name="lab" hidden="1">{#N/A,#N/A,FALSE,"91NOLCB";#N/A,#N/A,FALSE,"92NOLCB";#N/A,#N/A,FALSE,"93NOLCB"}</definedName>
    <definedName name="Labeltable">#REF!</definedName>
    <definedName name="LABELTEXTCOLUMN1">#REF!</definedName>
    <definedName name="LABELTEXTCOLUMN2">#REF!</definedName>
    <definedName name="LABELTEXTCOLUMN3">#REF!</definedName>
    <definedName name="LABELTEXTCOLUMN4">#REF!</definedName>
    <definedName name="LABELTEXTCOLUMN5">#REF!</definedName>
    <definedName name="LABELTEXTCOLUMN6">#REF!</definedName>
    <definedName name="LABELTEXTROW1">#REF!</definedName>
    <definedName name="LABELTEXTROW2">#REF!</definedName>
    <definedName name="LABELTEXTROW3">#REF!</definedName>
    <definedName name="LABELTEXTROW4">#REF!</definedName>
    <definedName name="LABELTEXTROW5">#REF!</definedName>
    <definedName name="LABELTEXTROW6">#REF!</definedName>
    <definedName name="LABOR3">#REF!</definedName>
    <definedName name="lac">#REF!</definedName>
    <definedName name="Land">#REF!</definedName>
    <definedName name="LAND_DEV">#REF!</definedName>
    <definedName name="LandFtPerAcre">43560</definedName>
    <definedName name="LANDIMP">#REF!</definedName>
    <definedName name="LANDREV">#REF!</definedName>
    <definedName name="Language">#REF!</definedName>
    <definedName name="LANprod1">#REF!</definedName>
    <definedName name="LANprod2">#REF!</definedName>
    <definedName name="LAP">#REF!</definedName>
    <definedName name="LAPP">#REF!</definedName>
    <definedName name="laptopcost">#REF!</definedName>
    <definedName name="larry">#REF!</definedName>
    <definedName name="larsen_toubro">#REF!</definedName>
    <definedName name="LASER_MU">#REF!</definedName>
    <definedName name="LASER_MU2">#REF!</definedName>
    <definedName name="LASER_MU3">#REF!</definedName>
    <definedName name="LASJKXNLK">#REF!</definedName>
    <definedName name="LAST_PRINT">#REF!</definedName>
    <definedName name="Last_year_s_numbers_FooterType">"INTERNAL"</definedName>
    <definedName name="Last_yr_s_nos_FooterType">"EXTERNAL"</definedName>
    <definedName name="LastRowA">4</definedName>
    <definedName name="LaundryMonth">#REF!</definedName>
    <definedName name="LaundryYTD">#REF!</definedName>
    <definedName name="laura">{"'1-TheatreBkgs'!$A$1:$L$102"}</definedName>
    <definedName name="Lavelle">#REF!</definedName>
    <definedName name="lawrence">#REF!</definedName>
    <definedName name="lawrencee">#REF!</definedName>
    <definedName name="lbo">#REF!</definedName>
    <definedName name="lbo_1">#REF!</definedName>
    <definedName name="lbo_2">#REF!</definedName>
    <definedName name="lbo_3">#REF!</definedName>
    <definedName name="lbo_4">#REF!</definedName>
    <definedName name="LBOCreditConsol">#REF!</definedName>
    <definedName name="lc">#REF!</definedName>
    <definedName name="LC_Price">#REF!</definedName>
    <definedName name="LC256PY">#REF!</definedName>
    <definedName name="LCD" hidden="1">{#N/A,#N/A,FALSE,"표지&amp;목차";#N/A,#N/A,FALSE,"경영현황";#N/A,#N/A,FALSE,"매출현황";#N/A,#N/A,FALSE,"매출차이분석(양식)";#N/A,#N/A,FALSE,"손익현황";#N/A,#N/A,FALSE,"손익차이분석";#N/A,#N/A,FALSE,"제품별손익";#N/A,#N/A,FALSE,"재공재고";#N/A,#N/A,FALSE,"원가추이"}</definedName>
    <definedName name="LCurveMultiplier">#REF!</definedName>
    <definedName name="LCW">#REF!</definedName>
    <definedName name="LC명">#REF!</definedName>
    <definedName name="lease_comm_date">#REF!</definedName>
    <definedName name="lease_incentives">#REF!</definedName>
    <definedName name="Lease_obligation">#REF!</definedName>
    <definedName name="LEASE_RENT">#REF!</definedName>
    <definedName name="Leasehold">#REF!</definedName>
    <definedName name="LEAVE">#REF!</definedName>
    <definedName name="LEAVEs">#REF!</definedName>
    <definedName name="Ledger">#REF!</definedName>
    <definedName name="lee" hidden="1">{#N/A,#N/A,FALSE,"Sheet5"}</definedName>
    <definedName name="lef">#REF!</definedName>
    <definedName name="LEFT">#REF!</definedName>
    <definedName name="LEFT1">#REF!</definedName>
    <definedName name="leftcol">#REF!</definedName>
    <definedName name="Legacy1">{"'표지'!$B$5"}</definedName>
    <definedName name="Legal">#REF!</definedName>
    <definedName name="Legal_entity_name">#REF!</definedName>
    <definedName name="legal_entity_number">#REF!</definedName>
    <definedName name="lek">#REF!</definedName>
    <definedName name="lel">#REF!</definedName>
    <definedName name="les" hidden="1">{#N/A,#N/A,TRUE,"R&amp;D";#N/A,#N/A,TRUE,"Drct exp";#N/A,#N/A,TRUE,"OPEX";#N/A,#N/A,TRUE,"R&amp;D";#N/A,#N/A,TRUE,"S&amp;M";#N/A,#N/A,TRUE,"G&amp;A"}</definedName>
    <definedName name="LETTER">#REF!</definedName>
    <definedName name="letter1">#REF!</definedName>
    <definedName name="Level_BOM">#REF!</definedName>
    <definedName name="lever2">1920/1500*#REF!</definedName>
    <definedName name="LevMaint_">#REF!</definedName>
    <definedName name="lf">#REF!</definedName>
    <definedName name="LG_16">#REF!</definedName>
    <definedName name="LG_17">#REF!</definedName>
    <definedName name="LG64PY">#REF!</definedName>
    <definedName name="li">#REF!</definedName>
    <definedName name="LI.">#REF!</definedName>
    <definedName name="li_qu">#REF!</definedName>
    <definedName name="LIAB">#REF!</definedName>
    <definedName name="liabilities">#REF!</definedName>
    <definedName name="Liabilities_FooterType">"INTERNAL"</definedName>
    <definedName name="Lib">5.8</definedName>
    <definedName name="LibelléEuro">"M.USD"</definedName>
    <definedName name="Libo">#REF!</definedName>
    <definedName name="LIBOR">#REF!</definedName>
    <definedName name="Library">"a1"</definedName>
    <definedName name="LICENSE">#REF!</definedName>
    <definedName name="LicenseCOS">0.01</definedName>
    <definedName name="LicGrant">#REF!</definedName>
    <definedName name="LicLook">#REF!</definedName>
    <definedName name="lidhalsfdhe.f">{"'Feb 99'!$A$1:$G$30"}</definedName>
    <definedName name="life_bal">#REF!</definedName>
    <definedName name="life_capex">#REF!</definedName>
    <definedName name="LIFO">#REF!</definedName>
    <definedName name="lig">{"'1-TheatreBkgs'!$A$1:$L$102"}</definedName>
    <definedName name="limcount" hidden="1">1</definedName>
    <definedName name="LINE">#REF!</definedName>
    <definedName name="LINE_ITEM">#REF!</definedName>
    <definedName name="line1">#REF!</definedName>
    <definedName name="LineCount">#REF!</definedName>
    <definedName name="LineCount1">#REF!</definedName>
    <definedName name="LineNbr">#REF!</definedName>
    <definedName name="LINE검토2" hidden="1">{#N/A,#N/A,TRUE,"Y생산";#N/A,#N/A,TRUE,"Y판매";#N/A,#N/A,TRUE,"Y총물량";#N/A,#N/A,TRUE,"Y능력";#N/A,#N/A,TRUE,"YKD"}</definedName>
    <definedName name="link">#REF!</definedName>
    <definedName name="LinkedArea1">#REF!</definedName>
    <definedName name="LinkedArea10">#REF!</definedName>
    <definedName name="LinkedArea11">#REF!</definedName>
    <definedName name="LinkedArea2">#REF!</definedName>
    <definedName name="LinkedArea3">#REF!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nkpt">#REF!</definedName>
    <definedName name="linr">#REF!</definedName>
    <definedName name="LiquidationScenarios">#REF!</definedName>
    <definedName name="Lire">#REF!</definedName>
    <definedName name="Lisa_extract_ML_080825">#REF!</definedName>
    <definedName name="list">#REF!</definedName>
    <definedName name="list_1">#REF!</definedName>
    <definedName name="list_10">#REF!</definedName>
    <definedName name="list_12">#REF!</definedName>
    <definedName name="list_2">#REF!</definedName>
    <definedName name="list_9">#REF!</definedName>
    <definedName name="LIST_ALL">#REF!</definedName>
    <definedName name="LIST_FIELD">#REF!</definedName>
    <definedName name="List_SR">#REF!</definedName>
    <definedName name="list2">#REF!</definedName>
    <definedName name="ListOffset" hidden="1">1</definedName>
    <definedName name="ListOffset_1">16</definedName>
    <definedName name="ListSheetsMacroButton">#REF!</definedName>
    <definedName name="LITTER">#REF!</definedName>
    <definedName name="ljflkjdlkfjldf" hidden="1">#REF!</definedName>
    <definedName name="ljh" hidden="1">{#N/A,#N/A,FALSE,"Sheet5"}</definedName>
    <definedName name="lk">{"'Feb 99'!$A$1:$G$30"}</definedName>
    <definedName name="lkhkgj" hidden="1">{#N/A,#N/A,FALSE,"Taxblinc";#N/A,#N/A,FALSE,"Rsvsacls"}</definedName>
    <definedName name="lkhkgj_3">#REF!</definedName>
    <definedName name="lkj" hidden="1">#REF!</definedName>
    <definedName name="lkjhmn" hidden="1">#REF!</definedName>
    <definedName name="lkjlkj">#REF!</definedName>
    <definedName name="lkjlkj_1">#REF!</definedName>
    <definedName name="lkjlkj_2">#REF!</definedName>
    <definedName name="lkjlkj_3">#REF!</definedName>
    <definedName name="lkjlkj_4">#REF!</definedName>
    <definedName name="LKK">#REF!</definedName>
    <definedName name="lkk_1">{"'WS Sales by Rep'!$A$24:$L$46"}</definedName>
    <definedName name="lkletter">#REF!</definedName>
    <definedName name="LKLKLKLK">#REF!</definedName>
    <definedName name="lkmn">#REF!</definedName>
    <definedName name="lkmn_1">#REF!</definedName>
    <definedName name="LKUP">#REF!</definedName>
    <definedName name="ll" hidden="1">#REF!</definedName>
    <definedName name="ll.pp">#REF!</definedName>
    <definedName name="LL_10">#REF!</definedName>
    <definedName name="LL_12">#REF!</definedName>
    <definedName name="LL_16">#REF!</definedName>
    <definedName name="llc.Info">#REF!</definedName>
    <definedName name="llkkj" hidden="1">{#N/A,#N/A,TRUE,"CPRD";#N/A,#N/A,TRUE,"BCCPDR";#N/A,#N/A,TRUE,"EWRD";#N/A,#N/A,TRUE,"5100";#N/A,#N/A,TRUE,"5110"}</definedName>
    <definedName name="lll" hidden="1">{#N/A,#N/A,FALSE,"Title Page (2)";#N/A,#N/A,FALSE,"YTD - Pharm";#N/A,#N/A,FALSE,"MTH - Pharm"}</definedName>
    <definedName name="lll.ll">#REF!</definedName>
    <definedName name="lll_1">{"'WS Sales by Rep'!$A$24:$L$46"}</definedName>
    <definedName name="llll">#REF!</definedName>
    <definedName name="llll3" hidden="1">#REF!</definedName>
    <definedName name="LLLLLL">#REF!</definedName>
    <definedName name="lllllll" hidden="1">#REF!</definedName>
    <definedName name="lllpo" hidden="1">{#N/A,#N/A,FALSE,"Pharm";#N/A,#N/A,FALSE,"WWCM"}</definedName>
    <definedName name="ln">#REF!</definedName>
    <definedName name="Load">" 'Cryptic Employee Info'!$G$338"</definedName>
    <definedName name="loan">#REF!</definedName>
    <definedName name="Loan_Amount">#REF!</definedName>
    <definedName name="Loan_Amountneu">#REF!</definedName>
    <definedName name="Loan_Loss_Provision_fore">#REF!</definedName>
    <definedName name="Loan_Start">#REF!</definedName>
    <definedName name="Loan_Years">#REF!</definedName>
    <definedName name="LOANS___ADVANCES">#REF!</definedName>
    <definedName name="LOANS__A">#REF!</definedName>
    <definedName name="LoansandAdvances">#REF!</definedName>
    <definedName name="LoanTable">#REF!</definedName>
    <definedName name="LOC">#REF!</definedName>
    <definedName name="local">#REF!</definedName>
    <definedName name="LOCAL_FINAL">#REF!</definedName>
    <definedName name="LOCAL_MONTHLY">#REF!</definedName>
    <definedName name="LOCAL_MYSQL_DATE_FORMAT" hidden="1">REPT(#REF!,4)&amp;_288__FDSAUDITLINK__&amp;REPT(#REF!,2)&amp;_288__FDSAUDITLINK__&amp;REPT(#REF!,2)&amp;" "&amp;REPT(#REF!,2)&amp;#REF!&amp;REPT(_28main_form_account_grants_list_20_j_id1022,2)&amp;#REF!&amp;REPT(_29__123Graph_DQRE_S_BY_CO.,2)</definedName>
    <definedName name="LOCALOS">#REF!</definedName>
    <definedName name="LocationsValid">#REF!</definedName>
    <definedName name="Locator">#REF!</definedName>
    <definedName name="Lock_Send_Practice">#REF!</definedName>
    <definedName name="Lock_Send_Range_1">#REF!</definedName>
    <definedName name="Lock_Send_Range_2">#REF!</definedName>
    <definedName name="LOGS">#REF!</definedName>
    <definedName name="Lokhouse">#REF!</definedName>
    <definedName name="lokllk">#REF!</definedName>
    <definedName name="lokm">#REF!</definedName>
    <definedName name="lokm_1">#REF!</definedName>
    <definedName name="lol">{"'vert'!$A$1:$T$117"}</definedName>
    <definedName name="lola">#REF!</definedName>
    <definedName name="lola_1">#REF!</definedName>
    <definedName name="lola_2">#REF!</definedName>
    <definedName name="lola_3">#REF!</definedName>
    <definedName name="lola_4">#REF!</definedName>
    <definedName name="lolal">#REF!</definedName>
    <definedName name="lolal_1">#REF!</definedName>
    <definedName name="lolal_2">#REF!</definedName>
    <definedName name="lolal_3">#REF!</definedName>
    <definedName name="lolal_4">#REF!</definedName>
    <definedName name="lolas">#REF!</definedName>
    <definedName name="lolas_1">#REF!</definedName>
    <definedName name="lolas_2">#REF!</definedName>
    <definedName name="lolas_3">#REF!</definedName>
    <definedName name="lolas_4">#REF!</definedName>
    <definedName name="lolass">#REF!</definedName>
    <definedName name="lolass_1">#REF!</definedName>
    <definedName name="lolass_2">#REF!</definedName>
    <definedName name="lolass_3">#REF!</definedName>
    <definedName name="lolass_4">#REF!</definedName>
    <definedName name="lolasss">#REF!</definedName>
    <definedName name="lolasss_1">#REF!</definedName>
    <definedName name="lolasss_2">#REF!</definedName>
    <definedName name="lolasss_3">#REF!</definedName>
    <definedName name="lolasss_4">#REF!</definedName>
    <definedName name="lolin" hidden="1">{#N/A,#N/A,FALSE,"Pharm";#N/A,#N/A,FALSE,"WWCM"}</definedName>
    <definedName name="loliuuu" hidden="1">{#N/A,#N/A,FALSE,"Pharm";#N/A,#N/A,FALSE,"WWCM"}</definedName>
    <definedName name="LOlmv">72591092.1875</definedName>
    <definedName name="LOLO" hidden="1">{#N/A,#N/A,FALSE,"Pharm";#N/A,#N/A,FALSE,"WWCM"}</definedName>
    <definedName name="lon" hidden="1">{#N/A,#N/A,FALSE,"91NOLCB";#N/A,#N/A,FALSE,"92NOLCB";#N/A,#N/A,FALSE,"93NOLCB"}</definedName>
    <definedName name="loo">#REF!</definedName>
    <definedName name="look">#REF!</definedName>
    <definedName name="Look1Area">#REF!</definedName>
    <definedName name="Look2Area">#REF!</definedName>
    <definedName name="Look3Area">#REF!</definedName>
    <definedName name="Look4Area">#REF!</definedName>
    <definedName name="Look5Area">#REF!</definedName>
    <definedName name="LookParent">#REF!</definedName>
    <definedName name="LookPO">#REF!</definedName>
    <definedName name="lookup">#REF!</definedName>
    <definedName name="LookupConcatenate3">#REF!</definedName>
    <definedName name="lookupdata">#REF!</definedName>
    <definedName name="lookupdata2">#REF!</definedName>
    <definedName name="LookupLoad">#REF!</definedName>
    <definedName name="LookupQ4">#REF!</definedName>
    <definedName name="LookupRange">#REF!</definedName>
    <definedName name="lop" hidden="1">{#N/A,#N/A,FALSE,"Title";#N/A,#N/A,FALSE,"Index";#N/A,#N/A,FALSE,"1";#N/A,#N/A,FALSE,"2";#N/A,#N/A,FALSE,"3";#N/A,#N/A,FALSE,"4";#N/A,#N/A,FALSE,"5";#N/A,#N/A,FALSE,"6";#N/A,#N/A,FALSE,"7";#N/A,#N/A,FALSE,"8"}</definedName>
    <definedName name="LOsmv">-170743312.5</definedName>
    <definedName name="LOV_FinGlDesktopEntryPageDef_CurrencyCode" hidden="1">#REF!</definedName>
    <definedName name="LOV_FinGlDesktopEntryPageDef_HeaderAccountingPeriodList" hidden="1">#REF!</definedName>
    <definedName name="LOV_FinGlDesktopEntryPageDef_HeaderLedgerIdList" hidden="1">#REF!</definedName>
    <definedName name="LOV_FinGlDesktopEntryPageDef_HeaderReversalPeriodList" hidden="1">#REF!</definedName>
    <definedName name="LOV_FinGlDesktopEntryPageDef_HeaderSourceList" hidden="1">#REF!</definedName>
    <definedName name="LOV_FinGlDesktopEntryPageDef_UserCurrencyConversionType" hidden="1">#REF!</definedName>
    <definedName name="LOV_oracle_apps_financials_generalLedger_journals_desktopEntry_di_FinGlDesktopBulkEntryPageDef_CurrencyCode" hidden="1">#REF!</definedName>
    <definedName name="LOV_oracle_apps_financials_generalLedger_journals_desktopEntry_di_FinGlDesktopBulkEntryPageDef_LedgerId" hidden="1">#REF!</definedName>
    <definedName name="LOV_oracle_apps_financials_generalLedger_journals_desktopEntry_di_FinGlDesktopBulkEntryPageDef_PeriodName" hidden="1">#REF!</definedName>
    <definedName name="LOV_oracle_apps_financials_generalLedger_journals_desktopEntry_di_FinGlDesktopBulkEntryPageDef_ReversalPeriodName" hidden="1">#REF!</definedName>
    <definedName name="LOV_oracle_apps_financials_generalLedger_journals_desktopEntry_di_FinGlDesktopBulkEntryPageDef_UserCurrencyConversionType" hidden="1">#REF!</definedName>
    <definedName name="LOV_oracle_apps_financials_generalLedger_journals_desktopEntry_di_FinGlDesktopBulkEntryPageDef_UserJeSourceName" hidden="1">#REF!</definedName>
    <definedName name="LOV_oracle_apps_financials_generalLedger_journals_desktopEntry_di_FinGlDesktopMultibatchEntryPageDef_CurrencyCode" hidden="1">#REF!</definedName>
    <definedName name="LOV_oracle_apps_financials_generalLedger_journals_desktopEntry_di_FinGlDesktopMultibatchEntryPageDef_LedgerId" hidden="1">#REF!</definedName>
    <definedName name="LOV_oracle_apps_financials_generalLedger_journals_desktopEntry_di_FinGlDesktopMultibatchEntryPageDef_PeriodName" hidden="1">#REF!</definedName>
    <definedName name="LOV_oracle_apps_financials_generalLedger_journals_desktopEntry_di_FinGlDesktopMultibatchEntryPageDef_ReversalPeriodName" hidden="1">#REF!</definedName>
    <definedName name="LOV_oracle_apps_financials_generalLedger_journals_desktopEntry_di_FinGlDesktopMultibatchEntryPageDef_UserCurrencyConversionType" hidden="1">#REF!</definedName>
    <definedName name="LOV_oracle_apps_financials_generalLedger_journals_desktopEntry_di_FinGlDesktopMultibatchEntryPageDef_UserJeSourceName" hidden="1">#REF!</definedName>
    <definedName name="Lowk">#REF!</definedName>
    <definedName name="LP">#REF!</definedName>
    <definedName name="LP_1">#REF!</definedName>
    <definedName name="LP_2">#REF!</definedName>
    <definedName name="LPA_서울">#REF!</definedName>
    <definedName name="LPD">#REF!</definedName>
    <definedName name="Lprice">#REF!</definedName>
    <definedName name="LR">#REF!</definedName>
    <definedName name="ls_temp1">"  "</definedName>
    <definedName name="ls_temp2">"FOURTH QUARTER 2004 - YEAR TO DATE"</definedName>
    <definedName name="LS104.CalcTables">#REF!</definedName>
    <definedName name="lsl">#REF!</definedName>
    <definedName name="LT">#REF!</definedName>
    <definedName name="LT_AHNA">#REF!</definedName>
    <definedName name="LT_CONSOL">#REF!</definedName>
    <definedName name="LT_FIN48">#REF!</definedName>
    <definedName name="LT_FIN48A">#REF!</definedName>
    <definedName name="LT_LIAB">#REF!</definedName>
    <definedName name="LT_LIABA">#REF!</definedName>
    <definedName name="LT_PARENT">#REF!</definedName>
    <definedName name="LT_UNCONSOL">#REF!</definedName>
    <definedName name="lt0">_lt01,_lt02</definedName>
    <definedName name="ltaccr">#REF!</definedName>
    <definedName name="ltamort">#REF!</definedName>
    <definedName name="ltinvest">#REF!</definedName>
    <definedName name="LTL_Inp">#REF!,#REF!,#REF!,#REF!,#REF!,#REF!,#REF!,#REF!,#REF!,#REF!,#REF!,#REF!,#REF!,#REF!</definedName>
    <definedName name="ltpaid">#REF!</definedName>
    <definedName name="ltpurch">#REF!</definedName>
    <definedName name="LTR">#REF!</definedName>
    <definedName name="ltugl">#REF!</definedName>
    <definedName name="ltunreal">#REF!</definedName>
    <definedName name="LUFeXToEUR" hidden="1">1/EUReXToLUF</definedName>
    <definedName name="luoñioñkñ" hidden="1">{#N/A,#N/A,FALSE,"REPORT"}</definedName>
    <definedName name="LWI">#REF!</definedName>
    <definedName name="LWIP">#REF!</definedName>
    <definedName name="LWK">{"'NPL @ 30 June 00'!$B$22"}</definedName>
    <definedName name="LWSALES">#REF!</definedName>
    <definedName name="LWSALES.">#REF!</definedName>
    <definedName name="LYBin">#REF!</definedName>
    <definedName name="Lybin.">#REF!</definedName>
    <definedName name="lye">"31/12/"&amp;LEFT(dc,4)-1</definedName>
    <definedName name="lyec">LEFT(dc,4)-1&amp;"年12月31日"</definedName>
    <definedName name="lyhkd">#REF!</definedName>
    <definedName name="LYHolds">#REF!</definedName>
    <definedName name="LYHolds.">#REF!</definedName>
    <definedName name="LYN">#REF!</definedName>
    <definedName name="LYNet">#REF!</definedName>
    <definedName name="LYNet.">#REF!</definedName>
    <definedName name="LYoos">#REF!</definedName>
    <definedName name="LYoos.">#REF!</definedName>
    <definedName name="LYReselects">#REF!</definedName>
    <definedName name="LYReselects.">#REF!</definedName>
    <definedName name="LYReturns">#REF!</definedName>
    <definedName name="LYReturns.">#REF!</definedName>
    <definedName name="LYSales">#REF!</definedName>
    <definedName name="LYSales.">#REF!</definedName>
    <definedName name="lysgd">#REF!</definedName>
    <definedName name="LYTotal">#REF!</definedName>
    <definedName name="LYTotal.">#REF!</definedName>
    <definedName name="m" hidden="1">{#N/A,#N/A,FALSE,"Australia";#N/A,#N/A,FALSE,"Austria";#N/A,#N/A,FALSE,"Belgium";#N/A,#N/A,FALSE,"Canada";#N/A,#N/A,FALSE,"France";#N/A,#N/A,FALSE,"Germany";#N/A,#N/A,FALSE,"Hong Kong";#N/A,#N/A,FALSE,"Italy";#N/A,#N/A,FALSE,"Japan";#N/A,#N/A,FALSE,"Korea";#N/A,#N/A,FALSE,"Mexico";#N/A,#N/A,FALSE,"Poland";#N/A,#N/A,FALSE,"Spain";#N/A,#N/A,FALSE,"Switzerland";#N/A,#N/A,FALSE,"UK"}</definedName>
    <definedName name="M_ACost">#REF!</definedName>
    <definedName name="M_Corp">#REF!</definedName>
    <definedName name="M_O_R_________MAY__2000">#REF!</definedName>
    <definedName name="M_PlaceofPath" hidden="1">"H:\Tobacco General\Philip Morris\VDF\Mo_vdf.xls"</definedName>
    <definedName name="M_START">#REF!</definedName>
    <definedName name="ma">#REF!</definedName>
    <definedName name="MA_CE">#REF!</definedName>
    <definedName name="MA_CE.">#REF!</definedName>
    <definedName name="MA_OE">#REF!</definedName>
    <definedName name="MAC">#REF!</definedName>
    <definedName name="macmillan">#REF!</definedName>
    <definedName name="macro">#REF!</definedName>
    <definedName name="macro_name">#REF!</definedName>
    <definedName name="Macro16">#REF!</definedName>
    <definedName name="macro2">#REF!</definedName>
    <definedName name="Macro28">#REF!</definedName>
    <definedName name="Macro29">#REF!</definedName>
    <definedName name="macro3">#REF!</definedName>
    <definedName name="Macro30">#REF!</definedName>
    <definedName name="Macro32">#REF!</definedName>
    <definedName name="Macro33">#REF!</definedName>
    <definedName name="Macro34">#REF!</definedName>
    <definedName name="Macro35">#REF!</definedName>
    <definedName name="Macro37">#REF!</definedName>
    <definedName name="Macro38">#REF!</definedName>
    <definedName name="macro4">#REF!</definedName>
    <definedName name="macro6">#REF!</definedName>
    <definedName name="Macro67">#REF!</definedName>
    <definedName name="MACROMENU">#REF!</definedName>
    <definedName name="MACROS">#REF!</definedName>
    <definedName name="MadrasCement">#REF!</definedName>
    <definedName name="Magie" hidden="1">{#N/A,#N/A,TRUE,"Key Indices";#N/A,#N/A,TRUE,"Mfg Spending";#N/A,#N/A,TRUE,"Mfg Spending Per Unit";#N/A,#N/A,TRUE,"Spending by Organization";#N/A,#N/A,TRUE,"Inventory";#N/A,#N/A,TRUE,"IDM";#N/A,#N/A,TRUE,"Equipment";#N/A,#N/A,TRUE,"Headcount"}</definedName>
    <definedName name="Magix_Sales___JFM_2001">#REF!</definedName>
    <definedName name="mahesh">#REF!</definedName>
    <definedName name="mahindra">#REF!</definedName>
    <definedName name="mahindra_mah">#REF!</definedName>
    <definedName name="main">#REF!</definedName>
    <definedName name="Main_5">#REF!</definedName>
    <definedName name="Main_calcs_FooterType">"INTERNAL"</definedName>
    <definedName name="main_comp">#REF!</definedName>
    <definedName name="MAINCOMP">#REF!</definedName>
    <definedName name="MainOptOlive">"OptionButton1"</definedName>
    <definedName name="maint">0</definedName>
    <definedName name="Maintenance">0.15</definedName>
    <definedName name="MAINTENANCE_FACILITIES">#REF!</definedName>
    <definedName name="MaintenanceMonth">#REF!</definedName>
    <definedName name="MaintenanceYTD">#REF!</definedName>
    <definedName name="MAJOR">#REF!</definedName>
    <definedName name="MAJORFUND">#REF!</definedName>
    <definedName name="MakeUpGPH">#REF!</definedName>
    <definedName name="MALA_Aug03">#REF!</definedName>
    <definedName name="Malaysia">#REF!</definedName>
    <definedName name="Malcolm">#REF!</definedName>
    <definedName name="malli">#REF!</definedName>
    <definedName name="mama">#REF!</definedName>
    <definedName name="Manpower">#REF!</definedName>
    <definedName name="MansBDA">#REF!</definedName>
    <definedName name="Mansion">#REF!</definedName>
    <definedName name="MANU_EXP">#REF!</definedName>
    <definedName name="manufacturing">#REF!</definedName>
    <definedName name="map">#REF!</definedName>
    <definedName name="Mar_01">#REF!</definedName>
    <definedName name="Mar_18">#REF!</definedName>
    <definedName name="Mar_19">#REF!</definedName>
    <definedName name="Mar_20">#REF!</definedName>
    <definedName name="Mar_21">#REF!</definedName>
    <definedName name="maraud">#REF!</definedName>
    <definedName name="MARCH">#REF!</definedName>
    <definedName name="March_Control_Total">#REF!</definedName>
    <definedName name="March_Control_totals">#REF!</definedName>
    <definedName name="Marchiis">#REF!</definedName>
    <definedName name="marchiopass">#REF!</definedName>
    <definedName name="MARDATA?">#REF!</definedName>
    <definedName name="marg">#REF!</definedName>
    <definedName name="Margin">#REF!</definedName>
    <definedName name="MARGIN_SUM">#REF!</definedName>
    <definedName name="MARGINPLAN">#REF!</definedName>
    <definedName name="MARGINPLAN.">#REF!</definedName>
    <definedName name="MARGINPROJ">#REF!</definedName>
    <definedName name="MARGINS">#REF!</definedName>
    <definedName name="marhkd">#REF!</definedName>
    <definedName name="Maria" hidden="1">{#N/A,#N/A,FALSE,"REPORT"}</definedName>
    <definedName name="maricel">1</definedName>
    <definedName name="MARK">#REF!</definedName>
    <definedName name="Market_capitalization">#REF!</definedName>
    <definedName name="Market_Value">"columna"</definedName>
    <definedName name="marketing">#REF!</definedName>
    <definedName name="marketing_1">#REF!</definedName>
    <definedName name="MarketingMtg">#REF!</definedName>
    <definedName name="marsgd">#REF!</definedName>
    <definedName name="MARTH">#REF!</definedName>
    <definedName name="marthb">#REF!</definedName>
    <definedName name="martin2" hidden="1">{"M3E_3_PT3",#N/A,FALSE,"Support Sch"}</definedName>
    <definedName name="martine">#REF!</definedName>
    <definedName name="martine1">#REF!</definedName>
    <definedName name="martwd">#REF!</definedName>
    <definedName name="mary">#REF!</definedName>
    <definedName name="mastek">#REF!</definedName>
    <definedName name="Master" hidden="1">{#N/A,#N/A,TRUE,"CPRD";#N/A,#N/A,TRUE,"BCCPDR";#N/A,#N/A,TRUE,"EWRD";#N/A,#N/A,TRUE,"5100";#N/A,#N/A,TRUE,"5110"}</definedName>
    <definedName name="MAT">#REF!</definedName>
    <definedName name="matcomp">#REF!</definedName>
    <definedName name="Material_Quote">#REF!</definedName>
    <definedName name="Materiality">#REF!</definedName>
    <definedName name="matnotes">#REF!</definedName>
    <definedName name="MATRICE1">#REF!</definedName>
    <definedName name="MATRICE2">#REF!</definedName>
    <definedName name="matrix">#REF!</definedName>
    <definedName name="maturity">#REF!</definedName>
    <definedName name="Mauritius">#REF!</definedName>
    <definedName name="Max">#REF!</definedName>
    <definedName name="MaxMIPFactor">#REF!</definedName>
    <definedName name="MAY">#REF!</definedName>
    <definedName name="May_18">#REF!</definedName>
    <definedName name="May_19">#REF!</definedName>
    <definedName name="May_20">#REF!</definedName>
    <definedName name="May_21">#REF!</definedName>
    <definedName name="May_Control_Totals">#REF!</definedName>
    <definedName name="mayaud">#REF!</definedName>
    <definedName name="MAYDATA?">#REF!</definedName>
    <definedName name="mayhkd">#REF!</definedName>
    <definedName name="mayo">#REF!</definedName>
    <definedName name="maysgd">#REF!</definedName>
    <definedName name="maythb">#REF!</definedName>
    <definedName name="maytwd">#REF!</definedName>
    <definedName name="mbnmbmb">#REF!</definedName>
    <definedName name="mcdowell">#REF!</definedName>
    <definedName name="mcomm">0</definedName>
    <definedName name="MD_CE">#REF!</definedName>
    <definedName name="MD_OE">#REF!</definedName>
    <definedName name="MDEVISES">#REF!</definedName>
    <definedName name="MDI">#REF!</definedName>
    <definedName name="MDL">#REF!</definedName>
    <definedName name="MDS">#REF!</definedName>
    <definedName name="mef">155000</definedName>
    <definedName name="MEIWA">#REF!</definedName>
    <definedName name="mel">73788</definedName>
    <definedName name="Member_Info_Practice_1">#REF!</definedName>
    <definedName name="Member_Info_Practice_2">#REF!</definedName>
    <definedName name="Member_Info_Practice_Name1">#REF!</definedName>
    <definedName name="Member_Info_Practice_Name2">#REF!</definedName>
    <definedName name="MEMORNDM">#REF!</definedName>
    <definedName name="MENO">#REF!</definedName>
    <definedName name="MENU">#REF!</definedName>
    <definedName name="menu_button_Click">#REF!</definedName>
    <definedName name="Menu1">#REF!</definedName>
    <definedName name="menu11">#REF!</definedName>
    <definedName name="menu12">#REF!</definedName>
    <definedName name="Menu2">#REF!</definedName>
    <definedName name="menus">#REF!</definedName>
    <definedName name="MerrillPrintIt" hidden="1">#REF!</definedName>
    <definedName name="Metrics">#REF!</definedName>
    <definedName name="Metrics_Data">#REF!</definedName>
    <definedName name="MetroSort">#REF!</definedName>
    <definedName name="MEWarning">1</definedName>
    <definedName name="MEX_SUB">#REF!</definedName>
    <definedName name="mf">#REF!</definedName>
    <definedName name="Mfg_OH">#REF!</definedName>
    <definedName name="MFRF">#REF!</definedName>
    <definedName name="MG_A">#REF!</definedName>
    <definedName name="MGA">#REF!</definedName>
    <definedName name="Mgmt_Svc_Fee_Exp_AHNA">#REF!</definedName>
    <definedName name="Mgmt_Svc_Fee_Exp_ConsolGrp">#REF!</definedName>
    <definedName name="Mgmt_Svc_Fee_Exp_RHCO">#REF!</definedName>
    <definedName name="Mgmt_Svc_Fee_Exp_Uncon_Affil">#REF!</definedName>
    <definedName name="Mgmt_Svc_Fee_Inc_AHNA">#REF!</definedName>
    <definedName name="Mgmt_Svc_Fee_Inc_ConsolGrp">#REF!</definedName>
    <definedName name="Mgmt_Svc_Fee_Inc_RHCO">#REF!</definedName>
    <definedName name="Mgmt_Svc_Fee_Inc_Uncon_Affil">#REF!</definedName>
    <definedName name="mgrannpay">#REF!</definedName>
    <definedName name="mgrmopay">#REF!</definedName>
    <definedName name="mh">#REF!</definedName>
    <definedName name="mhjgm" hidden="1">{#N/A,#N/A,FALSE,"1";#N/A,#N/A,FALSE,"2";#N/A,#N/A,FALSE,"16 - 17";#N/A,#N/A,FALSE,"18 - 19";#N/A,#N/A,FALSE,"26";#N/A,#N/A,FALSE,"27";#N/A,#N/A,FALSE,"28"}</definedName>
    <definedName name="MI_ME08">#REF!</definedName>
    <definedName name="MICON">#N/A</definedName>
    <definedName name="MidPoint">#REF!</definedName>
    <definedName name="Midwest">#REF!</definedName>
    <definedName name="Mill">#REF!</definedName>
    <definedName name="MIN">#REF!</definedName>
    <definedName name="Minimum">#REF!</definedName>
    <definedName name="Misc">#REF!</definedName>
    <definedName name="Misc._Questions">#REF!</definedName>
    <definedName name="misc.questions">#REF!</definedName>
    <definedName name="MISC_EXP">#REF!</definedName>
    <definedName name="mj">#REF!</definedName>
    <definedName name="mjgr" hidden="1">#REF!</definedName>
    <definedName name="MK11USD">#REF!</definedName>
    <definedName name="MKI">#REF!</definedName>
    <definedName name="mkjl" hidden="1">{"PL_no_inflated",#N/A,FALSE,"P&amp;L"}</definedName>
    <definedName name="MKT_2">#REF!</definedName>
    <definedName name="MKT10LC">#REF!</definedName>
    <definedName name="Mkt10Local">#REF!</definedName>
    <definedName name="Mkt10USD">#REF!</definedName>
    <definedName name="MKT11LC">#REF!</definedName>
    <definedName name="Mkt11Local">#REF!</definedName>
    <definedName name="Mkt11USD">#REF!</definedName>
    <definedName name="MKT1LC">#REF!</definedName>
    <definedName name="Mkt1Local">#REF!</definedName>
    <definedName name="Mkt1USD">#REF!</definedName>
    <definedName name="MKT2LC">#REF!</definedName>
    <definedName name="Mkt2Local">#REF!</definedName>
    <definedName name="Mkt2USD">#REF!</definedName>
    <definedName name="MKT3LC">#REF!</definedName>
    <definedName name="Mkt3Local">#REF!</definedName>
    <definedName name="Mkt3USD">#REF!</definedName>
    <definedName name="MKT4LC">#REF!</definedName>
    <definedName name="Mkt4Local">#REF!</definedName>
    <definedName name="Mkt4USD">#REF!</definedName>
    <definedName name="MKT5LC">#REF!</definedName>
    <definedName name="Mkt5Local">#REF!</definedName>
    <definedName name="Mkt5USD">#REF!</definedName>
    <definedName name="MKT6LC">#REF!</definedName>
    <definedName name="Mkt6Local">#REF!</definedName>
    <definedName name="Mkt6USD">#REF!</definedName>
    <definedName name="MKT7LC">#REF!</definedName>
    <definedName name="Mkt7Local">#REF!</definedName>
    <definedName name="Mkt7USD">#REF!</definedName>
    <definedName name="MKT8LC">#REF!</definedName>
    <definedName name="Mkt8Local">#REF!</definedName>
    <definedName name="Mkt8USD">#REF!</definedName>
    <definedName name="MKT9LC">#REF!</definedName>
    <definedName name="Mkt9Local">#REF!</definedName>
    <definedName name="Mkt9USD">#REF!</definedName>
    <definedName name="mln">#REF!</definedName>
    <definedName name="MLP">#REF!</definedName>
    <definedName name="mlr">#REF!</definedName>
    <definedName name="mlw" hidden="1">{#N/A,#N/A,FALSE,"Pharm";#N/A,#N/A,FALSE,"WWCM"}</definedName>
    <definedName name="mm">#REF!</definedName>
    <definedName name="MMLB_SO_DECEMBE">#REF!</definedName>
    <definedName name="MMLB_SO_FEBRUAR">#REF!</definedName>
    <definedName name="MMLB_SO_JANUARY">#REF!</definedName>
    <definedName name="MMLB_SO_NOVEMBE">#REF!</definedName>
    <definedName name="MMLB_SO_OCTOBER">#REF!</definedName>
    <definedName name="MMLB_SO_SEPTEMB">#REF!</definedName>
    <definedName name="MMLB_SOLD_ANNUA">#REF!</definedName>
    <definedName name="MMLB_SOLD_APRIL">#REF!</definedName>
    <definedName name="MMLB_SOLD_AUGUS">#REF!</definedName>
    <definedName name="MMLB_SOLD_JULY">#REF!</definedName>
    <definedName name="MMLB_SOLD_JUNE">#REF!</definedName>
    <definedName name="MMLB_SOLD_MARCH">#REF!</definedName>
    <definedName name="MMLB_SOLD_MAY">#REF!</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_3">#REF!</definedName>
    <definedName name="mmmm" hidden="1">{#N/A,#N/A,TRUE,"Condensed IS";#N/A,#N/A,TRUE,"Condensed BS";#N/A,#N/A,TRUE,"Outlook";#N/A,#N/A,TRUE,"Condensed CF";#N/A,#N/A,TRUE,"Condensed CF - qtr"}</definedName>
    <definedName name="mmmmm">#REF!</definedName>
    <definedName name="mn" hidden="1">{"HAYWARD",#N/A,FALSE,"M-1"}</definedName>
    <definedName name="MNB" hidden="1">{#N/A,#N/A,FALSE,"Pharm";#N/A,#N/A,FALSE,"WWCM"}</definedName>
    <definedName name="mnmn" hidden="1">{#N/A,#N/A,FALSE,"Pharm";#N/A,#N/A,FALSE,"WWCM"}</definedName>
    <definedName name="mnnf" hidden="1">{#N/A,#N/A,FALSE,"1";#N/A,#N/A,FALSE,"2";#N/A,#N/A,FALSE,"16 - 17";#N/A,#N/A,FALSE,"18 - 19";#N/A,#N/A,FALSE,"26";#N/A,#N/A,FALSE,"27";#N/A,#N/A,FALSE,"28"}</definedName>
    <definedName name="MntSupport">#REF!</definedName>
    <definedName name="MO" hidden="1">#REF!</definedName>
    <definedName name="MO_1">#REF!</definedName>
    <definedName name="MO_2">#REF!</definedName>
    <definedName name="Mo_Bk_Disc">#REF!</definedName>
    <definedName name="Mo_disc_Trend">#REF!</definedName>
    <definedName name="MODEL">#N/A</definedName>
    <definedName name="Module">#REF!</definedName>
    <definedName name="Mohit">#REF!</definedName>
    <definedName name="moisval">35947</definedName>
    <definedName name="mom">#REF!</definedName>
    <definedName name="momma">#REF!</definedName>
    <definedName name="MON">#REF!</definedName>
    <definedName name="Mondal">#REF!</definedName>
    <definedName name="Monetary_Precision">#REF!</definedName>
    <definedName name="MoneyMarket">#REF!</definedName>
    <definedName name="monst">#REF!</definedName>
    <definedName name="MONTH">#REF!</definedName>
    <definedName name="Month_Actual">#REF!</definedName>
    <definedName name="MONTH_DEPT">#REF!</definedName>
    <definedName name="Month_End">#REF!</definedName>
    <definedName name="MONTH_EXP">#REF!</definedName>
    <definedName name="Month_Year">#REF!</definedName>
    <definedName name="MONTH1">"June 30, 2008"</definedName>
    <definedName name="Month1_Ending_Bal">#REF!</definedName>
    <definedName name="Month10">#REF!</definedName>
    <definedName name="Month11">#REF!</definedName>
    <definedName name="Month12">#REF!</definedName>
    <definedName name="Month13">#REF!</definedName>
    <definedName name="MONTH2">"June 30, 2008"</definedName>
    <definedName name="Month3">#REF!</definedName>
    <definedName name="Month4">#REF!</definedName>
    <definedName name="Month5">#REF!</definedName>
    <definedName name="Month6">#REF!</definedName>
    <definedName name="Month7">#REF!</definedName>
    <definedName name="Month8">#REF!</definedName>
    <definedName name="Month9">#REF!</definedName>
    <definedName name="Monthly">#REF!</definedName>
    <definedName name="MONTHLY_BS">#REF!</definedName>
    <definedName name="MONTHLY_GM">#REF!</definedName>
    <definedName name="MONTHLY_GM_D">#REF!</definedName>
    <definedName name="MONTHLY_GM_FJ">#REF!</definedName>
    <definedName name="MONTHLY_GM_FK">#REF!</definedName>
    <definedName name="MONTHLY_GM_FS">#REF!</definedName>
    <definedName name="MONTHLY_GM_FT">#REF!</definedName>
    <definedName name="MONTHLY_GM_HJ">#REF!</definedName>
    <definedName name="MONTHLY_GM_HK">#REF!</definedName>
    <definedName name="MONTHLY_GM_HS">#REF!</definedName>
    <definedName name="MONTHLY_GM_HT">#REF!</definedName>
    <definedName name="MONTHLY_GM_O">#REF!</definedName>
    <definedName name="MONTHLY_GM_P">#REF!</definedName>
    <definedName name="MONTHLY_GM_Q">#REF!</definedName>
    <definedName name="MONTHLY_GM_QJ">#REF!</definedName>
    <definedName name="MONTHLY_GM_QK">#REF!</definedName>
    <definedName name="MONTHLY_GM_QS">#REF!</definedName>
    <definedName name="MONTHLY_GM_QT">#REF!</definedName>
    <definedName name="MONTHLY_GM_RI">#REF!</definedName>
    <definedName name="Monthly_income" hidden="1">{#N/A,#N/A,FALSE,"Annual income statement";#N/A,#N/A,FALSE,"Annual balance sheet";#N/A,#N/A,FALSE,"Annual cash flow";#N/A,#N/A,FALSE,"2-year Income statement";#N/A,#N/A,FALSE,"2 year balance sheet";#N/A,#N/A,FALSE,"2- year cash flow statement";#N/A,#N/A,FALSE,"Sales drivers"}</definedName>
    <definedName name="MONTHLY_NET">#REF!</definedName>
    <definedName name="MONTHLY_NET_D">#REF!</definedName>
    <definedName name="MONTHLY_NET_FJ">#REF!</definedName>
    <definedName name="MONTHLY_NET_FK">#REF!</definedName>
    <definedName name="MONTHLY_NET_FS">#REF!</definedName>
    <definedName name="MONTHLY_NET_FT">#REF!</definedName>
    <definedName name="MONTHLY_NET_HJ">#REF!</definedName>
    <definedName name="MONTHLY_NET_HK">#REF!</definedName>
    <definedName name="MONTHLY_NET_HS">#REF!</definedName>
    <definedName name="MONTHLY_NET_HT">#REF!</definedName>
    <definedName name="MONTHLY_NET_O">#REF!</definedName>
    <definedName name="MONTHLY_NET_P">#REF!</definedName>
    <definedName name="MONTHLY_NET_Q">#REF!</definedName>
    <definedName name="MONTHLY_NET_QJ">#REF!</definedName>
    <definedName name="MONTHLY_NET_QK">#REF!</definedName>
    <definedName name="MONTHLY_NET_QS">#REF!</definedName>
    <definedName name="MONTHLY_NET_QT">#REF!</definedName>
    <definedName name="MONTHLY_NET_RI">#REF!</definedName>
    <definedName name="MONTHLY_PL">#REF!</definedName>
    <definedName name="Months_BS">#REF!</definedName>
    <definedName name="Months_PL">#REF!</definedName>
    <definedName name="MOO" hidden="1">{#N/A,#N/A,TRUE,"91AMTNOL";#N/A,#N/A,TRUE,"92AMTNOL";#N/A,#N/A,TRUE,"93AMTNOL"}</definedName>
    <definedName name="Mooootorindust">#REF!</definedName>
    <definedName name="MOR">#REF!</definedName>
    <definedName name="Motar_Car">#REF!</definedName>
    <definedName name="motorindust">#REF!</definedName>
    <definedName name="MOVED" hidden="1">{"CHART",#N/A,FALSE,"Arch Communications"}</definedName>
    <definedName name="mow" hidden="1">{#N/A,#N/A,FALSE,"Australia";#N/A,#N/A,FALSE,"Austria";#N/A,#N/A,FALSE,"Belgium";#N/A,#N/A,FALSE,"Canada";#N/A,#N/A,FALSE,"France";#N/A,#N/A,FALSE,"Germany";#N/A,#N/A,FALSE,"Hong Kong";#N/A,#N/A,FALSE,"Italy";#N/A,#N/A,FALSE,"Japan";#N/A,#N/A,FALSE,"Korea";#N/A,#N/A,FALSE,"Mexico";#N/A,#N/A,FALSE,"Poland";#N/A,#N/A,FALSE,"Spain";#N/A,#N/A,FALSE,"Switzerland";#N/A,#N/A,FALSE,"UK"}</definedName>
    <definedName name="MP">#REF!</definedName>
    <definedName name="MPBOH">#N/A</definedName>
    <definedName name="MPEOH">#N/A</definedName>
    <definedName name="MPM">#REF!</definedName>
    <definedName name="mr">#REF!</definedName>
    <definedName name="MRCalcCode">#REF!</definedName>
    <definedName name="MRG" hidden="1">{"INCOME",#N/A,FALSE,"ProNet";"VALUE",#N/A,FALSE,"ProNet"}</definedName>
    <definedName name="mrn.全体">#REF!</definedName>
    <definedName name="MRV_FooterType">"INTERNAL"</definedName>
    <definedName name="ms">#REF!</definedName>
    <definedName name="MS.CreatedAt">"19.03.1999 14:28:19"</definedName>
    <definedName name="MS.CreatedBy">"TB"</definedName>
    <definedName name="MS.ModifiedAt">"25.06.1999 09:34:53"</definedName>
    <definedName name="MS.ModifiedBy">"TB"</definedName>
    <definedName name="MS.Version">"4.1"</definedName>
    <definedName name="msaprtwd">#REF!</definedName>
    <definedName name="MSCCFCost">#REF!</definedName>
    <definedName name="Msia">#REF!</definedName>
    <definedName name="MST_MU">#REF!</definedName>
    <definedName name="MSU_1">#REF!</definedName>
    <definedName name="MTD_DEPT">#REF!</definedName>
    <definedName name="MTD_DEPT_VALUE">#REF!</definedName>
    <definedName name="MTD_DEPT_VALUE1">#REF!</definedName>
    <definedName name="MTD_DEPT_VALUE2">#REF!</definedName>
    <definedName name="MTD_DEPT_VALUE3">#REF!</definedName>
    <definedName name="MTD_DEPT_VALUE4">#REF!</definedName>
    <definedName name="MTD_DEPT1">#REF!</definedName>
    <definedName name="mth">#REF!</definedName>
    <definedName name="mthcov">#REF!</definedName>
    <definedName name="mthsum">#REF!</definedName>
    <definedName name="MTNL">#REF!</definedName>
    <definedName name="mud" hidden="1">{#N/A,#N/A,FALSE,"MP Cover";#N/A,#N/A,FALSE,"MP Table of Contents";#N/A,#N/A,FALSE,"MP Metrics";"MP Mgmt Report",#N/A,FALSE,"P&amp;L- MP (w Seed)";#N/A,#N/A,FALSE,"P&amp;L- Landec";#N/A,#N/A,FALSE,"P&amp;L- Seed";"MP Mgmt Report",#N/A,FALSE,"Prod Line P&amp;L";#N/A,#N/A,FALSE,"MP (w Seed) BS";#N/A,#N/A,FALSE,"Cash Flow-MP (w Seed)"}</definedName>
    <definedName name="muhsnr">#REF!</definedName>
    <definedName name="muhsnr_1">#REF!</definedName>
    <definedName name="Muliplicator">#REF!</definedName>
    <definedName name="mult">#REF!</definedName>
    <definedName name="mult_sen">#REF!</definedName>
    <definedName name="MULTIPLICATOR">#REF!</definedName>
    <definedName name="Multmtr">#REF!</definedName>
    <definedName name="MURTHY">#REF!</definedName>
    <definedName name="MV">#REF!</definedName>
    <definedName name="MVA_L">#REF!</definedName>
    <definedName name="mw" hidden="1">{#N/A,#N/A,FALSE,"Pharm";#N/A,#N/A,FALSE,"WWCM"}</definedName>
    <definedName name="MW_PA">#REF!</definedName>
    <definedName name="MWScale">#REF!</definedName>
    <definedName name="MyBegOfYEar">IF(BegOfYear5253week&lt;&gt;"",BegOfYear5253week,IF(#REF!="","",#REF!-364))</definedName>
    <definedName name="MyBookIncome">IF(BookIncome = "","",BookIncome)</definedName>
    <definedName name="MYJ" hidden="1">{#N/A,#N/A,FALSE,"UNIT";#N/A,#N/A,FALSE,"UNIT";#N/A,#N/A,FALSE,"계정"}</definedName>
    <definedName name="MyLastYear">IF(#REF!="","",#REF!-366)</definedName>
    <definedName name="MyName">IF(#REF! = "","",#REF!)</definedName>
    <definedName name="MyNextYear">IF(#REF!="","",#REF!+365)</definedName>
    <definedName name="MYR">#REF!</definedName>
    <definedName name="MyTaxYear">IF(#REF!="","",#REF!)</definedName>
    <definedName name="MZ">#REF!</definedName>
    <definedName name="m記" hidden="1">{"'買掛金'!$J$6"}</definedName>
    <definedName name="n" hidden="1">{"Central",#N/A,FALSE,"Total"}</definedName>
    <definedName name="n.." hidden="1">{"Central",#N/A,FALSE,"Total"}</definedName>
    <definedName name="Na">#REF!</definedName>
    <definedName name="nada" hidden="1">{#N/A,#N/A,FALSE,"Australia";#N/A,#N/A,FALSE,"Austria";#N/A,#N/A,FALSE,"Belgium";#N/A,#N/A,FALSE,"Canada";#N/A,#N/A,FALSE,"France";#N/A,#N/A,FALSE,"Germany";#N/A,#N/A,FALSE,"Hong Kong";#N/A,#N/A,FALSE,"Italy";#N/A,#N/A,FALSE,"Japan";#N/A,#N/A,FALSE,"Korea";#N/A,#N/A,FALSE,"Mexico";#N/A,#N/A,FALSE,"Poland";#N/A,#N/A,FALSE,"Spain";#N/A,#N/A,FALSE,"Switzerland";#N/A,#N/A,FALSE,"UK"}</definedName>
    <definedName name="nam">#REF!</definedName>
    <definedName name="Nama">#REF!</definedName>
    <definedName name="NAME">#REF!</definedName>
    <definedName name="Name_and_Federal_Tax">#REF!</definedName>
    <definedName name="name_cap">#REF!</definedName>
    <definedName name="NAME1">""</definedName>
    <definedName name="name2">#REF!</definedName>
    <definedName name="nameconf1">#REF!</definedName>
    <definedName name="NAMELOOK">#REF!</definedName>
    <definedName name="namelookup">#REF!</definedName>
    <definedName name="namename">#REF!</definedName>
    <definedName name="NAMES">#REF!</definedName>
    <definedName name="Nametable">#REF!</definedName>
    <definedName name="NANewCasesPerHead">#REF!</definedName>
    <definedName name="Natalum">#REF!</definedName>
    <definedName name="NationalAluminium">#REF!</definedName>
    <definedName name="NBM">#REF!</definedName>
    <definedName name="nbmbmnm">#REF!</definedName>
    <definedName name="NBV">#REF!</definedName>
    <definedName name="NBV_1">#REF!</definedName>
    <definedName name="nca_form_name">#REF!</definedName>
    <definedName name="ncas">#REF!</definedName>
    <definedName name="NCDTA_FED">#REF!</definedName>
    <definedName name="NCDTA_FEDA">#REF!</definedName>
    <definedName name="NCDTA_STATE">#REF!</definedName>
    <definedName name="NCDTA_STATEA">#REF!</definedName>
    <definedName name="NCDTL_FED">#REF!</definedName>
    <definedName name="NCDTL_FEDA">#REF!</definedName>
    <definedName name="NCDTL_STATE">#REF!</definedName>
    <definedName name="NCDTL_STATEA">#REF!</definedName>
    <definedName name="nck">#REF!</definedName>
    <definedName name="ncn">#REF!</definedName>
    <definedName name="NCNB">#REF!</definedName>
    <definedName name="NCNB2">#REF!</definedName>
    <definedName name="nd">#REF!</definedName>
    <definedName name="Nektar">#REF!</definedName>
    <definedName name="Net_Income">#REF!</definedName>
    <definedName name="Net_income_growth_avg">#REF!</definedName>
    <definedName name="Net_margin_fore">#REF!</definedName>
    <definedName name="Net_Range">"SOR_DB"</definedName>
    <definedName name="Net_Revenues">#REF!</definedName>
    <definedName name="Net_Sales">#REF!</definedName>
    <definedName name="NET_SALES_AHNA">#REF!</definedName>
    <definedName name="NET_SALES_CONSOL">#REF!</definedName>
    <definedName name="NET_SALES_UNCONSOL">#REF!</definedName>
    <definedName name="netamort">#REF!</definedName>
    <definedName name="NETAP">#REF!</definedName>
    <definedName name="NETAPP">#REF!</definedName>
    <definedName name="NetAppSecTable">#REF!</definedName>
    <definedName name="Netcost">#REF!</definedName>
    <definedName name="Netherlands_FooterType">"INTERNAL"</definedName>
    <definedName name="NetRate97PremDiscount">#REF!</definedName>
    <definedName name="NetRate97SchedRate">#REF!</definedName>
    <definedName name="NetRate97XMod">#REF!</definedName>
    <definedName name="NetRate98PremDiscount">#REF!</definedName>
    <definedName name="NetRate98SchedRate">#REF!</definedName>
    <definedName name="NetRate98XMod">#REF!</definedName>
    <definedName name="netsales">#REF!</definedName>
    <definedName name="NETSCREEN_DISCOUNT">50%</definedName>
    <definedName name="networksensitivity">#REF!</definedName>
    <definedName name="NEUC">#REF!</definedName>
    <definedName name="NEUCHATEL">#REF!</definedName>
    <definedName name="new">#REF!</definedName>
    <definedName name="New.." hidden="1">{"West",#N/A,FALSE,"Total"}</definedName>
    <definedName name="new\" hidden="1">{"quarterly",#N/A,FALSE,"Consol by Mo";"monthly",#N/A,FALSE,"Consol by Mo";#N/A,#N/A,FALSE,"Dock by Mo";#N/A,#N/A,FALSE,"ProdP&amp;L";#N/A,#N/A,FALSE,"MP by Mo";#N/A,#N/A,FALSE,"FC by Mo";#N/A,#N/A,FALSE,"Intellicoat+FC"}</definedName>
    <definedName name="new_3">#REF!</definedName>
    <definedName name="new_accounts">#REF!</definedName>
    <definedName name="New_DCF">#REF!</definedName>
    <definedName name="NEW_JERS.">#REF!</definedName>
    <definedName name="new_name">{"'1-TheatreBkgs'!$A$1:$L$102"}</definedName>
    <definedName name="New_Subs">#REF!</definedName>
    <definedName name="new1.." hidden="1">{"Central",#N/A,FALSE,"Total"}</definedName>
    <definedName name="new2.." hidden="1">{"Central",#N/A,FALSE,"Total"}</definedName>
    <definedName name="newack2">#REF!</definedName>
    <definedName name="NewAConvRatio">#REF!</definedName>
    <definedName name="newbp1">#REF!</definedName>
    <definedName name="NewCases">#REF!</definedName>
    <definedName name="NewCasesPerCustomer">#REF!</definedName>
    <definedName name="NewCasesPerHead">#REF!</definedName>
    <definedName name="newcoa">#REF!</definedName>
    <definedName name="newer">#REF!</definedName>
    <definedName name="newers">#REF!</definedName>
    <definedName name="NEWFROMCW">#REF!</definedName>
    <definedName name="newfromcw2">#REF!</definedName>
    <definedName name="newfromcw3">#REF!</definedName>
    <definedName name="newfromcw4">#REF!</definedName>
    <definedName name="newfromcw5">#REF!</definedName>
    <definedName name="NewHire">8500</definedName>
    <definedName name="NewName_1">#REF!</definedName>
    <definedName name="newnewnew" hidden="1">{#N/A,#N/A,FALSE,"Pharm";#N/A,#N/A,FALSE,"WWCM"}</definedName>
    <definedName name="newpdt">#REF!</definedName>
    <definedName name="newprod">#REF!</definedName>
    <definedName name="NewRange" hidden="1">#REF!</definedName>
    <definedName name="newret">#REF!</definedName>
    <definedName name="newsa">#REF!</definedName>
    <definedName name="NewTaxGW">#REF!</definedName>
    <definedName name="NewTaxIntangibles">#REF!</definedName>
    <definedName name="neww">#REF!</definedName>
    <definedName name="neww4">#REF!</definedName>
    <definedName name="NEWZE_Aug03">#REF!</definedName>
    <definedName name="NEXT">#REF!</definedName>
    <definedName name="Next_run_date">#REF!</definedName>
    <definedName name="Next_yr_FooterType">"EXTERNAL"</definedName>
    <definedName name="next2">#REF!</definedName>
    <definedName name="nextcell">#REF!</definedName>
    <definedName name="neyveli">#REF!</definedName>
    <definedName name="nhtt">#REF!</definedName>
    <definedName name="ni_terminal">#REF!</definedName>
    <definedName name="nice">#REF!</definedName>
    <definedName name="nifty">#REF!</definedName>
    <definedName name="NIIT">#REF!</definedName>
    <definedName name="nine">#REF!</definedName>
    <definedName name="Niva">{"'Feb 99'!$A$1:$G$30"}</definedName>
    <definedName name="nj">#REF!</definedName>
    <definedName name="NJ_ce">#REF!</definedName>
    <definedName name="NJ_OE">#REF!</definedName>
    <definedName name="ñjhñ" hidden="1">{#N/A,#N/A,FALSE,"Pharm";#N/A,#N/A,FALSE,"WWCM"}</definedName>
    <definedName name="njhteg">#REF!</definedName>
    <definedName name="njhteg_1">#REF!</definedName>
    <definedName name="njkh">#REF!</definedName>
    <definedName name="NKSJDFKJA">8</definedName>
    <definedName name="NL_Strat1">#REF!</definedName>
    <definedName name="NL_Strat1b">#REF!</definedName>
    <definedName name="NL_Strat2">#REF!</definedName>
    <definedName name="NL_Strat2b">#REF!</definedName>
    <definedName name="NL_Strat3">#REF!</definedName>
    <definedName name="NL_Strat3b">#REF!</definedName>
    <definedName name="NL_Strat4">#REF!</definedName>
    <definedName name="NL_Strat4b">#REF!</definedName>
    <definedName name="NL_Strat5">#REF!</definedName>
    <definedName name="NL_Strat5b">#REF!</definedName>
    <definedName name="NLGeXToEUR" hidden="1">1/EUReXToNLG</definedName>
    <definedName name="NM">#REF!</definedName>
    <definedName name="nmbv">#REF!</definedName>
    <definedName name="nmbv_1">#REF!</definedName>
    <definedName name="nmnmm">#REF!</definedName>
    <definedName name="nmnmm_1">#REF!</definedName>
    <definedName name="nmnmm_2">#REF!</definedName>
    <definedName name="nmnmm_3">#REF!</definedName>
    <definedName name="nmnmm_4">#REF!</definedName>
    <definedName name="NMWH_ANNUAL">#REF!</definedName>
    <definedName name="NMWH_APRIL">#REF!</definedName>
    <definedName name="NMWH_AUGUST">#REF!</definedName>
    <definedName name="NMWH_DECEMBER">#REF!</definedName>
    <definedName name="NMWH_FEBRUARY">#REF!</definedName>
    <definedName name="NMWH_JANUARY">#REF!</definedName>
    <definedName name="NMWH_JULY">#REF!</definedName>
    <definedName name="NMWH_JUNE">#REF!</definedName>
    <definedName name="NMWH_MARCH">#REF!</definedName>
    <definedName name="NMWH_MAY">#REF!</definedName>
    <definedName name="NMWH_NOVEMBER">#REF!</definedName>
    <definedName name="NMWH_OCTOBER">#REF!</definedName>
    <definedName name="NMWH_SEPTEMBER">#REF!</definedName>
    <definedName name="nn">#REF!</definedName>
    <definedName name="nna">#REF!</definedName>
    <definedName name="NNAAMMEE">#REF!</definedName>
    <definedName name="NNN" hidden="1">{"Resale_Cover",#N/A,FALSE,"COVERS";"ResaleC_1",#N/A,FALSE,"IS BY DIV";"ResaleC_2",#N/A,FALSE,"COGS BY DIV";"ResaleC_3",#N/A,FALSE,"TOTAL PF";"ResaleC_4",#N/A,FALSE,"TOTAL PF";"Resale_PL",#N/A,FALSE,"Sales by PL"}</definedName>
    <definedName name="nnnn" hidden="1">{#N/A,#N/A,FALSE,"Pharm";#N/A,#N/A,FALSE,"WWCM"}</definedName>
    <definedName name="nnnnn">#REF!</definedName>
    <definedName name="NnxElapsedTime">0.000416666662204079</definedName>
    <definedName name="no" hidden="1">{#N/A,#N/A,FALSE,"Summary";#N/A,#N/A,FALSE,"1991";#N/A,#N/A,FALSE,"91 AMT";#N/A,#N/A,FALSE,"1992";#N/A,#N/A,FALSE,"92 AMT";#N/A,#N/A,FALSE,"1993";#N/A,#N/A,FALSE,"93 AMT"}</definedName>
    <definedName name="No_Class">"No Class"</definedName>
    <definedName name="No_Renewal_Pnlty">#REF!</definedName>
    <definedName name="No_term_Pnlty">#REF!</definedName>
    <definedName name="No_term_pnlty_period">#REF!</definedName>
    <definedName name="nod">#REF!</definedName>
    <definedName name="NoDepartment">#REF!</definedName>
    <definedName name="NODES_per_Panel">#REF!</definedName>
    <definedName name="NOI_Min">5000</definedName>
    <definedName name="noidea">#REF!</definedName>
    <definedName name="NOIDEA2">#REF!</definedName>
    <definedName name="NOK">#REF!</definedName>
    <definedName name="nol">#REF!</definedName>
    <definedName name="nol_1">#REF!</definedName>
    <definedName name="nol_3">#REF!</definedName>
    <definedName name="NOMEANING1">#REF!</definedName>
    <definedName name="NOMO">#REF!</definedName>
    <definedName name="non_exec">#REF!</definedName>
    <definedName name="non_executives">#REF!</definedName>
    <definedName name="NON_GROUP_APRIL">"RECHERCHEV($D80;PL_GSA_TABLE;3;FAUX)"</definedName>
    <definedName name="Non_Moving_COL_Detail">#REF!</definedName>
    <definedName name="Non_Moving_PrePay_Detail">#REF!</definedName>
    <definedName name="none" hidden="1">{#N/A,#N/A,FALSE,"Australia";#N/A,#N/A,FALSE,"Austria";#N/A,#N/A,FALSE,"Belgium";#N/A,#N/A,FALSE,"Canada";#N/A,#N/A,FALSE,"France";#N/A,#N/A,FALSE,"Germany";#N/A,#N/A,FALSE,"Hong Kong";#N/A,#N/A,FALSE,"Italy";#N/A,#N/A,FALSE,"Japan";#N/A,#N/A,FALSE,"Korea";#N/A,#N/A,FALSE,"Mexico";#N/A,#N/A,FALSE,"Poland";#N/A,#N/A,FALSE,"Spain";#N/A,#N/A,FALSE,"Switzerland";#N/A,#N/A,FALSE,"UK"}</definedName>
    <definedName name="NonF_Inp">#REF!,#REF!,#REF!,#REF!,#REF!</definedName>
    <definedName name="NoOfFFSegments1">#REF!</definedName>
    <definedName name="NOOFFFSEGMENTS2">#REF!</definedName>
    <definedName name="NOOFFFSEGMENTS3">#REF!</definedName>
    <definedName name="NOOFFFSEGMENTS4">#REF!</definedName>
    <definedName name="NOOFFFSEGMENTS5">#REF!</definedName>
    <definedName name="NOOFFFSEGMENTS6">#REF!</definedName>
    <definedName name="NOOFPERIODS1">#REF!</definedName>
    <definedName name="NOPAT_growth_avg">#REF!</definedName>
    <definedName name="NOPAT_Share">#REF!</definedName>
    <definedName name="NORIN">#N/A</definedName>
    <definedName name="NORM">#REF!</definedName>
    <definedName name="northeastcs">#REF!</definedName>
    <definedName name="northeastfin">#REF!</definedName>
    <definedName name="northeastrenewal">#REF!</definedName>
    <definedName name="NoSAF">"2-Closed-No SAF"</definedName>
    <definedName name="not" hidden="1">#REF!</definedName>
    <definedName name="note">#REF!</definedName>
    <definedName name="NOTE_1">#REF!</definedName>
    <definedName name="NOTE_1_4">#REF!</definedName>
    <definedName name="Note_10_12">#REF!</definedName>
    <definedName name="note_1to7">#REF!</definedName>
    <definedName name="note_2">#REF!</definedName>
    <definedName name="NOTE_3">#REF!</definedName>
    <definedName name="NOTE_4">#REF!</definedName>
    <definedName name="NOTE_5_7">#REF!</definedName>
    <definedName name="Note_7_9">#REF!</definedName>
    <definedName name="NOTE_8">#REF!</definedName>
    <definedName name="Note_GGM">#REF!</definedName>
    <definedName name="NOTE13">#REF!</definedName>
    <definedName name="Note1JR">#REF!</definedName>
    <definedName name="NOTE2">#REF!</definedName>
    <definedName name="Note2JR">#REF!</definedName>
    <definedName name="Note3JR">#REF!</definedName>
    <definedName name="Notes">#REF!</definedName>
    <definedName name="Notes_1_6">#REF!</definedName>
    <definedName name="NOTEs_AT">#REF!</definedName>
    <definedName name="NOTEs_AT1">#REF!</definedName>
    <definedName name="NOTEs_AV">#REF!</definedName>
    <definedName name="NOTEs_AV1">#REF!</definedName>
    <definedName name="NOTEs_AV2">#REF!</definedName>
    <definedName name="NOTES_MAINCOMP">#REF!</definedName>
    <definedName name="NOTES_UJ">#REF!</definedName>
    <definedName name="NOTES_VJ">#REF!</definedName>
    <definedName name="notes1">#REF!</definedName>
    <definedName name="NoteStatus">#REF!</definedName>
    <definedName name="NoteType">#REF!</definedName>
    <definedName name="notused" hidden="1">{#N/A,#N/A,TRUE,"CPRD";#N/A,#N/A,TRUE,"BCCPDR";#N/A,#N/A,TRUE,"EWRD";#N/A,#N/A,TRUE,"5100";#N/A,#N/A,TRUE,"5110"}</definedName>
    <definedName name="nouv" hidden="1">{#N/A,#N/A,FALSE,"Pharm";#N/A,#N/A,FALSE,"WWCM"}</definedName>
    <definedName name="NOV">#REF!</definedName>
    <definedName name="Nov_00">#REF!</definedName>
    <definedName name="Nov_01">#REF!</definedName>
    <definedName name="Nov_18">#REF!</definedName>
    <definedName name="Nov_19">#REF!</definedName>
    <definedName name="Nov_20">#REF!</definedName>
    <definedName name="nov_Control_Totals">#REF!</definedName>
    <definedName name="novaud">#REF!</definedName>
    <definedName name="NOVDATA?">#REF!</definedName>
    <definedName name="November">#REF!</definedName>
    <definedName name="November_Control_Totals">#REF!</definedName>
    <definedName name="November2018">#REF!</definedName>
    <definedName name="novhkd">#REF!</definedName>
    <definedName name="novsgd">#REF!</definedName>
    <definedName name="novthb">#REF!</definedName>
    <definedName name="novtwd">#REF!</definedName>
    <definedName name="NOW_DATE">#REF!</definedName>
    <definedName name="NOW_TIME">#REF!</definedName>
    <definedName name="NP">#REF!</definedName>
    <definedName name="NP_AHNA">#REF!</definedName>
    <definedName name="NP_CONSOL">#REF!</definedName>
    <definedName name="NP_PARENT">#REF!</definedName>
    <definedName name="NP_SNS">#REF!</definedName>
    <definedName name="NP_UNCONSOL_AFFIL">#REF!</definedName>
    <definedName name="npallin">#REF!</definedName>
    <definedName name="npint">#REF!</definedName>
    <definedName name="NPV">#REF!</definedName>
    <definedName name="NR_1203" hidden="1">{"'Sheet1'!$A$1:$H$36"}</definedName>
    <definedName name="NR_AHNA">#REF!</definedName>
    <definedName name="NR_Consol">#REF!</definedName>
    <definedName name="NR_Parent">#REF!</definedName>
    <definedName name="NR_SNS">#REF!</definedName>
    <definedName name="NR_Unconsol">#REF!</definedName>
    <definedName name="ns">#REF!</definedName>
    <definedName name="nt">#REF!</definedName>
    <definedName name="ntpc">#REF!</definedName>
    <definedName name="NTRO">#REF!</definedName>
    <definedName name="NTT仙台">#REF!</definedName>
    <definedName name="NTT大阪">#REF!</definedName>
    <definedName name="NTT工場">#REF!</definedName>
    <definedName name="NTT工場2">#REF!</definedName>
    <definedName name="NTT広島">#REF!</definedName>
    <definedName name="NTT本社">#REF!</definedName>
    <definedName name="NTT神戸">#REF!</definedName>
    <definedName name="NTT福岡">#REF!</definedName>
    <definedName name="nu">#REF!</definedName>
    <definedName name="NU_Strat1">#REF!</definedName>
    <definedName name="Nu_Strat1b">#REF!</definedName>
    <definedName name="NU_Strat2">#REF!</definedName>
    <definedName name="NU_Strat2b">#REF!</definedName>
    <definedName name="NU_Strat3">#REF!</definedName>
    <definedName name="NU_Strat3b">#REF!</definedName>
    <definedName name="NU_Strat4">#REF!</definedName>
    <definedName name="NU_Strat4b">#REF!</definedName>
    <definedName name="nu_strat5">#REF!</definedName>
    <definedName name="NU_Strat5b">#REF!</definedName>
    <definedName name="NU_Strat6">#REF!</definedName>
    <definedName name="NU_Strat6b">#REF!</definedName>
    <definedName name="NU_Strat7">#REF!</definedName>
    <definedName name="NU_Strat7b">#REF!</definedName>
    <definedName name="NU_Strat8">#REF!</definedName>
    <definedName name="NU_Strat8b">#REF!</definedName>
    <definedName name="NU_Strat9">#REF!</definedName>
    <definedName name="NU_Strat9b">#REF!</definedName>
    <definedName name="Num_Pmt_Per_Year">#REF!</definedName>
    <definedName name="NUMBER">#REF!</definedName>
    <definedName name="Number_of_Payments">MATCH(0.01,End_Bal,-1)+1</definedName>
    <definedName name="Number_of_Pins">#REF!</definedName>
    <definedName name="Number_of_pins..">#REF!</definedName>
    <definedName name="Number_of_Shares">#REF!</definedName>
    <definedName name="Number_Periods1">#REF!</definedName>
    <definedName name="NumberArea">#REF!</definedName>
    <definedName name="NUMBEROFDETAILFIELDS1">#REF!</definedName>
    <definedName name="NUMBEROFDETAILFIELDS2">#REF!</definedName>
    <definedName name="NUMBEROFDETAILFIELDS3">#REF!</definedName>
    <definedName name="NUMBEROFDETAILFIELDS4">#REF!</definedName>
    <definedName name="NUMBEROFDETAILFIELDS5">#REF!</definedName>
    <definedName name="NUMBEROFDETAILFIELDS6">#REF!</definedName>
    <definedName name="NUMBEROFHEADERFIELDS1">#REF!</definedName>
    <definedName name="NUMBEROFHEADERFIELDS2">#REF!</definedName>
    <definedName name="NUMBEROFHEADERFIELDS3">#REF!</definedName>
    <definedName name="NUMBEROFHEADERFIELDS4">#REF!</definedName>
    <definedName name="NUMBEROFHEADERFIELDS5">#REF!</definedName>
    <definedName name="NUMBEROFHEADERFIELDS6">#REF!</definedName>
    <definedName name="NUMCHECK">AND(ISNUMBER(#REF!),ISNUMBER(#REF!),ISNUMBER(#REF!),ISNUMBER(#REF!))</definedName>
    <definedName name="NUMENTRIES">#REF!</definedName>
    <definedName name="NVS">38000.4076273148</definedName>
    <definedName name="NvsASD">"V2001-03-31"</definedName>
    <definedName name="NvsASD_1">"V1999-11-08"</definedName>
    <definedName name="NvsASD1">"V2004-07-31"</definedName>
    <definedName name="NvsAutoDrillOk">"VN"</definedName>
    <definedName name="NvsBranchASD">"V2001-01-01"</definedName>
    <definedName name="NvsDateToNumber">"Y"</definedName>
    <definedName name="NvsElapsedTime">0.0000971064800978638</definedName>
    <definedName name="NvsElapsedTime_1">0.000231481484661344</definedName>
    <definedName name="NvsElapsedTime_2">0.000072222224844154</definedName>
    <definedName name="NvsEndDate">TODAY()</definedName>
    <definedName name="NvsEndTime">37032.7249042824</definedName>
    <definedName name="NvsEndTime_1">38999.5725462963</definedName>
    <definedName name="NvsEndTime_2">36923.4785111111</definedName>
    <definedName name="NvsEndTime2">38797.4003240741</definedName>
    <definedName name="NvsInstanceHook">#REF!</definedName>
    <definedName name="NvsInstLang">"VENG"</definedName>
    <definedName name="NvsInstSpec">"%"</definedName>
    <definedName name="NvsInstSpec_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definedName>
    <definedName name="NvsNplSpec_1">"%,X,RZF..FORMAT,CZF.."</definedName>
    <definedName name="NvsPanelBusUnit">"V"</definedName>
    <definedName name="NvsPanelBusUnit_1">"V"</definedName>
    <definedName name="NvsPanelEffdt">"V1998-01-01"</definedName>
    <definedName name="NvsPanelEffdt_1">"V2005-01-01"</definedName>
    <definedName name="NvsPanelSetid">"VEPNY1"</definedName>
    <definedName name="NvsPanelSetid_1">"VSHARE"</definedName>
    <definedName name="NvsReqBU">"VEPNY1"</definedName>
    <definedName name="NvsReqBU_1">"V10000"</definedName>
    <definedName name="NvsReqBUOnly">"VY"</definedName>
    <definedName name="NvsReqBUOnly_1">"VN"</definedName>
    <definedName name="NvsSkipDetailStyle">1</definedName>
    <definedName name="NvsStyleNme">"TC_CLASSIC.xls"</definedName>
    <definedName name="NvsTransLed">"VN"</definedName>
    <definedName name="NvsTreeASD">"V2001-03-31"</definedName>
    <definedName name="NvsTreeASD_1">"V1999-11-08"</definedName>
    <definedName name="NvsValTbl.ACCOUNT">"GL_ACCOUNT_TBL"</definedName>
    <definedName name="NvsValTbl.AFFILIATE">"AFFILIATE_VW"</definedName>
    <definedName name="NvsValTbl.BOOK_CODE">"BOOK_CODE_TBL"</definedName>
    <definedName name="NvsValTbl.BUSINESS_UNIT">"BUS_UNIT_TBL_FS"</definedName>
    <definedName name="NvsValTbl.CHARTFIELD1">"CF1_ALL_VW"</definedName>
    <definedName name="NvsValTbl.CURRENCY_CD">"CURRENCY_CD_TBL"</definedName>
    <definedName name="NvsValTbl.DEPTID">"DEPT_TBL"</definedName>
    <definedName name="NvsValTbl.FUND_CODE">"FUND_TBL"</definedName>
    <definedName name="NvsValTbl.PRODUCT">"PRODUCT_TBL"</definedName>
    <definedName name="NvsValTbl.PROJECT_ID">"PROJECT"</definedName>
    <definedName name="NvsValTbl.SCENARIO">"BD_SCENARIO_TBL"</definedName>
    <definedName name="NvsValTbl.STATISTICS_CODE">"STAT_TBL"</definedName>
    <definedName name="NWC_Return">#REF!</definedName>
    <definedName name="o">#REF!</definedName>
    <definedName name="O4.1">#REF!</definedName>
    <definedName name="O4.10">#REF!</definedName>
    <definedName name="O4.11">#REF!</definedName>
    <definedName name="O4.12">#REF!</definedName>
    <definedName name="O4.13">#REF!</definedName>
    <definedName name="O4.2">#REF!</definedName>
    <definedName name="O4.3">#REF!</definedName>
    <definedName name="O4.4">#REF!</definedName>
    <definedName name="O4.5">#REF!</definedName>
    <definedName name="O4.6">#REF!</definedName>
    <definedName name="O4.7">#REF!</definedName>
    <definedName name="O4.8">#REF!</definedName>
    <definedName name="O4.9">#REF!</definedName>
    <definedName name="O6.5">#REF!</definedName>
    <definedName name="O6.6">#REF!</definedName>
    <definedName name="O6.7">#REF!</definedName>
    <definedName name="O6.8">#REF!</definedName>
    <definedName name="OA">#REF!</definedName>
    <definedName name="OBAL">#REF!</definedName>
    <definedName name="OBC">#REF!</definedName>
    <definedName name="oc">#REF!</definedName>
    <definedName name="oc_1">#REF!</definedName>
    <definedName name="ocf" hidden="1">#REF!</definedName>
    <definedName name="Oct">#REF!</definedName>
    <definedName name="Oct_18">#REF!</definedName>
    <definedName name="Oct_19">#REF!</definedName>
    <definedName name="Oct_20">#REF!</definedName>
    <definedName name="OCt_srn">#REF!</definedName>
    <definedName name="octaud">#REF!</definedName>
    <definedName name="OCTDATA?">#REF!</definedName>
    <definedName name="octhkd">#REF!</definedName>
    <definedName name="October">#REF!</definedName>
    <definedName name="October2018">#REF!</definedName>
    <definedName name="octsgd">#REF!</definedName>
    <definedName name="octthb">#REF!</definedName>
    <definedName name="octtwd">#REF!</definedName>
    <definedName name="od">#REF!</definedName>
    <definedName name="OE">#REF!</definedName>
    <definedName name="OEM">#REF!</definedName>
    <definedName name="OER">#REF!</definedName>
    <definedName name="Office_Equipments">#REF!</definedName>
    <definedName name="OFFLOAD">#REF!</definedName>
    <definedName name="OFFLOAD..">#REF!</definedName>
    <definedName name="ogl" hidden="1">#REF!,#REF!,#REF!,#REF!,#REF!</definedName>
    <definedName name="ohjn">#REF!</definedName>
    <definedName name="ohjn_1">#REF!</definedName>
    <definedName name="OHMKAccounts">#REF!</definedName>
    <definedName name="OHMKDepartmentCode">#REF!</definedName>
    <definedName name="OHMKFirstHalf">#REF!</definedName>
    <definedName name="OHMKSecondHalf">#REF!</definedName>
    <definedName name="oi" hidden="1">#REF!</definedName>
    <definedName name="oijnhyu" hidden="1">#REF!</definedName>
    <definedName name="OIK" hidden="1">{#N/A,#N/A,FALSE,"REPORT"}</definedName>
    <definedName name="OIO" hidden="1">{#N/A,#N/A,FALSE,"REPORT"}</definedName>
    <definedName name="oioioi" hidden="1">#REF!</definedName>
    <definedName name="oipi" hidden="1">#REF!</definedName>
    <definedName name="oiu">#REF!</definedName>
    <definedName name="OIUYT">#REF!</definedName>
    <definedName name="OIUYT_1">#REF!</definedName>
    <definedName name="oiwea">#REF!</definedName>
    <definedName name="ok">#REF!</definedName>
    <definedName name="OKCHECK">#REF!</definedName>
    <definedName name="olan">5</definedName>
    <definedName name="old" hidden="1">{#N/A,#N/A,FALSE,"Income";#N/A,#N/A,FALSE,"Cost of Goods Sold";#N/A,#N/A,FALSE,"Other Costs";#N/A,#N/A,FALSE,"Other Income";#N/A,#N/A,FALSE,"Taxes";#N/A,#N/A,FALSE,"Other Deductions";#N/A,#N/A,FALSE,"Compensation of Officers"}</definedName>
    <definedName name="old_1">#REF!</definedName>
    <definedName name="old_3">#REF!</definedName>
    <definedName name="old_NC">#REF!</definedName>
    <definedName name="old_sale">#REF!</definedName>
    <definedName name="old2_NC">#REF!</definedName>
    <definedName name="old3_NC">#REF!</definedName>
    <definedName name="old4_NC">#REF!</definedName>
    <definedName name="old5_NC">#REF!</definedName>
    <definedName name="old8_NC">#REF!</definedName>
    <definedName name="old9_NC">#REF!</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mfsfsa">#REF!</definedName>
    <definedName name="on" hidden="1">{#N/A,#N/A,FALSE,"91NOLCB";#N/A,#N/A,FALSE,"92NOLCB";#N/A,#N/A,FALSE,"93NOLCB"}</definedName>
    <definedName name="one">#REF!</definedName>
    <definedName name="ongc">#REF!</definedName>
    <definedName name="OnShow">#REF!</definedName>
    <definedName name="oo">#REF!</definedName>
    <definedName name="OOlmv">521021500.783901</definedName>
    <definedName name="ooo">#REF!</definedName>
    <definedName name="OOOOOOOOOOOOO">#REF!</definedName>
    <definedName name="ooop" hidden="1">{"'매출'!$A$1:$I$22"}</definedName>
    <definedName name="OOsmv">-694880256.448615</definedName>
    <definedName name="OP">#REF!</definedName>
    <definedName name="Op_Income">#REF!</definedName>
    <definedName name="opbs">#REF!</definedName>
    <definedName name="OPCAP">#REF!</definedName>
    <definedName name="OpenCases">#REF!</definedName>
    <definedName name="OpenCasesPerCustomer">#REF!</definedName>
    <definedName name="OpenCasesPerHead">#REF!</definedName>
    <definedName name="Opentable">#REF!</definedName>
    <definedName name="operating">#REF!</definedName>
    <definedName name="Operating_Income">#REF!</definedName>
    <definedName name="operatingexp.">#REF!</definedName>
    <definedName name="OperatingHrs">#REF!</definedName>
    <definedName name="OperatingWorkingCapital">#REF!</definedName>
    <definedName name="OPERATIONAL___BUSINESS_DEVELOPMENT">#REF!</definedName>
    <definedName name="Operations">#REF!</definedName>
    <definedName name="OperisTopLeft">#REF!</definedName>
    <definedName name="opex">{"'Feb 99'!$A$1:$G$30"}</definedName>
    <definedName name="OpStats">#REF!</definedName>
    <definedName name="OPTexponents">"0 3 6"</definedName>
    <definedName name="OptionButton21_Click">#REF!</definedName>
    <definedName name="OptionPlanA">#REF!</definedName>
    <definedName name="OptionPlanB">#REF!</definedName>
    <definedName name="OptionPlanC">#REF!</definedName>
    <definedName name="OptionPlanD">#REF!</definedName>
    <definedName name="options">#REF!</definedName>
    <definedName name="options_cancelled">#REF!</definedName>
    <definedName name="options_exercised">#REF!</definedName>
    <definedName name="options_expired">#REF!</definedName>
    <definedName name="options_outstanding">#REF!</definedName>
    <definedName name="options_vested">#REF!</definedName>
    <definedName name="Optronics" hidden="1">{#N/A,#N/A,FALSE,"Title";#N/A,#N/A,FALSE,"Index";#N/A,#N/A,FALSE,"1";#N/A,#N/A,FALSE,"2";#N/A,#N/A,FALSE,"3";#N/A,#N/A,FALSE,"4";#N/A,#N/A,FALSE,"5";#N/A,#N/A,FALSE,"6";#N/A,#N/A,FALSE,"7";#N/A,#N/A,FALSE,"8"}</definedName>
    <definedName name="OPTvec">"1 1 1 3 1 0 0 1 1 0 2 8 7 1 0 34 1 1 0 1 1 2 1 0 1 0 0 0 0 0 0 0 100 300 0 0 0 0 13.78125 0 0 0 0"</definedName>
    <definedName name="OQLIB">"QUSRSYS"</definedName>
    <definedName name="OQNAM">"LANAR01"</definedName>
    <definedName name="ORDER">#REF!</definedName>
    <definedName name="Order1">255</definedName>
    <definedName name="OrderQty">#REF!</definedName>
    <definedName name="OrderTable">#REF!</definedName>
    <definedName name="OrdLinNo">"Edit Box 5"</definedName>
    <definedName name="orglookup">#REF!</definedName>
    <definedName name="orientalbank">#REF!</definedName>
    <definedName name="Orig_Bank_Statement">#REF!</definedName>
    <definedName name="Original">#REF!</definedName>
    <definedName name="originalvaluestable">#REF!</definedName>
    <definedName name="OS">#REF!</definedName>
    <definedName name="osbal">0</definedName>
    <definedName name="OSBL_K">#REF!</definedName>
    <definedName name="OSD">#REF!</definedName>
    <definedName name="osdty">#REF!</definedName>
    <definedName name="osexprt">#REF!</definedName>
    <definedName name="osfdy">#REF!</definedName>
    <definedName name="osspun">#REF!</definedName>
    <definedName name="otbb">IF(ISERROR(#REF!*1),#REF!,#REF!*1)</definedName>
    <definedName name="OTC_DERIVATIVES">"TraderSpreads"</definedName>
    <definedName name="OTE">#REF!</definedName>
    <definedName name="OTH_INC">#REF!</definedName>
    <definedName name="OTH_LIAB">#REF!</definedName>
    <definedName name="OTH_UC">#N/A</definedName>
    <definedName name="OTHAMT">#N/A</definedName>
    <definedName name="OTHBOH">#N/A</definedName>
    <definedName name="OTHEOH">#N/A</definedName>
    <definedName name="OTHER">#REF!</definedName>
    <definedName name="Other_dividends">#REF!</definedName>
    <definedName name="other_expense">#REF!</definedName>
    <definedName name="OTHER_INCOME">#REF!</definedName>
    <definedName name="Other_Segment_Revenues">#REF!</definedName>
    <definedName name="other1590" hidden="1">{#N/A,#N/A,FALSE,"REPORT"}</definedName>
    <definedName name="Other2007">{"'Check Request'!$A$1:$BF$37"}</definedName>
    <definedName name="other33" hidden="1">{#N/A,#N/A,FALSE,"Pharm";#N/A,#N/A,FALSE,"WWCM"}</definedName>
    <definedName name="otheraccruals">#REF!</definedName>
    <definedName name="OtherCurrentAssets">#REF!</definedName>
    <definedName name="othermar" hidden="1">{#N/A,#N/A,FALSE,"Pharm";#N/A,#N/A,FALSE,"WWCM"}</definedName>
    <definedName name="others">#REF!</definedName>
    <definedName name="OTHours">#REF!</definedName>
    <definedName name="otpr">#REF!</definedName>
    <definedName name="OUT">#REF!</definedName>
    <definedName name="OUT_TOTAL">#N/A</definedName>
    <definedName name="OUTAMT">#N/A</definedName>
    <definedName name="Outlook">#REF!</definedName>
    <definedName name="Outlook_Date">#REF!</definedName>
    <definedName name="OUTPUT">#REF!</definedName>
    <definedName name="Output_data_FooterType">"EXTERNAL"</definedName>
    <definedName name="Output1_FooterType">"INTERNAL"</definedName>
    <definedName name="Output2_FooterType">"INTERNAL"</definedName>
    <definedName name="Output3_FooterType">"INTERNAL"</definedName>
    <definedName name="Output4_FooterType">"INTERNAL"</definedName>
    <definedName name="Output5_FooterType">"INTERNAL"</definedName>
    <definedName name="OutputEV">#REF!,#REF!</definedName>
    <definedName name="OutputMarketCap">#REF!,#REF!</definedName>
    <definedName name="OutputPrice">#REF!</definedName>
    <definedName name="OUTQTY">#N/A</definedName>
    <definedName name="OUTSTANDING">#REF!</definedName>
    <definedName name="Overall">#REF!</definedName>
    <definedName name="Overveiw">#REF!</definedName>
    <definedName name="OVERVIEW">#REF!</definedName>
    <definedName name="overviewaa">#REF!</definedName>
    <definedName name="OvrUndrAccrued">#REF!</definedName>
    <definedName name="Own">#REF!</definedName>
    <definedName name="ownership" hidden="1">{#N/A,#N/A,TRUE,"Summary";#N/A,#N/A,TRUE,"IS";#N/A,#N/A,TRUE,"Adj";#N/A,#N/A,TRUE,"BS";#N/A,#N/A,TRUE,"CF";#N/A,#N/A,TRUE,"Debt";#N/A,#N/A,TRUE,"IRR"}</definedName>
    <definedName name="ownership2" hidden="1">{#N/A,#N/A,TRUE,"Summary";#N/A,#N/A,TRUE,"IS";#N/A,#N/A,TRUE,"Adj";#N/A,#N/A,TRUE,"BS";#N/A,#N/A,TRUE,"CF";#N/A,#N/A,TRUE,"Debt";#N/A,#N/A,TRUE,"IRR"}</definedName>
    <definedName name="P">#REF!</definedName>
    <definedName name="P_?">#REF!</definedName>
    <definedName name="P__">#REF!</definedName>
    <definedName name="P___L___Statement">#REF!</definedName>
    <definedName name="P_L">#REF!</definedName>
    <definedName name="P_LA_C">#REF!</definedName>
    <definedName name="P_M">#REF!</definedName>
    <definedName name="p_m1">#REF!</definedName>
    <definedName name="P3_NumberHigh">#REF!</definedName>
    <definedName name="P3_NumberLow">#REF!</definedName>
    <definedName name="P3_NumberMid">#REF!</definedName>
    <definedName name="PA">#REF!</definedName>
    <definedName name="PA_TXd">#REF!</definedName>
    <definedName name="Package" hidden="1">{"IS no EPS",#N/A,FALSE,"FINANCIALS";"Bal Sheet P1",#N/A,FALSE,"FINANCIALS";"Bal Sheet P2",#N/A,FALSE,"FINANCIALS";"Bal Sheet Ratios",#N/A,FALSE,"FINANCIALS";"Cash Flow Stmt",#N/A,FALSE,"FINANCIALS"}</definedName>
    <definedName name="PACKER">#REF!</definedName>
    <definedName name="PAC물정보비">#REF!</definedName>
    <definedName name="PAC실정보비">#REF!</definedName>
    <definedName name="PAG">#REF!</definedName>
    <definedName name="PAGE">#REF!</definedName>
    <definedName name="PAGE_1">#REF!</definedName>
    <definedName name="PAGE_10">#REF!</definedName>
    <definedName name="PAGE_2">#REF!</definedName>
    <definedName name="PAGE_3">#REF!</definedName>
    <definedName name="Page_4">#REF!</definedName>
    <definedName name="PAGE_5">#REF!</definedName>
    <definedName name="PAGE_6">#REF!</definedName>
    <definedName name="PAGE_7">#REF!</definedName>
    <definedName name="PAGE_8">#REF!</definedName>
    <definedName name="PAGE_9">#REF!</definedName>
    <definedName name="PAGE0">"'YTD Deferred Tax Expense'!$A$1:$J$55"</definedName>
    <definedName name="PAGE1">#REF!</definedName>
    <definedName name="PAGE2">#REF!</definedName>
    <definedName name="PAGE2A">#REF!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id">#REF!</definedName>
    <definedName name="PaidDept">#REF!</definedName>
    <definedName name="Pal_Workbook_GUID">"MM7DBJWXIFT28ZN6YF84Q6YE"</definedName>
    <definedName name="PAN">#REF!</definedName>
    <definedName name="PandL">#REF!</definedName>
    <definedName name="pao">#REF!</definedName>
    <definedName name="Par">#REF!</definedName>
    <definedName name="Parameters_FooterType">"INTERNAL"</definedName>
    <definedName name="PARAMS">#REF!</definedName>
    <definedName name="parent_pps">#REF!</definedName>
    <definedName name="Parent_table">#REF!</definedName>
    <definedName name="ParNetApp">#REF!</definedName>
    <definedName name="part" hidden="1">{#N/A,#N/A,FALSE,"Summary";#N/A,#N/A,FALSE,"Fed.State Prov";#N/A,#N/A,FALSE,"Foreign Prov";#N/A,#N/A,FALSE,"Thera Fgrn";#N/A,#N/A,FALSE,"CCD Fgrn";#N/A,#N/A,FALSE,"Biocine Fgrn";#N/A,#N/A,FALSE,"Vision Fgrn";#N/A,#N/A,FALSE,"Frgn vs Dom"}</definedName>
    <definedName name="PART_DETAIL">#REF!</definedName>
    <definedName name="part1a1">VLOOKUP(IF(ISNUMBER(INDIRECT("rc",FALSE)),INDIRECT("rc",FALSE)*1,INDIRECT("rc",FALSE)),#REF!,3,FALSE)</definedName>
    <definedName name="PartFile">"PartMaster.xls"</definedName>
    <definedName name="PartsArray">#REF!</definedName>
    <definedName name="parvalue">#REF!</definedName>
    <definedName name="PASTE_DATA">#REF!</definedName>
    <definedName name="pat">#REF!</definedName>
    <definedName name="PAWHELP">{"'Page 2-4'!$A$1:$O$47","'Page 2-2'!$A$1:$P$58"}</definedName>
    <definedName name="PaxA">#REF!</definedName>
    <definedName name="PaxT">#REF!</definedName>
    <definedName name="pay" hidden="1">#REF!</definedName>
    <definedName name="Pay_Num">#REF!</definedName>
    <definedName name="payable">0</definedName>
    <definedName name="PAYACCR">#REF!</definedName>
    <definedName name="PAYINPUT">#REF!</definedName>
    <definedName name="Payment">#REF!</definedName>
    <definedName name="Payment_Number">ROW()-Header_Row</definedName>
    <definedName name="Payment_system">#REF!</definedName>
    <definedName name="Payment_type">#REF!</definedName>
    <definedName name="payment1" hidden="1">#REF!</definedName>
    <definedName name="Payments">#REF!</definedName>
    <definedName name="PayoutAmount">#REF!</definedName>
    <definedName name="PayoutDept">#REF!</definedName>
    <definedName name="PAYROLL">#REF!</definedName>
    <definedName name="Payroll_Statement">#REF!</definedName>
    <definedName name="payrolltax">#REF!</definedName>
    <definedName name="PayrollTaxRate">#REF!</definedName>
    <definedName name="paytiming">#REF!</definedName>
    <definedName name="PBC">#REF!</definedName>
    <definedName name="PBC_List">#REF!</definedName>
    <definedName name="PBT">#REF!</definedName>
    <definedName name="PC">#REF!</definedName>
    <definedName name="PCC">#REF!</definedName>
    <definedName name="PCDAT">"8/18/2008"</definedName>
    <definedName name="PCDT2">"20080818"</definedName>
    <definedName name="pcomm">0</definedName>
    <definedName name="PCTIM">"8:55:34 AM"</definedName>
    <definedName name="pcttot">398826</definedName>
    <definedName name="PData">#REF!</definedName>
    <definedName name="PDVT">#REF!</definedName>
    <definedName name="pe">#REF!</definedName>
    <definedName name="PEA">#REF!</definedName>
    <definedName name="Pechous">#REF!</definedName>
    <definedName name="Pel" hidden="1">{#N/A,#N/A,TRUE,"R&amp;D";#N/A,#N/A,TRUE,"Drct exp";#N/A,#N/A,TRUE,"OPEX";#N/A,#N/A,TRUE,"R&amp;D";#N/A,#N/A,TRUE,"S&amp;M";#N/A,#N/A,TRUE,"G&amp;A"}</definedName>
    <definedName name="pepe" hidden="1">{#N/A,#N/A,FALSE,"Pharm";#N/A,#N/A,FALSE,"WWCM"}</definedName>
    <definedName name="PEPE4" hidden="1">{#N/A,#N/A,FALSE,"Pharm";#N/A,#N/A,FALSE,"WWCM"}</definedName>
    <definedName name="PEPE5" hidden="1">{#N/A,#N/A,FALSE,"Pharm";#N/A,#N/A,FALSE,"WWCM"}</definedName>
    <definedName name="Per_Annum_Rent_First_USD">#REF!</definedName>
    <definedName name="Per_Annum_Rent_Ground_USD">#REF!</definedName>
    <definedName name="Percent">"Debtcost"</definedName>
    <definedName name="percent_multiplier">100</definedName>
    <definedName name="percent_range">#REF!</definedName>
    <definedName name="percent_range.">#REF!</definedName>
    <definedName name="percent_range..">#REF!</definedName>
    <definedName name="PERFAcctgReturn">#REF!</definedName>
    <definedName name="PERFAcctgReturnAnnlzd">#REF!</definedName>
    <definedName name="PERFAvgBal">#REF!</definedName>
    <definedName name="PERFBalDetails">#REF!</definedName>
    <definedName name="PERFChecks">#REF!</definedName>
    <definedName name="PERFHardCode">#REF!</definedName>
    <definedName name="PERFmodifieddietz">#REF!</definedName>
    <definedName name="PERFORMANCE">#REF!</definedName>
    <definedName name="PERFTaxRate">#REF!</definedName>
    <definedName name="PERFTotalReturn">#REF!</definedName>
    <definedName name="PERFTotalReturnAnnlzd">#REF!</definedName>
    <definedName name="PERFValueCheck">#REF!</definedName>
    <definedName name="PERFZeros">#REF!</definedName>
    <definedName name="Period">#REF!</definedName>
    <definedName name="PERIOD_END">#REF!</definedName>
    <definedName name="Period_From">#REF!</definedName>
    <definedName name="Period_To">#REF!</definedName>
    <definedName name="Period1">#REF!</definedName>
    <definedName name="Period11">#REF!</definedName>
    <definedName name="Period12">#REF!</definedName>
    <definedName name="Period13">#REF!</definedName>
    <definedName name="Period3">#REF!</definedName>
    <definedName name="Period4">#REF!</definedName>
    <definedName name="Period5">#REF!</definedName>
    <definedName name="Period6">#REF!</definedName>
    <definedName name="Period7">#REF!</definedName>
    <definedName name="Periodic_rate">Annual_interest_rate/#REF!</definedName>
    <definedName name="PeriodSetName1">#REF!</definedName>
    <definedName name="PERIODSETNAME2">#REF!</definedName>
    <definedName name="PERIODSETNAME3">#REF!</definedName>
    <definedName name="PERIODSETNAME4">#REF!</definedName>
    <definedName name="PERIODSETNAME5">#REF!</definedName>
    <definedName name="PERIODSETNAME6">#REF!</definedName>
    <definedName name="PERIODYEAR1">#REF!</definedName>
    <definedName name="perp_unlev">#REF!</definedName>
    <definedName name="perp_unlev_sen">#REF!</definedName>
    <definedName name="perp_unlev1">#REF!</definedName>
    <definedName name="perp_unlev2">#REF!</definedName>
    <definedName name="perp_unlev3">#REF!</definedName>
    <definedName name="perp_unlev4">#REF!</definedName>
    <definedName name="perp_unlev5">#REF!</definedName>
    <definedName name="perro">#REF!</definedName>
    <definedName name="PERSONAL">"Button 31"</definedName>
    <definedName name="Personnel">#REF!</definedName>
    <definedName name="Perth">#REF!</definedName>
    <definedName name="PERYR">#REF!</definedName>
    <definedName name="pes" hidden="1">{#N/A,#N/A,TRUE,"CPRD";#N/A,#N/A,TRUE,"BCCPDR";#N/A,#N/A,TRUE,"EWRD";#N/A,#N/A,TRUE,"5100";#N/A,#N/A,TRUE,"5110"}</definedName>
    <definedName name="pete" hidden="1">{#N/A,#N/A,FALSE,"Bgt";#N/A,#N/A,FALSE,"Act";#N/A,#N/A,FALSE,"Chrt Data";#N/A,#N/A,FALSE,"Bus Result";#N/A,#N/A,FALSE,"Main Charts";#N/A,#N/A,FALSE,"P&amp;L Ttl";#N/A,#N/A,FALSE,"P&amp;L C_Ttl";#N/A,#N/A,FALSE,"P&amp;L C_Oct";#N/A,#N/A,FALSE,"P&amp;L C_Sep";#N/A,#N/A,FALSE,"1996";#N/A,#N/A,FALSE,"Data"}</definedName>
    <definedName name="PeterTEST">#REF!</definedName>
    <definedName name="PETTY">#REF!</definedName>
    <definedName name="PF1_L">#REF!</definedName>
    <definedName name="PFIC">#REF!</definedName>
    <definedName name="Pfizer">#REF!</definedName>
    <definedName name="PFKLE">#REF!</definedName>
    <definedName name="PG">#REF!</definedName>
    <definedName name="PG_16_104">#REF!</definedName>
    <definedName name="PG_16_150">#REF!</definedName>
    <definedName name="PG_2">#REF!</definedName>
    <definedName name="PG_4">#REF!</definedName>
    <definedName name="PG_5">#REF!</definedName>
    <definedName name="PG_Convert">#REF!</definedName>
    <definedName name="PG_LENGTH">#REF!</definedName>
    <definedName name="pg10a">#REF!</definedName>
    <definedName name="PG11A">#REF!</definedName>
    <definedName name="pg1a">#REF!</definedName>
    <definedName name="Pg1India" hidden="1">{"M3H.370",#N/A,FALSE,"SupportDetail"}</definedName>
    <definedName name="ph">#REF!</definedName>
    <definedName name="pharma" hidden="1">{#N/A,#N/A,FALSE,"Sales Graph";#N/A,#N/A,FALSE,"PSBM";#N/A,#N/A,FALSE,"BUC Graph";#N/A,#N/A,FALSE,"P&amp;L - YTD"}</definedName>
    <definedName name="PhaseOut">IF(YEAR(#REF!)=2006,60%,IF(YEAR(#REF!)=2007,40%,IF(YEAR(#REF!)=2008,20%,0)))</definedName>
    <definedName name="phil">#REF!</definedName>
    <definedName name="Philippines">#REF!</definedName>
    <definedName name="Phone">#REF!</definedName>
    <definedName name="pi">#REF!</definedName>
    <definedName name="pi_2">#REF!</definedName>
    <definedName name="pig" hidden="1">{#N/A,#N/A,TRUE,"CPRD";#N/A,#N/A,TRUE,"BCCPDR";#N/A,#N/A,TRUE,"EWRD";#N/A,#N/A,TRUE,"5100";#N/A,#N/A,TRUE,"5110"}</definedName>
    <definedName name="PillarFilename">#REF!</definedName>
    <definedName name="PingCompSheet">#REF!</definedName>
    <definedName name="PIPage2">+#REF!</definedName>
    <definedName name="Pipeline">"6-Pipeline"</definedName>
    <definedName name="pipi" hidden="1">{#N/A,#N/A,FALSE,"Pharm";#N/A,#N/A,FALSE,"WWCM"}</definedName>
    <definedName name="PIPPO">#REF!</definedName>
    <definedName name="PITTWAY">#REF!</definedName>
    <definedName name="PivotTable5.doc">#REF!</definedName>
    <definedName name="PivotTable8.doc">#REF!</definedName>
    <definedName name="PivotTableRange">#REF!</definedName>
    <definedName name="PJ_RPK">#REF!</definedName>
    <definedName name="PJAM3Yr" hidden="1">{"INCOME",#N/A,FALSE,"ProNet";"VALUE",#N/A,FALSE,"ProNet"}</definedName>
    <definedName name="pjj_pa">#REF!</definedName>
    <definedName name="PKG_LD">#N/A</definedName>
    <definedName name="PkgBrlFlow">#REF!</definedName>
    <definedName name="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PL_12">#REF!</definedName>
    <definedName name="PL_12_60">#REF!</definedName>
    <definedName name="PL_16">#REF!</definedName>
    <definedName name="PL_3">#REF!</definedName>
    <definedName name="PL_Statement">#REF!</definedName>
    <definedName name="PL_YTD">#REF!</definedName>
    <definedName name="PL1_Calc">#REF!,#REF!,#REF!,#REF!,#REF!,#REF!,#REF!,#REF!,#REF!,#REF!,#REF!,#REF!,#REF!,#REF!,#REF!,#REF!,#REF!,#REF!,#REF!,#REF!,#REF!,#REF!</definedName>
    <definedName name="PL2_Calc">#REF!,#REF!,#REF!,#REF!,#REF!,#REF!,#REF!,#REF!,#REF!,#REF!,#REF!,#REF!,#REF!,#REF!,#REF!,#REF!,#REF!,#REF!</definedName>
    <definedName name="PL3_Calc">#REF!,#REF!,#REF!,#REF!,#REF!</definedName>
    <definedName name="plac">#REF!</definedName>
    <definedName name="plan">#REF!</definedName>
    <definedName name="Plan_Type">#REF!</definedName>
    <definedName name="PLAN99FILE">#REF!</definedName>
    <definedName name="Plant">#REF!</definedName>
    <definedName name="PLANT___MACHINERY">#REF!</definedName>
    <definedName name="PLANT___MACHINERY__PRODUCTION_EQUIPMENTS">#REF!</definedName>
    <definedName name="PLANTCOST_99">#REF!</definedName>
    <definedName name="PlanTypes">#REF!</definedName>
    <definedName name="PlanVLE">#REF!</definedName>
    <definedName name="planvsact">#REF!</definedName>
    <definedName name="Plaza">#REF!</definedName>
    <definedName name="PLbeforeadj.95">#REF!</definedName>
    <definedName name="PLbeforeadj.96">#REF!</definedName>
    <definedName name="PLbeforeadj.97">#REF!</definedName>
    <definedName name="PLbeforeadj.98">#REF!</definedName>
    <definedName name="PLbeforeadj.98.10">#REF!</definedName>
    <definedName name="PLbeforeadj.98.11">#REF!</definedName>
    <definedName name="PLBS">#REF!</definedName>
    <definedName name="plbsfeb">#REF!</definedName>
    <definedName name="PLBSFEBMTH">#REF!</definedName>
    <definedName name="PLBSJan">#REF!</definedName>
    <definedName name="PLBSYTDFEB">#REF!</definedName>
    <definedName name="PLFIN">#REF!</definedName>
    <definedName name="PLGR">#REF!</definedName>
    <definedName name="Pline">#REF!</definedName>
    <definedName name="PLKACr95">#REF!</definedName>
    <definedName name="PLKACr96">#REF!</definedName>
    <definedName name="PLKACr97">#REF!</definedName>
    <definedName name="PLKACr98">#REF!</definedName>
    <definedName name="PLKACr98.10">#REF!</definedName>
    <definedName name="PLKACr98.11">#REF!</definedName>
    <definedName name="PLKADr95">#REF!</definedName>
    <definedName name="PLKADr96">#REF!</definedName>
    <definedName name="PLKADr97">#REF!</definedName>
    <definedName name="PLKADr98">#REF!</definedName>
    <definedName name="PLKADr98.10">#REF!</definedName>
    <definedName name="PLKADr98.11">#REF!</definedName>
    <definedName name="PLKGaap95">#REF!</definedName>
    <definedName name="PLKGaap96">#REF!</definedName>
    <definedName name="PLKGaap97">#REF!</definedName>
    <definedName name="PLKGaap98">#REF!</definedName>
    <definedName name="PLKGaap98.10">#REF!</definedName>
    <definedName name="PLKGaap98.11">#REF!</definedName>
    <definedName name="plmkn" hidden="1">#REF!</definedName>
    <definedName name="plNote">#REF!</definedName>
    <definedName name="PLPRODUCT">#REF!</definedName>
    <definedName name="PLrate">#REF!</definedName>
    <definedName name="pls">#REF!</definedName>
    <definedName name="PLSCH">{"'Sch B'!$B$15:$L$17"}</definedName>
    <definedName name="plsummth">#REF!</definedName>
    <definedName name="PLtotCopy">#REF!</definedName>
    <definedName name="PLUACr95">#REF!</definedName>
    <definedName name="PLUACr96">#REF!</definedName>
    <definedName name="PLUACr97">#REF!</definedName>
    <definedName name="PLUACr98">#REF!</definedName>
    <definedName name="PLUACr98.10">#REF!</definedName>
    <definedName name="PLUACr98.11">#REF!</definedName>
    <definedName name="PLUADr95">#REF!</definedName>
    <definedName name="PLUADr96">#REF!</definedName>
    <definedName name="PLUADr97">#REF!</definedName>
    <definedName name="PLUADr98">#REF!</definedName>
    <definedName name="PLUADr98.10">#REF!</definedName>
    <definedName name="PLUADr98.11">#REF!</definedName>
    <definedName name="PLUGaap95">#REF!</definedName>
    <definedName name="PLUGaap96">#REF!</definedName>
    <definedName name="PLUGaap97">#REF!</definedName>
    <definedName name="PLUGaap98">#REF!</definedName>
    <definedName name="PLUGaap98.10">#REF!</definedName>
    <definedName name="PLUGaap98.11">#REF!</definedName>
    <definedName name="PLYTD">#REF!</definedName>
    <definedName name="pm">#REF!</definedName>
    <definedName name="PMCHK">#REF!</definedName>
    <definedName name="PMIX">#REF!</definedName>
    <definedName name="pmnt">#REF!</definedName>
    <definedName name="PMTRX">#REF!</definedName>
    <definedName name="PmtTerms">#REF!</definedName>
    <definedName name="PMVPY">#REF!</definedName>
    <definedName name="PN_PA">#REF!</definedName>
    <definedName name="PN_VT">#REF!</definedName>
    <definedName name="PNAME">#REF!</definedName>
    <definedName name="pnb">#REF!</definedName>
    <definedName name="pnboptions">#REF!</definedName>
    <definedName name="Pnl" hidden="1">{#N/A,#N/A,FALSE,"Pharm";#N/A,#N/A,FALSE,"WWCM"}</definedName>
    <definedName name="PNL1_Inp">#REF!,#REF!,#REF!,#REF!,#REF!,#REF!,#REF!,#REF!,#REF!,#REF!,#REF!,#REF!,#REF!,#REF!,#REF!,#REF!,#REF!,#REF!,#REF!,#REF!</definedName>
    <definedName name="PNL2_Inp">#REF!,#REF!,#REF!,#REF!,#REF!,#REF!,#REF!,#REF!,#REF!,#REF!,#REF!,#REF!,#REF!,#REF!,#REF!,#REF!,#REF!,#REF!,#REF!,#REF!</definedName>
    <definedName name="PNT_DRAWS">#REF!</definedName>
    <definedName name="PNT_DRAWW">#REF!</definedName>
    <definedName name="PNT_INTS">#REF!</definedName>
    <definedName name="PNT_INTW">#REF!</definedName>
    <definedName name="PNT_PAYS">#REF!</definedName>
    <definedName name="PNT_PAYW">#REF!</definedName>
    <definedName name="PNT_ROLLS">#REF!</definedName>
    <definedName name="PNTMACROS">#REF!</definedName>
    <definedName name="po" hidden="1">{#N/A,#N/A,TRUE,"Monthly Wireless";#N/A,#N/A,TRUE,"Qrt Wireless";#N/A,#N/A,TRUE,"FY Wireless";#N/A,#N/A,TRUE,"1Q Wireless";#N/A,#N/A,TRUE,"2Q Wireless";#N/A,#N/A,TRUE,"3Q Wireless";#N/A,#N/A,TRUE,"4Q Wireless"}</definedName>
    <definedName name="po_2001">#REF!</definedName>
    <definedName name="poiu" hidden="1">{#N/A,#N/A,FALSE,"Actual";#N/A,#N/A,FALSE,"Normalized";#N/A,#N/A,FALSE,"Electric Actual";#N/A,#N/A,FALSE,"Electric Normalized"}</definedName>
    <definedName name="poiuy" hidden="1">#REF!</definedName>
    <definedName name="Pol">#REF!</definedName>
    <definedName name="POLICYclosedatecurrent">#REF!</definedName>
    <definedName name="polorisoft">#REF!</definedName>
    <definedName name="pols">#REF!</definedName>
    <definedName name="pols1">#REF!</definedName>
    <definedName name="POLY">#REF!</definedName>
    <definedName name="poop">39776.3847569444</definedName>
    <definedName name="PopCache_FA_MASS_ADDITIONS_AMORTIZE_NBV_FLAG" hidden="1">#REF!</definedName>
    <definedName name="PopCache_FA_MASS_ADDITIONS_ASSET_TYPE" hidden="1">#REF!</definedName>
    <definedName name="PopCache_FA_MASS_ADDITIONS_DEPRECIATE_FLAG" hidden="1">#REF!</definedName>
    <definedName name="PopCache_FA_MASS_ADDITIONS_IN_USE_FLAG" hidden="1">#REF!</definedName>
    <definedName name="PopCache_FA_MASS_ADDITIONS_INVENTORIAL" hidden="1">#REF!</definedName>
    <definedName name="PopCache_FA_MASS_ADDITIONS_NEW_USED" hidden="1">#REF!</definedName>
    <definedName name="PopCache_FA_MASS_ADDITIONS_OWNED_LEASED" hidden="1">#REF!</definedName>
    <definedName name="PopCache_FA_MASS_ADDITIONS_PROPERTY_1245_1250_CODE" hidden="1">#REF!</definedName>
    <definedName name="PopCache_FA_MASS_ADDITIONS_PROPERTY_TYPE_CODE" hidden="1">#REF!</definedName>
    <definedName name="PopCache_FA_MASS_ADDITIONS_SHORT_FISCAL_YEAR_FLAG" hidden="1">#REF!</definedName>
    <definedName name="PopCache_GL_INTERFACE_REFERENCE7" hidden="1">#REF!</definedName>
    <definedName name="Popn">{"'Sheet1'!$L$16"}</definedName>
    <definedName name="popopo" hidden="1">#REF!</definedName>
    <definedName name="porpweor" hidden="1">{#N/A,#N/A,FALSE,"Pharm";#N/A,#N/A,FALSE,"WWCM"}</definedName>
    <definedName name="port29" hidden="1">{#N/A,#N/A,FALSE,"Pharm";#N/A,#N/A,FALSE,"WWCM"}</definedName>
    <definedName name="PORTRAIT">#REF!</definedName>
    <definedName name="Post_Commence_Incentives_Period">#REF!</definedName>
    <definedName name="POSTERRORSTOSUSP1">#REF!</definedName>
    <definedName name="POSTERRORSTOSUSP2">#REF!</definedName>
    <definedName name="POSTERRORSTOSUSP3">#REF!</definedName>
    <definedName name="POSTERRORSTOSUSP4">#REF!</definedName>
    <definedName name="POSTERRORSTOSUSP5">#REF!</definedName>
    <definedName name="POSTERRORSTOSUSP6">#REF!</definedName>
    <definedName name="PostMoney">#REF!</definedName>
    <definedName name="pots">#REF!</definedName>
    <definedName name="POWER">#REF!</definedName>
    <definedName name="POY">#REF!</definedName>
    <definedName name="POYBE">#REF!</definedName>
    <definedName name="POYBE___0">#REF!</definedName>
    <definedName name="pp">#REF!</definedName>
    <definedName name="PPAccum">0</definedName>
    <definedName name="PPBOH">#N/A</definedName>
    <definedName name="PPCost">#REF!</definedName>
    <definedName name="PPEOH">#N/A</definedName>
    <definedName name="PPEuro">0</definedName>
    <definedName name="PPK" hidden="1">{#N/A,#N/A,FALSE,"96 3월물량표";#N/A,#N/A,FALSE,"96 4월물량표";#N/A,#N/A,FALSE,"96 5월물량표"}</definedName>
    <definedName name="PPL">#REF!</definedName>
    <definedName name="PPMIX">#REF!</definedName>
    <definedName name="ppp" hidden="1">{"Page1",#N/A,FALSE,"CF WKSHT";"Page2",#N/A,FALSE,"CF WKSHT"}</definedName>
    <definedName name="pppp" hidden="1">{"Page1",#N/A,FALSE,"CF WKSHT";"Page2",#N/A,FALSE,"CF WKSHT"}</definedName>
    <definedName name="pppppppppppppppppppppppppppppppppppp">#REF!</definedName>
    <definedName name="PPS">#REF!</definedName>
    <definedName name="PPSCS">#REF!</definedName>
    <definedName name="PPSPFD">#REF!</definedName>
    <definedName name="PPUpdate">0</definedName>
    <definedName name="PPWorkState">0</definedName>
    <definedName name="pq">#REF!</definedName>
    <definedName name="pr">#REF!</definedName>
    <definedName name="pra">#REF!</definedName>
    <definedName name="praba">#REF!</definedName>
    <definedName name="practicestraightline">#REF!</definedName>
    <definedName name="PRATIO">#REF!</definedName>
    <definedName name="Pravachol" hidden="1">{#N/A,#N/A,FALSE,"Pharm";#N/A,#N/A,FALSE,"WWCM"}</definedName>
    <definedName name="PRDN">#REF!</definedName>
    <definedName name="PRDump">#REF!</definedName>
    <definedName name="PRDump.">#REF!</definedName>
    <definedName name="PRE_INS">#REF!</definedName>
    <definedName name="Precision_Text">#REF!</definedName>
    <definedName name="prefrate">#REF!</definedName>
    <definedName name="preisfaktor">#REF!</definedName>
    <definedName name="premises">#REF!</definedName>
    <definedName name="PREOPS">#REF!</definedName>
    <definedName name="PREPAID">#REF!</definedName>
    <definedName name="PREPAID_DO">#REF!</definedName>
    <definedName name="PREPAID_DOA">#REF!</definedName>
    <definedName name="PREPAID_OTHER">#REF!</definedName>
    <definedName name="PREPAIDA">#REF!</definedName>
    <definedName name="Prepaids">#REF!</definedName>
    <definedName name="PREPARED_BY">#REF!</definedName>
    <definedName name="PREPARED_DATE">#REF!</definedName>
    <definedName name="Pres">#REF!</definedName>
    <definedName name="presen">#REF!</definedName>
    <definedName name="PresentationNormalA4">#REF!</definedName>
    <definedName name="PRETRIP">#REF!</definedName>
    <definedName name="PREV_DEPT_YTD">#REF!</definedName>
    <definedName name="PreviousPeriod">#REF!</definedName>
    <definedName name="prgrp">#REF!</definedName>
    <definedName name="PRI_CON">#REF!</definedName>
    <definedName name="Price">#REF!</definedName>
    <definedName name="price_share">#REF!</definedName>
    <definedName name="pricecomp">#REF!</definedName>
    <definedName name="PriceRev">#REF!</definedName>
    <definedName name="PriceWarning">#REF!</definedName>
    <definedName name="prift">#REF!</definedName>
    <definedName name="PRIME">#REF!</definedName>
    <definedName name="prin_bal">#REF!</definedName>
    <definedName name="prin_os">#REF!</definedName>
    <definedName name="Princ">#REF!</definedName>
    <definedName name="Principal">#REF!</definedName>
    <definedName name="principal_and_interest">#REF!</definedName>
    <definedName name="Principal_plus_Interest">#REF!</definedName>
    <definedName name="Print" hidden="1">{"Page1",#N/A,FALSE,"CF WKSHT";"Page2",#N/A,FALSE,"CF WKSHT"}</definedName>
    <definedName name="print.again" hidden="1">{"Page1",#N/A,FALSE,"CF WKSHT";"Page2",#N/A,FALSE,"CF WKSHT"}</definedName>
    <definedName name="Print_A1">#REF!</definedName>
    <definedName name="print_again" hidden="1">{"Page1",#N/A,FALSE,"CF WKSHT";"Page2",#N/A,FALSE,"CF WKSHT"}</definedName>
    <definedName name="print_again3" hidden="1">{"Page1",#N/A,FALSE,"CF WKSHT";"Page2",#N/A,FALSE,"CF WKSHT"}</definedName>
    <definedName name="PRINT_ALL">#REF!</definedName>
    <definedName name="_xlnm.Print_Area" localSheetId="3">'Balance Sheet'!$A$1:$BA$52</definedName>
    <definedName name="_xlnm.Print_Area" localSheetId="4">'Cash Flow'!$A$1:$BA$61</definedName>
    <definedName name="_xlnm.Print_Area" localSheetId="1">'Income Statement'!$A$1:$BA$78</definedName>
    <definedName name="_xlnm.Print_Area" localSheetId="2">'Revenue Build'!$A$1:$BA$86</definedName>
    <definedName name="_xlnm.Print_Area">#REF!</definedName>
    <definedName name="Print_Area.">#REF!</definedName>
    <definedName name="Print_Area..">#REF!</definedName>
    <definedName name="print_area_m2">#REF!</definedName>
    <definedName name="Print_Area_MI">#REF!</definedName>
    <definedName name="PRINT_AREA_MI.">#REF!</definedName>
    <definedName name="Print_Area_MI_1">#REF!</definedName>
    <definedName name="Print_Area_MI_2">#REF!</definedName>
    <definedName name="PRINT_AREA_MI1">#REF!</definedName>
    <definedName name="Print_Area_Reset">OFFSET(Full_Print,0,0,Last_Row)</definedName>
    <definedName name="Print_Area01">#REF!</definedName>
    <definedName name="Print_Area02">#REF!</definedName>
    <definedName name="Print_Areaa">#REF!</definedName>
    <definedName name="Print_B7">#REF!</definedName>
    <definedName name="PRINT_BOTH">#REF!</definedName>
    <definedName name="Print_C4">#REF!</definedName>
    <definedName name="Print_CASH_FLOW">#REF!</definedName>
    <definedName name="Print_CSC_Report_2">#REF!</definedName>
    <definedName name="Print_CSC_Report_2_1">#REF!</definedName>
    <definedName name="Print_CSC_Report_2_2">#REF!</definedName>
    <definedName name="Print_CSC_Report_2_3">#REF!</definedName>
    <definedName name="Print_CSC_Report_2_4">#REF!</definedName>
    <definedName name="PRINT_DETAILS">#REF!</definedName>
    <definedName name="Print_Instructions">#REF!</definedName>
    <definedName name="Print_macro.Print_macro">#REF!</definedName>
    <definedName name="Print_Range___0___0___0___0___0___0___0___0">#REF!</definedName>
    <definedName name="PRINT_SUMMARY">#REF!</definedName>
    <definedName name="Print_tiltes">#REF!</definedName>
    <definedName name="_xlnm.Print_Titles">#N/A</definedName>
    <definedName name="Print_Titles_MI">#REF!</definedName>
    <definedName name="PRINT1">#REF!</definedName>
    <definedName name="Print2" hidden="1">{"Page1",#N/A,FALSE,"CF WKSHT";"Page2",#N/A,FALSE,"CF WKSHT"}</definedName>
    <definedName name="Print3" hidden="1">{"Page1",#N/A,FALSE,"CF WKSHT";"Page2",#N/A,FALSE,"CF WKSHT"}</definedName>
    <definedName name="print6" hidden="1">{"Page1",#N/A,FALSE,"CF WKSHT";"Page2",#N/A,FALSE,"CF WKSHT"}</definedName>
    <definedName name="PRINTALL">#REF!</definedName>
    <definedName name="PrintManagerQuery">#REF!</definedName>
    <definedName name="PrintPreview">#REF!</definedName>
    <definedName name="PrintSelectedSheetsMacroButton">#REF!</definedName>
    <definedName name="PRIOR">" 5"</definedName>
    <definedName name="PRIOREOM">#REF!</definedName>
    <definedName name="pro">#REF!</definedName>
    <definedName name="probers">{"'327012'!$A$2:$L$63"}</definedName>
    <definedName name="problem1">#REF!</definedName>
    <definedName name="PROD">#REF!</definedName>
    <definedName name="prod2000">5445341</definedName>
    <definedName name="prod2001">5032306</definedName>
    <definedName name="ProdAcct">#REF!</definedName>
    <definedName name="ProdForm">#REF!</definedName>
    <definedName name="ProdForm1">#REF!</definedName>
    <definedName name="ProdMarket2">#REF!</definedName>
    <definedName name="prodndty">#REF!</definedName>
    <definedName name="prodnspun">#REF!</definedName>
    <definedName name="produa">{"'Trend_Total'!$A$7:$V$10","'Trend_Total'!$A$1:$V$4"}</definedName>
    <definedName name="product">#REF!</definedName>
    <definedName name="Product_Class">#REF!</definedName>
    <definedName name="product_set">{"'Trend_Total'!$A$7:$V$10","'Trend_Total'!$A$1:$V$4"}</definedName>
    <definedName name="product_set2">#REF!</definedName>
    <definedName name="PRODUCTION">#REF!</definedName>
    <definedName name="productivity">#REF!</definedName>
    <definedName name="Prof">#REF!</definedName>
    <definedName name="Prof_Loss">#REF!</definedName>
    <definedName name="PROFIT">#REF!</definedName>
    <definedName name="Profit___loss_account">#REF!</definedName>
    <definedName name="PROFIT___LOSS_ACCOUNT_FOR_THE_YEAR_ENDED_MARCH_31__2001">#REF!</definedName>
    <definedName name="Profit_Loss">#REF!</definedName>
    <definedName name="Profit_Loss.">#REF!</definedName>
    <definedName name="profit_Loss_Grouping1">#REF!</definedName>
    <definedName name="profit_Loss_Grouping2">#REF!</definedName>
    <definedName name="ProfitA">#REF!</definedName>
    <definedName name="ProfitA.">#REF!</definedName>
    <definedName name="ProfitA..">#REF!</definedName>
    <definedName name="profits">#REF!</definedName>
    <definedName name="Proforma">#REF!</definedName>
    <definedName name="Profservs1">#REF!</definedName>
    <definedName name="Profsvs2">#REF!</definedName>
    <definedName name="Program" hidden="1">{"PRVSN",#N/A,FALSE,"Q196";"PRVSN",#N/A,FALSE,"Q296";"PRVSN",#N/A,FALSE,"Q396";"PRVSN",#N/A,FALSE,"Q496";"VARIANCES",#N/A,FALSE,"Q196";"VARIANCES",#N/A,FALSE,"Q296"}</definedName>
    <definedName name="Program_for_output_FooterType">"INTERNAL"</definedName>
    <definedName name="Programs">#REF!</definedName>
    <definedName name="proj">#REF!</definedName>
    <definedName name="ProjDesc">#REF!</definedName>
    <definedName name="Project">#REF!</definedName>
    <definedName name="project_1">{"Client Name or Project Name"}</definedName>
    <definedName name="project_2">{"Client Name or Project Name"}</definedName>
    <definedName name="PROJECT_COST">#REF!</definedName>
    <definedName name="Project_name">#REF!</definedName>
    <definedName name="PROJECT_TYPES">#REF!</definedName>
    <definedName name="Projection_FooterType">"INTERNAL"</definedName>
    <definedName name="ProjectName">{"Client Name or Project Name"}</definedName>
    <definedName name="ProjectName_1">{"Client Name or Project Name"}</definedName>
    <definedName name="ProjectName_1_1">{"Client Name or Project Name"}</definedName>
    <definedName name="ProjectName_1_2">{"Client Name or Project Name"}</definedName>
    <definedName name="ProjectName_1_3">{"Client Name or Project Name"}</definedName>
    <definedName name="ProjectName_2">{"Client Name or Project Name"}</definedName>
    <definedName name="ProjectName_2_1">{"Client Name or Project Name"}</definedName>
    <definedName name="ProjectName_2_2">{"Client Name or Project Name"}</definedName>
    <definedName name="ProjectName_2_3">{"Client Name or Project Name"}</definedName>
    <definedName name="ProjectName_3">{"Client Name or Project Name"}</definedName>
    <definedName name="ProjectName_3_1">{"Client Name or Project Name"}</definedName>
    <definedName name="ProjectName_3_2">{"Client Name or Project Name"}</definedName>
    <definedName name="ProjectName_4">{"Client Name or Project Name"}</definedName>
    <definedName name="ProjectName_5">{"Client Name or Project Name"}</definedName>
    <definedName name="ProjectName1">{"Client Name or Project Name"}</definedName>
    <definedName name="projectname2">{"Client Name or Project Name"}</definedName>
    <definedName name="projectname2_1">{"Client Name or Project Name"}</definedName>
    <definedName name="projectname2_2">{"Client Name or Project Name"}</definedName>
    <definedName name="projectname2_3">{"Client Name or Project Name"}</definedName>
    <definedName name="projectname2_4">{"Client Name or Project Name"}</definedName>
    <definedName name="projectname2_5">{"Client Name or Project Name"}</definedName>
    <definedName name="projectname21">{"Client Name or Project Name"}</definedName>
    <definedName name="ProjName">#REF!</definedName>
    <definedName name="prolinks_12fca4561471421bbde6bb4c3b6559c9">#REF!</definedName>
    <definedName name="prolinks_27d8c586dacc494eb536ff3e924c5029">#REF!</definedName>
    <definedName name="prolinks_2b48bd77dff247f5821ba8660a159e0c">#REF!</definedName>
    <definedName name="prolinks_3a95135bf07e434ab6faa5ff8f1364a4">#REF!</definedName>
    <definedName name="prolinks_5331ac37af6f43619b93c542e2c9fea3">#REF!</definedName>
    <definedName name="prolinks_7de02fb113c748058a7a35438fccba94">#REF!</definedName>
    <definedName name="prolinks_954c8837c508456faef7ab9186ec2050">#REF!</definedName>
    <definedName name="prolinks_99ed6b79b94549a794ed1ea407d0f33a">#REF!</definedName>
    <definedName name="prolinks_c43d2076c9aa4e25ae3e908b99183320">#REF!</definedName>
    <definedName name="prolinks_ceac50bca970425da033a7639ce91efe">#REF!</definedName>
    <definedName name="prolinks_ee48fe29268c47cd817e4e2c616ea0ea">#REF!</definedName>
    <definedName name="property">680000</definedName>
    <definedName name="PROPERTY_DESCRIPTION">"rating"</definedName>
    <definedName name="property04">614491</definedName>
    <definedName name="PROPINC">1</definedName>
    <definedName name="prot">#REF!</definedName>
    <definedName name="proteus" hidden="1">#REF!</definedName>
    <definedName name="prov" hidden="1">{#N/A,#N/A,FALSE,"Taxblinc";#N/A,#N/A,FALSE,"Rsvsacls"}</definedName>
    <definedName name="prov.forinc.taxes">#REF!</definedName>
    <definedName name="PROV_DO">#REF!</definedName>
    <definedName name="PROV_DOA">#REF!</definedName>
    <definedName name="Prov1">#REF!</definedName>
    <definedName name="Prov2">#REF!</definedName>
    <definedName name="PROVA">#REF!</definedName>
    <definedName name="provcy">#REF!</definedName>
    <definedName name="provision">#REF!</definedName>
    <definedName name="PROVISIONS">#REF!</definedName>
    <definedName name="provly">#REF!</definedName>
    <definedName name="prpayment">0</definedName>
    <definedName name="PRR">{"'status'!$B$2:$H$15"}</definedName>
    <definedName name="PrtMajMaint">#REF!</definedName>
    <definedName name="PrtOffsite">#REF!</definedName>
    <definedName name="PrtPrecomm">#REF!</definedName>
    <definedName name="PrtSetup">#REF!</definedName>
    <definedName name="pry">#REF!</definedName>
    <definedName name="ps">#REF!</definedName>
    <definedName name="PSC_FooterType">"INTERNAL"</definedName>
    <definedName name="PSF">#REF!</definedName>
    <definedName name="PSF___0">#REF!</definedName>
    <definedName name="PSIdata">#REF!</definedName>
    <definedName name="PSM">#REF!</definedName>
    <definedName name="PSMBegMMF">#REF!</definedName>
    <definedName name="PSMColumnRefs">#REF!</definedName>
    <definedName name="PSMEndMMF">#REF!</definedName>
    <definedName name="PSMPurchID">#REF!</definedName>
    <definedName name="PSMSalesMatsID">#REF!</definedName>
    <definedName name="PSWSeries_0_0_Labels">#REF!</definedName>
    <definedName name="PSWSeries_0_0_Values">#REF!</definedName>
    <definedName name="PSWSeries_1_0_Labels">#REF!</definedName>
    <definedName name="PSWSeries_1_0_Values">#REF!</definedName>
    <definedName name="PSWSeries_2_0_Labels">#REF!</definedName>
    <definedName name="PSWSeries_2_0_Values">#REF!</definedName>
    <definedName name="PSWSeries_3_0_Labels">#REF!</definedName>
    <definedName name="PSWSeries_3_0_Values">#REF!</definedName>
    <definedName name="PSWSeries_3_1_Labels">#REF!</definedName>
    <definedName name="PSWSeries_3_1_Values">#REF!</definedName>
    <definedName name="PSWSeries_3_2_Labels">#REF!</definedName>
    <definedName name="PSWSeries_3_2_Values">#REF!</definedName>
    <definedName name="Ptas">#REF!</definedName>
    <definedName name="PTEeXToEUR" hidden="1">1/EUReXToPTE</definedName>
    <definedName name="PTree_SensitivityAnalysis_AnalysisType">0</definedName>
    <definedName name="PTree_SensitivityAnalysis_GraphsDisplayPercentageChange">FALSE</definedName>
    <definedName name="PTree_SensitivityAnalysis_IncludeSensitivityGraph">FALSE</definedName>
    <definedName name="PTree_SensitivityAnalysis_IncludeSpiderGraph">FALSE</definedName>
    <definedName name="PTree_SensitivityAnalysis_IncludeStrategyRegion">TRUE</definedName>
    <definedName name="PTree_SensitivityAnalysis_IncludeTornadoGraph">TRUE</definedName>
    <definedName name="PTree_SensitivityAnalysis_Inputs_1_AlternateCellLabel">""</definedName>
    <definedName name="PTree_SensitivityAnalysis_Inputs_1_BaseValueIsAutomatic">TRUE</definedName>
    <definedName name="PTree_SensitivityAnalysis_Inputs_1_MaintainProbabilityNormalization">FALSE</definedName>
    <definedName name="PTree_SensitivityAnalysis_Inputs_1_ManualBaseValue">0</definedName>
    <definedName name="PTree_SensitivityAnalysis_Inputs_1_Maximum">25</definedName>
    <definedName name="PTree_SensitivityAnalysis_Inputs_1_Minimum">-25</definedName>
    <definedName name="PTree_SensitivityAnalysis_Inputs_1_OneWayAnalysis">1</definedName>
    <definedName name="PTree_SensitivityAnalysis_Inputs_1_Steps">11</definedName>
    <definedName name="PTree_SensitivityAnalysis_Inputs_1_TwoWayAnalysis">0</definedName>
    <definedName name="PTree_SensitivityAnalysis_Inputs_1_VariationMethod">0</definedName>
    <definedName name="PTree_SensitivityAnalysis_Inputs_2_AlternateCellLabel">""</definedName>
    <definedName name="PTree_SensitivityAnalysis_Inputs_2_BaseValueIsAutomatic">TRUE</definedName>
    <definedName name="PTree_SensitivityAnalysis_Inputs_2_MaintainProbabilityNormalization">FALSE</definedName>
    <definedName name="PTree_SensitivityAnalysis_Inputs_2_ManualBaseValue">0</definedName>
    <definedName name="PTree_SensitivityAnalysis_Inputs_2_Maximum">25</definedName>
    <definedName name="PTree_SensitivityAnalysis_Inputs_2_Minimum">-25</definedName>
    <definedName name="PTree_SensitivityAnalysis_Inputs_2_OneWayAnalysis">1</definedName>
    <definedName name="PTree_SensitivityAnalysis_Inputs_2_Steps">11</definedName>
    <definedName name="PTree_SensitivityAnalysis_Inputs_2_TwoWayAnalysis">0</definedName>
    <definedName name="PTree_SensitivityAnalysis_Inputs_2_VariationMethod">0</definedName>
    <definedName name="PTree_SensitivityAnalysis_Inputs_3_AlternateCellLabel">""</definedName>
    <definedName name="PTree_SensitivityAnalysis_Inputs_3_BaseValueIsAutomatic">TRUE</definedName>
    <definedName name="PTree_SensitivityAnalysis_Inputs_3_MaintainProbabilityNormalization">FALSE</definedName>
    <definedName name="PTree_SensitivityAnalysis_Inputs_3_ManualBaseValue">0</definedName>
    <definedName name="PTree_SensitivityAnalysis_Inputs_3_Maximum">25</definedName>
    <definedName name="PTree_SensitivityAnalysis_Inputs_3_Minimum">-25</definedName>
    <definedName name="PTree_SensitivityAnalysis_Inputs_3_OneWayAnalysis">1</definedName>
    <definedName name="PTree_SensitivityAnalysis_Inputs_3_Steps">11</definedName>
    <definedName name="PTree_SensitivityAnalysis_Inputs_3_TwoWayAnalysis">0</definedName>
    <definedName name="PTree_SensitivityAnalysis_Inputs_3_VariationMethod">0</definedName>
    <definedName name="PTree_SensitivityAnalysis_Inputs_4_AlternateCellLabel">""</definedName>
    <definedName name="PTree_SensitivityAnalysis_Inputs_4_BaseValueIsAutomatic">TRUE</definedName>
    <definedName name="PTree_SensitivityAnalysis_Inputs_4_MaintainProbabilityNormalization">FALSE</definedName>
    <definedName name="PTree_SensitivityAnalysis_Inputs_4_ManualBaseValue">0</definedName>
    <definedName name="PTree_SensitivityAnalysis_Inputs_4_Maximum">25</definedName>
    <definedName name="PTree_SensitivityAnalysis_Inputs_4_Minimum">-25</definedName>
    <definedName name="PTree_SensitivityAnalysis_Inputs_4_OneWayAnalysis">1</definedName>
    <definedName name="PTree_SensitivityAnalysis_Inputs_4_Steps">11</definedName>
    <definedName name="PTree_SensitivityAnalysis_Inputs_4_TwoWayAnalysis">0</definedName>
    <definedName name="PTree_SensitivityAnalysis_Inputs_4_VariationMethod">0</definedName>
    <definedName name="PTree_SensitivityAnalysis_Inputs_5_AlternateCellLabel">"1 Year Shift in Commercial CFs"</definedName>
    <definedName name="PTree_SensitivityAnalysis_Inputs_5_BaseValueIsAutomatic">TRUE</definedName>
    <definedName name="PTree_SensitivityAnalysis_Inputs_5_MaintainProbabilityNormalization">FALSE</definedName>
    <definedName name="PTree_SensitivityAnalysis_Inputs_5_ManualBaseValue">0</definedName>
    <definedName name="PTree_SensitivityAnalysis_Inputs_5_Maximum">11.5</definedName>
    <definedName name="PTree_SensitivityAnalysis_Inputs_5_Minimum">-11.5</definedName>
    <definedName name="PTree_SensitivityAnalysis_Inputs_5_OneWayAnalysis">1</definedName>
    <definedName name="PTree_SensitivityAnalysis_Inputs_5_Steps">11</definedName>
    <definedName name="PTree_SensitivityAnalysis_Inputs_5_TwoWayAnalysis">0</definedName>
    <definedName name="PTree_SensitivityAnalysis_Inputs_5_VariationMethod">0</definedName>
    <definedName name="PTree_SensitivityAnalysis_Inputs_Count">5</definedName>
    <definedName name="PTree_SensitivityAnalysis_Output_AlternateCellLabel">""</definedName>
    <definedName name="PTree_SensitivityAnalysis_Output_OutputType">1</definedName>
    <definedName name="PTree_SensitivityAnalysis_Output_StartingNode">#REF!(#REF!,#REF!)</definedName>
    <definedName name="PTree_SensitivityAnalysis_UpdateDisplay">FALSE</definedName>
    <definedName name="Pts">#REF!</definedName>
    <definedName name="pub">#REF!</definedName>
    <definedName name="PUB_FileID">"L10003787.xls"</definedName>
    <definedName name="PUB_UserID">"MAYERX"</definedName>
    <definedName name="Pudding">#REF!</definedName>
    <definedName name="purch">#REF!</definedName>
    <definedName name="puui" hidden="1">{#N/A,#N/A,TRUE,"Qrt BCG";#N/A,#N/A,TRUE,"Qrt w|o Wireless";#N/A,#N/A,TRUE,"Qrt Wireless"}</definedName>
    <definedName name="PV_BPO">#REF!</definedName>
    <definedName name="PV_incentives">#REF!</definedName>
    <definedName name="PV_penalties">#REF!</definedName>
    <definedName name="pwc" hidden="1">{#N/A,#N/A,FALSE,"Aging Summary";#N/A,#N/A,FALSE,"Ratio Analysis";#N/A,#N/A,FALSE,"Test 120 Day Accts";#N/A,#N/A,FALSE,"Tickmarks"}</definedName>
    <definedName name="px">"PX8"</definedName>
    <definedName name="PY">#REF!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qtrTotalExp">"$T$32"</definedName>
    <definedName name="q" hidden="1">{#N/A,#N/A,TRUE,"Condensed IS";#N/A,#N/A,TRUE,"Condensed BS";#N/A,#N/A,TRUE,"Outlook";#N/A,#N/A,TRUE,"Condensed CF";#N/A,#N/A,TRUE,"Condensed CF - qtr"}</definedName>
    <definedName name="Q_1">#REF!</definedName>
    <definedName name="q_3">#REF!</definedName>
    <definedName name="Q1_Table">#REF!</definedName>
    <definedName name="Q1_Table_x">#REF!</definedName>
    <definedName name="Q1fill" hidden="1">#REF!</definedName>
    <definedName name="Q2_Table">#REF!</definedName>
    <definedName name="Q2_Table_x">#REF!</definedName>
    <definedName name="Q218_Amort">#REF!</definedName>
    <definedName name="Q218_Bad_Debts">#REF!</definedName>
    <definedName name="Q2EP">#REF!</definedName>
    <definedName name="Q3_Table">#REF!</definedName>
    <definedName name="Q3_Table_x">#REF!</definedName>
    <definedName name="Q3versusSeg">#REF!</definedName>
    <definedName name="Q3vsSeg">#REF!</definedName>
    <definedName name="Q4_Optiplex_P4">#REF!</definedName>
    <definedName name="Q4_Table">#REF!</definedName>
    <definedName name="Q4_Table_x">#REF!</definedName>
    <definedName name="Q4BOQ">#REF!</definedName>
    <definedName name="qa" hidden="1">{#N/A,#N/A,FALSE,"Aging Summary";#N/A,#N/A,FALSE,"Ratio Analysis";#N/A,#N/A,FALSE,"Test 120 Day Accts";#N/A,#N/A,FALSE,"Tickmarks"}</definedName>
    <definedName name="qa_3">#REF!</definedName>
    <definedName name="QAMT86106">#N/A</definedName>
    <definedName name="qarere">{"'1-TheatreBkgs'!$A$1:$L$102"}</definedName>
    <definedName name="QAW" hidden="1">{#N/A,#N/A,FALSE,"을지 (4)";#N/A,#N/A,FALSE,"을지 (5)";#N/A,#N/A,FALSE,"을지 (6)"}</definedName>
    <definedName name="QB_COLUMN_2920">NA()</definedName>
    <definedName name="QB_COLUMN_2921">NA()</definedName>
    <definedName name="QB_COLUMN_2922">NA()</definedName>
    <definedName name="QB_COLUMN_2923">NA()</definedName>
    <definedName name="QB_COLUMN_2924">NA()</definedName>
    <definedName name="QB_COLUMN_2925">NA()</definedName>
    <definedName name="QB_FORMULA_0">NA()</definedName>
    <definedName name="QB_FORMULA_1">NA()</definedName>
    <definedName name="QB_FORMULA_2">NA()</definedName>
    <definedName name="QB_FORMULA_3">NA()</definedName>
    <definedName name="QB_FORMULA_4">NA()</definedName>
    <definedName name="QB_FORMULA_5">NA()</definedName>
    <definedName name="QB_FORMULA_6">NA()</definedName>
    <definedName name="QB_FORMULA_7">NA()</definedName>
    <definedName name="QB_FORMULA_8">NA()</definedName>
    <definedName name="QBCANSUPPORTUPDATE">1</definedName>
    <definedName name="QBCOMPANYFILENAME">"D:\qb\PuratoInc Jul 25 2012.QBW"</definedName>
    <definedName name="QBENDDATE">20130531</definedName>
    <definedName name="QBHEADERSONSCREEN">0</definedName>
    <definedName name="QBMETADATASIZE">5794</definedName>
    <definedName name="QBPRESERVECOLOR">1</definedName>
    <definedName name="QBPRESERVEFONT">1</definedName>
    <definedName name="QBPRESERVEROWHEIGHT">1</definedName>
    <definedName name="QBPRESERVESPACE">1</definedName>
    <definedName name="QBREPORTCOLAXIS">6</definedName>
    <definedName name="QBREPORTCOMPANYID">"915d10e64e1340228e0a86400f72d4df"</definedName>
    <definedName name="QBREPORTCOMPARECOL_ANNUALBUDGET">0</definedName>
    <definedName name="QBREPORTCOMPARECOL_AVGCOGS">0</definedName>
    <definedName name="QBREPORTCOMPARECOL_AVGPRICE">0</definedName>
    <definedName name="QBREPORTCOMPARECOL_BUDDIFF">0</definedName>
    <definedName name="QBREPORTCOMPARECOL_BUDGET">0</definedName>
    <definedName name="QBREPORTCOMPARECOL_BUDPCT">0</definedName>
    <definedName name="QBREPORTCOMPARECOL_COGS">0</definedName>
    <definedName name="QBREPORTCOMPARECOL_EXCLUDEAMOUNT">0</definedName>
    <definedName name="QBREPORTCOMPARECOL_EXCLUDECURPERIOD">0</definedName>
    <definedName name="QBREPORTCOMPARECOL_FORECAST">0</definedName>
    <definedName name="QBREPORTCOMPARECOL_GROSSMARGIN">0</definedName>
    <definedName name="QBREPORTCOMPARECOL_GROSSMARGINPCT">0</definedName>
    <definedName name="QBREPORTCOMPARECOL_HOURS">0</definedName>
    <definedName name="QBREPORTCOMPARECOL_PCTCOL">0</definedName>
    <definedName name="QBREPORTCOMPARECOL_PCTEXPENSE">0</definedName>
    <definedName name="QBREPORTCOMPARECOL_PCTINCOME">0</definedName>
    <definedName name="QBREPORTCOMPARECOL_PCTOFSALES">0</definedName>
    <definedName name="QBREPORTCOMPARECOL_PCTROW">0</definedName>
    <definedName name="QBREPORTCOMPARECOL_PPDIFF">0</definedName>
    <definedName name="QBREPORTCOMPARECOL_PPPCT">0</definedName>
    <definedName name="QBREPORTCOMPARECOL_PREVPERIOD">0</definedName>
    <definedName name="QBREPORTCOMPARECOL_PREVYEAR">0</definedName>
    <definedName name="QBREPORTCOMPARECOL_PYDIFF">0</definedName>
    <definedName name="QBREPORTCOMPARECOL_PYPCT">0</definedName>
    <definedName name="QBREPORTCOMPARECOL_QTY">0</definedName>
    <definedName name="QBREPORTCOMPARECOL_RATE">0</definedName>
    <definedName name="QBREPORTCOMPARECOL_TRIPBILLEDMILES">0</definedName>
    <definedName name="QBREPORTCOMPARECOL_TRIPBILLINGAMOUNT">0</definedName>
    <definedName name="QBREPORTCOMPARECOL_TRIPMILES">0</definedName>
    <definedName name="QBREPORTCOMPARECOL_TRIPNOTBILLABLEMILES">0</definedName>
    <definedName name="QBREPORTCOMPARECOL_TRIPTAXDEDUCTIBLEAMOUNT">0</definedName>
    <definedName name="QBREPORTCOMPARECOL_TRIPUNBILLEDMILES">0</definedName>
    <definedName name="QBREPORTCOMPARECOL_YTD">0</definedName>
    <definedName name="QBREPORTCOMPARECOL_YTDBUDGET">0</definedName>
    <definedName name="QBREPORTCOMPARECOL_YTDPCT">0</definedName>
    <definedName name="QBREPORTROWAXIS">9</definedName>
    <definedName name="QBREPORTSUBCOLAXIS">0</definedName>
    <definedName name="QBREPORTTYPE">5</definedName>
    <definedName name="QBROWHEADERS">6</definedName>
    <definedName name="QBSTARTDATE">20121231</definedName>
    <definedName name="QE" hidden="1">{#N/A,#N/A,FALSE,"초도품";#N/A,#N/A,FALSE,"초도품 (2)";#N/A,#N/A,FALSE,"초도품 (3)";#N/A,#N/A,FALSE,"초도품 (4)";#N/A,#N/A,FALSE,"초도품 (5)";#N/A,#N/A,FALSE,"초도품 (6)"}</definedName>
    <definedName name="qedate">#REF!</definedName>
    <definedName name="qeeeeq">#REF!</definedName>
    <definedName name="qer" hidden="1">{#N/A,#N/A,FALSE,"Pharm";#N/A,#N/A,FALSE,"WWCM"}</definedName>
    <definedName name="qew" hidden="1">{#N/A,#N/A,FALSE,"Pharm";#N/A,#N/A,FALSE,"WWCM"}</definedName>
    <definedName name="qff">{"'1-TheatreBkgs'!$A$1:$L$102"}</definedName>
    <definedName name="qGLJE_Sum">#REF!</definedName>
    <definedName name="qher" hidden="1">{#N/A,#N/A,FALSE,"REPORT"}</definedName>
    <definedName name="qINVA_Sum">#REF!</definedName>
    <definedName name="qITMC_Sum">#REF!</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3">#REF!</definedName>
    <definedName name="qkrtnwls" hidden="1">{#N/A,#N/A,FALSE,"Aging Summary";#N/A,#N/A,FALSE,"Ratio Analysis";#N/A,#N/A,FALSE,"Test 120 Day Accts";#N/A,#N/A,FALSE,"Tickmarks"}</definedName>
    <definedName name="qkrtnwls_3">#REF!</definedName>
    <definedName name="QLGC" hidden="1">{"CHART",#N/A,FALSE,"Arch Communications"}</definedName>
    <definedName name="qlqnsshdkd" hidden="1">{#N/A,#N/A,FALSE,"손익표지";#N/A,#N/A,FALSE,"손익계산";#N/A,#N/A,FALSE,"일반관리비";#N/A,#N/A,FALSE,"영업외수익";#N/A,#N/A,FALSE,"영업외비용";#N/A,#N/A,FALSE,"매출액";#N/A,#N/A,FALSE,"요약손익";#N/A,#N/A,FALSE,"요약대차";#N/A,#N/A,FALSE,"매출채권현황";#N/A,#N/A,FALSE,"매출채권명세"}</definedName>
    <definedName name="qMnthly_Inven_Trans">#REF!</definedName>
    <definedName name="qMORV_Sum">#REF!</definedName>
    <definedName name="qOn_Hold">#REF!</definedName>
    <definedName name="qOVAR_Sum">#REF!</definedName>
    <definedName name="qpayment">0</definedName>
    <definedName name="qq" hidden="1">{"CF",#N/A,FALSE,"Cash Flow"}</definedName>
    <definedName name="qq_3">#REF!</definedName>
    <definedName name="qq0">#REF!</definedName>
    <definedName name="qqq" hidden="1">{"KOREA",#N/A,FALSE,"M-1"}</definedName>
    <definedName name="qqqq" hidden="1">{"Page1",#N/A,FALSE,"CF WKSHT";"Page2",#N/A,FALSE,"CF WKSHT"}</definedName>
    <definedName name="qqqqq" hidden="1">#REF!</definedName>
    <definedName name="qqqqqq" hidden="1">#REF!</definedName>
    <definedName name="QQQQQQQQQQQQQQQ">#REF!</definedName>
    <definedName name="qqweq">{0,0,FALSE,0,FALSE,TRUE,0,0,0,0,0,0,0,#VALUE!,0,0,0,0,0,0,0,0,0,0,#VALUE!,0,FALSE,0,0,0,0,0,0,0,0,0,0,0,0,0,0,0,0,0,0,0,0,0,0,0,0}</definedName>
    <definedName name="QQWQ">#REF!</definedName>
    <definedName name="qr">#REF!</definedName>
    <definedName name="QRABOH">#N/A</definedName>
    <definedName name="QRAEOH">#N/A</definedName>
    <definedName name="qregt3yg">#REF!</definedName>
    <definedName name="qrwd" hidden="1">{#N/A,#N/A,FALSE,"Pharm";#N/A,#N/A,FALSE,"WWCM"}</definedName>
    <definedName name="QRYCOUNT">0</definedName>
    <definedName name="qryExcelPriceBook">#REF!</definedName>
    <definedName name="qryExcelPriceBook.">#REF!</definedName>
    <definedName name="qryFailed_Batch_Mnthly_Trans">#REF!</definedName>
    <definedName name="qryFwdDaySup_BHV">#REF!</definedName>
    <definedName name="qryFwdDaySup_DHV_Dips">#REF!</definedName>
    <definedName name="qryFwdDaySup_KCM_mar">#REF!</definedName>
    <definedName name="qryFwdDaySup_KCM_Sauces">#REF!</definedName>
    <definedName name="qryFwdDaySup_Total_Food">#REF!</definedName>
    <definedName name="qryGLJE">#REF!</definedName>
    <definedName name="qryInspection">#REF!</definedName>
    <definedName name="qryINVA">#REF!</definedName>
    <definedName name="qryITMC">#REF!</definedName>
    <definedName name="qryMnth_Hold">#REF!</definedName>
    <definedName name="qryMnth_Inspection">#REF!</definedName>
    <definedName name="qryMnth_On_Hand">#REF!</definedName>
    <definedName name="qryMnth_On_Hold">#REF!</definedName>
    <definedName name="qryMORV">#REF!</definedName>
    <definedName name="QRYNAME1">"Qlimberg"</definedName>
    <definedName name="QRYNAME2">"Qlimbergdivision"</definedName>
    <definedName name="QRYNAME20">"BQ w-o Quante &amp; Gore"</definedName>
    <definedName name="QRYNAME21">"Div P&amp;L by Qtr-without Q &amp; Gore"</definedName>
    <definedName name="QRYNAME22">"bqSlsOIWW"</definedName>
    <definedName name="QRYNAME23">"bqSlsOIWW MPP"</definedName>
    <definedName name="QRYNAME24">"bqSlsOIWW MSD"</definedName>
    <definedName name="QRYNAME25">"bqEP OP Plan"</definedName>
    <definedName name="QRYNAME26">"bqIndirectOpPlan"</definedName>
    <definedName name="QRYNAME27">"bqIndirectOpPlanHK"</definedName>
    <definedName name="QRYNAME28">"bqP&amp;LUSFcstHK"</definedName>
    <definedName name="QRYNAME29">"bqP&amp;LOUSFcstHK"</definedName>
    <definedName name="QRYNAME3">"BQ EP Dtl for OI Var OUS"</definedName>
    <definedName name="QRYNAME30">"bqEPOPPlanHK"</definedName>
    <definedName name="QRYNAME4">"BQ WWAcctspayable"</definedName>
    <definedName name="QRYNAME5">"BQ OI Var BU99998"</definedName>
    <definedName name="QRYNAME6">"BQ Hdct"</definedName>
    <definedName name="QRYNEXT">1</definedName>
    <definedName name="qryOVAR">#REF!</definedName>
    <definedName name="qryPICK">#REF!</definedName>
    <definedName name="qryPORV">#REF!</definedName>
    <definedName name="qryReserv_Roll_FG">#REF!</definedName>
    <definedName name="qryReserve_Current_By_Account">#REF!</definedName>
    <definedName name="QryRowStrCount">2</definedName>
    <definedName name="qrySHIPC">#REF!</definedName>
    <definedName name="QRYSOURCE1">"EXCELRANGE-EXPAND-BQ"</definedName>
    <definedName name="QRYSOURCE16">"IW P&amp;L Data"</definedName>
    <definedName name="QRYSOURCE2">"EXCELRANGE-EXPAND-BQ"</definedName>
    <definedName name="QRYSOURCE20">"EXCELRANGE-EXPAND"</definedName>
    <definedName name="QRYSOURCE22">"EXCELRANGE-EXPAND-BQ"</definedName>
    <definedName name="QRYSOURCE23">"EXCELRANGE-EXPAND-BQ"</definedName>
    <definedName name="QRYSOURCE24">"EXCELRANGE-EXPAND-BQ"</definedName>
    <definedName name="QRYSOURCE25">"EXCELRANGE-EXPAND-BQ"</definedName>
    <definedName name="QRYSOURCE26">"EXCELRANGE-EXPAND-BQ"</definedName>
    <definedName name="QRYSOURCE27">"EXCELRANGE-EXPAND-BQ"</definedName>
    <definedName name="QRYSOURCE28">"EXCELRANGE-EXPAND-BQ"</definedName>
    <definedName name="QRYSOURCE29">"EXCELRANGE-EXPAND-BQ"</definedName>
    <definedName name="QRYSOURCE3">"EXCELRANGE-EXPAND-BQ"</definedName>
    <definedName name="QRYSOURCE30">"EXCELRANGE-EXPAND-BQ"</definedName>
    <definedName name="QRYSOURCE4">"EXCELRANGE-EXPAND-BQ"</definedName>
    <definedName name="QRYSOURCE5">"EXCELRANGE-EXPAND-BQ"</definedName>
    <definedName name="QRYSOURCE6">"EXCELRANGE-EXPAND-BQ"</definedName>
    <definedName name="QRYWKS1">0</definedName>
    <definedName name="qscvbuh" hidden="1">#REF!</definedName>
    <definedName name="qSHIPC_Sum">#REF!</definedName>
    <definedName name="qsMTDSold_Container">#REF!</definedName>
    <definedName name="qsSPA_Trans_Detail">#REF!</definedName>
    <definedName name="qt">#REF!</definedName>
    <definedName name="QT_12">#REF!</definedName>
    <definedName name="QTD_Q2_18">#REF!</definedName>
    <definedName name="QTD_Q2_19">#REF!</definedName>
    <definedName name="QTD_Q3_18">#REF!</definedName>
    <definedName name="QTdec">#REF!</definedName>
    <definedName name="QTR">#REF!</definedName>
    <definedName name="QTR_CORP">#REF!</definedName>
    <definedName name="Qtr_dropdown">#REF!</definedName>
    <definedName name="QTR_FCST">#REF!</definedName>
    <definedName name="qtrstub">#REF!</definedName>
    <definedName name="qtrstubrate">#REF!</definedName>
    <definedName name="Qty">#REF!</definedName>
    <definedName name="qtyex">#REF!</definedName>
    <definedName name="qua">#REF!</definedName>
    <definedName name="QUANTITY">#REF!</definedName>
    <definedName name="quarter">#REF!</definedName>
    <definedName name="quarter_1">#REF!</definedName>
    <definedName name="quarter_2">#REF!</definedName>
    <definedName name="quarter_3">#REF!</definedName>
    <definedName name="quarter_4">#REF!</definedName>
    <definedName name="Quarterly">#REF!</definedName>
    <definedName name="QuarterlyBalanceSheet">#REF!</definedName>
    <definedName name="QuarterlyCashFlow">#REF!</definedName>
    <definedName name="QuarterlyIncomeStatement">#REF!</definedName>
    <definedName name="Quarterspm1">#REF!</definedName>
    <definedName name="Quarterspm2">#REF!</definedName>
    <definedName name="Quarterspm3">#REF!</definedName>
    <definedName name="Quarterspm4">#REF!</definedName>
    <definedName name="Quarterspm5">#REF!</definedName>
    <definedName name="Quarterspm6">#REF!</definedName>
    <definedName name="Query_from_TallyODBC_5">#REF!</definedName>
    <definedName name="Query1">#REF!</definedName>
    <definedName name="Query15">#REF!</definedName>
    <definedName name="Query16">#REF!</definedName>
    <definedName name="QUIT">#REF!</definedName>
    <definedName name="quit_button_Click">#REF!</definedName>
    <definedName name="QUIT2">#REF!</definedName>
    <definedName name="Quotation">#REF!</definedName>
    <definedName name="Quotation..">#REF!</definedName>
    <definedName name="QuotationSummary">#REF!</definedName>
    <definedName name="Quote">#REF!</definedName>
    <definedName name="QuoteLine">#REF!</definedName>
    <definedName name="Quyen">#REF!</definedName>
    <definedName name="qw" hidden="1">{#N/A,#N/A,FALSE,"Aging Summary";#N/A,#N/A,FALSE,"Ratio Analysis";#N/A,#N/A,FALSE,"Test 120 Day Accts";#N/A,#N/A,FALSE,"Tickmarks"}</definedName>
    <definedName name="qw_3">#REF!</definedName>
    <definedName name="QWA" hidden="1">{#N/A,#N/A,FALSE,"을지 (4)";#N/A,#N/A,FALSE,"을지 (5)";#N/A,#N/A,FALSE,"을지 (6)"}</definedName>
    <definedName name="qwcww">#REF!</definedName>
    <definedName name="qwdqwd">#REF!</definedName>
    <definedName name="qwdwdw">#REF!</definedName>
    <definedName name="qwdwqd">#REF!</definedName>
    <definedName name="QWE">#REF!</definedName>
    <definedName name="qwee.erty" hidden="1">#REF!</definedName>
    <definedName name="QWEQWEEW">#REF!</definedName>
    <definedName name="qwer" hidden="1">#REF!</definedName>
    <definedName name="qwerdngf">#REF!</definedName>
    <definedName name="qwerdngf_1">#REF!</definedName>
    <definedName name="qwerrt">#REF!</definedName>
    <definedName name="qwertyu" hidden="1">#REF!</definedName>
    <definedName name="qwerwr">#REF!</definedName>
    <definedName name="qwewqe">{"'1-TheatreBkgs'!$A$1:$L$102"}</definedName>
    <definedName name="qwqe">#REF!</definedName>
    <definedName name="qwqwqwww" hidden="1">{#N/A,#N/A,FALSE,"UNIT";#N/A,#N/A,FALSE,"UNIT";#N/A,#N/A,FALSE,"계정"}</definedName>
    <definedName name="qwqwwww" hidden="1">{#N/A,#N/A,FALSE,"UNIT";#N/A,#N/A,FALSE,"UNIT";#N/A,#N/A,FALSE,"계정"}</definedName>
    <definedName name="QWW">#REF!</definedName>
    <definedName name="qwwe">#REF!</definedName>
    <definedName name="qwwqwqw" hidden="1">{#N/A,#N/A,FALSE,"UNIT";#N/A,#N/A,FALSE,"UNIT";#N/A,#N/A,FALSE,"계정"}</definedName>
    <definedName name="qzqzqz10">#REF!</definedName>
    <definedName name="qzqzqz1000000000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_">#REF!</definedName>
    <definedName name="R_1M">#REF!</definedName>
    <definedName name="R_2M">#REF!</definedName>
    <definedName name="R_3M">#REF!</definedName>
    <definedName name="R_6M">#REF!</definedName>
    <definedName name="R_COVER" hidden="1">{#N/A,#N/A,FALSE,"단축1";#N/A,#N/A,FALSE,"단축2";#N/A,#N/A,FALSE,"단축3";#N/A,#N/A,FALSE,"장축";#N/A,#N/A,FALSE,"4WD"}</definedName>
    <definedName name="R_D">#REF!</definedName>
    <definedName name="R_Factor">#REF!</definedName>
    <definedName name="RAC물정보비">#REF!</definedName>
    <definedName name="RAC실정보제외">#REF!</definedName>
    <definedName name="RAD">#REF!</definedName>
    <definedName name="radg">#REF!</definedName>
    <definedName name="radha">#REF!</definedName>
    <definedName name="RADIALE">#REF!</definedName>
    <definedName name="Radnor">binary</definedName>
    <definedName name="RAFRFD">#REF!</definedName>
    <definedName name="RAM">#REF!</definedName>
    <definedName name="rama1">#REF!</definedName>
    <definedName name="RAMCO">#REF!</definedName>
    <definedName name="ramcoindus">#REF!</definedName>
    <definedName name="ramcosys">#REF!</definedName>
    <definedName name="ramp">#REF!</definedName>
    <definedName name="Ranbaxy">#REF!</definedName>
    <definedName name="ranbaxylabs">#REF!</definedName>
    <definedName name="range">#REF!</definedName>
    <definedName name="RANGE1">#REF!</definedName>
    <definedName name="range2">#REF!</definedName>
    <definedName name="RANGEA">#N/A</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Lookup">#REF!</definedName>
    <definedName name="RAO">#REF!</definedName>
    <definedName name="RATE">#REF!</definedName>
    <definedName name="Rate_Max">4910</definedName>
    <definedName name="Rate_Min">35</definedName>
    <definedName name="RATE1">#REF!</definedName>
    <definedName name="rate10">#REF!</definedName>
    <definedName name="rate11">#REF!</definedName>
    <definedName name="rate12">#REF!</definedName>
    <definedName name="rate13">#REF!</definedName>
    <definedName name="rate14">#REF!</definedName>
    <definedName name="rate15">#REF!</definedName>
    <definedName name="rate2">#REF!</definedName>
    <definedName name="rate3">#REF!</definedName>
    <definedName name="rate4">#REF!</definedName>
    <definedName name="rate5">#REF!</definedName>
    <definedName name="rate6">#REF!</definedName>
    <definedName name="rate7">#REF!</definedName>
    <definedName name="rate8">#REF!</definedName>
    <definedName name="rate9">#REF!</definedName>
    <definedName name="ratebyname">#REF!</definedName>
    <definedName name="RATEMASTER_99">#REF!</definedName>
    <definedName name="rates">#REF!</definedName>
    <definedName name="Rating">#REF!</definedName>
    <definedName name="Ratings">#REF!</definedName>
    <definedName name="ratingslook">#REF!</definedName>
    <definedName name="RATIO">#REF!</definedName>
    <definedName name="RATIOS">#REF!</definedName>
    <definedName name="RATIOWORK">#REF!</definedName>
    <definedName name="raw">#REF!</definedName>
    <definedName name="RAW_PACK">#REF!</definedName>
    <definedName name="RawAgencyPrice">#REF!</definedName>
    <definedName name="RawAgencyprice.">#REF!</definedName>
    <definedName name="RawData">#REF!</definedName>
    <definedName name="RawHeader">#REF!</definedName>
    <definedName name="ray">#REF!</definedName>
    <definedName name="RBData">#REF!</definedName>
    <definedName name="RBData.">#REF!</definedName>
    <definedName name="RC0_서울">#REF!</definedName>
    <definedName name="RCArea">#REF!</definedName>
    <definedName name="RCOA">#REF!</definedName>
    <definedName name="RCP">#REF!</definedName>
    <definedName name="RCS2Q2">#REF!</definedName>
    <definedName name="RCS3Q2">#REF!</definedName>
    <definedName name="RD">#REF!</definedName>
    <definedName name="RD___0">#REF!</definedName>
    <definedName name="rdrhd">#REF!</definedName>
    <definedName name="re">#REF!</definedName>
    <definedName name="RE_DEV">#REF!</definedName>
    <definedName name="REACAR">#REF!</definedName>
    <definedName name="READONLYBACKCOLOUR1">#REF!</definedName>
    <definedName name="READWRITEBACKCOLOUR1">#REF!</definedName>
    <definedName name="real_average">#REF!</definedName>
    <definedName name="real_ye">#REF!</definedName>
    <definedName name="Realisations_salevalue">#REF!</definedName>
    <definedName name="ReasonId">0</definedName>
    <definedName name="reasons">#REF!</definedName>
    <definedName name="Rebate" hidden="1">{#N/A,#N/A,FALSE,"Aging Summary";#N/A,#N/A,FALSE,"Ratio Analysis";#N/A,#N/A,FALSE,"Test 120 Day Accts";#N/A,#N/A,FALSE,"Tickmarks"}</definedName>
    <definedName name="Rebate_3">#REF!</definedName>
    <definedName name="REC">#REF!</definedName>
    <definedName name="RECAmortBeg">#REF!</definedName>
    <definedName name="RECAmortEnd">#REF!</definedName>
    <definedName name="RECAP">#REF!</definedName>
    <definedName name="RECAR">#REF!</definedName>
    <definedName name="RECBookBeg">#REF!</definedName>
    <definedName name="RECBookEnd">#REF!</definedName>
    <definedName name="RECCarryingBeg">#REF!</definedName>
    <definedName name="RECCarryingEnd">#REF!</definedName>
    <definedName name="RECCurrentBalBeg">#REF!</definedName>
    <definedName name="RECCurrentBalDiff">#REF!</definedName>
    <definedName name="RECCurrentBalEnd">#REF!</definedName>
    <definedName name="receipts">#REF!</definedName>
    <definedName name="Receivables">#REF!</definedName>
    <definedName name="RECIntRcvblBeg">#REF!</definedName>
    <definedName name="RECIntRcvblEnd">#REF!</definedName>
    <definedName name="Reclass11">#REF!</definedName>
    <definedName name="Reclass12">#REF!</definedName>
    <definedName name="Reclass13">#REF!</definedName>
    <definedName name="reclass2">#REF!</definedName>
    <definedName name="RECLiquidityBeg">#REF!</definedName>
    <definedName name="RECLiquidityEnd">#REF!</definedName>
    <definedName name="reco">#REF!</definedName>
    <definedName name="Reco_Xai">#REF!</definedName>
    <definedName name="reco1">#REF!</definedName>
    <definedName name="recon">#REF!</definedName>
    <definedName name="Recons">#REF!</definedName>
    <definedName name="_xlnm.Recorder">#REF!</definedName>
    <definedName name="Records">#REF!</definedName>
    <definedName name="Recover">#REF!</definedName>
    <definedName name="RECPositionBeg">#REF!</definedName>
    <definedName name="RECPositionEnd">#REF!</definedName>
    <definedName name="RECPrincipalBeg">#REF!</definedName>
    <definedName name="RECPrincipalEnd">#REF!</definedName>
    <definedName name="RECUnrlzdGLBeg">#REF!</definedName>
    <definedName name="RECUnrlzdGLEnd">#REF!</definedName>
    <definedName name="RECValueCheck1">#REF!</definedName>
    <definedName name="RECValueCheck2">#REF!</definedName>
    <definedName name="RedefinePrintTableRange" hidden="1">#REF!</definedName>
    <definedName name="REDEV">#REF!</definedName>
    <definedName name="redo">#REF!</definedName>
    <definedName name="REF">#REF!</definedName>
    <definedName name="Ref_1">#REF!</definedName>
    <definedName name="Ref_10">#REF!</definedName>
    <definedName name="Ref_11">#REF!</definedName>
    <definedName name="Ref_12">#REF!</definedName>
    <definedName name="Ref_13">#REF!</definedName>
    <definedName name="Ref_14">#REF!</definedName>
    <definedName name="Ref_15">#REF!</definedName>
    <definedName name="Ref_16">#REF!</definedName>
    <definedName name="Ref_17">#REF!</definedName>
    <definedName name="Ref_18">#REF!</definedName>
    <definedName name="Ref_19">#REF!</definedName>
    <definedName name="Ref_2">#REF!</definedName>
    <definedName name="Ref_20">#REF!</definedName>
    <definedName name="Ref_21">#REF!</definedName>
    <definedName name="Ref_3">#REF!</definedName>
    <definedName name="Ref_4">#REF!</definedName>
    <definedName name="Ref_5">#REF!</definedName>
    <definedName name="Ref_6">#REF!</definedName>
    <definedName name="Ref_7">#REF!</definedName>
    <definedName name="Ref_8">#REF!</definedName>
    <definedName name="Ref_9">#REF!</definedName>
    <definedName name="Ref_Sheet">#REF!</definedName>
    <definedName name="Ref_Sheet2">#REF!</definedName>
    <definedName name="reference1" hidden="1">{#N/A,#N/A,FALSE,"Aging Summary";#N/A,#N/A,FALSE,"Ratio Analysis";#N/A,#N/A,FALSE,"Test 120 Day Accts";#N/A,#N/A,FALSE,"Tickmarks"}</definedName>
    <definedName name="Refr_Cell">#REF!</definedName>
    <definedName name="RefreshArea">#REF!</definedName>
    <definedName name="REFRV">#REF!</definedName>
    <definedName name="Refund">#REF!</definedName>
    <definedName name="refunds">#REF!</definedName>
    <definedName name="RegenCost">#REF!</definedName>
    <definedName name="Regency">#REF!</definedName>
    <definedName name="region" hidden="1">{#N/A,#N/A,FALSE,"Aging Summary";#N/A,#N/A,FALSE,"Ratio Analysis";#N/A,#N/A,FALSE,"Test 120 Day Accts";#N/A,#N/A,FALSE,"Tickmarks"}</definedName>
    <definedName name="region_international">#REF!</definedName>
    <definedName name="Region_US">#REF!</definedName>
    <definedName name="regiondty">#REF!</definedName>
    <definedName name="regionytd">#REF!</definedName>
    <definedName name="Registered_Capital">#REF!</definedName>
    <definedName name="RegisteredUsers">{"'Customer Support Trends'!$A$1:$AB$13"}</definedName>
    <definedName name="RegisteredUsers2">{"'Customer Support Trends'!$A$1:$AB$13"}</definedName>
    <definedName name="Regression">#REF!</definedName>
    <definedName name="REGULAR">#REF!</definedName>
    <definedName name="regvervgervg">#REF!</definedName>
    <definedName name="regvervgervg_1">#REF!</definedName>
    <definedName name="regvervgervg_2">#REF!</definedName>
    <definedName name="regvervgervg_3">#REF!</definedName>
    <definedName name="regvervgervg_4">#REF!</definedName>
    <definedName name="RegY">#REF!</definedName>
    <definedName name="rel">#REF!</definedName>
    <definedName name="relenergy">#REF!</definedName>
    <definedName name="RELIANCE">#REF!</definedName>
    <definedName name="relindus">#REF!</definedName>
    <definedName name="remaining_warrants">#REF!</definedName>
    <definedName name="remove">#REF!</definedName>
    <definedName name="rename">#REF!</definedName>
    <definedName name="Rene">{"'Customer Support Trends'!$A$1:$AB$13"}</definedName>
    <definedName name="rene_registered3">{"'Customer Support Trends'!$A$1:$AB$13"}</definedName>
    <definedName name="rene_registeredusers2">{"'Customer Support Trends'!$A$1:$AB$13"}</definedName>
    <definedName name="Rene2">{"'Customer Support Trends'!$A$1:$AB$13"}</definedName>
    <definedName name="Renew_Subs">#REF!</definedName>
    <definedName name="Rent_Start_Date_First">#REF!</definedName>
    <definedName name="Rent_Start_Date_Ground">#REF!</definedName>
    <definedName name="rentadv">#REF!</definedName>
    <definedName name="Rental_Exp_AHNA">#REF!</definedName>
    <definedName name="Rental_Exp_ConsolGrp">#REF!</definedName>
    <definedName name="Rental_Exp_RHCO">#REF!</definedName>
    <definedName name="Rental_Exp_Uncon_Affil">#REF!</definedName>
    <definedName name="Rental_Inc_ConsolGrp">#REF!</definedName>
    <definedName name="Rental_Inc_RHCO">#REF!</definedName>
    <definedName name="Rental_Inc_Uncon_Affil">#REF!</definedName>
    <definedName name="REP">#REF!</definedName>
    <definedName name="REPAIR">#REF!</definedName>
    <definedName name="REPAIR..">#REF!</definedName>
    <definedName name="RepairedName0435">"iQShowAnnual"</definedName>
    <definedName name="RepairedName0679">"iQShowAnnual"</definedName>
    <definedName name="Repay">#REF!</definedName>
    <definedName name="REPBY">#REF!</definedName>
    <definedName name="REPLACE_AREA">#REF!</definedName>
    <definedName name="REPNAME">#REF!</definedName>
    <definedName name="REPNAME1">#REF!</definedName>
    <definedName name="REPNAME3">#REF!</definedName>
    <definedName name="report">#REF!</definedName>
    <definedName name="Report_DIM.01">"hr_emp"</definedName>
    <definedName name="REPORT_ID">#REF!</definedName>
    <definedName name="Report_MemoSortHide">TRUE</definedName>
    <definedName name="Report_ParentName.01">"Total"</definedName>
    <definedName name="Report_Version_3">"A1"</definedName>
    <definedName name="Report_WriteMemWhenOptn">2</definedName>
    <definedName name="ReportCreated">TRUE</definedName>
    <definedName name="ReportGroup" hidden="1">0</definedName>
    <definedName name="ReportPage1">#REF!</definedName>
    <definedName name="reportPl">#REF!</definedName>
    <definedName name="REPORTPRINT">#REF!</definedName>
    <definedName name="ReportTitle1">#REF!</definedName>
    <definedName name="ReportTitle2">#REF!</definedName>
    <definedName name="reps">#REF!</definedName>
    <definedName name="REQUIREBUDGETJOURNALSFLAG1">#REF!</definedName>
    <definedName name="REre.ageg._.adfd._fff._.fwefwf.">#REF!</definedName>
    <definedName name="resapr">#REF!</definedName>
    <definedName name="Reselects">#REF!</definedName>
    <definedName name="Reselects.">#REF!</definedName>
    <definedName name="Reserve">#REF!</definedName>
    <definedName name="RESERVES___SURPLUS">#REF!</definedName>
    <definedName name="Reset">#REF!</definedName>
    <definedName name="resfeb">#REF!</definedName>
    <definedName name="Residual_difference">#REF!</definedName>
    <definedName name="Residual_difference_1">#REF!</definedName>
    <definedName name="resjan">#REF!</definedName>
    <definedName name="resmar">#REF!</definedName>
    <definedName name="ResponsibilityApplicationID1">#REF!</definedName>
    <definedName name="RESPONSIBILITYAPPLICATIONID2">#REF!</definedName>
    <definedName name="RESPONSIBILITYAPPLICATIONID3">#REF!</definedName>
    <definedName name="RESPONSIBILITYAPPLICATIONID4">#REF!</definedName>
    <definedName name="RESPONSIBILITYAPPLICATIONID5">#REF!</definedName>
    <definedName name="RESPONSIBILITYAPPLICATIONID6">#REF!</definedName>
    <definedName name="ResponsibilityID1">#REF!</definedName>
    <definedName name="RESPONSIBILITYID2">#REF!</definedName>
    <definedName name="RESPONSIBILITYID3">#REF!</definedName>
    <definedName name="RESPONSIBILITYID4">#REF!</definedName>
    <definedName name="RESPONSIBILITYID5">#REF!</definedName>
    <definedName name="RESPONSIBILITYID6">#REF!</definedName>
    <definedName name="ResponsibilityName1">#REF!</definedName>
    <definedName name="RESPONSIBILITYNAME2">#REF!</definedName>
    <definedName name="RESPONSIBILITYNAME3">#REF!</definedName>
    <definedName name="RESPONSIBILITYNAME4">#REF!</definedName>
    <definedName name="RESPONSIBILITYNAME5">#REF!</definedName>
    <definedName name="RESPONSIBILITYNAME6">#REF!</definedName>
    <definedName name="resq3">#REF!</definedName>
    <definedName name="resq4">#REF!</definedName>
    <definedName name="RESTART">#REF!</definedName>
    <definedName name="RESTATED197">#REF!</definedName>
    <definedName name="Restructuring_charges">#REF!</definedName>
    <definedName name="Results">#REF!</definedName>
    <definedName name="ret">#REF!</definedName>
    <definedName name="retail" hidden="1">{#N/A,#N/A,FALSE,"Loans";#N/A,#N/A,FALSE,"Program Costs";#N/A,#N/A,FALSE,"Measures";#N/A,#N/A,FALSE,"Net Lost Rev";#N/A,#N/A,FALSE,"Incentive"}</definedName>
    <definedName name="retail_CC" hidden="1">{#N/A,#N/A,FALSE,"Loans";#N/A,#N/A,FALSE,"Program Costs";#N/A,#N/A,FALSE,"Measures";#N/A,#N/A,FALSE,"Net Lost Rev";#N/A,#N/A,FALSE,"Incentive"}</definedName>
    <definedName name="retail_CC1" hidden="1">{#N/A,#N/A,FALSE,"Loans";#N/A,#N/A,FALSE,"Program Costs";#N/A,#N/A,FALSE,"Measures";#N/A,#N/A,FALSE,"Net Lost Rev";#N/A,#N/A,FALSE,"Incentive"}</definedName>
    <definedName name="RETCARCLN">#REF!</definedName>
    <definedName name="RetChar">"
"</definedName>
    <definedName name="RETDET">#REF!</definedName>
    <definedName name="RETGLCLN">#REF!</definedName>
    <definedName name="RETGLOSS">#REF!</definedName>
    <definedName name="RETINT">#REF!</definedName>
    <definedName name="RETLCLN">#REF!</definedName>
    <definedName name="RETMPC">#REF!</definedName>
    <definedName name="RETORIG">#REF!</definedName>
    <definedName name="RETULTRA">#REF!</definedName>
    <definedName name="return">#REF!</definedName>
    <definedName name="returns">#REF!</definedName>
    <definedName name="REV">'Revenue Build'!$A$1:$AZ$454</definedName>
    <definedName name="REV_NOW">[1]Rev!$A$1:$EU$190</definedName>
    <definedName name="REV_Q1">#REF!</definedName>
    <definedName name="REV_Q2">#REF!</definedName>
    <definedName name="REV_Q3">#REF!</definedName>
    <definedName name="REV_Q4">#REF!</definedName>
    <definedName name="REV_Reclass">#REF!</definedName>
    <definedName name="Rev2Q04">#REF!</definedName>
    <definedName name="Rev3Q04">#REF!</definedName>
    <definedName name="Rev4Q04">#REF!</definedName>
    <definedName name="reval">#REF!</definedName>
    <definedName name="RevConclusion">#REF!</definedName>
    <definedName name="REVCOST">#REF!</definedName>
    <definedName name="REvCY01">#REF!</definedName>
    <definedName name="revenue">#REF!</definedName>
    <definedName name="Revenue_Licenses">"Invoice Type"</definedName>
    <definedName name="Revenue_Rate">0.05</definedName>
    <definedName name="reversal">#REF!</definedName>
    <definedName name="review">{"'Sch B'!$B$15:$L$17"}</definedName>
    <definedName name="ReviewBy">#REF!</definedName>
    <definedName name="REVLINE">#REF!</definedName>
    <definedName name="RevModel2">#REF!</definedName>
    <definedName name="revseg3sensitivitytemp">#REF!</definedName>
    <definedName name="revseg4sensitivitytemp">#REF!</definedName>
    <definedName name="revseg5sensitivitytemp">#REF!</definedName>
    <definedName name="RevStatus">#REF!</definedName>
    <definedName name="rewq">#REF!</definedName>
    <definedName name="rewq_1">#REF!</definedName>
    <definedName name="rews" hidden="1">#N/A</definedName>
    <definedName name="rewtwe">#REF!</definedName>
    <definedName name="rf">#REF!</definedName>
    <definedName name="rf2e" hidden="1">{#N/A,#N/A,FALSE,"Pharm";#N/A,#N/A,FALSE,"WWCM"}</definedName>
    <definedName name="rfbn">#REF!</definedName>
    <definedName name="rfbn_1">#REF!</definedName>
    <definedName name="rfgfg">{"'1-TheatreBkgs'!$A$1:$L$102"}</definedName>
    <definedName name="rfgvbvgsdfb">#REF!</definedName>
    <definedName name="rfgvbvgsdfb_1">#REF!</definedName>
    <definedName name="rfgvbvgsdfb_2">#REF!</definedName>
    <definedName name="rfgvbvgsdfb_3">#REF!</definedName>
    <definedName name="rfgvbvgsdfb_4">#REF!</definedName>
    <definedName name="RFSDF">BLCH</definedName>
    <definedName name="rg" hidden="1">#REF!</definedName>
    <definedName name="rgbegbver">#REF!</definedName>
    <definedName name="rgbegbver_1">#REF!</definedName>
    <definedName name="rgbegbver_2">#REF!</definedName>
    <definedName name="rgbegbver_3">#REF!</definedName>
    <definedName name="rgbegbver_4">#REF!</definedName>
    <definedName name="rgegb">{"'1-TheatreBkgs'!$A$1:$L$102"}</definedName>
    <definedName name="RGHKJH">{"'표지'!$B$5"}</definedName>
    <definedName name="RGL">#REF!</definedName>
    <definedName name="rgnyjk" hidden="1">#REF!</definedName>
    <definedName name="rhdrh">#REF!</definedName>
    <definedName name="rhrh">#REF!</definedName>
    <definedName name="rhrhr">#REF!</definedName>
    <definedName name="rhsdrhr">#REF!</definedName>
    <definedName name="ri7yk">#REF!</definedName>
    <definedName name="ri7yk_1">#REF!</definedName>
    <definedName name="Rick">#REF!</definedName>
    <definedName name="RID">#REF!</definedName>
    <definedName name="rig">#REF!</definedName>
    <definedName name="RIGHT">#REF!</definedName>
    <definedName name="rina">{"'Feb 99'!$A$1:$G$30"}</definedName>
    <definedName name="RISK">#REF!</definedName>
    <definedName name="Risk_free_rate">#REF!</definedName>
    <definedName name="Risk_level__H__M__L">#REF!</definedName>
    <definedName name="RiskAfterRecalcMacro">""</definedName>
    <definedName name="RiskAfterSimMacro">""</definedName>
    <definedName name="RiskAutoStopPercChange">1.5</definedName>
    <definedName name="RiskBeforeRecalcMacro">""</definedName>
    <definedName name="RiskBeforeSimMacro">""</definedName>
    <definedName name="RiskCollectDistributionSamples">2</definedName>
    <definedName name="RiskExcelReportsGoInNewWorkbook">TRUE</definedName>
    <definedName name="RiskExcelReportsToGenerate">6335</definedName>
    <definedName name="RiskFixedSeed">1</definedName>
    <definedName name="RiskGenerateExcelReportsAtEndOfSimulation">FALSE</definedName>
    <definedName name="RiskHasSettings">6</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#REF!</definedName>
    <definedName name="RiskSamplingType">3</definedName>
    <definedName name="RiskShowRiskWindowAtEndOfSimulation">TRUE</definedName>
    <definedName name="RiskStandardRecalc">2</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TRUE</definedName>
    <definedName name="RISK내용" hidden="1">{#N/A,#N/A,FALSE,"UNIT";#N/A,#N/A,FALSE,"UNIT";#N/A,#N/A,FALSE,"계정"}</definedName>
    <definedName name="RIT">g1clear,G1Clear2</definedName>
    <definedName name="rjhhhhhhhhhhpok">#REF!</definedName>
    <definedName name="rk" hidden="1">{#N/A,#N/A,FALSE,"BS";#N/A,#N/A,FALSE,"PL";#N/A,#N/A,FALSE,"처분";#N/A,#N/A,FALSE,"현금";#N/A,#N/A,FALSE,"매출";#N/A,#N/A,FALSE,"원가";#N/A,#N/A,FALSE,"경영"}</definedName>
    <definedName name="rkq">#REF!</definedName>
    <definedName name="RKRKR" hidden="1">{#N/A,#N/A,FALSE,"초도품";#N/A,#N/A,FALSE,"초도품 (2)";#N/A,#N/A,FALSE,"초도품 (3)";#N/A,#N/A,FALSE,"초도품 (4)";#N/A,#N/A,FALSE,"초도품 (5)";#N/A,#N/A,FALSE,"초도품 (6)"}</definedName>
    <definedName name="RKSK" hidden="1">#REF!</definedName>
    <definedName name="rla" hidden="1">{#N/A,#N/A,FALSE,"표지&amp;목차";#N/A,#N/A,FALSE,"경영현황";#N/A,#N/A,FALSE,"매출현황";#N/A,#N/A,FALSE,"매출차이분석(양식)";#N/A,#N/A,FALSE,"손익현황";#N/A,#N/A,FALSE,"손익차이분석";#N/A,#N/A,FALSE,"제품별손익";#N/A,#N/A,FALSE,"재공재고";#N/A,#N/A,FALSE,"원가추이"}</definedName>
    <definedName name="RLDBRange">#REF!</definedName>
    <definedName name="RLDBRange1">#REF!</definedName>
    <definedName name="rldbrange2">#REF!</definedName>
    <definedName name="rldbrange3">#REF!</definedName>
    <definedName name="RM">#REF!</definedName>
    <definedName name="RM___0">#REF!</definedName>
    <definedName name="RMA">#REF!</definedName>
    <definedName name="RMC">#REF!</definedName>
    <definedName name="rmcAccount">"C71120"</definedName>
    <definedName name="rmcApplication">"PROD"</definedName>
    <definedName name="rmcCategory">"ACTCD"</definedName>
    <definedName name="rmcFrequency">"QTD"</definedName>
    <definedName name="rmcName">"DMANSQ"</definedName>
    <definedName name="RMCOptions">"*200000000000000"</definedName>
    <definedName name="RMIN">#N/A</definedName>
    <definedName name="RMREOH">#N/A</definedName>
    <definedName name="RMRNOT">#N/A</definedName>
    <definedName name="RMRT">#REF!</definedName>
    <definedName name="RNAO" hidden="1">{#N/A,#N/A,FALSE,"Aging Summary";#N/A,#N/A,FALSE,"Ratio Analysis";#N/A,#N/A,FALSE,"Test 120 Day Accts";#N/A,#N/A,FALSE,"Tickmarks"}</definedName>
    <definedName name="RNAO_3">#REF!</definedName>
    <definedName name="rnarh">#REF!</definedName>
    <definedName name="rnarh_1">#REF!</definedName>
    <definedName name="RNDBOH">#N/A</definedName>
    <definedName name="RNDEOH">#N/A</definedName>
    <definedName name="RNG">#REF!</definedName>
    <definedName name="rngAddress1">#REF!</definedName>
    <definedName name="rngAddress2">#REF!</definedName>
    <definedName name="rngCoName" hidden="1">#REF!</definedName>
    <definedName name="rngContactName">#REF!</definedName>
    <definedName name="rngData_Level">OFFSET(#REF!,0,-1)</definedName>
    <definedName name="rngEmailAddress">#REF!</definedName>
    <definedName name="rngFax">#REF!</definedName>
    <definedName name="rngHead">OFFSET(#REF!,0,1)</definedName>
    <definedName name="rngLegend">OFFSET(#REF!,0,6)</definedName>
    <definedName name="rngLicenseeName">#REF!</definedName>
    <definedName name="rngMonth_Number">OFFSET(#REF!,0,3)</definedName>
    <definedName name="rngQuarter">OFFSET(#REF!,0,4)</definedName>
    <definedName name="rngRoyaltyPeriodEndDate">#REF!</definedName>
    <definedName name="rngRoyaltyPeriodStartDate">#REF!</definedName>
    <definedName name="rngTelephone">#REF!</definedName>
    <definedName name="rngUserDef_PA">OFFSET(#REF!,5,0,25,6)</definedName>
    <definedName name="rngValue_">OFFSET(#REF!,0,2)</definedName>
    <definedName name="rngYear">OFFSET(#REF!,0,5)</definedName>
    <definedName name="ro">#REF!</definedName>
    <definedName name="RO?">#REF!</definedName>
    <definedName name="ROA">#REF!</definedName>
    <definedName name="robot">#REF!</definedName>
    <definedName name="Rock2">#REF!</definedName>
    <definedName name="Rockwell">#REF!</definedName>
    <definedName name="roe">#REF!</definedName>
    <definedName name="ROI">#REF!</definedName>
    <definedName name="ROLL">#REF!</definedName>
    <definedName name="Rolta">#REF!</definedName>
    <definedName name="Ron" hidden="1">{"Page1",#N/A,FALSE,"CF WKSHT";"Page2",#N/A,FALSE,"CF WKSHT"}</definedName>
    <definedName name="RoomRevenueYTD">#REF!</definedName>
    <definedName name="RoomRevMonth">#REF!</definedName>
    <definedName name="ROOTL1">#REF!</definedName>
    <definedName name="ROOTL2">#REF!</definedName>
    <definedName name="RORIC__3_yr_rolling">#REF!</definedName>
    <definedName name="rosid">#REF!</definedName>
    <definedName name="ross">#REF!</definedName>
    <definedName name="RossJrnl">#REF!</definedName>
    <definedName name="RossJrnl1">#REF!</definedName>
    <definedName name="RossJrnl11">#REF!</definedName>
    <definedName name="RossJrnl12">#REF!</definedName>
    <definedName name="RossJrnl13">#REF!</definedName>
    <definedName name="RossJrnl3">#REF!</definedName>
    <definedName name="RossJrnl4">#REF!</definedName>
    <definedName name="RossJrnl5">#REF!</definedName>
    <definedName name="RossJrnl6">#REF!</definedName>
    <definedName name="RossJrnl7">#REF!</definedName>
    <definedName name="RossJrnlTemplate1313">#REF!</definedName>
    <definedName name="RossJrnlTemplate1841">#REF!</definedName>
    <definedName name="RossJrnlTemplate4013">#REF!</definedName>
    <definedName name="RossJrnlTemplate4014">#REF!</definedName>
    <definedName name="RossJrnlTemplate4042">#REF!</definedName>
    <definedName name="RossJrnlTemplate4046">#REF!</definedName>
    <definedName name="RossJrnlTemplate4065">#REF!</definedName>
    <definedName name="RossJrnlTemplate4545">#REF!</definedName>
    <definedName name="RossJrnlTemplate8242">#REF!</definedName>
    <definedName name="RossJrnlTemplate8270">#REF!</definedName>
    <definedName name="row">#REF!</definedName>
    <definedName name="RowDetails1">#REF!</definedName>
    <definedName name="RowDetails2">#REF!</definedName>
    <definedName name="rows_array">{"סעיף",0,"Auto","Auto",""}</definedName>
    <definedName name="rows_array00">{"סעיף",0,"Auto","Auto",""}</definedName>
    <definedName name="ROWSTOUPLOAD1">#REF!</definedName>
    <definedName name="ROWSTOUPLOAD2">#REF!</definedName>
    <definedName name="ROWSTOUPLOAD3">#REF!</definedName>
    <definedName name="ROWSTOUPLOAD4">#REF!</definedName>
    <definedName name="ROWSTOUPLOAD5">#REF!</definedName>
    <definedName name="ROWSTOUPLOAD6">#REF!</definedName>
    <definedName name="Roy_exp_Consol">#REF!</definedName>
    <definedName name="roy_exp_unconsol">#REF!</definedName>
    <definedName name="ROY_INC_CONSOL">#REF!</definedName>
    <definedName name="ROY_INC_UNCONSOL">#REF!</definedName>
    <definedName name="ROYAL">#REF!</definedName>
    <definedName name="royalties">#REF!</definedName>
    <definedName name="rp">#REF!</definedName>
    <definedName name="RP_1M">#REF!</definedName>
    <definedName name="RP_2M">#REF!</definedName>
    <definedName name="RP_3M">#REF!</definedName>
    <definedName name="RP_6M">#REF!</definedName>
    <definedName name="rPghlr" hidden="1">{#N/A,#N/A,FALSE,"기술료 비교"}</definedName>
    <definedName name="RPK_PA">#REF!</definedName>
    <definedName name="RPSP">#REF!</definedName>
    <definedName name="RPT">#REF!</definedName>
    <definedName name="RPTCOUNT">1</definedName>
    <definedName name="RPTID">0</definedName>
    <definedName name="RPTM">#REF!</definedName>
    <definedName name="RPTNEXT">2</definedName>
    <definedName name="RPTQRY1">1</definedName>
    <definedName name="RPTQRY10">"sRptNo"</definedName>
    <definedName name="RPTQRY11">5</definedName>
    <definedName name="RPTQRY12">6</definedName>
    <definedName name="RPTQRY13">16</definedName>
    <definedName name="RPTQRY14">22</definedName>
    <definedName name="RPTQRY15">18</definedName>
    <definedName name="RPTQRY16">18</definedName>
    <definedName name="RPTQRY17">19</definedName>
    <definedName name="RPTQRY18">17</definedName>
    <definedName name="RPTQRY19">17</definedName>
    <definedName name="RPTQRY2">2</definedName>
    <definedName name="RPTQRY20">17</definedName>
    <definedName name="RPTQRY21">17</definedName>
    <definedName name="RPTQRY22">17</definedName>
    <definedName name="RPTQRY23">17</definedName>
    <definedName name="RPTQRY24">17</definedName>
    <definedName name="RPTQRY25">17</definedName>
    <definedName name="RPTQRY26">17</definedName>
    <definedName name="RPTQRY27">" "</definedName>
    <definedName name="RPTQRY28">17</definedName>
    <definedName name="RPTQRY29">17</definedName>
    <definedName name="RPTQRY3">2</definedName>
    <definedName name="RPTQRY30">17</definedName>
    <definedName name="RPTQRY31">17</definedName>
    <definedName name="RPTQRY32">17</definedName>
    <definedName name="RPTQRY33">20</definedName>
    <definedName name="RPTQRY34">17</definedName>
    <definedName name="RPTQRY35">20</definedName>
    <definedName name="RPTQRY36">20</definedName>
    <definedName name="RPTQRY37">22</definedName>
    <definedName name="RPTQRY38">22</definedName>
    <definedName name="RPTQRY39">22</definedName>
    <definedName name="RPTQRY4">2</definedName>
    <definedName name="RPTQRY40">22</definedName>
    <definedName name="RPTQRY41">22</definedName>
    <definedName name="RPTQRY42">23</definedName>
    <definedName name="RPTQRY43">23</definedName>
    <definedName name="RPTQRY44">23</definedName>
    <definedName name="RPTQRY45">22</definedName>
    <definedName name="RPTQRY46">24</definedName>
    <definedName name="RPTQRY47">22</definedName>
    <definedName name="RPTQRY48">22</definedName>
    <definedName name="RPTQRY49">22</definedName>
    <definedName name="RPTQRY5">3</definedName>
    <definedName name="RPTQRY50">20</definedName>
    <definedName name="RPTQRY51">20</definedName>
    <definedName name="RPTQRY52">20</definedName>
    <definedName name="RPTQRY53">20</definedName>
    <definedName name="RPTQRY54">20</definedName>
    <definedName name="RPTQRY55">20</definedName>
    <definedName name="RPTQRY56">21</definedName>
    <definedName name="RPTQRY57">20</definedName>
    <definedName name="RPTQRY58">20</definedName>
    <definedName name="RPTQRY59">21</definedName>
    <definedName name="RPTQRY6">3</definedName>
    <definedName name="RPTQRY60">20</definedName>
    <definedName name="RPTQRY61">20</definedName>
    <definedName name="RPTQRY62">21</definedName>
    <definedName name="RPTQRY63">20</definedName>
    <definedName name="RPTQRY64">24</definedName>
    <definedName name="RPTQRY65">23</definedName>
    <definedName name="RPTQRY66">25</definedName>
    <definedName name="RPTQRY67">25</definedName>
    <definedName name="RPTQRY68">25</definedName>
    <definedName name="RPTQRY69">26</definedName>
    <definedName name="RPTQRY7">2</definedName>
    <definedName name="RPTQRY70">25</definedName>
    <definedName name="RPTQRY71">24</definedName>
    <definedName name="RPTQRY72">29</definedName>
    <definedName name="RPTQRY8">1</definedName>
    <definedName name="RPTQRY9">4</definedName>
    <definedName name="RR">#REF!</definedName>
    <definedName name="RR.BRAKE" hidden="1">{#N/A,#N/A,FALSE,"단축1";#N/A,#N/A,FALSE,"단축2";#N/A,#N/A,FALSE,"단축3";#N/A,#N/A,FALSE,"장축";#N/A,#N/A,FALSE,"4WD"}</definedName>
    <definedName name="RR.BRK" hidden="1">{#N/A,#N/A,FALSE,"단축1";#N/A,#N/A,FALSE,"단축2";#N/A,#N/A,FALSE,"단축3";#N/A,#N/A,FALSE,"장축";#N/A,#N/A,FALSE,"4WD"}</definedName>
    <definedName name="rrate">#REF!</definedName>
    <definedName name="RRR" hidden="1">#REF!</definedName>
    <definedName name="rrrrr" hidden="1">#REF!</definedName>
    <definedName name="rrrrrr">#REF!</definedName>
    <definedName name="rrrrrrrr" hidden="1">{#N/A,#N/A,FALSE,"Pharm";#N/A,#N/A,FALSE,"WWCM"}</definedName>
    <definedName name="rrrrrrrrr" hidden="1">{#N/A,#N/A,FALSE,"Pharm";#N/A,#N/A,FALSE,"WWCM"}</definedName>
    <definedName name="RRRRRRRRRR">#REF!</definedName>
    <definedName name="RRRRRRRRRRRRRR">#REF!</definedName>
    <definedName name="rrrrrrrrrrrrrrrr" hidden="1">{#N/A,#N/A,FALSE,"Pharm";#N/A,#N/A,FALSE,"WWCM"}</definedName>
    <definedName name="rrrrrrrrrrrrrrrrrrrrrr" hidden="1">{#N/A,#N/A,FALSE,"Pharm";#N/A,#N/A,FALSE,"WWCM"}</definedName>
    <definedName name="rrrrrrrrrrrrrrrrrrrrrrrrrrrrrr" hidden="1">{#N/A,#N/A,FALSE,"Pharm";#N/A,#N/A,FALSE,"WWCM"}</definedName>
    <definedName name="rrrrrrrrrrrrrrrrrrrrrrrrrrrrrrr" hidden="1">{#N/A,#N/A,FALSE,"Pharm";#N/A,#N/A,FALSE,"WWCM"}</definedName>
    <definedName name="rs">#REF!</definedName>
    <definedName name="Rs.2.25">#REF!</definedName>
    <definedName name="rse">#REF!</definedName>
    <definedName name="RSP">#REF!</definedName>
    <definedName name="RSprod1">#REF!</definedName>
    <definedName name="RSprod2">#REF!</definedName>
    <definedName name="RSU">#REF!</definedName>
    <definedName name="RSUdata">#REF!</definedName>
    <definedName name="rsurp">#REF!</definedName>
    <definedName name="RT">#REF!</definedName>
    <definedName name="RTE">{"'Planning Data'!$A$2:$X$120"}</definedName>
    <definedName name="rth">{"'표지'!$B$5"}</definedName>
    <definedName name="RTHHGH">{"'표지'!$B$5"}</definedName>
    <definedName name="RTIN">#N/A</definedName>
    <definedName name="RTM">#REF!</definedName>
    <definedName name="rtrt">{"'1-TheatreBkgs'!$A$1:$L$102"}</definedName>
    <definedName name="rtrttrttrtr">#REF!</definedName>
    <definedName name="rtsslk" hidden="1">{"'Planning Data'!$A$2:$X$120"}</definedName>
    <definedName name="rtty" hidden="1">{#N/A,#N/A,FALSE,"UNIT";#N/A,#N/A,FALSE,"UNIT";#N/A,#N/A,FALSE,"계정"}</definedName>
    <definedName name="rttyu" hidden="1">#REF!</definedName>
    <definedName name="rttyyu" hidden="1">#REF!</definedName>
    <definedName name="rtukytk">#REF!</definedName>
    <definedName name="rtukytk_1">#REF!</definedName>
    <definedName name="rtyu">#REF!</definedName>
    <definedName name="rtyu_1">#REF!</definedName>
    <definedName name="RunBugyo">#REF!</definedName>
    <definedName name="RUNBY">#REF!</definedName>
    <definedName name="RUNDATE">#REF!</definedName>
    <definedName name="RunName">#REF!</definedName>
    <definedName name="russ">{"'Inventory &amp; Anal-Cur Wkbk'!$A$7:$AP$71"}</definedName>
    <definedName name="RV_TM">#REF!</definedName>
    <definedName name="rw">{"'Standalone List Price Trends'!$A$1:$X$56"}</definedName>
    <definedName name="rwrwr">{"'Standalone List Price Trends'!$A$1:$X$56"}</definedName>
    <definedName name="rwrwrwrwr">{"'Standalone List Price Trends'!$A$1:$X$56"}</definedName>
    <definedName name="Rwvu.Analysis." hidden="1">#REF!,#REF!,#REF!,#REF!,#REF!,#REF!</definedName>
    <definedName name="Rwvu.CurF1997." hidden="1">#REF!,#REF!,#REF!,#REF!,#REF!</definedName>
    <definedName name="Rwvu.Current." hidden="1">#REF!,#REF!,#REF!,#REF!,#REF!</definedName>
    <definedName name="Rwvu.CurrentYear." hidden="1">#REF!,#REF!,#REF!,#REF!,#REF!</definedName>
    <definedName name="Rwvu.FY_97MB." hidden="1">#REF!,#REF!</definedName>
    <definedName name="Rwvu.FY_97MF." hidden="1">#REF!,#REF!</definedName>
    <definedName name="Rwvu.FY_97REF1." hidden="1">#REF!,#REF!</definedName>
    <definedName name="Rwvu.FY_98_V2." hidden="1">#REF!,#REF!,#REF!,#REF!,#REF!</definedName>
    <definedName name="Rwvu.FY94_95Qtr." hidden="1">#REF!,#REF!,#REF!,#REF!,#REF!,#REF!</definedName>
    <definedName name="Rwvu.FY96ACTUAL." hidden="1">#REF!,#REF!</definedName>
    <definedName name="Rwvu.incearn." hidden="1">#REF!,#REF!,#REF!,#REF!,#REF!</definedName>
    <definedName name="Rwvu.PRT.">#REF!</definedName>
    <definedName name="Rwvu.qtr._.view." hidden="1">#REF!,#REF!,#REF!,#REF!,#REF!,#REF!,#REF!,#REF!,#REF!,#REF!,#REF!,#REF!</definedName>
    <definedName name="Rwvu.Report1." hidden="1">#REF!,#REF!</definedName>
    <definedName name="Rwvu.Standard._.Report." hidden="1">#REF!,#REF!,#REF!</definedName>
    <definedName name="rwwr">{"'Standalone List Price Trends'!$A$1:$X$56"}</definedName>
    <definedName name="ry">#REF!</definedName>
    <definedName name="rydhn">#REF!</definedName>
    <definedName name="rydhn_1">#REF!</definedName>
    <definedName name="ryik">#REF!</definedName>
    <definedName name="ryik_1">#REF!</definedName>
    <definedName name="ryjhn">#REF!</definedName>
    <definedName name="ryjhn_1">#REF!</definedName>
    <definedName name="ryjhtyj">#REF!</definedName>
    <definedName name="ryjhtyj_1">#REF!</definedName>
    <definedName name="ryjyj">#REF!</definedName>
    <definedName name="ryjyj_1">#REF!</definedName>
    <definedName name="RzAccounts">#REF!</definedName>
    <definedName name="RzAccounts1">#REF!</definedName>
    <definedName name="RzGroups">#REF!</definedName>
    <definedName name="s">#REF!</definedName>
    <definedName name="S_1_2">#REF!</definedName>
    <definedName name="S_10_11_12">#REF!</definedName>
    <definedName name="S_13_14___15">#REF!</definedName>
    <definedName name="S_16_17">#REF!</definedName>
    <definedName name="S_18___19">#REF!</definedName>
    <definedName name="S_20_21___22">#REF!</definedName>
    <definedName name="S_23">#REF!</definedName>
    <definedName name="S_3_4">#REF!</definedName>
    <definedName name="S_8_9">#REF!</definedName>
    <definedName name="S_AcctDes">#REF!</definedName>
    <definedName name="S_AcctNum">#REF!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RS">#REF!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fb">#REF!</definedName>
    <definedName name="s_fb_10">#REF!</definedName>
    <definedName name="s_fb_9">#REF!</definedName>
    <definedName name="s_fbi">#REF!</definedName>
    <definedName name="s_fbi_10">#REF!</definedName>
    <definedName name="s_fbi_9">#REF!</definedName>
    <definedName name="S_GrpNum">#REF!</definedName>
    <definedName name="S_Headings">#REF!</definedName>
    <definedName name="S_KeyValue">#REF!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LSRange4">#REF!</definedName>
    <definedName name="S_LSRange4Balance">#REF!</definedName>
    <definedName name="S_LSRange4Balance1">#REF!</definedName>
    <definedName name="S_LSRange4Balance2">#REF!</definedName>
    <definedName name="S_LSRange4Balance3">#REF!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Total">#REF!</definedName>
    <definedName name="S_Total1">#REF!</definedName>
    <definedName name="S_Total2">#REF!</definedName>
    <definedName name="S_Total3">#REF!</definedName>
    <definedName name="S_U">#REF!</definedName>
    <definedName name="S3a">#REF!</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#REF!</definedName>
    <definedName name="SA_PA">#REF!</definedName>
    <definedName name="saasdsf">#REF!</definedName>
    <definedName name="saasdsf_1">#REF!</definedName>
    <definedName name="saasdsf_2">#REF!</definedName>
    <definedName name="saasdsf_3">#REF!</definedName>
    <definedName name="saasdsf_4">#REF!</definedName>
    <definedName name="sabi">#REF!</definedName>
    <definedName name="SAD">#REF!</definedName>
    <definedName name="sadf">#REF!</definedName>
    <definedName name="sadfdg">{"'1-TheatreBkgs'!$A$1:$L$102"}</definedName>
    <definedName name="sadfds">{"'Trend_Total'!$A$7:$V$10","'Trend_Total'!$A$1:$V$4"}</definedName>
    <definedName name="sadfdsa">#REF!</definedName>
    <definedName name="sadfdsafsdf">#REF!</definedName>
    <definedName name="sadfg">{"'Trend_Total'!$A$7:$V$10","'Trend_Total'!$A$1:$V$4"}</definedName>
    <definedName name="sadfsadfasadf">#REF!</definedName>
    <definedName name="sadfsdfsdfsaf">#REF!</definedName>
    <definedName name="sadg" hidden="1">{#N/A,#N/A,FALSE,"Pharm";#N/A,#N/A,FALSE,"WWCM"}</definedName>
    <definedName name="SADGF">#REF!</definedName>
    <definedName name="saf">#REF!</definedName>
    <definedName name="saff" hidden="1">{#N/A,#N/A,FALSE,"KMC최종회의(7월) 자료"}</definedName>
    <definedName name="sail">#REF!</definedName>
    <definedName name="SAINT_GOBAIN_CRYSTALS___DETECTORS_INDIA_PRIVATE_LIMITED">#REF!</definedName>
    <definedName name="sajasas">#REF!</definedName>
    <definedName name="sakuseibi">#REF!</definedName>
    <definedName name="Sal">#REF!</definedName>
    <definedName name="Salary">#REF!</definedName>
    <definedName name="Salary_Worksheets">#REF!</definedName>
    <definedName name="SALE">#N/A</definedName>
    <definedName name="SALE_SUM">#REF!</definedName>
    <definedName name="SALEBOH">#N/A</definedName>
    <definedName name="SALEEOH">#N/A</definedName>
    <definedName name="Sales">#REF!</definedName>
    <definedName name="Sales_by_Country_by_Group_99">#REF!</definedName>
    <definedName name="Sales_Funnel">#REF!</definedName>
    <definedName name="Sales_INR">#REF!</definedName>
    <definedName name="Sales_Rs">#REF!</definedName>
    <definedName name="Sales_Tax_Rate_2015">#REF!</definedName>
    <definedName name="Sales_USD">#REF!</definedName>
    <definedName name="Sales_USD_48.614">#REF!</definedName>
    <definedName name="Sales1">#REF!</definedName>
    <definedName name="Sales2">#REF!</definedName>
    <definedName name="SalesA">#REF!</definedName>
    <definedName name="salesdata">#REF!</definedName>
    <definedName name="SalesJ">#REF!</definedName>
    <definedName name="SALESPLAN">#REF!</definedName>
    <definedName name="SALESPLAN.">#REF!</definedName>
    <definedName name="SALESPROJ">#REF!</definedName>
    <definedName name="SALESPROJ.">#REF!</definedName>
    <definedName name="SalesR">#REF!</definedName>
    <definedName name="salesrep">#REF!</definedName>
    <definedName name="sally" hidden="1">{#N/A,#N/A,FALSE,"Pharm";#N/A,#N/A,FALSE,"WWCM"}</definedName>
    <definedName name="salsum">#REF!</definedName>
    <definedName name="sam">#REF!</definedName>
    <definedName name="SAMBOH">#N/A</definedName>
    <definedName name="same" hidden="1">{#N/A,#N/A,FALSE,"Summary";#N/A,#N/A,FALSE,"Fed.State Prov";#N/A,#N/A,FALSE,"Foreign Prov";#N/A,#N/A,FALSE,"Thera Fgrn";#N/A,#N/A,FALSE,"CCD Fgrn";#N/A,#N/A,FALSE,"Biocine Fgrn";#N/A,#N/A,FALSE,"Vision Fgrn";#N/A,#N/A,FALSE,"Frgn vs Dom"}</definedName>
    <definedName name="SAMEOH">#N/A</definedName>
    <definedName name="sample">{"'Customer Support Trends'!$A$1:$AB$13"}</definedName>
    <definedName name="sANOFI" hidden="1">{#N/A,#N/A,FALSE,"Pharm";#N/A,#N/A,FALSE,"WWCM"}</definedName>
    <definedName name="sao">#REF!</definedName>
    <definedName name="SAP_ByDesign_R0001">#REF!</definedName>
    <definedName name="SAP_ByDesign_R0002">#REF!</definedName>
    <definedName name="SAP_ByDesign_R0003">#REF!</definedName>
    <definedName name="SAP_ByDesign_R0004">#REF!</definedName>
    <definedName name="SAP_ByDesign_R0005">#REF!</definedName>
    <definedName name="SAP_ByDesign_R0006">#REF!</definedName>
    <definedName name="SAP_ByDesign_R0007">#REF!</definedName>
    <definedName name="SAP_ByDesign_R0008">#REF!</definedName>
    <definedName name="SAP_ByDesign_R0009">#REF!</definedName>
    <definedName name="SAP_ByDesign_R0010">#REF!</definedName>
    <definedName name="SAP_ByDesign_R0015">#REF!</definedName>
    <definedName name="SAP_ByDesign_T0002RP_TITLE">#REF!</definedName>
    <definedName name="SAP_ByDesign_T0003RP_TITLE">#REF!</definedName>
    <definedName name="SAP_ByDesign_T0004RP_TITLE">#REF!</definedName>
    <definedName name="SAP_ByDesign_T0005RP_TITLE">#REF!</definedName>
    <definedName name="SAP_ByDesign_T0006RP_TITLE">#REF!</definedName>
    <definedName name="SAP_ByDesign_T0007RP_TITLE">#REF!</definedName>
    <definedName name="SAP_ByDesign_T0009RP_TITLE">#REF!</definedName>
    <definedName name="SAP_ByDesign_T0010RP_TITLE">#REF!</definedName>
    <definedName name="SAPBEX">5</definedName>
    <definedName name="SAPBEXdnldView" hidden="1">"447PMR2NX272FB4OX3679YRJI"</definedName>
    <definedName name="SAPBEXhrIndnt" hidden="1">1</definedName>
    <definedName name="SAPBEXr">9</definedName>
    <definedName name="SAPBEXrevision" hidden="1">1</definedName>
    <definedName name="SAPBEXrevision_1">159</definedName>
    <definedName name="SAPBEXsysID" hidden="1">"BWP"</definedName>
    <definedName name="SAPBEXw">"3TZDSACWB6YEYPZ98R0Y0CK07"</definedName>
    <definedName name="SAPBEXwbID" hidden="1">"437R7F6551XMDJ6GBZFJ8D5BE"</definedName>
    <definedName name="SAPBEXwbID_1">"ER8Y4QNGQ0TZGTOU3DGOBEICT"</definedName>
    <definedName name="SAPBEXwbID2">"3TZDSACWB6YEYPZ98R0Y0CK07"</definedName>
    <definedName name="SAPFuncF4Help">#REF!()</definedName>
    <definedName name="SAPsysID" hidden="1">"708C5W7SBKP804JT78WJ0JNKI"</definedName>
    <definedName name="SAPwbID" hidden="1">"ARS"</definedName>
    <definedName name="sary">#REF!</definedName>
    <definedName name="sasa">#REF!</definedName>
    <definedName name="sasd" hidden="1">{#N/A,#N/A,FALSE,"KMC최종회의(7월) 자료"}</definedName>
    <definedName name="sasdf" hidden="1">{#N/A,#N/A,FALSE,"KMC최종회의(7월) 자료"}</definedName>
    <definedName name="sasdfkj">#REF!</definedName>
    <definedName name="sasdsaf">#REF!</definedName>
    <definedName name="sasf" hidden="1">{#N/A,#N/A,FALSE,"KMC최종회의(7월) 자료"}</definedName>
    <definedName name="satyamcomp">#REF!</definedName>
    <definedName name="Save_Delay">#REF!</definedName>
    <definedName name="SaveReason">FALSE</definedName>
    <definedName name="SaveReasonCell">0</definedName>
    <definedName name="SaveReasonPosHdrId">0</definedName>
    <definedName name="SaveWorkbookNo">#REF!</definedName>
    <definedName name="SaveWorkbookYes">#REF!</definedName>
    <definedName name="sb">#REF!</definedName>
    <definedName name="SBC">#REF!</definedName>
    <definedName name="SBI">#REF!</definedName>
    <definedName name="SBI__APCC_">#REF!</definedName>
    <definedName name="SBI_APCC">#REF!</definedName>
    <definedName name="SBR_TOP_Rs">#REF!</definedName>
    <definedName name="SBR_TOP_USD">#REF!</definedName>
    <definedName name="sc" hidden="1">{#N/A,#N/A,TRUE,"Condensed IS";#N/A,#N/A,TRUE,"Condensed BS";#N/A,#N/A,TRUE,"Outlook";#N/A,#N/A,TRUE,"Condensed CF";#N/A,#N/A,TRUE,"Condensed CF - qtr"}</definedName>
    <definedName name="Scenarios">#REF!</definedName>
    <definedName name="SCf">#REF!</definedName>
    <definedName name="sch">#REF!</definedName>
    <definedName name="SCH_D">#REF!</definedName>
    <definedName name="Sch_M_Table">#REF!</definedName>
    <definedName name="Sch_to_Bs">#REF!</definedName>
    <definedName name="SCH_WH_TAX">#REF!</definedName>
    <definedName name="Sch11to13">#REF!</definedName>
    <definedName name="Sch1to5">#REF!</definedName>
    <definedName name="Sch6to10">#REF!</definedName>
    <definedName name="Sched_Pay">#REF!</definedName>
    <definedName name="SCHEDA_1.3">#REF!</definedName>
    <definedName name="Schedule">#REF!</definedName>
    <definedName name="SCHEDULE____5">#REF!</definedName>
    <definedName name="SCHEDULE___9">#REF!</definedName>
    <definedName name="SCHEDULE_1">#REF!</definedName>
    <definedName name="SCHEDULE_10_K_15">"print title"</definedName>
    <definedName name="Scheduled_Extra_Payments">#REF!</definedName>
    <definedName name="Scheduled_Monthly_Payment">#REF!</definedName>
    <definedName name="ScheduleDate">#REF!</definedName>
    <definedName name="schs">#REF!</definedName>
    <definedName name="SCHVI_IV">#REF!</definedName>
    <definedName name="scms">580000</definedName>
    <definedName name="SCOA">#REF!</definedName>
    <definedName name="SCOAREC">#REF!</definedName>
    <definedName name="scomm">0</definedName>
    <definedName name="ScoreFrcstCategory">#REF!</definedName>
    <definedName name="ScoreFrcstMargin">#REF!</definedName>
    <definedName name="ScoreFrcstRevenue">#REF!</definedName>
    <definedName name="ScoreMargin">#REF!</definedName>
    <definedName name="SCRAP">{"'subnets'!$A$1:$F$20"}</definedName>
    <definedName name="SCRAP_1">{"'subnets'!$A$1:$F$20"}</definedName>
    <definedName name="SCRAP_2">{"'subnets'!$A$1:$F$20"}</definedName>
    <definedName name="SCRAP_3">{"'subnets'!$A$1:$F$20"}</definedName>
    <definedName name="SCRAP_4">{"'subnets'!$A$1:$F$20"}</definedName>
    <definedName name="SCRAP_5">{"'subnets'!$A$1:$F$20"}</definedName>
    <definedName name="SCRBOH">#N/A</definedName>
    <definedName name="SCREOH">#N/A</definedName>
    <definedName name="scs">#REF!</definedName>
    <definedName name="sd">#REF!</definedName>
    <definedName name="sd_1">#REF!</definedName>
    <definedName name="sd_2">#REF!</definedName>
    <definedName name="sd_3">#REF!</definedName>
    <definedName name="sd_4">#REF!</definedName>
    <definedName name="SD_SB">#REF!</definedName>
    <definedName name="sda">#REF!</definedName>
    <definedName name="sda_1">#REF!</definedName>
    <definedName name="sda_2">#REF!</definedName>
    <definedName name="sda_3">#REF!</definedName>
    <definedName name="sda_4">#REF!</definedName>
    <definedName name="sdaddsa">#REF!</definedName>
    <definedName name="sdaddsa_3">#REF!</definedName>
    <definedName name="sdaf">#REF!</definedName>
    <definedName name="sdaf_1">#REF!</definedName>
    <definedName name="sdaf_2">#REF!</definedName>
    <definedName name="sdaf_3">#REF!</definedName>
    <definedName name="sdaf_4">#REF!</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adfad" hidden="1">{#N/A,#N/A,FALSE,"Aging Summary";#N/A,#N/A,FALSE,"Ratio Analysis";#N/A,#N/A,FALSE,"Test 120 Day Accts";#N/A,#N/A,FALSE,"Tickmarks"}</definedName>
    <definedName name="sdafdadfad_3">#REF!</definedName>
    <definedName name="sdafds">#REF!</definedName>
    <definedName name="sdafe">#REF!</definedName>
    <definedName name="sdaff">#REF!</definedName>
    <definedName name="sdaff_1">#REF!</definedName>
    <definedName name="sdaff_2">#REF!</definedName>
    <definedName name="sdaff_3">#REF!</definedName>
    <definedName name="sdaff_4">#REF!</definedName>
    <definedName name="sdaffdsafd">#REF!</definedName>
    <definedName name="sdaffdsafd_1">#REF!</definedName>
    <definedName name="sdaffdsafd_2">#REF!</definedName>
    <definedName name="sdaffdsafd_3">#REF!</definedName>
    <definedName name="sdaffdsafd_4">#REF!</definedName>
    <definedName name="sdaflkej">#REF!</definedName>
    <definedName name="sdafsdafsaf">#REF!</definedName>
    <definedName name="sdafsdfadsfasfa">#REF!</definedName>
    <definedName name="sdas" hidden="1">{"Total",#N/A,FALSE,"Six Fields";"PDP",#N/A,FALSE,"Six Fields";"PNP",#N/A,FALSE,"Six Fields";"PUD",#N/A,FALSE,"Six Fields";"Prob",#N/A,FALSE,"Six Fields"}</definedName>
    <definedName name="sdas_1">#REF!</definedName>
    <definedName name="sdas_2">#REF!</definedName>
    <definedName name="sdas_3">#REF!</definedName>
    <definedName name="sdas_4">#REF!</definedName>
    <definedName name="sdasd">#REF!</definedName>
    <definedName name="Sdate">#REF!</definedName>
    <definedName name="sdAWSD">{"'Feb 99'!$A$1:$G$30"}</definedName>
    <definedName name="sddas">#REF!</definedName>
    <definedName name="sddas_1">#REF!</definedName>
    <definedName name="sddas_2">#REF!</definedName>
    <definedName name="sddas_3">#REF!</definedName>
    <definedName name="sddas_4">#REF!</definedName>
    <definedName name="sdf" hidden="1">{"Central",#N/A,FALSE,"Total"}</definedName>
    <definedName name="sdf_1">#REF!</definedName>
    <definedName name="sdf_2">#REF!</definedName>
    <definedName name="sdf_3">#REF!</definedName>
    <definedName name="sdf_4">#REF!</definedName>
    <definedName name="sdfa">#REF!</definedName>
    <definedName name="sdfa1">#REF!</definedName>
    <definedName name="sdfasd">#REF!</definedName>
    <definedName name="sdfasdf">#REF!</definedName>
    <definedName name="sdfasdf_1">#REF!</definedName>
    <definedName name="sdfasdf_2">#REF!</definedName>
    <definedName name="sdfasdf_3">#REF!</definedName>
    <definedName name="sdfasdf_4">#REF!</definedName>
    <definedName name="SDFASFASDF">#REF!</definedName>
    <definedName name="sdfasr">#REF!</definedName>
    <definedName name="sdfd" hidden="1">{#N/A,#N/A,TRUE,"CPRD";#N/A,#N/A,TRUE,"BCCPDR";#N/A,#N/A,TRUE,"EWRD";#N/A,#N/A,TRUE,"5100";#N/A,#N/A,TRUE,"5110"}</definedName>
    <definedName name="sdfdf">#REF!</definedName>
    <definedName name="sdfds" hidden="1">{#N/A,#N/A,FALSE,"KMC최종회의(7월) 자료"}</definedName>
    <definedName name="sdfdsf">#REF!</definedName>
    <definedName name="sdff">#REF!</definedName>
    <definedName name="sdffsd">"36AUZS02UM0VDE8AJ25O096WO"</definedName>
    <definedName name="sdfg" hidden="1">{#N/A,#N/A,FALSE,"Nov 96";#N/A,#N/A,FALSE,"Dec 96";#N/A,#N/A,FALSE,"Jan 97";#N/A,#N/A,FALSE,"Feb 97";#N/A,#N/A,FALSE,"Mar 97";#N/A,#N/A,FALSE,"Apr 97";#N/A,#N/A,FALSE,"May 97";#N/A,#N/A,FALSE,"Jun 97";#N/A,#N/A,FALSE,"Jul 97";#N/A,#N/A,FALSE,"Aug 97";#N/A,#N/A,FALSE,"Sep 97";#N/A,#N/A,FALSE,"Oct 97"}</definedName>
    <definedName name="sdfgdsggfsg">#REF!</definedName>
    <definedName name="SDFGF" hidden="1">{#N/A,#N/A,FALSE,"1";#N/A,#N/A,FALSE,"2";#N/A,#N/A,FALSE,"16 - 17";#N/A,#N/A,FALSE,"18 - 19";#N/A,#N/A,FALSE,"26";#N/A,#N/A,FALSE,"27";#N/A,#N/A,FALSE,"28"}</definedName>
    <definedName name="sdfgfds">#REF!</definedName>
    <definedName name="sdfgs">#REF!</definedName>
    <definedName name="sdfgsdfg">#REF!</definedName>
    <definedName name="sdfgsdfg_1">#REF!</definedName>
    <definedName name="sdfgsdfg_2">#REF!</definedName>
    <definedName name="sdfgsdfg_3">#REF!</definedName>
    <definedName name="sdfgsdfg_4">#REF!</definedName>
    <definedName name="sdfgsdfgbve">#REF!</definedName>
    <definedName name="sdfgsdfgbve_1">#REF!</definedName>
    <definedName name="sdfgsdfgbve_2">#REF!</definedName>
    <definedName name="sdfgsdfgbve_3">#REF!</definedName>
    <definedName name="sdfgsdfgbve_4">#REF!</definedName>
    <definedName name="sdfgsdfgsdfgs">#REF!</definedName>
    <definedName name="sdfgsdfgsdfgs_1">#REF!</definedName>
    <definedName name="sdfgsdfgsdfgs_2">#REF!</definedName>
    <definedName name="sdfgsdfgsdfgs_3">#REF!</definedName>
    <definedName name="sdfgsdfgsdfgs_4">#REF!</definedName>
    <definedName name="sdfgsdg">#REF!</definedName>
    <definedName name="sdfgsfd">#REF!</definedName>
    <definedName name="sdfgsfd_1">#REF!</definedName>
    <definedName name="sdfgsfd_2">#REF!</definedName>
    <definedName name="sdfgsfd_3">#REF!</definedName>
    <definedName name="sdfgsfd_4">#REF!</definedName>
    <definedName name="sdfh">#REF!</definedName>
    <definedName name="sdfhbtgbhtr">#REF!</definedName>
    <definedName name="sdfhbtgbhtr_1">#REF!</definedName>
    <definedName name="sdfhbtgbhtr_2">#REF!</definedName>
    <definedName name="sdfhbtgbhtr_3">#REF!</definedName>
    <definedName name="sdfhbtgbhtr_4">#REF!</definedName>
    <definedName name="sdfhdgfhdgfhdgd">#REF!</definedName>
    <definedName name="sdfhdgfhdgfhdgd_1">#REF!</definedName>
    <definedName name="sdfhdgfhdgfhdgd_2">#REF!</definedName>
    <definedName name="sdfhdgfhdgfhdgd_3">#REF!</definedName>
    <definedName name="sdfhdgfhdgfhdgd_4">#REF!</definedName>
    <definedName name="sdfhsdfgsdfgsdfg">#REF!</definedName>
    <definedName name="sdfhsdfgsdfgsdfg_1">#REF!</definedName>
    <definedName name="sdfhsdfgsdfgsdfg_2">#REF!</definedName>
    <definedName name="sdfhsdfgsdfgsdfg_3">#REF!</definedName>
    <definedName name="sdfhsdfgsdfgsdfg_4">#REF!</definedName>
    <definedName name="sdfjaskdjfkasdjfaskdfjasdf">"AS2DocumentBrowse"</definedName>
    <definedName name="sdfjdfjdfk">#REF!</definedName>
    <definedName name="sdfjh">#REF!</definedName>
    <definedName name="sdfs">#REF!</definedName>
    <definedName name="sdfs1">#REF!</definedName>
    <definedName name="sdfsa" hidden="1">{#N/A,#N/A,FALSE,"KMC최종회의(7월) 자료"}</definedName>
    <definedName name="sdfsadf">#REF!</definedName>
    <definedName name="sdfsd">#REF!</definedName>
    <definedName name="sdfsdf">#REF!</definedName>
    <definedName name="sdfsdfsdf">#REF!</definedName>
    <definedName name="sdfsdfsdfsafsdf">#REF!</definedName>
    <definedName name="sdfsdgfdfhsfdhfgshfgsjhfsh">#REF!</definedName>
    <definedName name="sdfstf">#REF!</definedName>
    <definedName name="sdfstw">{"'1-TheatreBkgs'!$A$1:$L$102"}</definedName>
    <definedName name="sdft">#REF!</definedName>
    <definedName name="sdfv">#REF!</definedName>
    <definedName name="sdfv_1">#REF!</definedName>
    <definedName name="sdg">{"'1-TheatreBkgs'!$A$1:$L$102"}</definedName>
    <definedName name="SDGSDB">#REF!</definedName>
    <definedName name="sdhr">#REF!</definedName>
    <definedName name="sdhrsh">#REF!</definedName>
    <definedName name="SDJFKSDJF">71</definedName>
    <definedName name="sdjlk">#REF!</definedName>
    <definedName name="sdrfse">#REF!</definedName>
    <definedName name="sdrgesrgergsdf">#REF!</definedName>
    <definedName name="sdrgesrgergsdf_1">#REF!</definedName>
    <definedName name="sdrgesrgergsdf_2">#REF!</definedName>
    <definedName name="sdrgesrgergsdf_3">#REF!</definedName>
    <definedName name="sdrgesrgergsdf_4">#REF!</definedName>
    <definedName name="SDS">#REF!</definedName>
    <definedName name="sds_1">{"'WS Sales by Rep'!$A$24:$L$46"}</definedName>
    <definedName name="sdsa">{"'Sheet1'!$A$5:$E$42"}</definedName>
    <definedName name="sdsd">#REF!</definedName>
    <definedName name="sdvsdvsDVVd" hidden="1">{"'Planning Data'!$A$2:$X$120"}</definedName>
    <definedName name="sdz">#REF!</definedName>
    <definedName name="SE" hidden="1">{"Q3_Fcst_Fcst_Var_Detail",#N/A,FALSE,"REPORT FORMAT";"Q3_Fcst_Fcst_Var_Summary",#N/A,FALSE,"REPORT FORMAT";"QTR_TREND_DETAIL",#N/A,FALSE,"REPORT FORMAT";"QTR_TREND_SUMMARY",#N/A,FALSE,"REPORT FORMAT"}</definedName>
    <definedName name="SEAT">#REF!</definedName>
    <definedName name="SEC">#REF!</definedName>
    <definedName name="SEC_LOAN">#REF!</definedName>
    <definedName name="SEC_서울">#REF!</definedName>
    <definedName name="section.SheduleFB">#REF!</definedName>
    <definedName name="section.SheduleFB_10">#REF!</definedName>
    <definedName name="section.SheduleFB_9">#REF!</definedName>
    <definedName name="section.SheduleFBI">#REF!</definedName>
    <definedName name="section.SheduleFBI_10">#REF!</definedName>
    <definedName name="section.SheduleFBI_9">#REF!</definedName>
    <definedName name="sectionNames">#REF!</definedName>
    <definedName name="sectionpm1">#REF!</definedName>
    <definedName name="sectionpm2">#REF!</definedName>
    <definedName name="sectionpm3">#REF!</definedName>
    <definedName name="sectionpm4">#REF!</definedName>
    <definedName name="sectionpm5">#REF!</definedName>
    <definedName name="sectionpm6">#REF!</definedName>
    <definedName name="SectionTotalRow">1</definedName>
    <definedName name="sef">#REF!</definedName>
    <definedName name="seg_equity">#REF!</definedName>
    <definedName name="Seg_LBO_Summ">#REF!</definedName>
    <definedName name="SEG1_DIRECTION1">#REF!</definedName>
    <definedName name="SEG1_FROM1">#REF!</definedName>
    <definedName name="SEG1_SORT1">#REF!</definedName>
    <definedName name="SEG1_TO1">#REF!</definedName>
    <definedName name="SEG2_DIRECTION1">#REF!</definedName>
    <definedName name="SEG2_FROM1">#REF!</definedName>
    <definedName name="SEG2_SORT1">#REF!</definedName>
    <definedName name="SEG2_TO1">#REF!</definedName>
    <definedName name="SEG3_DIRECTION1">#REF!</definedName>
    <definedName name="SEG3_FROM1">#REF!</definedName>
    <definedName name="SEG3_SORT1">#REF!</definedName>
    <definedName name="SEG3_TO1">#REF!</definedName>
    <definedName name="SEG4_DIRECTION1">#REF!</definedName>
    <definedName name="SEG4_FROM1">#REF!</definedName>
    <definedName name="SEG4_SORT1">#REF!</definedName>
    <definedName name="SEG4_TO1">#REF!</definedName>
    <definedName name="SEG5_DIRECTION1">#REF!</definedName>
    <definedName name="SEG5_FROM1">#REF!</definedName>
    <definedName name="SEG5_SORT1">#REF!</definedName>
    <definedName name="SEG5_TO1">#REF!</definedName>
    <definedName name="SEG6_DIRECTION1">#REF!</definedName>
    <definedName name="SEG6_FROM1">#REF!</definedName>
    <definedName name="SEG6_SORT1">#REF!</definedName>
    <definedName name="SEG6_TO1">#REF!</definedName>
    <definedName name="segfsdvgfsd">#REF!</definedName>
    <definedName name="SEGGEOTYPECL">#REF!</definedName>
    <definedName name="Segment">#REF!</definedName>
    <definedName name="SEGTYPEMTB">#REF!</definedName>
    <definedName name="SEGTYPEMTV">#REF!</definedName>
    <definedName name="segvx" hidden="1">{"'買掛金'!$J$6"}</definedName>
    <definedName name="SEI_rate">643000/35000000</definedName>
    <definedName name="SEJINBS" hidden="1">{#N/A,#N/A,FALSE,"정공"}</definedName>
    <definedName name="SEK">#REF!</definedName>
    <definedName name="SelCom">"Button 8"</definedName>
    <definedName name="SELECT_EPSON">#REF!</definedName>
    <definedName name="Select_Inp">#REF!,#REF!,#REF!,#REF!</definedName>
    <definedName name="SELECT_MENU">#REF!</definedName>
    <definedName name="SELECT_PRINTER">#REF!</definedName>
    <definedName name="SELECT_RESULT">#REF!</definedName>
    <definedName name="Select1_sheet0">"'Sheet1'
0
"</definedName>
    <definedName name="Select1_sheets">1</definedName>
    <definedName name="SelectedPosDtlId">1</definedName>
    <definedName name="SelectedPosHdrId">10003691</definedName>
    <definedName name="seller_note_sweep">#REF!</definedName>
    <definedName name="SellingExp">#REF!</definedName>
    <definedName name="sellingexp.">#REF!</definedName>
    <definedName name="SEMIIN">#N/A</definedName>
    <definedName name="sencount" hidden="1">1</definedName>
    <definedName name="Sep_18">#REF!</definedName>
    <definedName name="Sep_19">#REF!</definedName>
    <definedName name="Sep_20">#REF!</definedName>
    <definedName name="Sep_21">#REF!</definedName>
    <definedName name="sepaud">#REF!</definedName>
    <definedName name="SEPDATA?">#REF!</definedName>
    <definedName name="sephkd">#REF!</definedName>
    <definedName name="sepsgd">#REF!</definedName>
    <definedName name="SEPT">#REF!</definedName>
    <definedName name="sept_control_totals">#REF!</definedName>
    <definedName name="sept2000">#REF!</definedName>
    <definedName name="September">#REF!</definedName>
    <definedName name="septhb">#REF!</definedName>
    <definedName name="septwd">#REF!</definedName>
    <definedName name="sere">#REF!</definedName>
    <definedName name="sergse">#REF!</definedName>
    <definedName name="sergse_1">#REF!</definedName>
    <definedName name="Series_A_1_Preferred">#REF!</definedName>
    <definedName name="Series_A_Preferred">#REF!</definedName>
    <definedName name="serjhs">#REF!</definedName>
    <definedName name="serjhs_1">#REF!</definedName>
    <definedName name="serthtj">#REF!</definedName>
    <definedName name="serthtj_1">#REF!</definedName>
    <definedName name="sertxk">#REF!</definedName>
    <definedName name="sertxk_1">#REF!</definedName>
    <definedName name="servfee">#REF!</definedName>
    <definedName name="service">0</definedName>
    <definedName name="SERVICE_RECOVER">#REF!</definedName>
    <definedName name="ServiceLogistics">#REF!</definedName>
    <definedName name="SERVICES">#REF!</definedName>
    <definedName name="Seshmahal">#REF!</definedName>
    <definedName name="Set">" "</definedName>
    <definedName name="SetOfBooksID1">#REF!</definedName>
    <definedName name="SETOFBOOKSID2">#REF!</definedName>
    <definedName name="SETOFBOOKSID3">#REF!</definedName>
    <definedName name="SETOFBOOKSID4">#REF!</definedName>
    <definedName name="SETOFBOOKSID5">#REF!</definedName>
    <definedName name="SETOFBOOKSID6">#REF!</definedName>
    <definedName name="SetOfBooksName1">#REF!</definedName>
    <definedName name="SETOFBOOKSNAME2">#REF!</definedName>
    <definedName name="SETOFBOOKSNAME3">#REF!</definedName>
    <definedName name="SETOFBOOKSNAME4">#REF!</definedName>
    <definedName name="SETOFBOOKSNAME5">#REF!</definedName>
    <definedName name="SETOFBOOKSNAME6">#REF!</definedName>
    <definedName name="SETTINGS">#REF!</definedName>
    <definedName name="Settlement">#REF!</definedName>
    <definedName name="Setup_Practice_Number">#REF!</definedName>
    <definedName name="SETUP_PRINT">#REF!</definedName>
    <definedName name="seven">#REF!</definedName>
    <definedName name="SEVENDAY">#REF!</definedName>
    <definedName name="sex">{"'1-TheatreBkgs'!$A$1:$L$102"}</definedName>
    <definedName name="sf">#REF!</definedName>
    <definedName name="SF_ACT">#REF!</definedName>
    <definedName name="sfads">#REF!</definedName>
    <definedName name="sfasd">#REF!</definedName>
    <definedName name="sfasd_1">#REF!</definedName>
    <definedName name="sfasd_2">#REF!</definedName>
    <definedName name="sfasd_3">#REF!</definedName>
    <definedName name="sfasd_4">#REF!</definedName>
    <definedName name="sfdas">#REF!</definedName>
    <definedName name="sfdas_1">#REF!</definedName>
    <definedName name="sfdas_2">#REF!</definedName>
    <definedName name="sfdas_3">#REF!</definedName>
    <definedName name="sfdas_4">#REF!</definedName>
    <definedName name="sfdg">#REF!</definedName>
    <definedName name="SFDGD">#REF!</definedName>
    <definedName name="sfdgsar">#REF!</definedName>
    <definedName name="sfgdfg">#REF!</definedName>
    <definedName name="sfghr">#REF!</definedName>
    <definedName name="sforrest93" hidden="1">#REF!</definedName>
    <definedName name="SFS" hidden="1">#REF!</definedName>
    <definedName name="sfsdcf">#REF!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s" hidden="1">{#N/A,#N/A,FALSE,"KMC최종회의(7월) 자료"}</definedName>
    <definedName name="SG_LCAClient">#REF!</definedName>
    <definedName name="SGA">#REF!</definedName>
    <definedName name="SGA_growth">#REF!</definedName>
    <definedName name="SGA_margin_fore">#REF!</definedName>
    <definedName name="sgadg">#REF!</definedName>
    <definedName name="sgadgd">#REF!</definedName>
    <definedName name="sgag">#REF!</definedName>
    <definedName name="SGALINE">#REF!</definedName>
    <definedName name="sgasensitivitytemp">#REF!</definedName>
    <definedName name="sgd">#REF!</definedName>
    <definedName name="sgdg" hidden="1">{#N/A,#N/A,FALSE,"REPORT"}</definedName>
    <definedName name="sgdgs">#REF!</definedName>
    <definedName name="SGDXTO">"Hyperion"</definedName>
    <definedName name="sgegeg">#REF!</definedName>
    <definedName name="sgeseg">#REF!</definedName>
    <definedName name="sgf">"8S22574HODOIDG88FCJT9A4QP"</definedName>
    <definedName name="sgherhe">#REF!</definedName>
    <definedName name="sghser">#REF!</definedName>
    <definedName name="SGP_India">#REF!</definedName>
    <definedName name="SGQERVY">#REF!</definedName>
    <definedName name="sgsdfgsd" hidden="1">#REF!</definedName>
    <definedName name="sgsdg">#REF!</definedName>
    <definedName name="sGSGkj" hidden="1">{"'Planning Data'!$A$2:$X$120"}</definedName>
    <definedName name="SH">#REF!</definedName>
    <definedName name="sha">#REF!</definedName>
    <definedName name="SHAPE">#REF!</definedName>
    <definedName name="SHARE__CAPITAL">#REF!</definedName>
    <definedName name="Share_Data">#REF!</definedName>
    <definedName name="Share_Data.">#REF!</definedName>
    <definedName name="Share_Price">#REF!</definedName>
    <definedName name="share_tog">#REF!</definedName>
    <definedName name="SHARED_FORMULA_11">60958/18</definedName>
    <definedName name="SHARED_FORMULA_12">11825/18</definedName>
    <definedName name="shares_granted">#REF!</definedName>
    <definedName name="Shares_repurchase_liability">#REF!</definedName>
    <definedName name="Sheet" hidden="1">#REF!</definedName>
    <definedName name="Sheet1" hidden="1">210</definedName>
    <definedName name="Sheet1_BNE_MESSAGES">#REF!</definedName>
    <definedName name="Sheet1_BNE_MESSAGES_HIDDEN">#REF!</definedName>
    <definedName name="Sheet1_BNE_MESSAGES_LAMP">#REF!</definedName>
    <definedName name="Sheet1_BNE_UPLOAD">#REF!</definedName>
    <definedName name="Sheet1_FooterType">"EXTERNAL"</definedName>
    <definedName name="Sheet1_GL_INTERFACE_ACCOUNTING_DATE">#REF!</definedName>
    <definedName name="Sheet1_GL_INTERFACE_ACTUAL_FLAG">#REF!</definedName>
    <definedName name="Sheet1_GL_INTERFACE_CURRENCY_CODE">#REF!</definedName>
    <definedName name="Sheet1_GL_INTERFACE_DATABASE">#REF!</definedName>
    <definedName name="Sheet1_GL_INTERFACE_ENTERED_CR">#REF!</definedName>
    <definedName name="Sheet1_GL_INTERFACE_ENTERED_DR">#REF!</definedName>
    <definedName name="Sheet1_GL_INTERFACE_REFERENCE1">#REF!</definedName>
    <definedName name="Sheet1_GL_INTERFACE_REFERENCE10">#REF!</definedName>
    <definedName name="Sheet1_GL_INTERFACE_REFERENCE4">#REF!</definedName>
    <definedName name="Sheet1_GL_INTERFACE_REFERENCE5">#REF!</definedName>
    <definedName name="Sheet1_GL_INTERFACE_REFERENCE7">#REF!</definedName>
    <definedName name="Sheet1_GL_INTERFACE_REFERENCE8">#REF!</definedName>
    <definedName name="Sheet1_GL_INTERFACE_SEGMENT1">#REF!</definedName>
    <definedName name="Sheet1_GL_INTERFACE_SEGMENT2">#REF!</definedName>
    <definedName name="Sheet1_GL_INTERFACE_SEGMENT3">#REF!</definedName>
    <definedName name="Sheet1_GL_INTERFACE_SEGMENT4">#REF!</definedName>
    <definedName name="Sheet1_GL_INTERFACE_SEGMENT5">#REF!</definedName>
    <definedName name="Sheet1_GL_INTERFACE_SEGMENT6">#REF!</definedName>
    <definedName name="Sheet1_GL_INTERFACE_SET_OF_BOOKS_ID">#REF!</definedName>
    <definedName name="Sheet1_GL_INTERFACE_USER_JE_CATEGORY_NAME">#REF!</definedName>
    <definedName name="Sheet1_GL_INTERFACE_USER_JE_SOURCE_NAME">#REF!</definedName>
    <definedName name="SHEET13">#REF!</definedName>
    <definedName name="Sheet1NvsInstanceHook">Collapse_Columns</definedName>
    <definedName name="sheet2">CELL("filename")</definedName>
    <definedName name="SHEETC">#REF!</definedName>
    <definedName name="SHEETC2">#REF!</definedName>
    <definedName name="SHEETC3">#REF!</definedName>
    <definedName name="SHEETC4">#REF!</definedName>
    <definedName name="SHEETF">#REF!</definedName>
    <definedName name="SHEETF2">#REF!</definedName>
    <definedName name="SHEETF3">#REF!</definedName>
    <definedName name="SHEETF4">#REF!</definedName>
    <definedName name="SHEETG">#REF!</definedName>
    <definedName name="SHEETH">#REF!</definedName>
    <definedName name="SHEETI">#REF!</definedName>
    <definedName name="SHEETJ">#REF!</definedName>
    <definedName name="SHEETK">#REF!</definedName>
    <definedName name="SHEETL">#REF!</definedName>
    <definedName name="SHEETM">#REF!</definedName>
    <definedName name="SHEETN">#REF!</definedName>
    <definedName name="SHEETO">#REF!</definedName>
    <definedName name="SHEETP">#REF!</definedName>
    <definedName name="SHEETQ">#REF!</definedName>
    <definedName name="SHEETR">#REF!</definedName>
    <definedName name="shettetrws">#REF!</definedName>
    <definedName name="shfklashdfilasjfoiwaejoi">#REF!</definedName>
    <definedName name="shfsdfjsjf">#REF!</definedName>
    <definedName name="Shhet3" hidden="1">{#N/A,#N/A,FALSE,"Aging Summary";#N/A,#N/A,FALSE,"Ratio Analysis";#N/A,#N/A,FALSE,"Test 120 Day Accts";#N/A,#N/A,FALSE,"Tickmarks"}</definedName>
    <definedName name="SHIN" hidden="1">{#N/A,#N/A,FALSE,"P.C.B"}</definedName>
    <definedName name="ShippingCorp.">#REF!</definedName>
    <definedName name="shirley">#REF!</definedName>
    <definedName name="shirley_1">#REF!</definedName>
    <definedName name="shit">#REF!</definedName>
    <definedName name="shitttt">255</definedName>
    <definedName name="ShortTermInterestRate">0.038</definedName>
    <definedName name="shos">#REF!</definedName>
    <definedName name="ShowSeparator1">#REF!</definedName>
    <definedName name="shpr">#REF!</definedName>
    <definedName name="shrh">#REF!</definedName>
    <definedName name="Shridhar">#REF!</definedName>
    <definedName name="shrihdarsd">#REF!</definedName>
    <definedName name="shrsdh">#REF!</definedName>
    <definedName name="shsgr">#REF!</definedName>
    <definedName name="shsr">#REF!</definedName>
    <definedName name="SHT">#REF!</definedName>
    <definedName name="SHT_1">#REF!</definedName>
    <definedName name="SHT_2">#REF!</definedName>
    <definedName name="shtName" xml:space="preserve"> INDEX(#REF!,#REF!)</definedName>
    <definedName name="shuling"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i">#REF!</definedName>
    <definedName name="siannpay">#REF!</definedName>
    <definedName name="sibina" hidden="1">{#N/A,#N/A,TRUE,"CPRD";#N/A,#N/A,TRUE,"BCCPDR";#N/A,#N/A,TRUE,"EWRD";#N/A,#N/A,TRUE,"5100";#N/A,#N/A,TRUE,"5110"}</definedName>
    <definedName name="SICK">#REF!</definedName>
    <definedName name="SIDEWAYS">#REF!</definedName>
    <definedName name="Siemen">#REF!</definedName>
    <definedName name="siemens">#REF!</definedName>
    <definedName name="SierraOptima">#REF!</definedName>
    <definedName name="sig_dig">#REF!</definedName>
    <definedName name="Signatory_level">#REF!</definedName>
    <definedName name="sihrpay">#REF!</definedName>
    <definedName name="sim">#REF!</definedName>
    <definedName name="SING_Aug03">#REF!</definedName>
    <definedName name="Singapore">#REF!</definedName>
    <definedName name="siotpr">#REF!</definedName>
    <definedName name="SIP">#REF!</definedName>
    <definedName name="sirf">#REF!</definedName>
    <definedName name="SITYN">#REF!</definedName>
    <definedName name="SIW">#REF!</definedName>
    <definedName name="SIWneu">#REF!</definedName>
    <definedName name="Six">#REF!</definedName>
    <definedName name="sixty_pct">#REF!</definedName>
    <definedName name="sixty_pctneu">#REF!</definedName>
    <definedName name="SIZE">#REF!</definedName>
    <definedName name="SizingColumn">#REF!</definedName>
    <definedName name="sjfj">#REF!</definedName>
    <definedName name="sjhydjgyjufkf">#REF!</definedName>
    <definedName name="sjhydjgyjufkf_1">#REF!</definedName>
    <definedName name="sjhydjgyjufkf_2">#REF!</definedName>
    <definedName name="sjhydjgyjufkf_3">#REF!</definedName>
    <definedName name="sjhydjgyjufkf_4">#REF!</definedName>
    <definedName name="sjtshgth">#REF!</definedName>
    <definedName name="sjtshgth_1">#REF!</definedName>
    <definedName name="sjtshgth_2">#REF!</definedName>
    <definedName name="sjtshgth_3">#REF!</definedName>
    <definedName name="sjtshgth_4">#REF!</definedName>
    <definedName name="sk">"1, 3, 1, False, 2, False, False, , 0, False, True, 3, 2"</definedName>
    <definedName name="skaaldud"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skdfksaj">{"'Planning Data'!$A$2:$X$120"}</definedName>
    <definedName name="skdjfksjdf">27</definedName>
    <definedName name="SKORE_Aug03">#REF!</definedName>
    <definedName name="SKU">#REF!</definedName>
    <definedName name="SKU_SGMAT">#REF!</definedName>
    <definedName name="SKU_SGPLST">#REF!</definedName>
    <definedName name="skurollup">#REF!</definedName>
    <definedName name="SL">#REF!</definedName>
    <definedName name="SL.NO.">#REF!</definedName>
    <definedName name="SL_NO">#REF!</definedName>
    <definedName name="SLEVIN">#REF!</definedName>
    <definedName name="SLG4_1">{"'status'!$B$2:$H$15"}</definedName>
    <definedName name="Slicer_Account">#REF!</definedName>
    <definedName name="Slicer_Requesting_Employee">#REF!</definedName>
    <definedName name="Slicer_Subsidiary">#REF!</definedName>
    <definedName name="slip">#REF!</definedName>
    <definedName name="Slmv">1541841812.17664</definedName>
    <definedName name="small_ch">#REF!</definedName>
    <definedName name="smallsmall">#REF!,#REF!</definedName>
    <definedName name="sng" hidden="1">{#N/A,#N/A,FALSE,"Aging Summary";#N/A,#N/A,FALSE,"Ratio Analysis";#N/A,#N/A,FALSE,"Test 120 Day Accts";#N/A,#N/A,FALSE,"Tickmarks"}</definedName>
    <definedName name="SNQ">#REF!</definedName>
    <definedName name="SOEDIFF">#REF!</definedName>
    <definedName name="Softchalk">#REF!</definedName>
    <definedName name="Software">#REF!</definedName>
    <definedName name="SoftwareOld">#REF!</definedName>
    <definedName name="solver_adj" localSheetId="4" hidden="1">'Cash Flow'!$J$28,'Cash Flow'!$K$28,'Cash Flow'!$L$28,'Cash Flow'!$M$28</definedName>
    <definedName name="solver_adj" localSheetId="1" hidden="1">'Income Statement'!#REF!,'Income Statement'!#REF!,'Income Statement'!#REF!,'Income Statement'!#REF!</definedName>
    <definedName name="solver_adj">#REF!</definedName>
    <definedName name="solver_cvg" localSheetId="4" hidden="1">0.0001</definedName>
    <definedName name="solver_cvg" localSheetId="1" hidden="1">0.0001</definedName>
    <definedName name="solver_cvg">0.0001</definedName>
    <definedName name="solver_drv" localSheetId="4" hidden="1">1</definedName>
    <definedName name="solver_drv" localSheetId="1" hidden="1">2</definedName>
    <definedName name="solver_drv">1</definedName>
    <definedName name="solver_eng" localSheetId="4" hidden="1">1</definedName>
    <definedName name="solver_eng" localSheetId="1" hidden="1">1</definedName>
    <definedName name="solver_eng" hidden="1">1</definedName>
    <definedName name="solver_est" localSheetId="4" hidden="1">1</definedName>
    <definedName name="solver_est" localSheetId="1" hidden="1">1</definedName>
    <definedName name="solver_est">1</definedName>
    <definedName name="solver_itr" localSheetId="4" hidden="1">2147483647</definedName>
    <definedName name="solver_itr" localSheetId="1" hidden="1">2147483647</definedName>
    <definedName name="solver_itr">100</definedName>
    <definedName name="solver_lhs1">#REF!</definedName>
    <definedName name="solver_lin" hidden="1">0</definedName>
    <definedName name="solver_lin_1">2</definedName>
    <definedName name="solver_mip" localSheetId="4" hidden="1">2147483647</definedName>
    <definedName name="solver_mip" localSheetId="1" hidden="1">2147483647</definedName>
    <definedName name="solver_mni" localSheetId="4" hidden="1">30</definedName>
    <definedName name="solver_mni" localSheetId="1" hidden="1">30</definedName>
    <definedName name="solver_mrt" localSheetId="4" hidden="1">0.075</definedName>
    <definedName name="solver_mrt" localSheetId="1" hidden="1">0.075</definedName>
    <definedName name="solver_msl" localSheetId="4" hidden="1">2</definedName>
    <definedName name="solver_msl" localSheetId="1" hidden="1">2</definedName>
    <definedName name="solver_neg" localSheetId="4" hidden="1">2</definedName>
    <definedName name="solver_neg" localSheetId="1" hidden="1">1</definedName>
    <definedName name="solver_neg">2</definedName>
    <definedName name="solver_nod" localSheetId="4" hidden="1">2147483647</definedName>
    <definedName name="solver_nod" localSheetId="1" hidden="1">2147483647</definedName>
    <definedName name="solver_ntri">1000</definedName>
    <definedName name="solver_num" localSheetId="4" hidden="1">0</definedName>
    <definedName name="solver_num" localSheetId="1" hidden="1">0</definedName>
    <definedName name="solver_num" hidden="1">0</definedName>
    <definedName name="solver_nwt" localSheetId="4" hidden="1">1</definedName>
    <definedName name="solver_nwt" localSheetId="1" hidden="1">1</definedName>
    <definedName name="solver_nwt">1</definedName>
    <definedName name="solver_oldobj">1543721.6579517</definedName>
    <definedName name="solver_opt" localSheetId="4" hidden="1">'Cash Flow'!$M$22</definedName>
    <definedName name="solver_opt" localSheetId="1" hidden="1">'Income Statement'!#REF!</definedName>
    <definedName name="solver_opt">#REF!</definedName>
    <definedName name="solver_pre" localSheetId="4" hidden="1">0.000001</definedName>
    <definedName name="solver_pre" localSheetId="1" hidden="1">0.000001</definedName>
    <definedName name="solver_pre">0.000001</definedName>
    <definedName name="solver_rbv" localSheetId="4" hidden="1">1</definedName>
    <definedName name="solver_rbv" localSheetId="1" hidden="1">2</definedName>
    <definedName name="solver_rel1">1</definedName>
    <definedName name="solver_rel10">5</definedName>
    <definedName name="solver_rel11">5</definedName>
    <definedName name="solver_rel12">5</definedName>
    <definedName name="solver_rel13">5</definedName>
    <definedName name="solver_rel14">5</definedName>
    <definedName name="solver_rel15">5</definedName>
    <definedName name="solver_rel16">5</definedName>
    <definedName name="solver_rel17">5</definedName>
    <definedName name="solver_rel18">5</definedName>
    <definedName name="solver_rel19">5</definedName>
    <definedName name="solver_rel2">2</definedName>
    <definedName name="solver_rel20">5</definedName>
    <definedName name="solver_rel21">5</definedName>
    <definedName name="solver_rel22">5</definedName>
    <definedName name="solver_rel23">1</definedName>
    <definedName name="solver_rel24">5</definedName>
    <definedName name="solver_rel25">5</definedName>
    <definedName name="solver_rel26">5</definedName>
    <definedName name="solver_rel27">5</definedName>
    <definedName name="solver_rel28">5</definedName>
    <definedName name="solver_rel29">5</definedName>
    <definedName name="solver_rel3">2</definedName>
    <definedName name="solver_rel30">5</definedName>
    <definedName name="solver_rel31">5</definedName>
    <definedName name="solver_rel32">5</definedName>
    <definedName name="solver_rel33">5</definedName>
    <definedName name="solver_rel34">5</definedName>
    <definedName name="solver_rel35">5</definedName>
    <definedName name="solver_rel36">5</definedName>
    <definedName name="solver_rel37">5</definedName>
    <definedName name="solver_rel38">5</definedName>
    <definedName name="solver_rel39">5</definedName>
    <definedName name="solver_rel4">3</definedName>
    <definedName name="solver_rel40">5</definedName>
    <definedName name="solver_rel41">5</definedName>
    <definedName name="solver_rel42">5</definedName>
    <definedName name="solver_rel43">5</definedName>
    <definedName name="solver_rel44">5</definedName>
    <definedName name="solver_rel45">1</definedName>
    <definedName name="solver_rel46">5</definedName>
    <definedName name="solver_rel47">5</definedName>
    <definedName name="solver_rel48">5</definedName>
    <definedName name="solver_rel49">5</definedName>
    <definedName name="solver_rel5">3</definedName>
    <definedName name="solver_rel50">5</definedName>
    <definedName name="solver_rel51">5</definedName>
    <definedName name="solver_rel52">5</definedName>
    <definedName name="solver_rel53">5</definedName>
    <definedName name="solver_rel54">5</definedName>
    <definedName name="solver_rel55">5</definedName>
    <definedName name="solver_rel56">5</definedName>
    <definedName name="solver_rel57">5</definedName>
    <definedName name="solver_rel58">5</definedName>
    <definedName name="solver_rel59">5</definedName>
    <definedName name="solver_rel6">3</definedName>
    <definedName name="solver_rel60">5</definedName>
    <definedName name="solver_rel61">5</definedName>
    <definedName name="solver_rel62">5</definedName>
    <definedName name="solver_rel63">5</definedName>
    <definedName name="solver_rel64">5</definedName>
    <definedName name="solver_rel65">5</definedName>
    <definedName name="solver_rel66">5</definedName>
    <definedName name="solver_rel67">1</definedName>
    <definedName name="solver_rel68">5</definedName>
    <definedName name="solver_rel69">5</definedName>
    <definedName name="solver_rel7">2</definedName>
    <definedName name="solver_rel70">5</definedName>
    <definedName name="solver_rel71">5</definedName>
    <definedName name="solver_rel72">5</definedName>
    <definedName name="solver_rel73">5</definedName>
    <definedName name="solver_rel74">5</definedName>
    <definedName name="solver_rel75">5</definedName>
    <definedName name="solver_rel76">5</definedName>
    <definedName name="solver_rel77">5</definedName>
    <definedName name="solver_rel78">5</definedName>
    <definedName name="solver_rel79">5</definedName>
    <definedName name="solver_rel8">3</definedName>
    <definedName name="solver_rel80">5</definedName>
    <definedName name="solver_rel81">5</definedName>
    <definedName name="solver_rel82">5</definedName>
    <definedName name="solver_rel83">5</definedName>
    <definedName name="solver_rel84">5</definedName>
    <definedName name="solver_rel85">5</definedName>
    <definedName name="solver_rel86">5</definedName>
    <definedName name="solver_rel87">5</definedName>
    <definedName name="solver_rel88">5</definedName>
    <definedName name="solver_rel9">5</definedName>
    <definedName name="solver_rhs1">0.15</definedName>
    <definedName name="solver_rhs10">binary</definedName>
    <definedName name="solver_rhs11">binary</definedName>
    <definedName name="solver_rhs12">binary</definedName>
    <definedName name="solver_rhs13">binary</definedName>
    <definedName name="solver_rhs14">binary</definedName>
    <definedName name="solver_rhs15">binary</definedName>
    <definedName name="solver_rhs16">binary</definedName>
    <definedName name="solver_rhs17">binary</definedName>
    <definedName name="solver_rhs18">binary</definedName>
    <definedName name="solver_rhs19">binary</definedName>
    <definedName name="solver_rhs2">0</definedName>
    <definedName name="solver_rhs20">binary</definedName>
    <definedName name="solver_rhs21">binary</definedName>
    <definedName name="solver_rhs22">binary</definedName>
    <definedName name="solver_rhs24">binary</definedName>
    <definedName name="solver_rhs25">binary</definedName>
    <definedName name="solver_rhs26">binary</definedName>
    <definedName name="solver_rhs27">binary</definedName>
    <definedName name="solver_rhs28">binary</definedName>
    <definedName name="solver_rhs29">binary</definedName>
    <definedName name="solver_rhs3">0</definedName>
    <definedName name="solver_rhs30">binary</definedName>
    <definedName name="solver_rhs31">binary</definedName>
    <definedName name="solver_rhs32">binary</definedName>
    <definedName name="solver_rhs33">binary</definedName>
    <definedName name="solver_rhs34">binary</definedName>
    <definedName name="solver_rhs35">binary</definedName>
    <definedName name="solver_rhs36">binary</definedName>
    <definedName name="solver_rhs37">binary</definedName>
    <definedName name="solver_rhs38">binary</definedName>
    <definedName name="solver_rhs39">binary</definedName>
    <definedName name="solver_rhs4">5320</definedName>
    <definedName name="solver_rhs40">binary</definedName>
    <definedName name="solver_rhs41">binary</definedName>
    <definedName name="solver_rhs42">binary</definedName>
    <definedName name="solver_rhs43">binary</definedName>
    <definedName name="solver_rhs44">binary</definedName>
    <definedName name="solver_rhs46">binary</definedName>
    <definedName name="solver_rhs47">binary</definedName>
    <definedName name="solver_rhs48">binary</definedName>
    <definedName name="solver_rhs49">binary</definedName>
    <definedName name="solver_rhs5">214</definedName>
    <definedName name="solver_rhs50">binary</definedName>
    <definedName name="solver_rhs51">binary</definedName>
    <definedName name="solver_rhs52">binary</definedName>
    <definedName name="solver_rhs53">binary</definedName>
    <definedName name="solver_rhs54">binary</definedName>
    <definedName name="solver_rhs55">binary</definedName>
    <definedName name="solver_rhs56">binary</definedName>
    <definedName name="solver_rhs57">binary</definedName>
    <definedName name="solver_rhs58">binary</definedName>
    <definedName name="solver_rhs59">binary</definedName>
    <definedName name="solver_rhs6">350</definedName>
    <definedName name="solver_rhs60">binary</definedName>
    <definedName name="solver_rhs61">binary</definedName>
    <definedName name="solver_rhs62">binary</definedName>
    <definedName name="solver_rhs63">binary</definedName>
    <definedName name="solver_rhs64">binary</definedName>
    <definedName name="solver_rhs65">binary</definedName>
    <definedName name="solver_rhs66">binary</definedName>
    <definedName name="solver_rhs68">binary</definedName>
    <definedName name="solver_rhs69">binary</definedName>
    <definedName name="solver_rhs7">0</definedName>
    <definedName name="solver_rhs70">binary</definedName>
    <definedName name="solver_rhs71">binary</definedName>
    <definedName name="solver_rhs72">binary</definedName>
    <definedName name="solver_rhs73">binary</definedName>
    <definedName name="solver_rhs74">binary</definedName>
    <definedName name="solver_rhs75">binary</definedName>
    <definedName name="solver_rhs76">binary</definedName>
    <definedName name="solver_rhs77">binary</definedName>
    <definedName name="solver_rhs78">binary</definedName>
    <definedName name="solver_rhs79">binary</definedName>
    <definedName name="solver_rhs8">0</definedName>
    <definedName name="solver_rhs80">binary</definedName>
    <definedName name="solver_rhs81">binary</definedName>
    <definedName name="solver_rhs82">binary</definedName>
    <definedName name="solver_rhs83">binary</definedName>
    <definedName name="solver_rhs84">binary</definedName>
    <definedName name="solver_rhs85">binary</definedName>
    <definedName name="solver_rhs86">binary</definedName>
    <definedName name="solver_rhs87">binary</definedName>
    <definedName name="solver_rhs88">binary</definedName>
    <definedName name="solver_rhs9">binary</definedName>
    <definedName name="solver_rlx" localSheetId="4" hidden="1">2</definedName>
    <definedName name="solver_rlx" localSheetId="1" hidden="1">2</definedName>
    <definedName name="solver_rsd" localSheetId="4" hidden="1">0</definedName>
    <definedName name="solver_rsd" localSheetId="1" hidden="1">0</definedName>
    <definedName name="solver_rsmp">1</definedName>
    <definedName name="solver_scl" localSheetId="4" hidden="1">1</definedName>
    <definedName name="solver_scl" localSheetId="1" hidden="1">2</definedName>
    <definedName name="solver_scl">2</definedName>
    <definedName name="solver_seed">0</definedName>
    <definedName name="solver_sho" localSheetId="4" hidden="1">2</definedName>
    <definedName name="solver_sho" localSheetId="1" hidden="1">2</definedName>
    <definedName name="solver_sho">2</definedName>
    <definedName name="solver_ssz" localSheetId="4" hidden="1">100</definedName>
    <definedName name="solver_ssz" localSheetId="1" hidden="1">100</definedName>
    <definedName name="solver_tim" localSheetId="4" hidden="1">2147483647</definedName>
    <definedName name="solver_tim" localSheetId="1" hidden="1">2147483647</definedName>
    <definedName name="solver_tim">100</definedName>
    <definedName name="solver_tmp">0.15</definedName>
    <definedName name="solver_tol" localSheetId="4" hidden="1">0.01</definedName>
    <definedName name="solver_tol" localSheetId="1" hidden="1">0.01</definedName>
    <definedName name="solver_tol">0.05</definedName>
    <definedName name="solver_typ" localSheetId="4" hidden="1">3</definedName>
    <definedName name="solver_typ" localSheetId="1" hidden="1">3</definedName>
    <definedName name="solver_typ" hidden="1">3</definedName>
    <definedName name="solver_val" localSheetId="4" hidden="1">1458.7</definedName>
    <definedName name="solver_val" localSheetId="1" hidden="1">17.7</definedName>
    <definedName name="solver_val" hidden="1">0</definedName>
    <definedName name="solver_ver" localSheetId="4" hidden="1">3</definedName>
    <definedName name="solver_ver" localSheetId="1" hidden="1">3</definedName>
    <definedName name="sonaolhsadlkjfn">#REF!</definedName>
    <definedName name="SONBOH">#N/A</definedName>
    <definedName name="SONEOH">#N/A</definedName>
    <definedName name="SOON" hidden="1">{#N/A,#N/A,FALSE,"P.C.B"}</definedName>
    <definedName name="SORTAllpositions1">#REF!</definedName>
    <definedName name="SORTAllpositions2">#REF!</definedName>
    <definedName name="SortArea">#REF!</definedName>
    <definedName name="Sorted" hidden="1">{"PRVSN",#N/A,FALSE,"Q196";"PRVSN",#N/A,FALSE,"Q296";"PRVSN",#N/A,FALSE,"Q396";"PRVSN",#N/A,FALSE,"Q496";"VARIANCES",#N/A,FALSE,"Q196";"VARIANCES",#N/A,FALSE,"Q296"}</definedName>
    <definedName name="SORTPurchs1">#REF!</definedName>
    <definedName name="SORTPurchs2">#REF!</definedName>
    <definedName name="SortRange">#REF!</definedName>
    <definedName name="SORTSales1">#REF!</definedName>
    <definedName name="SORTSales2">#REF!</definedName>
    <definedName name="soul_patrol">{"'Census - Dallas'!$A$1:$S$76"}</definedName>
    <definedName name="soulpatrol">{"'Census - Dallas'!$A$1:$S$76"}</definedName>
    <definedName name="soulpatrol2">{"'Census - Dallas'!$A$1:$S$76"}</definedName>
    <definedName name="SourceRange">#REF!</definedName>
    <definedName name="SOURCES_OF_FUNDS">#REF!</definedName>
    <definedName name="Sourcing3">{"'vert'!$A$1:$T$117"}</definedName>
    <definedName name="southeastcs">#REF!</definedName>
    <definedName name="southeastfin">#REF!</definedName>
    <definedName name="southeastrenewal">#REF!</definedName>
    <definedName name="SP">#REF!</definedName>
    <definedName name="SPA.MN">#REF!</definedName>
    <definedName name="SPAIN">#REF!</definedName>
    <definedName name="Spalte4">"$4"</definedName>
    <definedName name="SPAN">#REF!</definedName>
    <definedName name="span1">#REF!</definedName>
    <definedName name="SPARELINE">#REF!</definedName>
    <definedName name="SPATH">"S1038720\LANAR01"</definedName>
    <definedName name="SPDAT">"8/18/2008"</definedName>
    <definedName name="SPDT2">"20080818"</definedName>
    <definedName name="Speaker_Session_Export_Qry_by_Last_Name">#REF!</definedName>
    <definedName name="SpecialPrice">#REF!</definedName>
    <definedName name="spiffs">#REF!</definedName>
    <definedName name="spippw" hidden="1">{#N/A,#N/A,FALSE,"Actual";#N/A,#N/A,FALSE,"Normalized";#N/A,#N/A,FALSE,"Electric Actual";#N/A,#N/A,FALSE,"Electric Normalized"}</definedName>
    <definedName name="Splitbs">#REF!</definedName>
    <definedName name="splitbs1">#REF!</definedName>
    <definedName name="spludge">#REF!</definedName>
    <definedName name="splurge2">#REF!</definedName>
    <definedName name="SPM">#REF!</definedName>
    <definedName name="SPNAM">"GL291_PRT"</definedName>
    <definedName name="SPNMB">"1"</definedName>
    <definedName name="spread">#REF!</definedName>
    <definedName name="SPSet">"current"</definedName>
    <definedName name="SPTAM">{"'Standalone List Price Trends'!$A$1:$X$56"}</definedName>
    <definedName name="SPTIM">"08:45:47"</definedName>
    <definedName name="spundisp">#REF!</definedName>
    <definedName name="SPVerticalAccountName">{"'1-TheatreBkgs'!$A$1:$L$102"}</definedName>
    <definedName name="SPWS_WBID">"F5875748-F9AC-4EAD-A86C-2ED852DC79DE"</definedName>
    <definedName name="Sq_Orchid">#REF!</definedName>
    <definedName name="srate">#REF!</definedName>
    <definedName name="SREX">#REF!</definedName>
    <definedName name="srf" hidden="1">{#N/A,#N/A,FALSE,"BS";#N/A,#N/A,FALSE,"PL";#N/A,#N/A,FALSE,"처분";#N/A,#N/A,FALSE,"현금";#N/A,#N/A,FALSE,"매출";#N/A,#N/A,FALSE,"원가";#N/A,#N/A,FALSE,"경영"}</definedName>
    <definedName name="srgserg">#REF!</definedName>
    <definedName name="srhsr">#REF!</definedName>
    <definedName name="Sri_Lanka">#REF!</definedName>
    <definedName name="srinivas">#REF!</definedName>
    <definedName name="Srinivasa">#REF!</definedName>
    <definedName name="SRLC">#REF!</definedName>
    <definedName name="SrRevMgr">#REF!</definedName>
    <definedName name="SRTAM">#REF!</definedName>
    <definedName name="srthd">#REF!</definedName>
    <definedName name="srthd_1">#REF!</definedName>
    <definedName name="SRU" localSheetId="0"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RU" hidden="1">{"fdsup://directions/FAT Viewer?action=UPDATE&amp;creator=factset&amp;DYN_ARGS=TRUE&amp;DOC_NAME=FAT:FQL_AUDITING_CLIENT_TEMPLATE.FAT&amp;display_string=Audit&amp;VAR:KEY=CFIHWBOHKR&amp;VAR:QUERY=Q1NGX0RJVl9ZTEQoUVRSX1IsMTIvMzEvMjAwNyk=&amp;WINDOW=FIRST_POPUP&amp;HEIGHT=450&amp;WIDTH=450&amp;STAR","T_MAXIMIZED=FALSE&amp;VAR:CALENDAR=US&amp;VAR:SYMBOL=MO&amp;VAR:INDEX=0"}</definedName>
    <definedName name="ss" hidden="1">{"'Sheet1'!$A$1:$H$36"}</definedName>
    <definedName name="ssa">#REF!</definedName>
    <definedName name="SSAP24_rounded_FooterType">"INTERNAL"</definedName>
    <definedName name="ssd">#REF!</definedName>
    <definedName name="ssdsd">{"'Demand Units'!$Z$2:$AF$53"}</definedName>
    <definedName name="ssf">#REF!</definedName>
    <definedName name="Ssmv">-2522241697.50385</definedName>
    <definedName name="sss">#REF!</definedName>
    <definedName name="sssa">#REF!</definedName>
    <definedName name="ssss">#REF!</definedName>
    <definedName name="ssss_1">#REF!</definedName>
    <definedName name="SSSSS">#REF!</definedName>
    <definedName name="ssssssss">#REF!</definedName>
    <definedName name="sssssssssss">#REF!</definedName>
    <definedName name="SSSSSSSSSSSSS">#REF!</definedName>
    <definedName name="sssssssssssssssssss">#REF!</definedName>
    <definedName name="ST">#REF!</definedName>
    <definedName name="ST_1">#REF!</definedName>
    <definedName name="ST_2">#REF!</definedName>
    <definedName name="ST_Refund_Detail">#REF!</definedName>
    <definedName name="ST_SP">#REF!</definedName>
    <definedName name="st25a">#REF!</definedName>
    <definedName name="staccr">#REF!</definedName>
    <definedName name="staff">#REF!</definedName>
    <definedName name="Staffing">#REF!</definedName>
    <definedName name="StaffScale">#REF!</definedName>
    <definedName name="staffwel">#REF!</definedName>
    <definedName name="stamort">#REF!</definedName>
    <definedName name="standard1" hidden="1">{"YTD-Total",#N/A,FALSE,"Provision"}</definedName>
    <definedName name="stands">#REF!</definedName>
    <definedName name="stands1">#REF!</definedName>
    <definedName name="Staril" hidden="1">{#N/A,#N/A,FALSE,"REPORT"}</definedName>
    <definedName name="start_table1">#REF!</definedName>
    <definedName name="start_table2">#REF!</definedName>
    <definedName name="start_table3">#REF!</definedName>
    <definedName name="Start_Time">#REF!</definedName>
    <definedName name="Start10">#REF!</definedName>
    <definedName name="Start11">#REF!</definedName>
    <definedName name="Start12">#REF!</definedName>
    <definedName name="Start13">#REF!</definedName>
    <definedName name="Start14">#REF!</definedName>
    <definedName name="Start15">#REF!</definedName>
    <definedName name="Start16">#REF!</definedName>
    <definedName name="Start17">#REF!</definedName>
    <definedName name="Start18">#REF!</definedName>
    <definedName name="Start2">#REF!</definedName>
    <definedName name="Start5">#REF!</definedName>
    <definedName name="Start6">#REF!</definedName>
    <definedName name="Start7">#REF!</definedName>
    <definedName name="Start8">#REF!</definedName>
    <definedName name="Start9">#REF!</definedName>
    <definedName name="STARTBUDGETPOST1">#REF!</definedName>
    <definedName name="StartDate">#REF!</definedName>
    <definedName name="StartDelete">#REF!</definedName>
    <definedName name="StartDelete2">#REF!</definedName>
    <definedName name="StartFormat">#REF!</definedName>
    <definedName name="STARTJOURNALIMPORT1">#REF!</definedName>
    <definedName name="STARTJOURNALIMPORT2">#REF!</definedName>
    <definedName name="STARTJOURNALIMPORT3">#REF!</definedName>
    <definedName name="STARTJOURNALIMPORT4">#REF!</definedName>
    <definedName name="STARTJOURNALIMPORT5">#REF!</definedName>
    <definedName name="STARTJOURNALIMPORT6">#REF!</definedName>
    <definedName name="STARTPERIODNAME1">#REF!</definedName>
    <definedName name="STARTPERIODNUM1">#REF!</definedName>
    <definedName name="STARTPERIODYEAR1">#REF!</definedName>
    <definedName name="STAT">#REF!</definedName>
    <definedName name="stat_copy">#REF!</definedName>
    <definedName name="State_carryovers">#REF!</definedName>
    <definedName name="State_other">#REF!</definedName>
    <definedName name="STATUS">#REF!</definedName>
    <definedName name="status___All">#REF!</definedName>
    <definedName name="StatusFields">#REF!</definedName>
    <definedName name="stbhgthnsrt">#REF!</definedName>
    <definedName name="stbhgthnsrt_1">#REF!</definedName>
    <definedName name="stbhgthnsrt_2">#REF!</definedName>
    <definedName name="stbhgthnsrt_3">#REF!</definedName>
    <definedName name="stbhgthnsrt_4">#REF!</definedName>
    <definedName name="stckdty">#REF!</definedName>
    <definedName name="stckspun">#REF!</definedName>
    <definedName name="StdBom">#REF!</definedName>
    <definedName name="StdMargin_Dec04">#REF!</definedName>
    <definedName name="STDMrgn_Dec04">#REF!</definedName>
    <definedName name="STDTB">#REF!</definedName>
    <definedName name="stef">#REF!</definedName>
    <definedName name="Steve">#REF!</definedName>
    <definedName name="sti">#REF!</definedName>
    <definedName name="stinvest">#REF!</definedName>
    <definedName name="stk">#REF!</definedName>
    <definedName name="STL_Inp">#REF!,#REF!,#REF!</definedName>
    <definedName name="STMTacctgreturnbeg">#REF!</definedName>
    <definedName name="STMTacctgreturnend">#REF!</definedName>
    <definedName name="STMTCloseDateEnd">#REF!</definedName>
    <definedName name="STMTCloseDatePrev">#REF!</definedName>
    <definedName name="STMTprevanalytics">#REF!</definedName>
    <definedName name="STMTtotalreturnbeg">#REF!</definedName>
    <definedName name="STMTtotalreturnend">#REF!</definedName>
    <definedName name="STMTValueCheck">#REF!</definedName>
    <definedName name="STMTwambeg">#REF!</definedName>
    <definedName name="STMTwamend">#REF!</definedName>
    <definedName name="STMTyldbeg">#REF!</definedName>
    <definedName name="STMTyldend">#REF!</definedName>
    <definedName name="stock">#REF!</definedName>
    <definedName name="stock_status2001">#REF!</definedName>
    <definedName name="Stock_Take">#REF!</definedName>
    <definedName name="Stock_Valuation">#REF!</definedName>
    <definedName name="StockA">#REF!</definedName>
    <definedName name="stockdata">#REF!</definedName>
    <definedName name="StockJ">#REF!</definedName>
    <definedName name="StockR">#REF!</definedName>
    <definedName name="Stocks">#REF!</definedName>
    <definedName name="stpaid">#REF!</definedName>
    <definedName name="stpurch">#REF!</definedName>
    <definedName name="STRAT__UP">#REF!</definedName>
    <definedName name="Strat1">#REF!</definedName>
    <definedName name="strat1b">#REF!</definedName>
    <definedName name="strawbridge">#REF!</definedName>
    <definedName name="STREAM">#REF!</definedName>
    <definedName name="STREAM.">#REF!</definedName>
    <definedName name="StrID">#REF!</definedName>
    <definedName name="STScale">#REF!</definedName>
    <definedName name="stub">#REF!</definedName>
    <definedName name="stubrate">#REF!</definedName>
    <definedName name="stuff">#REF!</definedName>
    <definedName name="stugl">#REF!</definedName>
    <definedName name="Stunit">#REF!</definedName>
    <definedName name="stunreal">#REF!</definedName>
    <definedName name="Stupid" hidden="1">#REF!</definedName>
    <definedName name="SUB">#REF!</definedName>
    <definedName name="Sub.St.Appor">#REF!</definedName>
    <definedName name="SUBA">#REF!</definedName>
    <definedName name="subdate">#REF!</definedName>
    <definedName name="SUBFINAL">#REF!</definedName>
    <definedName name="Subject">#REF!</definedName>
    <definedName name="Sublease_End_Date">#REF!</definedName>
    <definedName name="Sublease_Per_Annum_Rent">#REF!</definedName>
    <definedName name="Sublease_Rent_Start_Date">#REF!</definedName>
    <definedName name="subpart">#REF!</definedName>
    <definedName name="subpart_1">#REF!</definedName>
    <definedName name="subpart_3">#REF!</definedName>
    <definedName name="subpart1">#REF!</definedName>
    <definedName name="SUBS">#REF!</definedName>
    <definedName name="Subs1">#REF!</definedName>
    <definedName name="SubsGrowth" hidden="1">#REF!</definedName>
    <definedName name="Subsidiary">#REF!</definedName>
    <definedName name="SUBTRACT">#REF!</definedName>
    <definedName name="subtract2">#REF!</definedName>
    <definedName name="SuhStatus">#REF!</definedName>
    <definedName name="sum">#REF!</definedName>
    <definedName name="Sum_KSheet2_2">#REF!</definedName>
    <definedName name="sum_of_3_holdbacks">#REF!</definedName>
    <definedName name="SumInvDB">#REF!</definedName>
    <definedName name="summ">#REF!</definedName>
    <definedName name="SUMM.">#REF!</definedName>
    <definedName name="SUMM_K">#REF!</definedName>
    <definedName name="SummAll">#REF!</definedName>
    <definedName name="SUMMARY">#REF!</definedName>
    <definedName name="Summary_11">#REF!</definedName>
    <definedName name="Summary_12">#REF!</definedName>
    <definedName name="Summary_167">#REF!</definedName>
    <definedName name="Summary_175">#REF!</definedName>
    <definedName name="Summary_177">#REF!</definedName>
    <definedName name="Summary_212">#REF!</definedName>
    <definedName name="Summary_258">#REF!</definedName>
    <definedName name="Summary_337">#REF!</definedName>
    <definedName name="Summary_339">#REF!</definedName>
    <definedName name="Summary_340">#REF!</definedName>
    <definedName name="Summary_341">#REF!</definedName>
    <definedName name="Summary_348">#REF!</definedName>
    <definedName name="Summary_350">#REF!</definedName>
    <definedName name="Summary_352">#REF!</definedName>
    <definedName name="Summary_360">#REF!</definedName>
    <definedName name="Summary_62">#REF!</definedName>
    <definedName name="Summary_71">#REF!</definedName>
    <definedName name="Summary_Budget_2016">#REF!</definedName>
    <definedName name="Summary_CoCode">#REF!</definedName>
    <definedName name="Summary_FA">#REF!</definedName>
    <definedName name="Summary_IS">#REF!</definedName>
    <definedName name="Summary_of_audit_differences">#REF!</definedName>
    <definedName name="SummaryCapTableFullyDilutedShares">#REF!</definedName>
    <definedName name="SummaryCapTableFullyDilutedSharesWithDrafts">#REF!</definedName>
    <definedName name="SUMMassetclassoptions">#REF!</definedName>
    <definedName name="SUMMAstCLsOpt">#REF!</definedName>
    <definedName name="SUMMCompName">#REF!</definedName>
    <definedName name="SummED">#REF!</definedName>
    <definedName name="SUMMEW">#REF!</definedName>
    <definedName name="SUMMmatdistribtools">#REF!</definedName>
    <definedName name="summplan">#REF!</definedName>
    <definedName name="SUMMValueCheck">#REF!</definedName>
    <definedName name="SumPoDB">#REF!</definedName>
    <definedName name="sumQry_FwdDaySup_Total_Food">#REF!</definedName>
    <definedName name="sumQryCaseFill_BHV">#REF!</definedName>
    <definedName name="sumQryCaseFill_DCL">#REF!</definedName>
    <definedName name="sumQryCaseFill_DHV_Dips">#REF!</definedName>
    <definedName name="sumQryCaseFill_Food">#REF!</definedName>
    <definedName name="sumQryCaseFill_KCM_mar">#REF!</definedName>
    <definedName name="sumQryCaseFill_KCM_Sauces">#REF!</definedName>
    <definedName name="sumQryCaseFill_LCL">#REF!</definedName>
    <definedName name="sumQryCaseFill_Total_C2">#REF!</definedName>
    <definedName name="sumQryCaseFill_Total_HVR">#REF!</definedName>
    <definedName name="sumQryCaseFill_Total_KCM">#REF!</definedName>
    <definedName name="sumQryFwdDaySupp_BHV">#REF!</definedName>
    <definedName name="sumQryFwdDaySupp_DCL">#REF!</definedName>
    <definedName name="sumQryFwdDaySupp_DHV_Dips">#REF!</definedName>
    <definedName name="sumQryFwdDaySupp_KCM_mar">#REF!</definedName>
    <definedName name="sumQryFwdDaySupp_KCM_sauce">#REF!</definedName>
    <definedName name="sumQryFwdDaySupp_LCL">#REF!</definedName>
    <definedName name="sumQryFwdDaySupp_Total_C2">#REF!</definedName>
    <definedName name="sumQryFwdDaySupp_Total_HVR">#REF!</definedName>
    <definedName name="sumQryFwdDaySupp_Total_KCM">#REF!</definedName>
    <definedName name="SUN_CRED_FINAL">#REF!</definedName>
    <definedName name="SUNAA">#REF!</definedName>
    <definedName name="SUNDRY">#REF!</definedName>
    <definedName name="Sundry_Crs">#REF!</definedName>
    <definedName name="sundry_Drs">#REF!</definedName>
    <definedName name="sunflag">#REF!</definedName>
    <definedName name="sunpharma">#REF!</definedName>
    <definedName name="super">#REF!</definedName>
    <definedName name="SUPER_COMPRESSE">#REF!</definedName>
    <definedName name="superannpay">#REF!</definedName>
    <definedName name="supermopay">#REF!</definedName>
    <definedName name="Supervisor_Name">#REF!</definedName>
    <definedName name="Support">#REF!</definedName>
    <definedName name="surtu">#REF!</definedName>
    <definedName name="suryapharma">#REF!</definedName>
    <definedName name="susan" hidden="1">{"Q3_Fcst_Fcst_Var_Detail",#N/A,FALSE,"REPORT FORMAT";"Q3_Fcst_Fcst_Var_Summary",#N/A,FALSE,"REPORT FORMAT";"QTR_TREND_DETAIL",#N/A,FALSE,"REPORT FORMAT";"QTR_TREND_SUMMARY",#N/A,FALSE,"REPORT FORMAT"}</definedName>
    <definedName name="SV_AUTO_CONN_CATALOG">"mas500_app"</definedName>
    <definedName name="SV_AUTO_CONN_SERVER">"SQL1"</definedName>
    <definedName name="SV_ENCPT_AUTO_CONN_PASSWORD">"083096084083070125102109101111113103"</definedName>
    <definedName name="SV_ENCPT_AUTO_CONN_USER">"095094088070084089098116099110099084101115104108108"</definedName>
    <definedName name="SV_ENCPT_LOGON_PWD">"078104085088070118116120102"</definedName>
    <definedName name="SV_ENCPT_LOGON_USER">"095094088070084089098116099110099084101115104108108"</definedName>
    <definedName name="SW">#REF!</definedName>
    <definedName name="swapna">#REF!</definedName>
    <definedName name="SWED">#REF!</definedName>
    <definedName name="SWEDEN">#REF!</definedName>
    <definedName name="Sweep">#REF!</definedName>
    <definedName name="SWIT">#REF!</definedName>
    <definedName name="SWITZERLAND">#REF!</definedName>
    <definedName name="swl">#REF!</definedName>
    <definedName name="SWlmv">220704992.7288</definedName>
    <definedName name="SWsmv">-7742425.3798</definedName>
    <definedName name="Swvu.All.">#REF!</definedName>
    <definedName name="Swvu.IMSD._.Only.">#REF!</definedName>
    <definedName name="Swvu.incearn." hidden="1">#REF!</definedName>
    <definedName name="Swvu.inputs._.raw._.data.">#REF!</definedName>
    <definedName name="Swvu.qtr._.view." hidden="1">#REF!</definedName>
    <definedName name="SXBNDDSP">0</definedName>
    <definedName name="SYM">#REF!</definedName>
    <definedName name="S시간">#REF!</definedName>
    <definedName name="t">#REF!</definedName>
    <definedName name="T_100">#REF!</definedName>
    <definedName name="T_200">#REF!</definedName>
    <definedName name="t_3">#REF!</definedName>
    <definedName name="T10C" hidden="1">{"West",#N/A,FALSE,"Total"}</definedName>
    <definedName name="T2_">"'T2'!$A$1:$AC$194"</definedName>
    <definedName name="t3tr">#REF!</definedName>
    <definedName name="t6ujru">#REF!</definedName>
    <definedName name="t6ujru_1">#REF!</definedName>
    <definedName name="t6uky">#REF!</definedName>
    <definedName name="t6uky_1">#REF!</definedName>
    <definedName name="ta" hidden="1">{#N/A,#N/A,FALSE,"Aging Summary";#N/A,#N/A,FALSE,"Ratio Analysis";#N/A,#N/A,FALSE,"Test 120 Day Accts";#N/A,#N/A,FALSE,"Tickmarks"}</definedName>
    <definedName name="ta_3">#REF!</definedName>
    <definedName name="Taaaatappppppower">#REF!</definedName>
    <definedName name="TAB">#REF!</definedName>
    <definedName name="tab_delay">#REF!</definedName>
    <definedName name="Tab1.">#REF!</definedName>
    <definedName name="TABLE">#REF!</definedName>
    <definedName name="TABLE1">#REF!</definedName>
    <definedName name="Table1.">#REF!</definedName>
    <definedName name="Table19">#REF!</definedName>
    <definedName name="table2">#REF!</definedName>
    <definedName name="table3">#REF!</definedName>
    <definedName name="TableFive">#REF!</definedName>
    <definedName name="TableFour">#REF!</definedName>
    <definedName name="TableName">"Dummy"</definedName>
    <definedName name="Tables">#REF!</definedName>
    <definedName name="TableThree">#REF!</definedName>
    <definedName name="TableTwo">#REF!</definedName>
    <definedName name="TAIWA_Aug03">#REF!</definedName>
    <definedName name="Tally">#REF!</definedName>
    <definedName name="TAM">#REF!</definedName>
    <definedName name="tar.retention">#REF!</definedName>
    <definedName name="Target">#REF!</definedName>
    <definedName name="TAta">#REF!</definedName>
    <definedName name="tatachemical">#REF!</definedName>
    <definedName name="TataInfo">#REF!</definedName>
    <definedName name="Tatapower">#REF!</definedName>
    <definedName name="TataTea">#REF!</definedName>
    <definedName name="TauxCT">0.038</definedName>
    <definedName name="Tauxdollar">#REF!</definedName>
    <definedName name="tax">#REF!</definedName>
    <definedName name="tax_1">#REF!</definedName>
    <definedName name="tax_3">#REF!</definedName>
    <definedName name="Tax_Effect_Income">#REF!</definedName>
    <definedName name="Tax_Effect_Liabs">#REF!</definedName>
    <definedName name="Tax_Effect_RetEarn">#REF!</definedName>
    <definedName name="Tax_Rate">#REF!</definedName>
    <definedName name="Tax_rate_for_WACC">#REF!</definedName>
    <definedName name="Tax_Rate1">#REF!</definedName>
    <definedName name="TAX2x">#REF!</definedName>
    <definedName name="TAXCOMP">#REF!</definedName>
    <definedName name="TAXCOMP1">#REF!</definedName>
    <definedName name="taxcy">#REF!</definedName>
    <definedName name="taxdepr">#REF!</definedName>
    <definedName name="Taxes">0.085</definedName>
    <definedName name="Taxformula">#REF!</definedName>
    <definedName name="Taxinfo">#REF!</definedName>
    <definedName name="taxliab">#REF!</definedName>
    <definedName name="taxly">#REF!</definedName>
    <definedName name="taxman" hidden="1">{#N/A,#N/A,FALSE,"Australia";#N/A,#N/A,FALSE,"Austria";#N/A,#N/A,FALSE,"Belgium";#N/A,#N/A,FALSE,"Canada";#N/A,#N/A,FALSE,"France";#N/A,#N/A,FALSE,"Germany";#N/A,#N/A,FALSE,"Hong Kong";#N/A,#N/A,FALSE,"Italy";#N/A,#N/A,FALSE,"Japan";#N/A,#N/A,FALSE,"Korea";#N/A,#N/A,FALSE,"Mexico";#N/A,#N/A,FALSE,"Poland";#N/A,#N/A,FALSE,"Spain";#N/A,#N/A,FALSE,"Switzerland";#N/A,#N/A,FALSE,"UK"}</definedName>
    <definedName name="taxol" hidden="1">{#N/A,#N/A,FALSE,"Pharm";#N/A,#N/A,FALSE,"WWCM"}</definedName>
    <definedName name="TB">#REF!</definedName>
    <definedName name="tb_area">#REF!</definedName>
    <definedName name="TB_DOWNLOAD">#REF!</definedName>
    <definedName name="TB112.1">#REF!</definedName>
    <definedName name="TB113.1">#REF!</definedName>
    <definedName name="TB114.1">#REF!</definedName>
    <definedName name="TB115.1">#REF!</definedName>
    <definedName name="TB116.1">#REF!</definedName>
    <definedName name="TB117.1">#REF!</definedName>
    <definedName name="tb17.04">#REF!</definedName>
    <definedName name="tb2010afteradj">#REF!</definedName>
    <definedName name="tb2010beforeadj">#REF!</definedName>
    <definedName name="tb2011afteradj">#REF!</definedName>
    <definedName name="tb2011beforeadj">#REF!</definedName>
    <definedName name="TB2012AfterAdj">#REF!</definedName>
    <definedName name="tb2012beforeadj">#REF!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check">#REF!</definedName>
    <definedName name="tbdata">#REF!</definedName>
    <definedName name="TBDYN">#REF!</definedName>
    <definedName name="tberd">#REF!</definedName>
    <definedName name="TBFINAL">#REF!</definedName>
    <definedName name="TBHO">#REF!</definedName>
    <definedName name="tbl_ProdInfo">#REF!</definedName>
    <definedName name="TBL_SeasonalAdjustments">#REF!</definedName>
    <definedName name="tblTestInfo">#REF!</definedName>
    <definedName name="tbpow">#REF!</definedName>
    <definedName name="tbpt">#REF!</definedName>
    <definedName name="tbs">#REF!</definedName>
    <definedName name="tcredit">#REF!</definedName>
    <definedName name="tcs">#REF!</definedName>
    <definedName name="TD">#REF!</definedName>
    <definedName name="TDCost">#REF!</definedName>
    <definedName name="TDNumber">#REF!</definedName>
    <definedName name="TDS">#REF!</definedName>
    <definedName name="TDSCERTICATES">#REF!</definedName>
    <definedName name="te">#REF!</definedName>
    <definedName name="Team_Name">#REF!</definedName>
    <definedName name="telco">#REF!</definedName>
    <definedName name="telephone">#REF!</definedName>
    <definedName name="Temp">#REF!</definedName>
    <definedName name="Temp_1">#REF!</definedName>
    <definedName name="Temp_2">{"Client Name or Project Name"}</definedName>
    <definedName name="Temp_3">{"Client Name or Project Name"}</definedName>
    <definedName name="Temp_4">{"Client Name or Project Name"}</definedName>
    <definedName name="Temp_5">{"Client Name or Project Name"}</definedName>
    <definedName name="temp_range">#REF!</definedName>
    <definedName name="temp_range_hmc">#REF!</definedName>
    <definedName name="temp1">#REF!</definedName>
    <definedName name="temp1_1">#REF!</definedName>
    <definedName name="temp2">#REF!</definedName>
    <definedName name="temp3">#REF!</definedName>
    <definedName name="temp4">#REF!</definedName>
    <definedName name="temp5">#REF!</definedName>
    <definedName name="temp6">#REF!</definedName>
    <definedName name="temp7">#REF!</definedName>
    <definedName name="temp8">#REF!</definedName>
    <definedName name="temp9">#REF!</definedName>
    <definedName name="template">#REF!</definedName>
    <definedName name="Template.WIRE">"DBACCESS"</definedName>
    <definedName name="TEMPLATENUMBER1">#REF!</definedName>
    <definedName name="TEMPLATENUMBER2">#REF!</definedName>
    <definedName name="TEMPLATENUMBER3">#REF!</definedName>
    <definedName name="TEMPLATENUMBER4">#REF!</definedName>
    <definedName name="TEMPLATENUMBER5">#REF!</definedName>
    <definedName name="TEMPLATENUMBER6">#REF!</definedName>
    <definedName name="TemplatePrintArea">#REF!</definedName>
    <definedName name="templates">#REF!</definedName>
    <definedName name="TEMPLATESTYLE1">#REF!</definedName>
    <definedName name="TEMPLATESTYLE2">#REF!</definedName>
    <definedName name="TEMPLATESTYLE3">#REF!</definedName>
    <definedName name="TEMPLATESTYLE4">#REF!</definedName>
    <definedName name="TEMPLATESTYLE5">#REF!</definedName>
    <definedName name="TEMPLATESTYLE6">#REF!</definedName>
    <definedName name="TEMPLATETYPE1">#REF!</definedName>
    <definedName name="TEMPLATETYPE2">#REF!</definedName>
    <definedName name="TEMPLATETYPE3">#REF!</definedName>
    <definedName name="TEMPLATETYPE4">#REF!</definedName>
    <definedName name="TEMPLATETYPE5">#REF!</definedName>
    <definedName name="TEMPLATETYPE6">#REF!</definedName>
    <definedName name="TemplateVersion" hidden="1">#REF!</definedName>
    <definedName name="ten">#REF!</definedName>
    <definedName name="TENDAY">#REF!</definedName>
    <definedName name="tens">#REF!</definedName>
    <definedName name="teq" hidden="1">{#N/A,#N/A,FALSE,"Pharm";#N/A,#N/A,FALSE,"WWCM"}</definedName>
    <definedName name="Tequin" hidden="1">{#N/A,#N/A,FALSE,"Pharm";#N/A,#N/A,FALSE,"WWCM"}</definedName>
    <definedName name="tequinol" hidden="1">{#N/A,#N/A,FALSE,"REPORT"}</definedName>
    <definedName name="ter" hidden="1">{#N/A,#N/A,FALSE,"REPORT"}</definedName>
    <definedName name="terfte">#REF!</definedName>
    <definedName name="term_value">#REF!</definedName>
    <definedName name="term_year">#REF!</definedName>
    <definedName name="Terminplan" hidden="1">{#N/A,#N/A,FALSE,"CshFlow"}</definedName>
    <definedName name="TermLoanStructure">#REF!</definedName>
    <definedName name="Terms">#REF!</definedName>
    <definedName name="tert" hidden="1">{#N/A,#N/A,FALSE,"Pharm";#N/A,#N/A,FALSE,"WWCM"}</definedName>
    <definedName name="tesdt">"3593bc82-bdfd-4640-a035-09ffc3942bb1"</definedName>
    <definedName name="TEST">#REF!</definedName>
    <definedName name="test.">#REF!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1">{"'1-TheatreBkgs'!$A$1:$L$102"}</definedName>
    <definedName name="TEST23">{"'1-TheatreBkgs'!$A$1:$L$102"}</definedName>
    <definedName name="TEST25">{"'1-TheatreBkgs'!$A$1:$L$102"}</definedName>
    <definedName name="Test3" hidden="1">{"INCOME",#N/A,FALSE,"ProNet";"VALUE",#N/A,FALSE,"ProNet"}</definedName>
    <definedName name="test4" hidden="1">{"CHART",#N/A,FALSE,"Arch Communications"}</definedName>
    <definedName name="test5">#REF!</definedName>
    <definedName name="test6">#REF!</definedName>
    <definedName name="TEST7">#REF!</definedName>
    <definedName name="TEST8">#REF!</definedName>
    <definedName name="TEST9">#REF!</definedName>
    <definedName name="TestAdd">"Test RefersTo1"</definedName>
    <definedName name="teste" hidden="1">{#N/A,#N/A,FALSE,"REPORT"}</definedName>
    <definedName name="TESTHKEY">#REF!</definedName>
    <definedName name="testing" hidden="1">{"bs",#N/A,FALSE,"Balance Sheet"}</definedName>
    <definedName name="TESTKEYS">#REF!</definedName>
    <definedName name="Testme">#REF!</definedName>
    <definedName name="testsss">#REF!</definedName>
    <definedName name="TESTVKEY">#REF!</definedName>
    <definedName name="tetre" hidden="1">{#N/A,#N/A,FALSE,"Pharm";#N/A,#N/A,FALSE,"WWCM"}</definedName>
    <definedName name="teujdtj">#REF!</definedName>
    <definedName name="teujdtj_1">#REF!</definedName>
    <definedName name="tewdh" hidden="1">{#N/A,#N/A,FALSE,"Pharm";#N/A,#N/A,FALSE,"WWCM"}</definedName>
    <definedName name="teww" hidden="1">#N/A</definedName>
    <definedName name="text">"($ in '000s)"</definedName>
    <definedName name="TextRefCopy1">#REF!</definedName>
    <definedName name="TextRefCopy10">#REF!</definedName>
    <definedName name="textrefcopy10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3">#REF!</definedName>
    <definedName name="TextRefCopy4">#REF!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extRefCopyRangeCount_1">287</definedName>
    <definedName name="TextRefVRangeCount">3</definedName>
    <definedName name="teyjt">#REF!</definedName>
    <definedName name="teyjt_1">#REF!</definedName>
    <definedName name="teytr">#REF!</definedName>
    <definedName name="teytr_1">#REF!</definedName>
    <definedName name="teytr_2">#REF!</definedName>
    <definedName name="teytr_3">#REF!</definedName>
    <definedName name="teytr_4">#REF!</definedName>
    <definedName name="tfd">#REF!</definedName>
    <definedName name="tfDataPivot">#REF!</definedName>
    <definedName name="TFO">#REF!</definedName>
    <definedName name="tfrdc">#REF!</definedName>
    <definedName name="tfrdc_1">#REF!</definedName>
    <definedName name="tftchristine">#REF!</definedName>
    <definedName name="tggf" hidden="1">#N/A</definedName>
    <definedName name="th">#REF!</definedName>
    <definedName name="THAI_PLASTIC_in_KUSD">#REF!</definedName>
    <definedName name="THAIL_Aug03">#REF!</definedName>
    <definedName name="Thailand">#REF!</definedName>
    <definedName name="that" hidden="1">{#N/A,#N/A,FALSE,"COVER";#N/A,#N/A,FALSE,"BS";#N/A,#N/A,FALSE,"P&amp;L ";#N/A,#N/A,FALSE,"P&amp;L Detail";#N/A,#N/A,FALSE,"P&amp;L Worksheet";#N/A,#N/A,FALSE,"BS Worksheet";#N/A,#N/A,FALSE,"M-VARIANCE"}</definedName>
    <definedName name="that_3">#REF!</definedName>
    <definedName name="thb">#REF!</definedName>
    <definedName name="the">#REF!</definedName>
    <definedName name="the_east_india_hotels">#REF!</definedName>
    <definedName name="Theatre">#REF!</definedName>
    <definedName name="TheDate">#REF!</definedName>
    <definedName name="THEME2" hidden="1">{#N/A,#N/A,FALSE,"96 3월물량표";#N/A,#N/A,FALSE,"96 4월물량표";#N/A,#N/A,FALSE,"96 5월물량표"}</definedName>
    <definedName name="Thermax">#REF!</definedName>
    <definedName name="Theta">#REF!</definedName>
    <definedName name="THIS_MONTH">#REF!</definedName>
    <definedName name="ThisDate">#REF!</definedName>
    <definedName name="thisDay">#REF!</definedName>
    <definedName name="thj">#REF!</definedName>
    <definedName name="thj_1">#REF!</definedName>
    <definedName name="thj_2">#REF!</definedName>
    <definedName name="thj_3">#REF!</definedName>
    <definedName name="thj_4">#REF!</definedName>
    <definedName name="thnbgr" hidden="1">#REF!</definedName>
    <definedName name="THNN">{"'표지'!$B$5"}</definedName>
    <definedName name="ThomasEliot">#REF!</definedName>
    <definedName name="thou">#REF!</definedName>
    <definedName name="Thous">#REF!</definedName>
    <definedName name="thousands">1000</definedName>
    <definedName name="three">#REF!</definedName>
    <definedName name="THREEDAY">#REF!</definedName>
    <definedName name="thresh.0">#REF!</definedName>
    <definedName name="thresh.125">#REF!</definedName>
    <definedName name="Threshold">#REF!</definedName>
    <definedName name="Threshold_1">#REF!</definedName>
    <definedName name="thsdls" hidden="1">{#N/A,#N/A,FALSE,"Aging Summary";#N/A,#N/A,FALSE,"Ratio Analysis";#N/A,#N/A,FALSE,"Test 120 Day Accts";#N/A,#N/A,FALSE,"Tickmarks"}</definedName>
    <definedName name="thsdls_3">#REF!</definedName>
    <definedName name="THYT">{"'표지'!$B$5"}</definedName>
    <definedName name="ti">#REF!</definedName>
    <definedName name="Ticker">""</definedName>
    <definedName name="tickers">#REF!</definedName>
    <definedName name="Tier">#REF!</definedName>
    <definedName name="Tigr_Exhibit4a5e6f98_68f7_4694_bbb6_7d6dc89ebdea">#REF!</definedName>
    <definedName name="Tigr_Exhibit77267613_a8ce_4be5_b413_b75023fbfe0d">#REF!</definedName>
    <definedName name="Tigr_Exhibit78cac291_f6a9_4b76_9033_8c46c8d3aa5c">#REF!</definedName>
    <definedName name="Tigr_Exhibita7cf4eca_ca82_427c_bcb3_1de62fe37631">#REF!</definedName>
    <definedName name="Tigr_Exhibitce8297a6_d66a_4851_b44e_ca99c933ce70">#REF!</definedName>
    <definedName name="TIME">#REF!</definedName>
    <definedName name="Time_required">#REF!</definedName>
    <definedName name="TIMES">#REF!</definedName>
    <definedName name="TimeSheetOnProjects">#REF!</definedName>
    <definedName name="TIna" hidden="1">{"Page1",#N/A,FALSE,"CF WKSHT";"Page2",#N/A,FALSE,"CF WKSHT"}</definedName>
    <definedName name="Tina_again" hidden="1">{"Page1",#N/A,FALSE,"CF WKSHT";"Page2",#N/A,FALSE,"CF WKSHT"}</definedName>
    <definedName name="Tina_again1" hidden="1">{"Page1",#N/A,FALSE,"CF WKSHT";"Page2",#N/A,FALSE,"CF WKSHT"}</definedName>
    <definedName name="Tina1" hidden="1">{"Page1",#N/A,FALSE,"CF WKSHT";"Page2",#N/A,FALSE,"CF WKSHT"}</definedName>
    <definedName name="TIna2" hidden="1">{"Page1",#N/A,FALSE,"CF WKSHT";"Page2",#N/A,FALSE,"CF WKSHT"}</definedName>
    <definedName name="tisco">#REF!</definedName>
    <definedName name="Titan">#REF!</definedName>
    <definedName name="titi">{"'SynthèsesAffaires'!$A$1:$D$82"}</definedName>
    <definedName name="Title">#REF!</definedName>
    <definedName name="TITLE_1">#REF!</definedName>
    <definedName name="TITLE_2">#REF!</definedName>
    <definedName name="TITLE_3">#REF!</definedName>
    <definedName name="TITLE_4">#REF!</definedName>
    <definedName name="TITLE_5">#REF!</definedName>
    <definedName name="TITLE_6">#REF!</definedName>
    <definedName name="TITLE_7">#REF!</definedName>
    <definedName name="title_date">#REF!</definedName>
    <definedName name="Title1">#REF!</definedName>
    <definedName name="Title2">#REF!</definedName>
    <definedName name="Title3">#REF!</definedName>
    <definedName name="Title4">#REF!</definedName>
    <definedName name="Title5">#REF!</definedName>
    <definedName name="Title6">#REF!</definedName>
    <definedName name="tix_rev_ebita">#REF!</definedName>
    <definedName name="TLA.004">#REF!</definedName>
    <definedName name="TLA.024">#REF!</definedName>
    <definedName name="TLA.027">#REF!</definedName>
    <definedName name="TLA.056">#REF!</definedName>
    <definedName name="TLBB">{"'Check Request'!$A$1:$BF$37"}</definedName>
    <definedName name="TLT">#REF!</definedName>
    <definedName name="TLT_1">#REF!</definedName>
    <definedName name="TLT_2">#REF!</definedName>
    <definedName name="TM">#REF!</definedName>
    <definedName name="TM_INPUT_C1">OFFSET(#REF!,1,0,EmpCount,1)</definedName>
    <definedName name="TM_PA">#REF!</definedName>
    <definedName name="TM_Red1.1">OFFSET(#REF!,1,0, EmpCount,1)</definedName>
    <definedName name="TM_Yellow1.1">OFFSET(#REF!,1,0, EmpCount,30)</definedName>
    <definedName name="TM_Yellow1.2">OFFSET(#REF!,1,0, EmpCount,20)</definedName>
    <definedName name="TM_Yellow1.3">OFFSET(#REF!,1,0, EmpCount,1)</definedName>
    <definedName name="TM_Yellow1.4">OFFSET(#REF!,1,0, EmpCount,81)</definedName>
    <definedName name="TM_Yellow2">OFFSET(#REF!,1,0, EmpCount,1)</definedName>
    <definedName name="TM_Yellow3">OFFSET(#REF!,1,0, EmpCount,7)</definedName>
    <definedName name="TM_Yellow4">OFFSET(#REF!,1,0, EmpCount,5)</definedName>
    <definedName name="TM_Yellow5">OFFSET(#REF!,1,0, EmpCount,1)</definedName>
    <definedName name="tm1\\_0_H">"{ ""server"" : ""http://10.128.160.37"", ""cube"" : ""{ \""server\"" : \""TM1\"", \""cube\"" : \""GL Line Item\""}""}"</definedName>
    <definedName name="tm1\\_1_H">"{ ""server"" : ""http://10.128.160.37"", ""cube"" : ""{ \""server\"" : \""TM1\"", \""cube\"" : \""GL Line Item\""}""}"</definedName>
    <definedName name="TM1REBUILDOPTION">1</definedName>
    <definedName name="tmp">#REF!</definedName>
    <definedName name="TNS">#REF!</definedName>
    <definedName name="TNV">#REF!</definedName>
    <definedName name="To">#REF!</definedName>
    <definedName name="TO_1">#REF!</definedName>
    <definedName name="to_10">#REF!</definedName>
    <definedName name="TO_2">#REF!</definedName>
    <definedName name="TO_3">#REF!</definedName>
    <definedName name="TO_4">#REF!</definedName>
    <definedName name="TO_5">#REF!</definedName>
    <definedName name="TO_6">#REF!</definedName>
    <definedName name="TO_7">#REF!</definedName>
    <definedName name="TO_8">#REF!</definedName>
    <definedName name="ToAcct">#REF!</definedName>
    <definedName name="tod">#REF!</definedName>
    <definedName name="TODAY">#REF!</definedName>
    <definedName name="TOJRNL">#REF!</definedName>
    <definedName name="tol">#REF!</definedName>
    <definedName name="Tolerance">0.0025</definedName>
    <definedName name="tom">#REF!</definedName>
    <definedName name="tomk" hidden="1">#REF!</definedName>
    <definedName name="toof_Control">{"'Sheet1'!$F$15"}</definedName>
    <definedName name="Tools">#REF!</definedName>
    <definedName name="Tools1">#REF!</definedName>
    <definedName name="TOP">#REF!</definedName>
    <definedName name="Top_20_BD_Listing">#REF!</definedName>
    <definedName name="top_arr_15">#REF!</definedName>
    <definedName name="top_arr_16">#REF!</definedName>
    <definedName name="top_bookings_15">#REF!</definedName>
    <definedName name="top_burn">#REF!</definedName>
    <definedName name="top_cac_16">#REF!</definedName>
    <definedName name="top_capital_raised">#REF!</definedName>
    <definedName name="top_churn_15">#REF!</definedName>
    <definedName name="top_churn_16">#REF!</definedName>
    <definedName name="top_cogs_15">#REF!</definedName>
    <definedName name="top_cogs_16">#REF!</definedName>
    <definedName name="top_customers_15">#REF!</definedName>
    <definedName name="top_ebitda_15">#REF!</definedName>
    <definedName name="top_ga_16">#REF!</definedName>
    <definedName name="top_gp_16">#REF!</definedName>
    <definedName name="top_ltv_15">#REF!</definedName>
    <definedName name="top_ltv_16">#REF!</definedName>
    <definedName name="Top_of_Page">#REF!</definedName>
    <definedName name="top_opex_16">#REF!</definedName>
    <definedName name="top_opinc_15">#REF!</definedName>
    <definedName name="top_opinc_16">#REF!</definedName>
    <definedName name="top_opinc_ltm">#REF!</definedName>
    <definedName name="top_rd_16">#REF!</definedName>
    <definedName name="top_rev_16">#REF!</definedName>
    <definedName name="top_sm_16">#REF!</definedName>
    <definedName name="top_update">#REF!</definedName>
    <definedName name="TOP1..">#REF!</definedName>
    <definedName name="topcell">#REF!</definedName>
    <definedName name="TOPFINAL">#REF!</definedName>
    <definedName name="TOPFINAL..">#REF!</definedName>
    <definedName name="TOPFRAMES">#REF!</definedName>
    <definedName name="TOPFRAMES..">#REF!</definedName>
    <definedName name="TOPHOURS">#REF!</definedName>
    <definedName name="TOPHOURS..">#REF!</definedName>
    <definedName name="topl">#REF!</definedName>
    <definedName name="topn">#REF!</definedName>
    <definedName name="TOPRD">#REF!</definedName>
    <definedName name="TOPTOTAL">#REF!</definedName>
    <definedName name="TOPTOTAL..">#REF!</definedName>
    <definedName name="TOPUNITS">#REF!</definedName>
    <definedName name="TOPUNITS.">#REF!</definedName>
    <definedName name="TORSION" hidden="1">{#N/A,#N/A,FALSE,"단축1";#N/A,#N/A,FALSE,"단축2";#N/A,#N/A,FALSE,"단축3";#N/A,#N/A,FALSE,"장축";#N/A,#N/A,FALSE,"4WD"}</definedName>
    <definedName name="TOT">#REF!</definedName>
    <definedName name="TOT_1">#REF!</definedName>
    <definedName name="TOT_2">#REF!</definedName>
    <definedName name="Tot_knw_Xfoot">#REF!</definedName>
    <definedName name="Tot_lik_Xfoot">#REF!</definedName>
    <definedName name="Tot_Outstand_Check">#REF!</definedName>
    <definedName name="TOTAL">#REF!</definedName>
    <definedName name="Total_COS_net_DnA_fore">#REF!</definedName>
    <definedName name="Total_Expenses">#REF!</definedName>
    <definedName name="Total_income_rounded_off_as_per_section_288A_of_the_Act">"main_2"</definedName>
    <definedName name="Total_Liabilities">#REF!</definedName>
    <definedName name="Total_Pay">#REF!</definedName>
    <definedName name="Total_Payment">#REF!+Extra_Payment</definedName>
    <definedName name="Total_Payment2">#REF!+Extra_Payment</definedName>
    <definedName name="Total_Payment3">#REF!+Extra_Payment</definedName>
    <definedName name="Total_Payment4">#REF!+Extra_Payment</definedName>
    <definedName name="Total_Payment5">#REF!+Extra_Payment</definedName>
    <definedName name="Total_Payment6">#REF!+Extra_Payment</definedName>
    <definedName name="Total_payments">#REF!*#REF!</definedName>
    <definedName name="Total_Principal_plus_Accrued_Interest">#REF!</definedName>
    <definedName name="Total_Sale">#REF!</definedName>
    <definedName name="Total_Sale_Pax">#REF!</definedName>
    <definedName name="total_shares">#REF!</definedName>
    <definedName name="Total_South_Asia">#REF!</definedName>
    <definedName name="TOTAL1">#REF!</definedName>
    <definedName name="TOTAL2">#REF!</definedName>
    <definedName name="TOTAL3">#REF!</definedName>
    <definedName name="TotalAllocCost">#REF!</definedName>
    <definedName name="TotalCases">#REF!</definedName>
    <definedName name="TOTALCC">#REF!</definedName>
    <definedName name="TotalLocal">#REF!</definedName>
    <definedName name="TOTALMACRO">#REF!</definedName>
    <definedName name="TotalMatlCost">#REF!</definedName>
    <definedName name="TotalPrice">#REF!</definedName>
    <definedName name="Totals">#REF!</definedName>
    <definedName name="TotalStmFlw">#REF!</definedName>
    <definedName name="TotalUSD">#REF!</definedName>
    <definedName name="TotalXformCost">#REF!</definedName>
    <definedName name="TOTBV" hidden="1">{"PRVSN",#N/A,FALSE,"Q196";"PRVSN",#N/A,FALSE,"Q296";"PRVSN",#N/A,FALSE,"Q396";"PRVSN",#N/A,FALSE,"Q496";"VARIANCES",#N/A,FALSE,"Q196";"VARIANCES",#N/A,FALSE,"Q296"}</definedName>
    <definedName name="TOTBVAW" hidden="1">{"PRVSN",#N/A,FALSE,"Q196";"PRVSN",#N/A,FALSE,"Q296";"PRVSN",#N/A,FALSE,"Q396";"PRVSN",#N/A,FALSE,"Q496";"VARIANCES",#N/A,FALSE,"Q196";"VARIANCES",#N/A,FALSE,"Q296"}</definedName>
    <definedName name="TotCC100">#REF!</definedName>
    <definedName name="TotCC110">#REF!</definedName>
    <definedName name="TotCC115">#REF!</definedName>
    <definedName name="TotCC120">#REF!</definedName>
    <definedName name="TotCC130">#REF!</definedName>
    <definedName name="TotCC140">#REF!</definedName>
    <definedName name="TotCC160">#REF!</definedName>
    <definedName name="TotCC170">#REF!</definedName>
    <definedName name="TotCC180">#REF!</definedName>
    <definedName name="TotCC200">#REF!</definedName>
    <definedName name="TotCC202">#REF!</definedName>
    <definedName name="TotCC204">#REF!</definedName>
    <definedName name="TotCC206">#REF!</definedName>
    <definedName name="TotCC208">#REF!</definedName>
    <definedName name="TotCC210">#REF!</definedName>
    <definedName name="TotCC212">#REF!</definedName>
    <definedName name="TotCC220">#REF!</definedName>
    <definedName name="TotCC230">#REF!</definedName>
    <definedName name="TotCC240">#REF!</definedName>
    <definedName name="TotCC250">#REF!</definedName>
    <definedName name="TotCC300">#REF!</definedName>
    <definedName name="TotCC310">#REF!</definedName>
    <definedName name="TotCC320">#REF!</definedName>
    <definedName name="TotCC330">#REF!</definedName>
    <definedName name="TotCC400">#REF!</definedName>
    <definedName name="TotCC410">#REF!</definedName>
    <definedName name="TotCC415">#REF!</definedName>
    <definedName name="TotCC420">#REF!</definedName>
    <definedName name="TotCC425">#REF!</definedName>
    <definedName name="TotCC430">#REF!</definedName>
    <definedName name="TotCC500">#REF!</definedName>
    <definedName name="TotCC504">#REF!</definedName>
    <definedName name="TotCC505">#REF!</definedName>
    <definedName name="TotCC510">#REF!</definedName>
    <definedName name="TotCC520">#REF!</definedName>
    <definedName name="TotCC521">#REF!</definedName>
    <definedName name="TotCC585">#REF!</definedName>
    <definedName name="TotCC590">#REF!</definedName>
    <definedName name="TotCC600">#REF!</definedName>
    <definedName name="TotCC604">#REF!</definedName>
    <definedName name="TotCC635">#REF!</definedName>
    <definedName name="TotCC675">#REF!</definedName>
    <definedName name="TOTINSURANCE">#REF!</definedName>
    <definedName name="TotLiab">#REF!</definedName>
    <definedName name="toto">#REF!</definedName>
    <definedName name="toto2">#REF!</definedName>
    <definedName name="TOTOHBUD">#REF!</definedName>
    <definedName name="tototo2">#REF!</definedName>
    <definedName name="TOTPG">"9"</definedName>
    <definedName name="TOTRNDT">#REF!</definedName>
    <definedName name="TOTRNREF">#REF!</definedName>
    <definedName name="totsum">#REF!</definedName>
    <definedName name="tou">#REF!</definedName>
    <definedName name="TP_Footer_Path">"S:\30876\03welf\othsys\levinel\FAS 112\"</definedName>
    <definedName name="TP_Footer_User">"levinel"</definedName>
    <definedName name="TP_Footer_Version">"v3.00"</definedName>
    <definedName name="tpm">#REF!</definedName>
    <definedName name="TPS">#REF!</definedName>
    <definedName name="tqmp10">#REF!</definedName>
    <definedName name="tr">#REF!</definedName>
    <definedName name="Trade_Creditors">#REF!</definedName>
    <definedName name="Trade_Debtors">#REF!</definedName>
    <definedName name="TradingPriceIncrement">#REF!</definedName>
    <definedName name="trans_C">#REF!</definedName>
    <definedName name="trans_D">#REF!</definedName>
    <definedName name="trans_per_training_dept17">120</definedName>
    <definedName name="TransactionCurrencyCode">#REF!</definedName>
    <definedName name="TRANSFERS">#REF!</definedName>
    <definedName name="TRANSITION_COST">#REF!</definedName>
    <definedName name="translation_adj">#REF!</definedName>
    <definedName name="TRATE">#REF!</definedName>
    <definedName name="travel">#REF!</definedName>
    <definedName name="trc_XLS_DATASHEET_ProtectDate">36881.5985416667</definedName>
    <definedName name="trdut">#REF!</definedName>
    <definedName name="tre">#REF!</definedName>
    <definedName name="Treasury">#REF!</definedName>
    <definedName name="treeList" hidden="1">"00000000000000000000000000000000000000000000000000000000000000000000000000000000000000000000000000000000000000000000000000000000000000000000000000000000000000000000000000000000000000000000000000000000"</definedName>
    <definedName name="treeList_1">"11100000000000000000000000000000000000000000000000000000000000000000000000000000000000000000000000000000000000000000000000000000000000000000000000000000000000000000000000000000000000000000000000000000"</definedName>
    <definedName name="trend">#REF!</definedName>
    <definedName name="Trg">#REF!</definedName>
    <definedName name="TRHTHJ">{"'표지'!$B$5"}</definedName>
    <definedName name="TRIA">#REF!</definedName>
    <definedName name="trial">#REF!</definedName>
    <definedName name="Trial_Balance">#REF!</definedName>
    <definedName name="Trial_Balance_Check_June_2014_BS">#REF!</definedName>
    <definedName name="Trial_Balance_Check_June_2014_PL">#REF!</definedName>
    <definedName name="trialbal">#REF!</definedName>
    <definedName name="triy" hidden="1">{#N/A,#N/A,FALSE,"REPORT"}</definedName>
    <definedName name="trjhtrhbtr">#REF!</definedName>
    <definedName name="trjhtrhbtr_1">#REF!</definedName>
    <definedName name="trjhtrhbtr_2">#REF!</definedName>
    <definedName name="trjhtrhbtr_3">#REF!</definedName>
    <definedName name="trjhtrhbtr_4">#REF!</definedName>
    <definedName name="TRS2Q2">#REF!</definedName>
    <definedName name="TRS3Q2">#REF!</definedName>
    <definedName name="trsf">#REF!</definedName>
    <definedName name="trucklease">#REF!</definedName>
    <definedName name="TRUE_UP">#REF!</definedName>
    <definedName name="truhydtrhdrth">#REF!</definedName>
    <definedName name="truhydtrhdrth_1">#REF!</definedName>
    <definedName name="truhydtrhdrth_2">#REF!</definedName>
    <definedName name="truhydtrhdrth_3">#REF!</definedName>
    <definedName name="truhydtrhdrth_4">#REF!</definedName>
    <definedName name="trust">#REF!</definedName>
    <definedName name="tryu" hidden="1">{#N/A,#N/A,TRUE,"Monthly w|o Wireless";#N/A,#N/A,TRUE,"Qrt w|o Wireless";#N/A,#N/A,TRUE,"FY w|o Wireless";#N/A,#N/A,TRUE,"1Q w|o Wireless";#N/A,#N/A,TRUE,"2Q w|o Wireless";#N/A,#N/A,TRUE,"3Q w|o Wireless";#N/A,#N/A,TRUE,"4Q w|o Wireless"}</definedName>
    <definedName name="tryyt">#REF!</definedName>
    <definedName name="TS">#REF!</definedName>
    <definedName name="TSD">#REF!</definedName>
    <definedName name="tsi">#REF!</definedName>
    <definedName name="tste" hidden="1">{#N/A,#N/A,FALSE,"REPORT"}</definedName>
    <definedName name="tt" hidden="1">{"00000summary",#N/A,FALSE,"00000";"10000summary",#N/A,FALSE,"10000"}</definedName>
    <definedName name="tthh" hidden="1">#N/A</definedName>
    <definedName name="TTL">#REF!</definedName>
    <definedName name="TTL_COS">#N/A</definedName>
    <definedName name="TTL_SALE">#N/A</definedName>
    <definedName name="TTL_UC">#N/A</definedName>
    <definedName name="TTLSALE">#N/A</definedName>
    <definedName name="ttt">#REF!</definedName>
    <definedName name="TTTT" hidden="1">1</definedName>
    <definedName name="ttttt">#REF!</definedName>
    <definedName name="TTTTTTTTTTTT">#REF!</definedName>
    <definedName name="tttttttttttttttttttttttttttt">#REF!</definedName>
    <definedName name="tttwert">{"'1-TheatreBkgs'!$A$1:$L$102"}</definedName>
    <definedName name="tu">{"'Trend_Total'!$A$7:$V$10","'Trend_Total'!$A$1:$V$4"}</definedName>
    <definedName name="Tua">{"'Vendor Info'!$A$3:$G$56"}</definedName>
    <definedName name="tuiol">#REF!</definedName>
    <definedName name="tuiol_1">#REF!</definedName>
    <definedName name="tuv">#REF!</definedName>
    <definedName name="TUYJ">#REF!</definedName>
    <definedName name="TUYJ_1">#REF!</definedName>
    <definedName name="TVD">#REF!</definedName>
    <definedName name="TVRevenueMonth">#REF!</definedName>
    <definedName name="TVRevenueYTD">#REF!</definedName>
    <definedName name="tvs_suzuki">#REF!</definedName>
    <definedName name="TW">#REF!</definedName>
    <definedName name="twap" hidden="1">{#N/A,#N/A,FALSE,"Title";#N/A,#N/A,FALSE,"Index";#N/A,#N/A,FALSE,"1";#N/A,#N/A,FALSE,"2";#N/A,#N/A,FALSE,"3";#N/A,#N/A,FALSE,"4";#N/A,#N/A,FALSE,"5";#N/A,#N/A,FALSE,"5A";#N/A,#N/A,FALSE,"6";#N/A,#N/A,FALSE,"7";#N/A,#N/A,FALSE,"8"}</definedName>
    <definedName name="twd">#REF!</definedName>
    <definedName name="twentytwo_pct">#REF!</definedName>
    <definedName name="twentytwo_pctneu">#REF!</definedName>
    <definedName name="twertert">#REF!</definedName>
    <definedName name="two">#REF!</definedName>
    <definedName name="TWO_YRS_BY_MTH">#REF!</definedName>
    <definedName name="TWOTOONE">#REF!</definedName>
    <definedName name="TX_CE">#REF!</definedName>
    <definedName name="TX_OE">#REF!</definedName>
    <definedName name="TX_OE.">#REF!</definedName>
    <definedName name="tyj">#REF!</definedName>
    <definedName name="tyj_1">#REF!</definedName>
    <definedName name="tyj_2">#REF!</definedName>
    <definedName name="tyj_3">#REF!</definedName>
    <definedName name="tyj_4">#REF!</definedName>
    <definedName name="TYKJY">#REF!</definedName>
    <definedName name="TYKJY_1">#REF!</definedName>
    <definedName name="tyler">#REF!</definedName>
    <definedName name="tyler1">#REF!</definedName>
    <definedName name="type">#REF!</definedName>
    <definedName name="Typist">"b1"</definedName>
    <definedName name="TYR" hidden="1">{#N/A,#N/A,FALSE,"REPORT"}</definedName>
    <definedName name="tytt">#REF!</definedName>
    <definedName name="tyty">{"'1-TheatreBkgs'!$A$1:$L$102"}</definedName>
    <definedName name="tyuiop" hidden="1">#REF!</definedName>
    <definedName name="tyukm">#REF!</definedName>
    <definedName name="tyukm_1">#REF!</definedName>
    <definedName name="tyututu">#REF!</definedName>
    <definedName name="tyyyy">8</definedName>
    <definedName name="U">#REF!</definedName>
    <definedName name="U_11_FG_Variance">#REF!</definedName>
    <definedName name="U_6_RM_Variance">#REF!</definedName>
    <definedName name="U30a57">#REF!</definedName>
    <definedName name="ua" hidden="1">{#N/A,#N/A,FALSE,"Aging Summary";#N/A,#N/A,FALSE,"Ratio Analysis";#N/A,#N/A,FALSE,"Test 120 Day Accts";#N/A,#N/A,FALSE,"Tickmarks"}</definedName>
    <definedName name="ua_3">#REF!</definedName>
    <definedName name="UACr95">#REF!</definedName>
    <definedName name="UACr96">#REF!</definedName>
    <definedName name="UACr97">#REF!</definedName>
    <definedName name="UACr98">#REF!</definedName>
    <definedName name="UACr98.10">#REF!</definedName>
    <definedName name="UACr98.11">#REF!</definedName>
    <definedName name="UADr95">#REF!</definedName>
    <definedName name="UADr96">#REF!</definedName>
    <definedName name="UADr97">#REF!</definedName>
    <definedName name="UADr98">#REF!</definedName>
    <definedName name="UADr98.10">#REF!</definedName>
    <definedName name="UADr98.11">#REF!</definedName>
    <definedName name="ubi">#REF!</definedName>
    <definedName name="ubv" hidden="1">{#N/A,#N/A,FALSE,"Aging Summary";#N/A,#N/A,FALSE,"Ratio Analysis";#N/A,#N/A,FALSE,"Test 120 Day Accts";#N/A,#N/A,FALSE,"Tickmarks"}</definedName>
    <definedName name="UER">#REF!</definedName>
    <definedName name="UER_1">#REF!</definedName>
    <definedName name="UER_2">#REF!</definedName>
    <definedName name="UGaap95">#REF!</definedName>
    <definedName name="UGaap96">#REF!</definedName>
    <definedName name="UGaap97">#REF!</definedName>
    <definedName name="UGaap98">#REF!</definedName>
    <definedName name="UGaap98.10">#REF!</definedName>
    <definedName name="UGaap98.11">#REF!</definedName>
    <definedName name="UI">#REF!</definedName>
    <definedName name="uihjyn" hidden="1">{#N/A,#N/A,TRUE,"CPRD";#N/A,#N/A,TRUE,"BCCPDR";#N/A,#N/A,TRUE,"EWRD";#N/A,#N/A,TRUE,"5100";#N/A,#N/A,TRUE,"5110"}</definedName>
    <definedName name="uilt">#REF!</definedName>
    <definedName name="uilt_1">#REF!</definedName>
    <definedName name="uioui">#REF!</definedName>
    <definedName name="uiui">#REF!</definedName>
    <definedName name="uiyg">#REF!</definedName>
    <definedName name="UJ">#REF!</definedName>
    <definedName name="UJ_1">#REF!</definedName>
    <definedName name="UK">#REF!</definedName>
    <definedName name="UK_Units">#REF!</definedName>
    <definedName name="uksgkhshas">#REF!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CAP">#REF!</definedName>
    <definedName name="UNICAP_44">NA()</definedName>
    <definedName name="UNICAP_45">NA()</definedName>
    <definedName name="Unit_Cost">#REF!</definedName>
    <definedName name="Unit_Percent">#REF!</definedName>
    <definedName name="UNIT1">""</definedName>
    <definedName name="UNIT2">""</definedName>
    <definedName name="units">#REF!</definedName>
    <definedName name="UNITS.">#REF!</definedName>
    <definedName name="Units_Nos">#REF!</definedName>
    <definedName name="unkcolumnpm1">#REF!</definedName>
    <definedName name="unkcolumnpm2">#REF!</definedName>
    <definedName name="unkcolumnpm3">#REF!</definedName>
    <definedName name="unkcolumnpm4">#REF!</definedName>
    <definedName name="unkcolumnpm5">#REF!</definedName>
    <definedName name="unkcolumnpm6">#REF!</definedName>
    <definedName name="unknownpm1">#REF!</definedName>
    <definedName name="unknownpm2">#REF!</definedName>
    <definedName name="unknownpm3">#REF!</definedName>
    <definedName name="unknownpm4">#REF!</definedName>
    <definedName name="unknownpm5">#REF!</definedName>
    <definedName name="unknownpm6">#REF!</definedName>
    <definedName name="unlev_fcf_rate">#REF!</definedName>
    <definedName name="unnamed_0">#REF!</definedName>
    <definedName name="UnrealGLPrintArea">#REF!</definedName>
    <definedName name="Unrealised">#REF!</definedName>
    <definedName name="UNSEC_LOAN">#REF!</definedName>
    <definedName name="UNSECURED_LOANS">#REF!</definedName>
    <definedName name="Untitled">#REF!</definedName>
    <definedName name="unvested_repurchased">#REF!</definedName>
    <definedName name="UNZIPP" hidden="1">#REF!</definedName>
    <definedName name="UP">{"'Inventory &amp; Anal-Cur Wkbk'!$A$7:$AP$71"}</definedName>
    <definedName name="Upcomcables">#REF!</definedName>
    <definedName name="update">#REF!</definedName>
    <definedName name="Update_By">#REF!</definedName>
    <definedName name="Update_Date">#REF!</definedName>
    <definedName name="Update_NotesTrading">#REF!</definedName>
    <definedName name="Update_NotesUpdate">#REF!</definedName>
    <definedName name="updated">#REF!</definedName>
    <definedName name="UPDATELOGICTYPE1">#REF!</definedName>
    <definedName name="Upgrade">#REF!</definedName>
    <definedName name="Upside">"5-Upside"</definedName>
    <definedName name="ur">#REF!</definedName>
    <definedName name="URGENT">#REF!</definedName>
    <definedName name="us">#REF!</definedName>
    <definedName name="us_cpi">#REF!</definedName>
    <definedName name="US_FooterType">"EXTERNAL"</definedName>
    <definedName name="US_tax">#REF!</definedName>
    <definedName name="USAGE">#REF!</definedName>
    <definedName name="Usage_Country__if_outside_US">#REF!</definedName>
    <definedName name="USBS">#REF!</definedName>
    <definedName name="usd">#REF!</definedName>
    <definedName name="USD.A">#REF!</definedName>
    <definedName name="USD.E">#REF!</definedName>
    <definedName name="USD_B">#REF!</definedName>
    <definedName name="USDAT">"GL291"</definedName>
    <definedName name="UseMidPoint">#REF!</definedName>
    <definedName name="User" hidden="1">{#N/A,#N/A,FALSE,"Data"}</definedName>
    <definedName name="user1">#REF!</definedName>
    <definedName name="USERPD">#REF!</definedName>
    <definedName name="USERYR">#REF!</definedName>
    <definedName name="USF_FooterType">"INTERNAL"</definedName>
    <definedName name="USIS">#REF!</definedName>
    <definedName name="usis1">#REF!</definedName>
    <definedName name="USNAM">"LAWKSL"</definedName>
    <definedName name="USWest">#REF!</definedName>
    <definedName name="uti">#REF!</definedName>
    <definedName name="Util">#REF!</definedName>
    <definedName name="Util1">#REF!</definedName>
    <definedName name="UtilitiesMonth">#REF!</definedName>
    <definedName name="UtilitiesYTD">#REF!</definedName>
    <definedName name="UTO_FooterType">"INTERNAL"</definedName>
    <definedName name="uu">#REF!</definedName>
    <definedName name="uuuu">#REF!</definedName>
    <definedName name="UUUUUUUUUUUU">#REF!</definedName>
    <definedName name="UUUUUUUUUUUUU">#REF!</definedName>
    <definedName name="uy">#REF!</definedName>
    <definedName name="uyhgv">#REF!</definedName>
    <definedName name="uyhgv_1">#REF!</definedName>
    <definedName name="uyhjkuyhjdfezfd">#REF!</definedName>
    <definedName name="uytr">#REF!</definedName>
    <definedName name="uytr_1">#REF!</definedName>
    <definedName name="UYTRE">#REF!</definedName>
    <definedName name="UYTRE_1">#REF!</definedName>
    <definedName name="v">#REF!</definedName>
    <definedName name="v_3">#REF!</definedName>
    <definedName name="Vac">#REF!</definedName>
    <definedName name="VACATION">#REF!</definedName>
    <definedName name="ValidAccts">#REF!</definedName>
    <definedName name="value_date">#REF!</definedName>
    <definedName name="Value_of_Equity">#REF!</definedName>
    <definedName name="Value3">#REF!</definedName>
    <definedName name="Value4">#REF!</definedName>
    <definedName name="ValueDate">#REF!</definedName>
    <definedName name="Values_Entered">IF(#REF!*Interest_Rate*#REF!*#REF!&gt;0,1,0)</definedName>
    <definedName name="var" hidden="1">{"00000summary",#N/A,FALSE,"00000";"10000summary",#N/A,FALSE,"10000"}</definedName>
    <definedName name="varalakshmi">#REF!</definedName>
    <definedName name="VARAMT">#N/A</definedName>
    <definedName name="VAREOH">#N/A</definedName>
    <definedName name="Variance_Yellow1">OFFSET(#REF!,1,0, EmpCount,141)</definedName>
    <definedName name="Variances">#REF!</definedName>
    <definedName name="VarJ">#REF!</definedName>
    <definedName name="vars">#REF!</definedName>
    <definedName name="vasavi">#REF!</definedName>
    <definedName name="VAT">#REF!</definedName>
    <definedName name="vbmb">#REF!</definedName>
    <definedName name="vbmdg">#REF!</definedName>
    <definedName name="vbn" hidden="1">{#N/A,#N/A,FALSE,"Pharm";#N/A,#N/A,FALSE,"WWCM"}</definedName>
    <definedName name="VCBDVD" hidden="1">#REF!</definedName>
    <definedName name="VCD">#REF!</definedName>
    <definedName name="VCL_LS">#REF!</definedName>
    <definedName name="VDA_L">#REF!</definedName>
    <definedName name="vdasvda">#REF!</definedName>
    <definedName name="vds" hidden="1">{"'買掛金'!$J$6"}</definedName>
    <definedName name="Veeco1" hidden="1">{#N/A,#N/A,FALSE,"1263 Total"}</definedName>
    <definedName name="Vehicles">#REF!</definedName>
    <definedName name="VEHS">#REF!</definedName>
    <definedName name="VendorNumber">#REF!</definedName>
    <definedName name="VendorsValid">#REF!</definedName>
    <definedName name="ver">"1.1e"</definedName>
    <definedName name="VER_CF_BALANCES">#REF!</definedName>
    <definedName name="VER_SCH_1">#REF!</definedName>
    <definedName name="VER_SCH_10">#REF!</definedName>
    <definedName name="VER_SCH_11">#REF!</definedName>
    <definedName name="VER_SCH_12">#REF!</definedName>
    <definedName name="VER_SCH_13">#REF!</definedName>
    <definedName name="VER_SCH_14">#REF!</definedName>
    <definedName name="VER_SCH_15">#REF!</definedName>
    <definedName name="VER_SCH_16">#REF!</definedName>
    <definedName name="VER_SCH_17">#REF!</definedName>
    <definedName name="VER_SCH_18">#REF!</definedName>
    <definedName name="VER_SCH_19">#REF!</definedName>
    <definedName name="VER_SCH_2">#REF!</definedName>
    <definedName name="VER_SCH_20">#REF!</definedName>
    <definedName name="VER_SCH_21">#REF!</definedName>
    <definedName name="VER_SCH_22">#REF!</definedName>
    <definedName name="VER_SCH_23">#REF!</definedName>
    <definedName name="VER_SCH_3">#REF!</definedName>
    <definedName name="VER_SCH_4">#REF!</definedName>
    <definedName name="VER_SCH_5">#REF!</definedName>
    <definedName name="VER_SCH_6">#REF!</definedName>
    <definedName name="VER_SCH_7">#REF!</definedName>
    <definedName name="VER_SCH_8">#REF!</definedName>
    <definedName name="VER_SCH_9">#REF!</definedName>
    <definedName name="VER_SH_RATIOS">#REF!</definedName>
    <definedName name="Vergleich">#REF!</definedName>
    <definedName name="Version">1.2</definedName>
    <definedName name="Version.WIRE">1</definedName>
    <definedName name="Versions_FooterType">"INTERNAL"</definedName>
    <definedName name="vest25i">#REF!</definedName>
    <definedName name="vh">#REF!</definedName>
    <definedName name="vi">#REF!</definedName>
    <definedName name="videsh">#REF!</definedName>
    <definedName name="Vietnam">#REF!</definedName>
    <definedName name="view_comps">#REF!</definedName>
    <definedName name="Vince">#REF!</definedName>
    <definedName name="virus?">#REF!</definedName>
    <definedName name="virus?_1">#REF!</definedName>
    <definedName name="virus?_2">#REF!</definedName>
    <definedName name="virus?_3">#REF!</definedName>
    <definedName name="virus?_4">#REF!</definedName>
    <definedName name="Virus2">#REF!</definedName>
    <definedName name="Virus2_1">#REF!</definedName>
    <definedName name="Virus2_2">#REF!</definedName>
    <definedName name="Virus2_3">#REF!</definedName>
    <definedName name="Virus2_4">#REF!</definedName>
    <definedName name="virus3">#REF!</definedName>
    <definedName name="virus3_1">#REF!</definedName>
    <definedName name="virus3_2">#REF!</definedName>
    <definedName name="virus3_3">#REF!</definedName>
    <definedName name="virus3_4">#REF!</definedName>
    <definedName name="virus4">#REF!</definedName>
    <definedName name="virus4_1">#REF!</definedName>
    <definedName name="virus4_2">#REF!</definedName>
    <definedName name="virus4_3">#REF!</definedName>
    <definedName name="virus4_4">#REF!</definedName>
    <definedName name="virus5">#REF!</definedName>
    <definedName name="virus5_1">#REF!</definedName>
    <definedName name="virus5_2">#REF!</definedName>
    <definedName name="virus5_3">#REF!</definedName>
    <definedName name="virus5_4">#REF!</definedName>
    <definedName name="virus6">#REF!</definedName>
    <definedName name="virus6_1">#REF!</definedName>
    <definedName name="virus6_2">#REF!</definedName>
    <definedName name="virus6_3">#REF!</definedName>
    <definedName name="virus6_4">#REF!</definedName>
    <definedName name="vishwa">#REF!</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its">{"'Customer Support Trends'!$A$1:$AB$13"}</definedName>
    <definedName name="vistis2">{"'Customer Support Trends'!$A$1:$AB$13"}</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nbs">#REF!</definedName>
    <definedName name="VNUS">#REF!</definedName>
    <definedName name="vodka">#REF!</definedName>
    <definedName name="VOL8OZ95">#REF!</definedName>
    <definedName name="VOL8OZ96">#REF!</definedName>
    <definedName name="VOL8OZ97FCST">#REF!</definedName>
    <definedName name="VOL8OZ97PLAN">#REF!</definedName>
    <definedName name="VOL8OZ98PLAN">#REF!</definedName>
    <definedName name="Volatility">#REF!</definedName>
    <definedName name="VOLR95">#REF!</definedName>
    <definedName name="VOLR96">#REF!</definedName>
    <definedName name="VOLR97FCST">#REF!</definedName>
    <definedName name="VOLR97PLAN">#REF!</definedName>
    <definedName name="VOLR98PLAN">#REF!</definedName>
    <definedName name="VOUCHER">#REF!</definedName>
    <definedName name="VP">#REF!</definedName>
    <definedName name="VP3BOX">#REF!</definedName>
    <definedName name="vpannpay">#REF!</definedName>
    <definedName name="VPCSTD">#REF!</definedName>
    <definedName name="VPFin">#REF!</definedName>
    <definedName name="VPGYP">#REF!</definedName>
    <definedName name="vpmopay">#REF!</definedName>
    <definedName name="VPOFRV">#REF!</definedName>
    <definedName name="vs">#REF!</definedName>
    <definedName name="Vsn">25</definedName>
    <definedName name="VSNL">#REF!</definedName>
    <definedName name="vsr">#REF!</definedName>
    <definedName name="VT_PA">#REF!</definedName>
    <definedName name="VTM_1" hidden="1">#REF!</definedName>
    <definedName name="VTM_2" hidden="1">#REF!</definedName>
    <definedName name="VTM_3" hidden="1">#REF!</definedName>
    <definedName name="VTM_4" hidden="1">#REF!</definedName>
    <definedName name="VTM_5" hidden="1">#REF!</definedName>
    <definedName name="VTM_6" hidden="1">#REF!</definedName>
    <definedName name="VTM_7" hidden="1">#REF!</definedName>
    <definedName name="VTM_8" hidden="1">#REF!</definedName>
    <definedName name="VULIQ_NAMES_REVISION_DATE">40869.8079513889</definedName>
    <definedName name="vv">#REF!</definedName>
    <definedName name="vvv">#REF!</definedName>
    <definedName name="vvvv">{"DCF","UPSIDE CASE",FALSE,"Sheet1";"DCF","BASE CASE",FALSE,"Sheet1";"DCF","DOWNSIDE CASE",FALSE,"Sheet1"}</definedName>
    <definedName name="vvvvvv" hidden="1">{#N/A,#N/A,FALSE,"Pharm";#N/A,#N/A,FALSE,"WWCM"}</definedName>
    <definedName name="vvvvvvv" hidden="1">{#N/A,#N/A,FALSE,"Pharm";#N/A,#N/A,FALSE,"WWCM"}</definedName>
    <definedName name="vxccx" hidden="1">{"'買掛金'!$J$6"}</definedName>
    <definedName name="vzqzqz16">#REF!</definedName>
    <definedName name="w">#REF!</definedName>
    <definedName name="w_1">#REF!</definedName>
    <definedName name="w_3">#REF!</definedName>
    <definedName name="w45yu45hyh">#REF!</definedName>
    <definedName name="w45yu45hyh_1">#REF!</definedName>
    <definedName name="w45yu45hyh_2">#REF!</definedName>
    <definedName name="w45yu45hyh_3">#REF!</definedName>
    <definedName name="w45yu45hyh_4">#REF!</definedName>
    <definedName name="w5y">#REF!</definedName>
    <definedName name="wa">#REF!</definedName>
    <definedName name="WACC">#REF!</definedName>
    <definedName name="WACC_P_8">#REF!</definedName>
    <definedName name="WACC_sen">#REF!</definedName>
    <definedName name="wacc1">#REF!</definedName>
    <definedName name="wacc1_1">#REF!</definedName>
    <definedName name="wacc1_2">#REF!</definedName>
    <definedName name="wacc1_3">#REF!</definedName>
    <definedName name="wacc1_4">#REF!</definedName>
    <definedName name="WACC3">#REF!</definedName>
    <definedName name="WADE">#REF!</definedName>
    <definedName name="waefdasfdgrdg">clra1b1,clra1b2,clra1b3,clra1b4,clra1b5,clra1b6,clra1b7,clra1b8</definedName>
    <definedName name="WAGES">#REF!</definedName>
    <definedName name="Waiting">"Picture 1"</definedName>
    <definedName name="wam">#REF!</definedName>
    <definedName name="warn1">#REF!</definedName>
    <definedName name="warn2">#REF!</definedName>
    <definedName name="Warranty1" hidden="1">{#N/A,#N/A,TRUE,"CPRD";#N/A,#N/A,TRUE,"BCCPDR";#N/A,#N/A,TRUE,"EWRD";#N/A,#N/A,TRUE,"5100";#N/A,#N/A,TRUE,"5110"}</definedName>
    <definedName name="Wartsila">#REF!</definedName>
    <definedName name="was" hidden="1">{#N/A,#N/A,FALSE,"Sales Graph";#N/A,#N/A,FALSE,"BUC Graph";#N/A,#N/A,FALSE,"P&amp;L - YTD"}</definedName>
    <definedName name="wasd" hidden="1">{#N/A,#N/A,FALSE,"KMC최종회의(7월) 자료"}</definedName>
    <definedName name="wasdf" hidden="1">{#N/A,#N/A,FALSE,"KMC최종회의(7월) 자료"}</definedName>
    <definedName name="WASK">#REF!</definedName>
    <definedName name="wat">#REF!</definedName>
    <definedName name="Waterfall">{"'vert'!$A$1:$T$117"}</definedName>
    <definedName name="wawsss" hidden="1">{#N/A,#N/A,FALSE,"KMC최종회의(7월) 자료"}</definedName>
    <definedName name="wb">#REF!</definedName>
    <definedName name="WBMAX">#REF!</definedName>
    <definedName name="WBS" hidden="1">{#N/A,#N/A,FALSE,"Aging Summary";#N/A,#N/A,FALSE,"Ratio Analysis";#N/A,#N/A,FALSE,"Test 120 Day Accts";#N/A,#N/A,FALSE,"Tickmarks"}</definedName>
    <definedName name="WBS_3">#REF!</definedName>
    <definedName name="WC">#REF!</definedName>
    <definedName name="WC_Premium">#REF!</definedName>
    <definedName name="wdd" hidden="1">{#N/A,#N/A,FALSE,"UNIT";#N/A,#N/A,FALSE,"UNIT";#N/A,#N/A,FALSE,"계정"}</definedName>
    <definedName name="wdefrgth" hidden="1">#REF!</definedName>
    <definedName name="wdfg">#REF!</definedName>
    <definedName name="wdminus1">{"'1-TheatreBkgs'!$A$1:$L$102"}</definedName>
    <definedName name="we">#REF!</definedName>
    <definedName name="weas" hidden="1">{#N/A,#N/A,FALSE,"KMC최종회의(7월) 자료"}</definedName>
    <definedName name="web">#REF!</definedName>
    <definedName name="web_1">#REF!</definedName>
    <definedName name="web_3">#REF!</definedName>
    <definedName name="WEE">#REF!</definedName>
    <definedName name="WeekID">#REF!</definedName>
    <definedName name="weeklydty">#REF!</definedName>
    <definedName name="weeklyspun">#REF!</definedName>
    <definedName name="WeeksPerQuarter">13</definedName>
    <definedName name="WEF">#REF!</definedName>
    <definedName name="WEF_1">#REF!</definedName>
    <definedName name="wefaff">#REF!</definedName>
    <definedName name="weff.l" hidden="1">{#N/A,#N/A,FALSE,"B-Sht"}</definedName>
    <definedName name="wegwet">{"'1-TheatreBkgs'!$A$1:$L$102"}</definedName>
    <definedName name="Weight">#REF!</definedName>
    <definedName name="WELLS">#REF!</definedName>
    <definedName name="WELLS2">#REF!</definedName>
    <definedName name="WENDY">#REF!</definedName>
    <definedName name="wer" hidden="1">{#N/A,#N/A,TRUE,"CPRD";#N/A,#N/A,TRUE,"BCCPDR";#N/A,#N/A,TRUE,"EWRD";#N/A,#N/A,TRUE,"5100";#N/A,#N/A,TRUE,"5110"}</definedName>
    <definedName name="WER54R" hidden="1">#REF!</definedName>
    <definedName name="were">#REF!</definedName>
    <definedName name="werevcs">{"'1-TheatreBkgs'!$A$1:$L$102"}</definedName>
    <definedName name="werew">{"'1-TheatreBkgs'!$A$1:$L$102"}</definedName>
    <definedName name="werfwe">#REF!</definedName>
    <definedName name="werg">#REF!</definedName>
    <definedName name="werg_1">#REF!</definedName>
    <definedName name="werqwerq">#REF!</definedName>
    <definedName name="werqwerq_1">#REF!</definedName>
    <definedName name="werqwerq_2">#REF!</definedName>
    <definedName name="werqwerq_3">#REF!</definedName>
    <definedName name="werqwerq_4">#REF!</definedName>
    <definedName name="werrr" hidden="1">{#N/A,#N/A,FALSE,"Pharm";#N/A,#N/A,FALSE,"WWCM"}</definedName>
    <definedName name="wert">#REF!</definedName>
    <definedName name="wert_1">#REF!</definedName>
    <definedName name="wert1">#REF!</definedName>
    <definedName name="werth">#REF!</definedName>
    <definedName name="werth_1">#REF!</definedName>
    <definedName name="werty" hidden="1">#REF!</definedName>
    <definedName name="wertytyr" hidden="1">#REF!</definedName>
    <definedName name="wertyu" hidden="1">#REF!</definedName>
    <definedName name="werwe">#REF!</definedName>
    <definedName name="wesdfgf" hidden="1">{#N/A,#N/A,TRUE,"CPRD";#N/A,#N/A,TRUE,"BCCPDR";#N/A,#N/A,TRUE,"EWRD";#N/A,#N/A,TRUE,"5100";#N/A,#N/A,TRUE,"5110"}</definedName>
    <definedName name="westcs">#REF!</definedName>
    <definedName name="westfin">#REF!</definedName>
    <definedName name="westrenewal">#REF!</definedName>
    <definedName name="weth">#REF!</definedName>
    <definedName name="weth_1">#REF!</definedName>
    <definedName name="wetr" hidden="1">{#N/A,#N/A,FALSE,"Pharm";#N/A,#N/A,FALSE,"WWCM"}</definedName>
    <definedName name="wew">{"'Demand Units'!$Z$2:$AF$53"}</definedName>
    <definedName name="wewdew" hidden="1">{#N/A,#N/A,FALSE,"UNIT";#N/A,#N/A,FALSE,"UNIT";#N/A,#N/A,FALSE,"계정"}</definedName>
    <definedName name="wewewew" hidden="1">{#N/A,#N/A,FALSE,"UNIT";#N/A,#N/A,FALSE,"UNIT";#N/A,#N/A,FALSE,"계정"}</definedName>
    <definedName name="wewewewewwww" hidden="1">{#N/A,#N/A,FALSE,"UNIT";#N/A,#N/A,FALSE,"UNIT";#N/A,#N/A,FALSE,"계정"}</definedName>
    <definedName name="wewewewwwww" hidden="1">{#N/A,#N/A,FALSE,"UNIT";#N/A,#N/A,FALSE,"UNIT";#N/A,#N/A,FALSE,"계정"}</definedName>
    <definedName name="WGJDFHJ">#REF!</definedName>
    <definedName name="What" hidden="1">{#N/A,#N/A,FALSE,"MP Cover";#N/A,#N/A,FALSE,"MP Table of Contents";#N/A,#N/A,FALSE,"MP Metrics";"MP Mgmt Report",#N/A,FALSE,"P&amp;L- MP (w Seed)";#N/A,#N/A,FALSE,"P&amp;L- Landec";#N/A,#N/A,FALSE,"P&amp;L- Seed";"MP Mgmt Report",#N/A,FALSE,"Prod Line P&amp;L";#N/A,#N/A,FALSE,"MP (w Seed) BS";#N/A,#N/A,FALSE,"Cash Flow-MP (w Seed)"}</definedName>
    <definedName name="WHAT_3">#REF!</definedName>
    <definedName name="whatever">#REF!</definedName>
    <definedName name="whatever_1">#REF!</definedName>
    <definedName name="whatever_3">#REF!</definedName>
    <definedName name="whatever1">#REF!</definedName>
    <definedName name="whatisthis">#REF!</definedName>
    <definedName name="whatisthis_1">#REF!</definedName>
    <definedName name="whatisthis_2">#REF!</definedName>
    <definedName name="whatisthis_3">#REF!</definedName>
    <definedName name="whatisthis_4">#REF!</definedName>
    <definedName name="whatisthissss">#REF!</definedName>
    <definedName name="whatisthissss_1">#REF!</definedName>
    <definedName name="whatisthissss_2">#REF!</definedName>
    <definedName name="whatisthissss_3">#REF!</definedName>
    <definedName name="whatisthissss_4">#REF!</definedName>
    <definedName name="whatisthisssss">#REF!</definedName>
    <definedName name="whatisthisssss_1">#REF!</definedName>
    <definedName name="whatisthisssss_2">#REF!</definedName>
    <definedName name="whatisthisssss_3">#REF!</definedName>
    <definedName name="whatisthisssss_4">#REF!</definedName>
    <definedName name="whatsthis">#REF!</definedName>
    <definedName name="whatthehell">{"'Trend_Total'!$A$7:$V$10","'Trend_Total'!$A$1:$V$4"}</definedName>
    <definedName name="WHEN_PRINT">#REF!</definedName>
    <definedName name="whenever" hidden="1">{#N/A,#N/A,FALSE,"Australia";#N/A,#N/A,FALSE,"Austria";#N/A,#N/A,FALSE,"Belgium";#N/A,#N/A,FALSE,"Canada";#N/A,#N/A,FALSE,"France";#N/A,#N/A,FALSE,"Germany";#N/A,#N/A,FALSE,"Hong Kong";#N/A,#N/A,FALSE,"Italy";#N/A,#N/A,FALSE,"Japan";#N/A,#N/A,FALSE,"Korea";#N/A,#N/A,FALSE,"Mexico";#N/A,#N/A,FALSE,"Poland";#N/A,#N/A,FALSE,"Spain";#N/A,#N/A,FALSE,"Switzerland";#N/A,#N/A,FALSE,"UK"}</definedName>
    <definedName name="WHtax">#REF!</definedName>
    <definedName name="why" hidden="1">{#N/A,#N/A,FALSE,"Australia";#N/A,#N/A,FALSE,"Austria";#N/A,#N/A,FALSE,"Belgium";#N/A,#N/A,FALSE,"Canada";#N/A,#N/A,FALSE,"France";#N/A,#N/A,FALSE,"Germany";#N/A,#N/A,FALSE,"Hong Kong";#N/A,#N/A,FALSE,"Italy";#N/A,#N/A,FALSE,"Japan";#N/A,#N/A,FALSE,"Korea";#N/A,#N/A,FALSE,"Mexico";#N/A,#N/A,FALSE,"Poland";#N/A,#N/A,FALSE,"Spain";#N/A,#N/A,FALSE,"Switzerland";#N/A,#N/A,FALSE,"UK"}</definedName>
    <definedName name="WI">#REF!</definedName>
    <definedName name="wickley">#REF!</definedName>
    <definedName name="WID">#REF!</definedName>
    <definedName name="WIIII">#REF!</definedName>
    <definedName name="WIP">#REF!</definedName>
    <definedName name="WIPRO">#REF!</definedName>
    <definedName name="Wire">#REF!</definedName>
    <definedName name="WIRING">#REF!</definedName>
    <definedName name="WIRING..">#REF!</definedName>
    <definedName name="wix" hidden="1">{"'JANICE'!$B$155:$L$171"}</definedName>
    <definedName name="wjd" hidden="1">{#N/A,#N/A,FALSE,"BS";#N/A,#N/A,FALSE,"PL";#N/A,#N/A,FALSE,"처분";#N/A,#N/A,FALSE,"현금";#N/A,#N/A,FALSE,"매출";#N/A,#N/A,FALSE,"원가";#N/A,#N/A,FALSE,"경영"}</definedName>
    <definedName name="wjhat">#REF!</definedName>
    <definedName name="wkcopy">#REF!</definedName>
    <definedName name="wkd" hidden="1">{#N/A,#N/A,FALSE,"3가";#N/A,#N/A,FALSE,"3나";#N/A,#N/A,FALSE,"3다"}</definedName>
    <definedName name="wkd_3">#REF!</definedName>
    <definedName name="wkgk">#REF!</definedName>
    <definedName name="Wlmv">82197109.3305751</definedName>
    <definedName name="wn.06200">#REF!</definedName>
    <definedName name="wockhardt">#REF!</definedName>
    <definedName name="woob">"Warning! Out of Balance!"</definedName>
    <definedName name="wop" hidden="1">{#N/A,#N/A,FALSE,"Title";#N/A,#N/A,FALSE,"Index";#N/A,#N/A,FALSE,"1";#N/A,#N/A,FALSE,"2";#N/A,#N/A,FALSE,"3";#N/A,#N/A,FALSE,"4";#N/A,#N/A,FALSE,"5";#N/A,#N/A,FALSE,"5A";#N/A,#N/A,FALSE,"6";#N/A,#N/A,FALSE,"7";#N/A,#N/A,FALSE,"8"}</definedName>
    <definedName name="words">#REF!</definedName>
    <definedName name="WORK_CAP_FIN">#REF!</definedName>
    <definedName name="Work_Sheet">#REF!</definedName>
    <definedName name="work_type">#REF!</definedName>
    <definedName name="WORK1">#REF!</definedName>
    <definedName name="WORK2">#REF!</definedName>
    <definedName name="WORK3">#REF!</definedName>
    <definedName name="WorkbookName">"MSOPER.XLS"</definedName>
    <definedName name="WORKER">#REF!</definedName>
    <definedName name="workerscomp">#REF!</definedName>
    <definedName name="workexmw_pa">#REF!</definedName>
    <definedName name="workforce_drate">#REF!</definedName>
    <definedName name="Working_Area">#REF!</definedName>
    <definedName name="WORKING_CAPITAL">#REF!</definedName>
    <definedName name="WORKSHEET">#REF!</definedName>
    <definedName name="worldwide">#REF!</definedName>
    <definedName name="worldwidefin">#REF!</definedName>
    <definedName name="WP">"CommandButton2"</definedName>
    <definedName name="WP_SW">"CommandButton3"</definedName>
    <definedName name="WPL" hidden="1">{#N/A,#N/A,FALSE,"Aging Summary";#N/A,#N/A,FALSE,"Ratio Analysis";#N/A,#N/A,FALSE,"Test 120 Day Accts";#N/A,#N/A,FALSE,"Tickmarks"}</definedName>
    <definedName name="WPL_3">#REF!</definedName>
    <definedName name="wpw">#REF!</definedName>
    <definedName name="wq">#REF!</definedName>
    <definedName name="wqasd" hidden="1">{#N/A,#N/A,FALSE,"KMC최종회의(7월) 자료"}</definedName>
    <definedName name="wqe">#REF!</definedName>
    <definedName name="wqfges">#REF!</definedName>
    <definedName name="wqfges_1">#REF!</definedName>
    <definedName name="wqqwq">#REF!</definedName>
    <definedName name="wr">#REF!</definedName>
    <definedName name="wr.Full._.Model.2">#REF!</definedName>
    <definedName name="wrb">#REF!</definedName>
    <definedName name="wrd.2._.pagers.3">#REF!</definedName>
    <definedName name="wret">#REF!</definedName>
    <definedName name="wret_1">#REF!</definedName>
    <definedName name="wrg">#REF!</definedName>
    <definedName name="wrg_1">#REF!</definedName>
    <definedName name="wrgerger">#REF!</definedName>
    <definedName name="wrgerger_1">#REF!</definedName>
    <definedName name="wrgerger_2">#REF!</definedName>
    <definedName name="wrgerger_3">#REF!</definedName>
    <definedName name="wrgerger_4">#REF!</definedName>
    <definedName name="wrgr53gt3gtv">#REF!</definedName>
    <definedName name="wrgr53gt3gtv_1">#REF!</definedName>
    <definedName name="wrgr53gt3gtv_2">#REF!</definedName>
    <definedName name="wrgr53gt3gtv_3">#REF!</definedName>
    <definedName name="wrgr53gt3gtv_4">#REF!</definedName>
    <definedName name="WRI">#REF!</definedName>
    <definedName name="WRITBACK">#REF!</definedName>
    <definedName name="WriteUp_inventories">#REF!</definedName>
    <definedName name="WriteUp_otherCA">#REF!</definedName>
    <definedName name="WriteUp_otherCL">#REF!</definedName>
    <definedName name="WriteUp_otherLTA">#REF!</definedName>
    <definedName name="WriteUp_otherLTL">#REF!</definedName>
    <definedName name="WriteUp_payables">#REF!</definedName>
    <definedName name="WriteUP_PPE">#REF!</definedName>
    <definedName name="WriteUp_receivables">#REF!</definedName>
    <definedName name="writeupdeprec">#REF!</definedName>
    <definedName name="wrm.All.">#REF!</definedName>
    <definedName name="wrm.CashFlow.">#REF!</definedName>
    <definedName name="wrm.IncStmt.">#REF!</definedName>
    <definedName name="wrm.PL1990.">#REF!</definedName>
    <definedName name="wrm.PL1991.">#REF!</definedName>
    <definedName name="wrm.PL1992.">#REF!</definedName>
    <definedName name="wrm.PL1993.">#REF!</definedName>
    <definedName name="wrm.PL1994.">#REF!</definedName>
    <definedName name="wrm.PLVar.">#REF!</definedName>
    <definedName name="wrm.WorkCap.">#REF!</definedName>
    <definedName name="wrm.Y95current.">#REF!</definedName>
    <definedName name="wrm.Y95qtrs.">#REF!</definedName>
    <definedName name="wrn">#REF!</definedName>
    <definedName name="wrn." hidden="1">{"PL_no_inflated",#N/A,FALSE,"P&amp;L"}</definedName>
    <definedName name="wrn.???????._3">#REF!</definedName>
    <definedName name="wrn.????????._3">#REF!</definedName>
    <definedName name="wrn.??????????._3">#REF!</definedName>
    <definedName name="wrn.????94._3">#REF!</definedName>
    <definedName name="wrn.??94??._3">#REF!</definedName>
    <definedName name="wrn.0100._.Package">#REF!</definedName>
    <definedName name="wrn.0102._.package.">#REF!</definedName>
    <definedName name="wrn.0103._.package.">#REF!</definedName>
    <definedName name="wrn.0104._.package.">#REF!</definedName>
    <definedName name="wrn.0200._.Package">#REF!</definedName>
    <definedName name="wrn.0202._.package.">#REF!</definedName>
    <definedName name="wrn.0203._.package.">#REF!</definedName>
    <definedName name="wrn.0204._.package.">#REF!</definedName>
    <definedName name="wrn.0300._.Package">#REF!</definedName>
    <definedName name="wrn.0302._.package.">#REF!</definedName>
    <definedName name="wrn.0303._.package.">#REF!</definedName>
    <definedName name="wrn.0304._.package.">#REF!</definedName>
    <definedName name="wrn.0402._.package.">#REF!</definedName>
    <definedName name="wrn.0403._.package.">#REF!</definedName>
    <definedName name="wrn.0404._.package.">#REF!</definedName>
    <definedName name="wrn.0499._.Package.">#REF!</definedName>
    <definedName name="wrn.0502._.package.">#REF!</definedName>
    <definedName name="wrn.0503._.package.">#REF!</definedName>
    <definedName name="wrn.0504._.package.">#REF!</definedName>
    <definedName name="wrn.0602._.package.">#REF!</definedName>
    <definedName name="wrn.0603._.package.">#REF!</definedName>
    <definedName name="wrn.0604._.package.">#REF!</definedName>
    <definedName name="wrn.0699._.Package.">#REF!</definedName>
    <definedName name="wrn.0702._.package.">#REF!</definedName>
    <definedName name="wrn.0703._.package.">#REF!</definedName>
    <definedName name="wrn.0704._.package.">#REF!</definedName>
    <definedName name="wrn.0802._.package.">#REF!</definedName>
    <definedName name="wrn.0803._.package.">#REF!</definedName>
    <definedName name="wrn.0804._.package.">#REF!</definedName>
    <definedName name="wrn.0902._.package.">#REF!</definedName>
    <definedName name="wrn.0903._.package.">#REF!</definedName>
    <definedName name="wrn.0904._.package.">#REF!</definedName>
    <definedName name="wrn.1">#REF!</definedName>
    <definedName name="wrn.1.">#REF!</definedName>
    <definedName name="wrn.10.">#REF!</definedName>
    <definedName name="wrn.100._.Monthly._.Package.">#REF!</definedName>
    <definedName name="wrn.1002._.package.">#REF!</definedName>
    <definedName name="wrn.1003._.package.">#REF!</definedName>
    <definedName name="wrn.101.">#REF!</definedName>
    <definedName name="wrn.101._1">#REF!</definedName>
    <definedName name="wrn.1094stmts." hidden="1">{"ophigh",#N/A,FALSE,"OPHGH994.XLS"}</definedName>
    <definedName name="wrn.11.">#REF!</definedName>
    <definedName name="wrn.1102._.package.">#REF!</definedName>
    <definedName name="wrn.1111._.Report.">#REF!</definedName>
    <definedName name="wrn.111111" hidden="1">{#N/A,#N/A,FALSE,"Pharm";#N/A,#N/A,FALSE,"WWCM"}</definedName>
    <definedName name="wrn.111RPT._.AND._.BOARD._.PACKG." hidden="1">{#N/A,#N/A,FALSE,"SCHEDULES- board";#N/A,#N/A,FALSE,"BP-Q'S"}</definedName>
    <definedName name="wrn.111RPT._.AND._.BOARD._.PACKG._1">#REF!</definedName>
    <definedName name="wrn.12.">#REF!</definedName>
    <definedName name="wrn.1202._.package.">#REF!</definedName>
    <definedName name="wrn.13.">#REF!</definedName>
    <definedName name="wrn.14.">#REF!</definedName>
    <definedName name="wrn.15.">#REF!</definedName>
    <definedName name="wrn.16.">#REF!</definedName>
    <definedName name="wrn.17.">#REF!</definedName>
    <definedName name="wrn.18.">#REF!</definedName>
    <definedName name="wrn.19.">#REF!</definedName>
    <definedName name="wrn.1996._.BUDGET.">#REF!</definedName>
    <definedName name="wrn.1996._.Budget._.Support._.Schedules.">#REF!</definedName>
    <definedName name="wrn.1996._.BUDGET.1">#REF!</definedName>
    <definedName name="wrn.1996._.TO._.2004.">#REF!</definedName>
    <definedName name="wrn.1997._.Operations._.Budget._.All.">#REF!</definedName>
    <definedName name="wrn.1999._.Corporate.">#REF!</definedName>
    <definedName name="wrn.1999._.Funding.">#REF!</definedName>
    <definedName name="wrn.1999._.Grp._.Adjustments.">#REF!</definedName>
    <definedName name="wrn.1999._.Grp._.Consol.">#REF!</definedName>
    <definedName name="wrn.1999._.HTUK.">#REF!</definedName>
    <definedName name="wrn.1999._.International.">#REF!</definedName>
    <definedName name="wrn.1999._.OIDL.">#REF!</definedName>
    <definedName name="wrn.1999._.Trust.">#REF!</definedName>
    <definedName name="wrn.1st._.Quarter.">#REF!</definedName>
    <definedName name="wrn.1st._.Quarter._1">#REF!</definedName>
    <definedName name="wrn.1월속보." hidden="1">{#N/A,#N/A,FALSE,"표지&amp;목차";#N/A,#N/A,FALSE,"경영현황";#N/A,#N/A,FALSE,"매출현황";#N/A,#N/A,FALSE,"매출차이분석(양식)";#N/A,#N/A,FALSE,"손익현황";#N/A,#N/A,FALSE,"손익차이분석";#N/A,#N/A,FALSE,"제품별손익";#N/A,#N/A,FALSE,"재공재고";#N/A,#N/A,FALSE,"원가추이"}</definedName>
    <definedName name="wrn.2.">#REF!</definedName>
    <definedName name="wrn.2._.pagers.">#REF!</definedName>
    <definedName name="wrn.2._.pagers.2">#REF!</definedName>
    <definedName name="wrn.20.">#REF!</definedName>
    <definedName name="wrn.2000._.Corporate.">#REF!</definedName>
    <definedName name="wrn.2000._.Funding.">#REF!</definedName>
    <definedName name="wrn.2000._.Grp._.Adjustments.">#REF!</definedName>
    <definedName name="wrn.2000._.Grp._.Consol.">#REF!</definedName>
    <definedName name="wrn.2000._.HTUK.">#REF!</definedName>
    <definedName name="wrn.2000._.International.">#REF!</definedName>
    <definedName name="wrn.2000._.OIDL.">#REF!</definedName>
    <definedName name="wrn.2000._.Trust.">#REF!</definedName>
    <definedName name="wrn.21.">#REF!</definedName>
    <definedName name="wrn.22.">#REF!</definedName>
    <definedName name="wrn.23.">#REF!</definedName>
    <definedName name="wrn.24.">#REF!</definedName>
    <definedName name="wrn.25.">#REF!</definedName>
    <definedName name="wrn.26.">#REF!</definedName>
    <definedName name="wrn.27.">#REF!</definedName>
    <definedName name="wrn.28.">#REF!</definedName>
    <definedName name="wrn.29.">#REF!</definedName>
    <definedName name="wrn.2nd._.Quarter.">#REF!</definedName>
    <definedName name="wrn.2nd._.Quarter._1">#REF!</definedName>
    <definedName name="wrn.3.">#REF!</definedName>
    <definedName name="wrn.30.">#REF!</definedName>
    <definedName name="wrn.31.">#REF!</definedName>
    <definedName name="wrn.32.">#REF!</definedName>
    <definedName name="wrn.33.">#REF!</definedName>
    <definedName name="wrn.34.">#REF!</definedName>
    <definedName name="wrn.345." hidden="1">{#N/A,#N/A,FALSE,"96 3월물량표";#N/A,#N/A,FALSE,"96 4월물량표";#N/A,#N/A,FALSE,"96 5월물량표"}</definedName>
    <definedName name="wrn.35.">#REF!</definedName>
    <definedName name="wrn.36.">#REF!</definedName>
    <definedName name="wrn.37.">#REF!</definedName>
    <definedName name="wrn.38.">#REF!</definedName>
    <definedName name="wrn.39.">#REF!</definedName>
    <definedName name="wrn.3cases.">#REF!</definedName>
    <definedName name="wrn.3rd._.Quarter.">#REF!</definedName>
    <definedName name="wrn.3rd._.Quarter._1">#REF!</definedName>
    <definedName name="wrn.4.">#REF!</definedName>
    <definedName name="wrn.40.">#REF!</definedName>
    <definedName name="wrn.41.">#REF!</definedName>
    <definedName name="wrn.42.">#REF!</definedName>
    <definedName name="wrn.43.">#REF!</definedName>
    <definedName name="wrn.44.">#REF!</definedName>
    <definedName name="wrn.45.">#REF!</definedName>
    <definedName name="wrn.46.">#REF!</definedName>
    <definedName name="wrn.47.">#REF!</definedName>
    <definedName name="wrn.48.">#REF!</definedName>
    <definedName name="wrn.49.">#REF!</definedName>
    <definedName name="wrn.4th._.Quarter.">#REF!</definedName>
    <definedName name="wrn.4th._.Quarter._1">#REF!</definedName>
    <definedName name="wrn.5.">#REF!</definedName>
    <definedName name="wrn.50.">#REF!</definedName>
    <definedName name="wrn.50._.50.">#REF!</definedName>
    <definedName name="wrn.51.">#REF!</definedName>
    <definedName name="wrn.51_8.">#REF!</definedName>
    <definedName name="wrn.52.">#REF!</definedName>
    <definedName name="wrn.53.">#REF!</definedName>
    <definedName name="wrn.54.">#REF!</definedName>
    <definedName name="wrn.55.">#REF!</definedName>
    <definedName name="wrn.56.">#REF!</definedName>
    <definedName name="wrn.57.">#REF!</definedName>
    <definedName name="wrn.58.">#REF!</definedName>
    <definedName name="wrn.59.">#REF!</definedName>
    <definedName name="wrn.6.">#REF!</definedName>
    <definedName name="wrn.60.">#REF!</definedName>
    <definedName name="wrn.61.">#REF!</definedName>
    <definedName name="wrn.62.">#REF!</definedName>
    <definedName name="wrn.63.">#REF!</definedName>
    <definedName name="wrn.64.">#REF!</definedName>
    <definedName name="wrn.65.">#REF!</definedName>
    <definedName name="wrn.66.">#REF!</definedName>
    <definedName name="wrn.67.">#REF!</definedName>
    <definedName name="wrn.68.">#REF!</definedName>
    <definedName name="wrn.69.">#REF!</definedName>
    <definedName name="wrn.7.">#REF!</definedName>
    <definedName name="wrn.70.">#REF!</definedName>
    <definedName name="wrn.71.">#REF!</definedName>
    <definedName name="wrn.72.">#REF!</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#REF!</definedName>
    <definedName name="wrn.82603._.Rebound._.2002._.August._.MC._.Update.">#REF!</definedName>
    <definedName name="wrn.9.">#REF!</definedName>
    <definedName name="wrn.905" hidden="1">{#N/A,#N/A,FALSE,"REPORT"}</definedName>
    <definedName name="wrn.95PROV.">#REF!</definedName>
    <definedName name="wrn.95PROV._1">#REF!</definedName>
    <definedName name="wrn.95PROV._3">#REF!</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6_model.">#REF!</definedName>
    <definedName name="wrn.99999" hidden="1">{#N/A,#N/A,FALSE,"REPORT"}</definedName>
    <definedName name="wrn.A.">#REF!</definedName>
    <definedName name="wrn.A.._.1263._.yr._.1." hidden="1">{#N/A,#N/A,FALSE,"1263 yr1"}</definedName>
    <definedName name="wrn.A.._.Print._.All.">#REF!</definedName>
    <definedName name="wrn.A._1">#REF!</definedName>
    <definedName name="wrn.A._2">#REF!</definedName>
    <definedName name="wrn.A._3">#REF!</definedName>
    <definedName name="wrn.A._4">#REF!</definedName>
    <definedName name="wrn.A_VALUATION.">#REF!</definedName>
    <definedName name="wrn.A_VALUATION._1">#REF!</definedName>
    <definedName name="wrn.A_VALUATION._2">#REF!</definedName>
    <definedName name="wrn.A_VALUATION._3">#REF!</definedName>
    <definedName name="wrn.A_VALUATION._4">#REF!</definedName>
    <definedName name="wrn.A4BSSCH.">#REF!</definedName>
    <definedName name="wrn.A4PL.">#REF!</definedName>
    <definedName name="wrn.aa." hidden="1">{#N/A,#N/A,FALSE,"UNIT";#N/A,#N/A,FALSE,"UNIT";#N/A,#N/A,FALSE,"계정"}</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cc._.Misc._.Expenses.">#REF!</definedName>
    <definedName name="wrn.Accounts.">#REF!</definedName>
    <definedName name="wrn.Accounts._.Receivable._.Aging._.Sc">#REF!</definedName>
    <definedName name="wrn.Accounts._.Receivable._.Aging._.Schedule.">#REF!</definedName>
    <definedName name="wrn.Accounts._1">#REF!</definedName>
    <definedName name="wrn.Accounts._2">#REF!</definedName>
    <definedName name="wrn.Accounts._3">#REF!</definedName>
    <definedName name="wrn.Accounts._4">#REF!</definedName>
    <definedName name="wrn.Accr_Dil.">#REF!</definedName>
    <definedName name="wrn.Accr_Dil._1">#REF!</definedName>
    <definedName name="wrn.Accr_Dil._2">#REF!</definedName>
    <definedName name="wrn.Accr_Dil._3">#REF!</definedName>
    <definedName name="wrn.Accr_Dil._4">#REF!</definedName>
    <definedName name="wrn.Accretion.">#REF!</definedName>
    <definedName name="wrn.Accretion._.Dilution.">#REF!</definedName>
    <definedName name="wrn.Accretion._.Dilution._split">#REF!</definedName>
    <definedName name="wrn.Accrued._.Medical.">#REF!</definedName>
    <definedName name="wrn.accsum." hidden="1">{#N/A,#N/A,FALSE,"Acctg";#N/A,#N/A,FALSE,"Total"}</definedName>
    <definedName name="wrn.accsum._1">#REF!</definedName>
    <definedName name="wrn.accsum._3">#REF!</definedName>
    <definedName name="wrn.ACCTRECONS.">#REF!</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_1">#REF!</definedName>
    <definedName name="wrn.ACHESON94TAXRETURN._3">#REF!</definedName>
    <definedName name="wrn.AcqState.">#REF!</definedName>
    <definedName name="wrn.AcqState._1">#REF!</definedName>
    <definedName name="wrn.AcqState._2">#REF!</definedName>
    <definedName name="wrn.AcqState._3">#REF!</definedName>
    <definedName name="wrn.AcqState._4">#REF!</definedName>
    <definedName name="wrn.AcqState1">#REF!</definedName>
    <definedName name="wrn.Acquiror.">#REF!</definedName>
    <definedName name="wrn.Acquiror._1">#REF!</definedName>
    <definedName name="wrn.Acquiror._2">#REF!</definedName>
    <definedName name="wrn.Acquiror._3">#REF!</definedName>
    <definedName name="wrn.Acquiror._4">#REF!</definedName>
    <definedName name="wrn.AcqVal.">#REF!</definedName>
    <definedName name="wrn.AcqVal._1">#REF!</definedName>
    <definedName name="wrn.AcqVal._2">#REF!</definedName>
    <definedName name="wrn.AcqVal._3">#REF!</definedName>
    <definedName name="wrn.AcqVal._4">#REF!</definedName>
    <definedName name="wrn.actual">#REF!</definedName>
    <definedName name="wrn.Actual._.Data._.Entry.">#REF!</definedName>
    <definedName name="wrn.actual_2">#REF!</definedName>
    <definedName name="wrn.Additonal.">#REF!</definedName>
    <definedName name="wrn.Additonal._1">#REF!</definedName>
    <definedName name="wrn.adj95.">#REF!</definedName>
    <definedName name="wrn.Adjustments.">#REF!</definedName>
    <definedName name="wrn.Admin.">#REF!</definedName>
    <definedName name="wrn.admin._.budget._.1997.">#REF!</definedName>
    <definedName name="wrn.af">#REF!</definedName>
    <definedName name="wrn.Aging._.and._.Trend._.Analysis.">#REF!</definedName>
    <definedName name="wrn.Aging._.and._.Trend._.Analysis._1">#REF!</definedName>
    <definedName name="wrn.Aging._.and._.Trend._.Analysis._3">#REF!</definedName>
    <definedName name="wrn.Aging._.and._.Trend._.Analysis._3_1">#REF!</definedName>
    <definedName name="wrn.Aging._.and._.Trend._.Analysis._5">#REF!</definedName>
    <definedName name="wrn.Aging._.and._.Trend._.Analysis._5_1">#REF!</definedName>
    <definedName name="wrn.Aging._.and._.Trend._.Analysis._6">#REF!</definedName>
    <definedName name="wrn.Aging._.and._.Trend._.Analysis._6_1">#REF!</definedName>
    <definedName name="wrn.Aging._.and_.Trend._.Analysis._4">#REF!</definedName>
    <definedName name="wrn.Aging._.and_.Trend._.Analysis._4_1">#REF!</definedName>
    <definedName name="wrn.Aging._and._.Trend._.Analysis">#REF!</definedName>
    <definedName name="wrn.Aging._and._.Trend._.Analysis_1">#REF!</definedName>
    <definedName name="wrn.ahfstep.">#REF!</definedName>
    <definedName name="wrn.AHFYLD.">#REF!</definedName>
    <definedName name="wrn.ALAN.">#REF!</definedName>
    <definedName name="wrn.Alan._.Report.">#REF!</definedName>
    <definedName name="wrn.Alex.">#REF!</definedName>
    <definedName name="wrn.ALL.">#REF!</definedName>
    <definedName name="wrn.ALL._....original.">#REF!</definedName>
    <definedName name="wrn.ALL._....original._1">#REF!</definedName>
    <definedName name="wrn.ALL._.6." hidden="1">{"PRVSN",#N/A,FALSE,"Q196";"PRVSN",#N/A,FALSE,"Q296";"PRVSN",#N/A,FALSE,"Q396";"PRVSN",#N/A,FALSE,"Q496";"VARIANCES",#N/A,FALSE,"Q196";"VARIANCES",#N/A,FALSE,"Q296"}</definedName>
    <definedName name="wrn.All._.Audit.">#REF!</definedName>
    <definedName name="wrn.all._.comps.">#REF!</definedName>
    <definedName name="wrn.All._.Countries.">#REF!</definedName>
    <definedName name="wrn.All._.Countries._1">#REF!</definedName>
    <definedName name="wrn.All._.Countries._3">#REF!</definedName>
    <definedName name="wrn.all._.gulp._.sheets.">#REF!</definedName>
    <definedName name="wrn.all._.gulp._.sheets._1">#REF!</definedName>
    <definedName name="wrn.all._.gulp._.sheets._2">#REF!</definedName>
    <definedName name="wrn.all._.gulp._.sheets._3">#REF!</definedName>
    <definedName name="wrn.all._.gulp._.sheets._4">#REF!</definedName>
    <definedName name="wrn.all._.input.">#REF!</definedName>
    <definedName name="wrn.all._.input._1">#REF!</definedName>
    <definedName name="wrn.all._.input._2">#REF!</definedName>
    <definedName name="wrn.all._.input._3">#REF!</definedName>
    <definedName name="wrn.all._.input._4">#REF!</definedName>
    <definedName name="wrn.All._.Models.">#REF!</definedName>
    <definedName name="wrn.All._.Pages.">#REF!</definedName>
    <definedName name="wrn.All._.Pages._1">#REF!</definedName>
    <definedName name="wrn.ALL._.PAGES._2">#REF!</definedName>
    <definedName name="wrn.ALL._.PAGES._3">#REF!</definedName>
    <definedName name="wrn.ALL._.PAGES._4">#REF!</definedName>
    <definedName name="wrn.ALL._.PAGES._5">#REF!</definedName>
    <definedName name="wrn.all._.print.">#REF!</definedName>
    <definedName name="wrn.All._.Reports.">#REF!</definedName>
    <definedName name="wrn.all._.sheets.">#REF!</definedName>
    <definedName name="wrn.ALL._.SHEETS._1">#REF!</definedName>
    <definedName name="wrn.ALL._.SHEETS._2">#REF!</definedName>
    <definedName name="wrn.ALL._.SHEETS._3">#REF!</definedName>
    <definedName name="wrn.ALL._.SHEETS._4">#REF!</definedName>
    <definedName name="wrn.All._.Worksheets.">#REF!</definedName>
    <definedName name="wrn.All._.Worksheets._1">#REF!</definedName>
    <definedName name="wrn.All._.Worksheets._2">#REF!</definedName>
    <definedName name="wrn.All._.Worksheets._3">#REF!</definedName>
    <definedName name="wrn.All._.Worksheets._4">#REF!</definedName>
    <definedName name="wrn.ALL._1">#REF!</definedName>
    <definedName name="wrn.ALL._2">#REF!</definedName>
    <definedName name="wrn.ALL._3">#REF!</definedName>
    <definedName name="wrn.ALL._4">#REF!</definedName>
    <definedName name="wrn.All_Models.">#REF!</definedName>
    <definedName name="wrn.All_Models._1">#REF!</definedName>
    <definedName name="wrn.All_Models._2">#REF!</definedName>
    <definedName name="wrn.All_Models._3">#REF!</definedName>
    <definedName name="wrn.All_Models._4">#REF!</definedName>
    <definedName name="wrn.All_Sheets.">#REF!</definedName>
    <definedName name="wrn.All_Sheets._1">#REF!</definedName>
    <definedName name="wrn.All_Sheets._2">#REF!</definedName>
    <definedName name="wrn.All_Sheets._3">#REF!</definedName>
    <definedName name="wrn.All_Sheets._4">#REF!</definedName>
    <definedName name="wrn.ALLbutPREMIUM.">#REF!</definedName>
    <definedName name="wrn.ALLbutPREMIUM._1">#REF!</definedName>
    <definedName name="wrn.ALLbutPREMIUM._2">#REF!</definedName>
    <definedName name="wrn.ALLbutPREMIUM._3">#REF!</definedName>
    <definedName name="wrn.ALLbutPREMIUM._4">#REF!</definedName>
    <definedName name="wrn.alle._.Anlagen." hidden="1">{#N/A,#N/A,FALSE,"3";#N/A,#N/A,FALSE,"G+V";#N/A,#N/A,FALSE,"Bilanz";#N/A,#N/A,FALSE,"Steuern";#N/A,#N/A,FALSE,"Zuundab";#N/A,#N/A,FALSE,"ASP2";#N/A,#N/A,FALSE,"Gesellkto"}</definedName>
    <definedName name="wrn.allitems.">#REF!</definedName>
    <definedName name="wrn.AllModels.">#REF!</definedName>
    <definedName name="wrn.AllModels._1">#REF!</definedName>
    <definedName name="wrn.AllModels._2">#REF!</definedName>
    <definedName name="wrn.AllModels._3">#REF!</definedName>
    <definedName name="wrn.AllModels._4">#REF!</definedName>
    <definedName name="wrn.allnew">#REF!</definedName>
    <definedName name="wrn.ALLPAG.">#REF!</definedName>
    <definedName name="wrn.allpages.">#REF!</definedName>
    <definedName name="wrn.America._.Online.">#REF!</definedName>
    <definedName name="wrn.Amortization.">#REF!</definedName>
    <definedName name="wrn.AMTNOL.">#REF!</definedName>
    <definedName name="wrn.AMTNOL._1">#REF!</definedName>
    <definedName name="wrn.AMTNOL._3">#REF!</definedName>
    <definedName name="wrn.Analyze." hidden="1">{"Analysis",#N/A,FALSE,"DETAIL"}</definedName>
    <definedName name="wrn.Annual_n_Quarterly.">#REF!</definedName>
    <definedName name="WRN.ARCCYLD2003">#REF!</definedName>
    <definedName name="wrn.ARCSTEP.">#REF!</definedName>
    <definedName name="wrn.ARCYLD.">#REF!</definedName>
    <definedName name="wrn.ASN.">#REF!</definedName>
    <definedName name="wrn.ASO.">#REF!</definedName>
    <definedName name="wrn.ASO1.">#REF!</definedName>
    <definedName name="wrn.Assumptions.">#REF!</definedName>
    <definedName name="wrn.Assumptions._.Report." hidden="1">{"Client Production Assumptions",#N/A,TRUE,"Assumptions";"Summary Assumptions",#N/A,TRUE,"Assumptions"}</definedName>
    <definedName name="wrn.ASTLST." hidden="1">{"ASTLST",#N/A,FALSE,"AstLst"}</definedName>
    <definedName name="wrn.astlst2" hidden="1">{"ASTLST",#N/A,FALSE,"AstLst"}</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dit._.adjustments.">#REF!</definedName>
    <definedName name="wrn.audit._.adjustments._1">#REF!</definedName>
    <definedName name="wrn.audit._.adjustments._3">#REF!</definedName>
    <definedName name="wrn.Auto._.Comp.">#REF!</definedName>
    <definedName name="wrn.away.">#REF!</definedName>
    <definedName name="wrn.B.._.1263._.yr2." hidden="1">{#N/A,#N/A,FALSE,"1263 yr2"}</definedName>
    <definedName name="wrn.B.._.Qtr._.of._.Responsibility.">#REF!</definedName>
    <definedName name="wrn.ba.">#REF!</definedName>
    <definedName name="wrn.backup.">#REF!</definedName>
    <definedName name="wrn.balance._.sheet.">#REF!</definedName>
    <definedName name="wrn.Balance._.sheet._.and._.cashflow.">#REF!</definedName>
    <definedName name="wrn.Balance._.Sheet._.Qtr._.Workbook." hidden="1">{#N/A,#N/A,FALSE,"Checklist";#N/A,#N/A,FALSE,"Balance Sheet";#N/A,#N/A,FALSE,"COC - Quarterly";#N/A,#N/A,FALSE,"COC - Year-To-Date";#N/A,#N/A,FALSE,"AR Aging";#N/A,#N/A,FALSE,"Other AR";#N/A,#N/A,FALSE,"Fixed Assets";#N/A,#N/A,FALSE,"Inventory_LC";#N/A,#N/A,FALSE,"Inventory_Units";#N/A,#N/A,FALSE,"Income Tax Schedule";#N/A,#N/A,FALSE,"Interco. Detail";#N/A,#N/A,FALSE,"Interco. Summary";#N/A,#N/A,FALSE,"Interco. Sales &amp; GP";#N/A,#N/A,FALSE,"Due dates";#N/A,#N/A,FALSE,"Policies"}</definedName>
    <definedName name="wrn.Balance._.Sheet._.Qtr._.Workbook._1">#REF!</definedName>
    <definedName name="wrn.Balance._.Sheet._.Qtr._.Workbook._3">#REF!</definedName>
    <definedName name="wrn.balance._.sheet2.">#REF!</definedName>
    <definedName name="wrn.balance._.sheet3.">#REF!</definedName>
    <definedName name="wrn.balance._.sheet4.">#REF!</definedName>
    <definedName name="wrn.balance._sheet2.">#REF!</definedName>
    <definedName name="wrn.Balance_Sheet">#REF!</definedName>
    <definedName name="wrn.Balance_Sheet." hidden="1">{"bs",#N/A,FALSE,"Balance Sheet"}</definedName>
    <definedName name="wrn.Balsheet." hidden="1">{#N/A,#N/A,FALSE,"Sheet1"}</definedName>
    <definedName name="wrn.Balsheet.1" hidden="1">{#N/A,#N/A,FALSE,"Sheet1"}</definedName>
    <definedName name="wrn.BalshtCshflw.">#REF!</definedName>
    <definedName name="wrn.Bank._.Package." hidden="1">{"IS no EPS",#N/A,FALSE,"FINANCIALS";"Bal Sheet P1",#N/A,FALSE,"FINANCIALS";"Bal Sheet P2",#N/A,FALSE,"FINANCIALS";"Bal Sheet Ratios",#N/A,FALSE,"FINANCIALS";"Cash Flow Stmt",#N/A,FALSE,"FINANCIALS"}</definedName>
    <definedName name="wrn.Bankers.">#REF!</definedName>
    <definedName name="wrn.BARRIERS.">#REF!</definedName>
    <definedName name="wrn.barthelet._.resp._.profit.">#REF!</definedName>
    <definedName name="wrn.barthelet._.resp._.profit.cc">#REF!</definedName>
    <definedName name="wrn.barthelet._.resp._.profit.eu">#REF!</definedName>
    <definedName name="wrn.Base_Middle_Drivers.">#REF!</definedName>
    <definedName name="wrn.Basic." hidden="1">{#N/A,#N/A,FALSE,"Cover";#N/A,#N/A,FALSE,"Assumptions";#N/A,#N/A,FALSE,"Acquirer";#N/A,#N/A,FALSE,"Target";#N/A,#N/A,FALSE,"Income Statement";#N/A,#N/A,FALSE,"Summary Tables"}</definedName>
    <definedName name="wrn.Basic._.Division._.Small.">#REF!</definedName>
    <definedName name="wrn.Basic._.Report.">#REF!</definedName>
    <definedName name="wrn.Basic._1">#REF!</definedName>
    <definedName name="wrn.BasicModel.">#REF!</definedName>
    <definedName name="wrn.basics.">#REF!</definedName>
    <definedName name="wrn.basics._1">#REF!</definedName>
    <definedName name="wrn.basics._2">#REF!</definedName>
    <definedName name="wrn.basics._3">#REF!</definedName>
    <definedName name="wrn.basics._4">#REF!</definedName>
    <definedName name="wrn.BCG._.All._.Periods.">#REF!</definedName>
    <definedName name="wrn.BCG._.All._.Periods._1">#REF!</definedName>
    <definedName name="wrn.BEAVERTON.">#REF!</definedName>
    <definedName name="wrn.BEAVERTON._1">#REF!</definedName>
    <definedName name="wrn.Belgium_Total.">#REF!</definedName>
    <definedName name="wrn.BelgSummary.">#REF!</definedName>
    <definedName name="wrn.Berichtsteil." hidden="1">{#N/A,#N/A,FALSE,"EÜ";#N/A,#N/A,FALSE,"VÜ";#N/A,#N/A,FALSE,"MFR";#N/A,#N/A,FALSE,"sonstige Rückstellungen"}</definedName>
    <definedName name="wrn.BidCo.">#REF!</definedName>
    <definedName name="wrn.BidCo._1">#REF!</definedName>
    <definedName name="wrn.BidCo._2">#REF!</definedName>
    <definedName name="wrn.BidCo._3">#REF!</definedName>
    <definedName name="wrn.BidCo._4">#REF!</definedName>
    <definedName name="wrn.BKK._.Assembly._.Capacity._.Statement.">#REF!</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_1">#REF!</definedName>
    <definedName name="wrn.BL94TAXRETURN._3">#REF!</definedName>
    <definedName name="wrn.blabla.">#REF!</definedName>
    <definedName name="wrn.Blue._.Book._.Dec.">#REF!</definedName>
    <definedName name="wrn.Blue._.Book._.Feb._.01.">#REF!</definedName>
    <definedName name="wrn.Blue._.Book._.Feb._.01._1">#REF!</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#REF!</definedName>
    <definedName name="wrn.BOARD._.PACK." hidden="1">{#N/A,#N/A,FALSE,"SCHEDULES- board";#N/A,#N/A,FALSE,"STMT 100"}</definedName>
    <definedName name="wrn.BOARD._.PACK._1">#REF!</definedName>
    <definedName name="wrn.Board._.Summary.">#REF!</definedName>
    <definedName name="wrn.book.">#REF!</definedName>
    <definedName name="wrn.BOOKINGS_BOOKWEEK." hidden="1">{#N/A,#N/A,FALSE,"REVBOOKWEEK";#N/A,#N/A,FALSE,"REVBOOKINGS"}</definedName>
    <definedName name="wrn.both._.pages.">#REF!</definedName>
    <definedName name="wrn.brazil." hidden="1">{"brazilinstallation",#N/A,FALSE,"Brazil";"brazilwarranty",#N/A,FALSE,"Brazil"}</definedName>
    <definedName name="wrn.brian.">#REF!</definedName>
    <definedName name="wrn.BRIDGE._.REPORTS.">#REF!</definedName>
    <definedName name="wrn.bs.com.">#REF!</definedName>
    <definedName name="wrn.BSA4.">#REF!</definedName>
    <definedName name="wrn.BSHT." hidden="1">{"BSHT",#N/A,FALSE,"B-Sht"}</definedName>
    <definedName name="wrn.bsht2" hidden="1">{"BSHT",#N/A,FALSE,"B-Sht"}</definedName>
    <definedName name="wrn.BT._.CIT." hidden="1">{#N/A,#N/A,FALSE,"Master";#N/A,#N/A,FALSE,"EXP-STATEMENT";#N/A,#N/A,FALSE,"CIT-RETURN";#N/A,#N/A,FALSE,"BT&amp;CIT-COM";#N/A,#N/A,FALSE,"BT-RETURN";#N/A,#N/A,FALSE,"LT-RETURN"}</definedName>
    <definedName name="wrn.BT._.Sch._.M._.Detail.">#REF!</definedName>
    <definedName name="wrn.BT_CIT." hidden="1">{#N/A,#N/A,FALSE,"Master";#N/A,#N/A,FALSE,"EXP-STATEMENT";#N/A,#N/A,FALSE,"BT&amp;CIT-COM";#N/A,#N/A,FALSE,"CIT-RETURN";#N/A,#N/A,FALSE,"BT-RETURN"}</definedName>
    <definedName name="wrn.BTCIT." hidden="1">{#N/A,#N/A,FALSE,"EXP-STATEMENT (BT)";#N/A,#N/A,FALSE,"CIT-RETURN";#N/A,#N/A,FALSE,"CIT-COM";#N/A,#N/A,FALSE,"BT-RETURN";#N/A,#N/A,FALSE,"BT-COM";#N/A,#N/A,FALSE,"FLOOD RETURN";#N/A,#N/A,FALSE,"EXP-STATEMENT (CIT)"}</definedName>
    <definedName name="wrn.BU.">#REF!</definedName>
    <definedName name="wrn.Buchwerk." hidden="1">{#N/A,#N/A,FALSE,"Umb";#N/A,#N/A,FALSE,"HÜ";#N/A,#N/A,FALSE,"sonst.A.";#N/A,#N/A,FALSE,"Kontr.";#N/A,#N/A,FALSE,"Steuern"}</definedName>
    <definedName name="wrn.Budget.">#REF!</definedName>
    <definedName name="wrn.Buildups.">#REF!</definedName>
    <definedName name="wrn.bullshit1.">#REF!</definedName>
    <definedName name="wrn.bullshit1._1">#REF!</definedName>
    <definedName name="wrn.bullshit1._2">#REF!</definedName>
    <definedName name="wrn.bullshit1._3">#REF!</definedName>
    <definedName name="wrn.bullshit1._4">#REF!</definedName>
    <definedName name="wrn.BUS._.RPT." hidden="1">{#N/A,#N/A,FALSE,"P&amp;L Ttl";#N/A,#N/A,FALSE,"P&amp;L C_Ttl New";#N/A,#N/A,FALSE,"Bus Res";#N/A,#N/A,FALSE,"Chrts";#N/A,#N/A,FALSE,"pcf";#N/A,#N/A,FALSE,"pcr ";#N/A,#N/A,FALSE,"Exp Stmt ";#N/A,#N/A,FALSE,"Exp Stmt BU";#N/A,#N/A,FALSE,"Cap";#N/A,#N/A,FALSE,"IT Ytd"}</definedName>
    <definedName name="wrn.C.._.1263._.yr3." hidden="1">{#N/A,#N/A,FALSE,"1263 yr3"}</definedName>
    <definedName name="wrn.C.._.YTD._.Responsibility.">#REF!</definedName>
    <definedName name="wrn.CAG.">#REF!</definedName>
    <definedName name="wrn.Camparative." hidden="1">{#N/A,#N/A,FALSE,"MARCH. RESULTS"}</definedName>
    <definedName name="wrn.canada." hidden="1">{"installation",#N/A,FALSE,"Canada";"warranty",#N/A,FALSE,"Canada"}</definedName>
    <definedName name="wrn.capA4.">#REF!</definedName>
    <definedName name="wrn.Capex._.Reports.">#REF!</definedName>
    <definedName name="wrn.Capitated.">#REF!</definedName>
    <definedName name="wrn.CAPREIT." hidden="1">{#N/A,#N/A,FALSE,"CAPREIT"}</definedName>
    <definedName name="wrn.CAPREIT2" hidden="1">{#N/A,#N/A,FALSE,"CAPREIT"}</definedName>
    <definedName name="wrn.Cardiovasculars." hidden="1">{#N/A,#N/A,FALSE,"Card";#N/A,#N/A,FALSE,"Prav";#N/A,#N/A,FALSE,"Irbe";#N/A,#N/A,FALSE,"Plavix";#N/A,#N/A,FALSE,"Capt";#N/A,#N/A,FALSE,"Fosi"}</definedName>
    <definedName name="wrn.Carrefour._.Worse._.Case.">#REF!</definedName>
    <definedName name="wrn.Carrefour._.Worse._.Case._Split">#REF!</definedName>
    <definedName name="wrn.cash.">#REF!</definedName>
    <definedName name="wrn.Cash._.flow.">#REF!</definedName>
    <definedName name="wrn.Cash_Flow." hidden="1">{"CF",#N/A,FALSE,"Cash Flow"}</definedName>
    <definedName name="wrn.cashbal." hidden="1">{"CONBUD",#N/A,FALSE,"Conbud";"conbud96",#N/A,FALSE,"Conbud";"qtrly",#N/A,FALSE,"Conbud";"FORECAST",#N/A,FALSE,"Res";"ninetysix",#N/A,FALSE,"Clinicals";"bud96",#N/A,FALSE,"G&amp;A"}</definedName>
    <definedName name="wrn.cashflow." hidden="1">{#N/A,#N/A,FALSE,"CashFlow";#N/A,#N/A,FALSE,"Prod Cost"}</definedName>
    <definedName name="wrn.cashflow._1">#REF!</definedName>
    <definedName name="wrn.cashflow._3">#REF!</definedName>
    <definedName name="wrn.ccroll.">#REF!</definedName>
    <definedName name="wrn.ccroll._1">#REF!</definedName>
    <definedName name="wrn.cellular.">#REF!</definedName>
    <definedName name="wrn.Central." hidden="1">{"Central",#N/A,FALSE,"Total"}</definedName>
    <definedName name="wrn.Central..." hidden="1">{"Central",#N/A,FALSE,"Total"}</definedName>
    <definedName name="wrn.Central._.Nervous._.System." hidden="1">{#N/A,#N/A,FALSE,"CNS";#N/A,#N/A,FALSE,"Serz";#N/A,#N/A,FALSE,"Ace"}</definedName>
    <definedName name="wrn.CEOReport.">#REF!</definedName>
    <definedName name="wrn.CF._.worksheet.">#REF!</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min.">#REF!</definedName>
    <definedName name="wrn.CHART." hidden="1">{"CHART",#N/A,FALSE,"Arch Communications"}</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iron._.IRS._.Audit.">#REF!</definedName>
    <definedName name="wrn.Chiron._.IRS._.Audit._1">#REF!</definedName>
    <definedName name="wrn.Chiron._.IRS._.Audit._3">#REF!</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_1">#REF!</definedName>
    <definedName name="wrn.CIC94TAX._3">#REF!</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a." hidden="1">{#N/A,#N/A,FALSE,"CLA";#N/A,#N/A,FALSE,"Sales Treat";#N/A,#N/A,FALSE,"Tech Ops.";#N/A,#N/A,FALSE,"Pymt";#N/A,#N/A,FALSE,"AC Price";#N/A,#N/A,FALSE,"Delivery"}</definedName>
    <definedName name="wrn.cla._1">#REF!</definedName>
    <definedName name="wrn.cla._3">#REF!</definedName>
    <definedName name="wrn.client.">#REF!</definedName>
    <definedName name="wrn.Client._.cfbs.">#REF!</definedName>
    <definedName name="wrn.Client._.is.">#REF!</definedName>
    <definedName name="wrn.Client._.Process._.Report.">#REF!</definedName>
    <definedName name="wrn.Client._.stats.">#REF!</definedName>
    <definedName name="wrn.Client3.">#REF!</definedName>
    <definedName name="wrn.client4.">#REF!</definedName>
    <definedName name="wrn.clientcopy.">#REF!</definedName>
    <definedName name="wrn.cns">#REF!</definedName>
    <definedName name="wrn.Color._.Printer.">#REF!</definedName>
    <definedName name="wrn.Color._.Printer._1">#REF!</definedName>
    <definedName name="wrn.ColumbiaModel.">#REF!</definedName>
    <definedName name="wrn.Combination.">#REF!</definedName>
    <definedName name="wrn.Combination._1">#REF!</definedName>
    <definedName name="wrn.Combination._2">#REF!</definedName>
    <definedName name="wrn.Combination._3">#REF!</definedName>
    <definedName name="wrn.Combination._4">#REF!</definedName>
    <definedName name="wrn.Combined.">#REF!</definedName>
    <definedName name="wrn.Combined._.YTD." hidden="1">{"YTD-Total",#N/A,TRUE,"Provision";"YTD-Utility",#N/A,TRUE,"Prov Utility";"YTD-NonUtility",#N/A,TRUE,"Prov NonUtility"}</definedName>
    <definedName name="wrn.Combined._1">#REF!</definedName>
    <definedName name="wrn.Combined._2">#REF!</definedName>
    <definedName name="wrn.Combined._3">#REF!</definedName>
    <definedName name="wrn.Combined._4">#REF!</definedName>
    <definedName name="wrn.ComboResults.">#REF!</definedName>
    <definedName name="wrn.ComboResults._1">#REF!</definedName>
    <definedName name="wrn.ComboResults._2">#REF!</definedName>
    <definedName name="wrn.ComboResults._3">#REF!</definedName>
    <definedName name="wrn.ComboResults._4">#REF!</definedName>
    <definedName name="wrn.ComboState.">#REF!</definedName>
    <definedName name="wrn.ComboState._1">#REF!</definedName>
    <definedName name="wrn.ComboState._2">#REF!</definedName>
    <definedName name="wrn.ComboState._3">#REF!</definedName>
    <definedName name="wrn.ComboState._4">#REF!</definedName>
    <definedName name="wrn.Company._.Analysis.">#REF!</definedName>
    <definedName name="wrn.Company._Analysis._Split">#REF!</definedName>
    <definedName name="wrn.compare.">#REF!</definedName>
    <definedName name="wrn.compare.s">#REF!</definedName>
    <definedName name="wrn.compco.">#REF!</definedName>
    <definedName name="wrn.compco2">#REF!</definedName>
    <definedName name="wrn.Compensation.">#REF!</definedName>
    <definedName name="wrn.Complete.">#REF!</definedName>
    <definedName name="wrn.Complete._.Budget.">#REF!</definedName>
    <definedName name="wrn.Complete._.Report." hidden="1">{#N/A,#N/A,FALSE,"Title Page";#N/A,#N/A,FALSE,"Assumptions";#N/A,#N/A,FALSE,"EBITDA";#N/A,#N/A,FALSE,"Debt";#N/A,#N/A,FALSE,"Cov";#N/A,#N/A,FALSE,"ERET";#N/A,#N/A,FALSE,"DRET";#N/A,#N/A,FALSE,"Balance Sheet";#N/A,#N/A,FALSE,"Plan Summary"}</definedName>
    <definedName name="wrn.Complete.2">#REF!</definedName>
    <definedName name="wrn.Complete.3">#REF!</definedName>
    <definedName name="wrn.CompleteReport.">#REF!</definedName>
    <definedName name="wrn.Components." hidden="1">{"Components_Cover",#N/A,FALSE,"COVERS";"ComponentsA_1",#N/A,FALSE,"IS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definedName>
    <definedName name="wrn.Comps.">#REF!</definedName>
    <definedName name="wrn.Comptes95.">#REF!</definedName>
    <definedName name="wrn.conbbuds." hidden="1">{"CONBUD",#N/A,FALSE,"Conbud";"conbud96",#N/A,FALSE,"Conbud";"qtrly",#N/A,FALSE,"Conbud"}</definedName>
    <definedName name="wrn.Concentration.">#REF!</definedName>
    <definedName name="wrn.Concrete._.Q.A.._.S10.">#REF!</definedName>
    <definedName name="wrn.Concrete._.Wastage._.Report.">#REF!</definedName>
    <definedName name="wrn.consbud.">#REF!</definedName>
    <definedName name="wrn.Consol._.ISBS.">#REF!</definedName>
    <definedName name="wrn.Consol._.Worksheet.">#REF!</definedName>
    <definedName name="wrn.ConsolGrossGrp." hidden="1">{"Conol gross povision grouped",#N/A,FALSE,"Consol Gross";"Consol Gross Grouped",#N/A,FALSE,"Consol Gross"}</definedName>
    <definedName name="wrn.CONSOLIDATED.">#REF!</definedName>
    <definedName name="wrn.Consolidated._.Breakeven._.and._.by._.Plant.">#REF!</definedName>
    <definedName name="wrn.Consolidated._.Statements.">#REF!</definedName>
    <definedName name="wrn.Consolidated._.Statements._1">#REF!</definedName>
    <definedName name="wrn.Consolidated._.Statements._2">#REF!</definedName>
    <definedName name="wrn.Consolidated._.Statements._3">#REF!</definedName>
    <definedName name="wrn.Consolidated._.Statements._4">#REF!</definedName>
    <definedName name="wrn.CONSOLIDATED._1">#REF!</definedName>
    <definedName name="wrn.CONSOLIDATION.">#REF!</definedName>
    <definedName name="wrn.Consumer._.Medicines." hidden="1">{#N/A,#N/A,FALSE,"OTC";#N/A,#N/A,FALSE,"Ther";#N/A,#N/A,FALSE,"Temp";#N/A,#N/A,FALSE,"Exce";#N/A,#N/A,FALSE,"Buff";#N/A,#N/A,FALSE,"Picot";#N/A,#N/A,FALSE,"Luftal";#N/A,#N/A,FALSE,"Comt"}</definedName>
    <definedName name="wrn.contribution.">#REF!</definedName>
    <definedName name="wrn.contribution._1">#REF!</definedName>
    <definedName name="wrn.contribution._2">#REF!</definedName>
    <definedName name="wrn.contribution._3">#REF!</definedName>
    <definedName name="wrn.contribution._4">#REF!</definedName>
    <definedName name="wrn.contributory._.asset._.charges.">#REF!</definedName>
    <definedName name="wrn.Convertible._.Note._.Ledger._.Summary.">#REF!</definedName>
    <definedName name="wrn.cooper.">#REF!</definedName>
    <definedName name="wrn.CORE._.KINETICS.">#REF!</definedName>
    <definedName name="wrn.CORE._.KINETICS._1">#REF!</definedName>
    <definedName name="wrn.Corp.mb.xls." hidden="1">{#N/A,#N/A,TRUE,"Summary";#N/A,#N/A,TRUE,"Description";#N/A,#N/A,TRUE,"AstLst";#N/A,#N/A,TRUE,"CshFlow";#N/A,#N/A,TRUE,"Inc-Stmt";#N/A,#N/A,TRUE,"B-Sht"}</definedName>
    <definedName name="wrn.CORR.">#REF!</definedName>
    <definedName name="wrn.COS." hidden="1">{#N/A,#N/A,FALSE,"COS"}</definedName>
    <definedName name="wrn.COSA._.FS._.국문.">#REF!</definedName>
    <definedName name="wrn.COSA._.FS._.국문._1">#REF!</definedName>
    <definedName name="wrn.COSA._.FS._.국문._3">#REF!</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#REF!</definedName>
    <definedName name="wrn.COSA94TAXRETURN._3">#REF!</definedName>
    <definedName name="wrn.cotop." hidden="1">{"ReportTop",#N/A,FALSE,"report top"}</definedName>
    <definedName name="wrn.Country._.Summary.">#REF!</definedName>
    <definedName name="wrn.Country._.Worksheet.">#REF!</definedName>
    <definedName name="wrn.Covers.">#REF!</definedName>
    <definedName name="wrn.Covers._1">#REF!</definedName>
    <definedName name="wrn.Covers._2">#REF!</definedName>
    <definedName name="wrn.Covers._3">#REF!</definedName>
    <definedName name="wrn.Covers._4">#REF!</definedName>
    <definedName name="wrn.cowboy.">#REF!</definedName>
    <definedName name="wrn.cowboy2">#REF!</definedName>
    <definedName name="wrn.cowboy3">#REF!</definedName>
    <definedName name="wrn.cowboy4">#REF!</definedName>
    <definedName name="wrn.cp1monthly">#REF!</definedName>
    <definedName name="wrn.cp1quarterly">#REF!</definedName>
    <definedName name="wrn.cp1shareholder">#REF!</definedName>
    <definedName name="wrn.cp1year._.End.">#REF!</definedName>
    <definedName name="wrn.cp2ceoreport">#REF!</definedName>
    <definedName name="wrn.cp2monthly">#REF!</definedName>
    <definedName name="wrn.cp2quarterly">#REF!</definedName>
    <definedName name="wrn.cp2shareholder">#REF!</definedName>
    <definedName name="wrn.cp2year._.end.">#REF!</definedName>
    <definedName name="wrn.cp3.monthly">#REF!</definedName>
    <definedName name="wrn.cp3ceoreport">#REF!</definedName>
    <definedName name="wrn.cp3quarterly">#REF!</definedName>
    <definedName name="wrn.cp3shareholder">#REF!</definedName>
    <definedName name="wrn.cp3year._.end.">#REF!</definedName>
    <definedName name="wrn.CPB.">#REF!</definedName>
    <definedName name="wrn.cpceoreport">#REF!</definedName>
    <definedName name="wrn.cpmonthly">#REF!</definedName>
    <definedName name="wrn.cpquarterly">#REF!</definedName>
    <definedName name="wrn.cpshareholder">#REF!</definedName>
    <definedName name="wrn.cpyear._.End.">#REF!</definedName>
    <definedName name="wrn.Credit._.Summary.">#REF!</definedName>
    <definedName name="wrn.Crisp_2002_1.">#REF!</definedName>
    <definedName name="wrn.Crisp_2002_1._1">#REF!</definedName>
    <definedName name="wrn.Crisp_2002_1._2">#REF!</definedName>
    <definedName name="wrn.Crisp_2002_1._3">#REF!</definedName>
    <definedName name="wrn.Crisp_2002_1._4">#REF!</definedName>
    <definedName name="wrn.csc.">#REF!</definedName>
    <definedName name="wrn.csc._1">#REF!</definedName>
    <definedName name="wrn.csc._2">#REF!</definedName>
    <definedName name="wrn.csc._3">#REF!</definedName>
    <definedName name="wrn.csc._4">#REF!</definedName>
    <definedName name="wrn.csc2.">#REF!</definedName>
    <definedName name="wrn.csc2._1">#REF!</definedName>
    <definedName name="wrn.csc2._2">#REF!</definedName>
    <definedName name="wrn.csc2._3">#REF!</definedName>
    <definedName name="wrn.csc2._4">#REF!</definedName>
    <definedName name="wrn.CSHFLOW." hidden="1">{"CSHFLOW",#N/A,FALSE,"CshFlow"}</definedName>
    <definedName name="wrn.CSN._.M._.Detail.">#REF!</definedName>
    <definedName name="wrn.CURRENT._.PROVISION." hidden="1">{#N/A,#N/A,FALSE,"CURRENT PROVISON"}</definedName>
    <definedName name="wrn.Customer_base.">#REF!</definedName>
    <definedName name="wrn.CY97PBPL.">#REF!</definedName>
    <definedName name="wrn.D.._.1263._.yr4." hidden="1">{#N/A,#N/A,FALSE,"1263 yr4"}</definedName>
    <definedName name="wrn.D.._.Performance.">#REF!</definedName>
    <definedName name="wrn.Daily." hidden="1">{#N/A,#N/A,FALSE,"Input";#N/A,#N/A,FALSE,"BBC";#N/A,#N/A,FALSE,"Sch A";#N/A,#N/A,FALSE,"Sch B";#N/A,#N/A,FALSE,"Ineligible"}</definedName>
    <definedName name="wrn.Daily._.P._.and._.L._.Forecast.">#REF!</definedName>
    <definedName name="wrn.data." hidden="1">{#N/A,#N/A,FALSE,"Data"}</definedName>
    <definedName name="wrn.DCF." hidden="1">{#N/A,#N/A,FALSE,"DCF Cov";#N/A,#N/A,FALSE,"dcf"}</definedName>
    <definedName name="wrn.DCF._.III._.Report.">#REF!</definedName>
    <definedName name="wrn.DCF._.Valuation.">#REF!</definedName>
    <definedName name="wrn.DCF._.Valuation._1">#REF!</definedName>
    <definedName name="wrn.DCF._.Valuation._2">#REF!</definedName>
    <definedName name="wrn.DCF._.Valuation._3">#REF!</definedName>
    <definedName name="wrn.DCF._.Valuation._4">#REF!</definedName>
    <definedName name="wrn.dcf._1">#REF!</definedName>
    <definedName name="wrn.dcf._2">#REF!</definedName>
    <definedName name="wrn.dcf._3">#REF!</definedName>
    <definedName name="wrn.dcf._4">#REF!</definedName>
    <definedName name="wrn.dcf2">#REF!</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_1">#REF!</definedName>
    <definedName name="wrn.dd_3">#REF!</definedName>
    <definedName name="wrn.debt.">#REF!</definedName>
    <definedName name="wrn.DEFERRED._.ASSET._.DETAIL." hidden="1">{#N/A,#N/A,FALSE,"DEFERRED ASSET DETAIL"}</definedName>
    <definedName name="wrn.DEFERRED._.FOOTNOTE._.SUMMARY." hidden="1">{#N/A,#N/A,FALSE,"DEFERRED FOOTNOTE SUMMARY"}</definedName>
    <definedName name="wrn.department._.detail." hidden="1">{"page a",#N/A,FALSE,"exist rev 01_99";"page b",#N/A,FALSE,"exist rev 01_99";"page c",#N/A,FALSE,"exist rev 01_99";"page d",#N/A,FALSE,"exist rev 01_99";"page e",#N/A,FALSE,"exist rev 01_99";"page f",#N/A,FALSE,"exist rev 01_99"}</definedName>
    <definedName name="wrn.Depreciation.">#REF!</definedName>
    <definedName name="wrn.Depreciation._1">#REF!</definedName>
    <definedName name="wrn.Depreciation._3">#REF!</definedName>
    <definedName name="wrn.depschA4.">#REF!</definedName>
    <definedName name="wrn.Dept._.Totals.">#REF!</definedName>
    <definedName name="wrn.Deptartment._.Expenses." hidden="1">{#N/A,#N/A,TRUE,"CPRD";#N/A,#N/A,TRUE,"BCCPDR";#N/A,#N/A,TRUE,"EWRD";#N/A,#N/A,TRUE,"5100";#N/A,#N/A,TRUE,"5110"}</definedName>
    <definedName name="wrn.deptsal." hidden="1">{"G_A",#N/A,FALSE,"SALWS";"labops",#N/A,FALSE,"SALWS";"scidir",#N/A,FALSE,"SALWS";"dev",#N/A,FALSE,"SALWS";"clin",#N/A,FALSE,"SALWS";"reg",#N/A,FALSE,"SALWS";"bcdm",#N/A,FALSE,"SALWS";"np",#N/A,FALSE,"SALWS";"tb",#N/A,FALSE,"SALWS";"micro",#N/A,FALSE,"SALWS";"chem",#N/A,FALSE,"SALWS"}</definedName>
    <definedName name="wrn.Derate.">#REF!</definedName>
    <definedName name="wrn.Derek.">#REF!</definedName>
    <definedName name="wrn.DESCRIPTION." hidden="1">{"DESCRIPTION",#N/A,FALSE,"Description"}</definedName>
    <definedName name="wrn.detail.">#REF!</definedName>
    <definedName name="wrn.Detail._.income._.and._.expense.">#REF!</definedName>
    <definedName name="wrn.Detail._.income._.and._.expense._1">#REF!</definedName>
    <definedName name="wrn.Detail._.income._.and._.expense._2">#REF!</definedName>
    <definedName name="wrn.Detail._.income._.and._.expense._3">#REF!</definedName>
    <definedName name="wrn.Detail._.income._.and._.expense._4">#REF!</definedName>
    <definedName name="wrn.detalles._.total.">{"total","abonados garantia",FALSE,"detalle19982007"}</definedName>
    <definedName name="wrn.devdeal.">#REF!</definedName>
    <definedName name="wrn.Development." hidden="1">{"Development",#N/A,FALSE,"Total"}</definedName>
    <definedName name="wrn.Development..." hidden="1">{"Development",#N/A,FALSE,"Total"}</definedName>
    <definedName name="wrn.Development._.Hours.">#REF!</definedName>
    <definedName name="wrn.DG">#REF!</definedName>
    <definedName name="wrn.DG.">#REF!</definedName>
    <definedName name="wrn.Diagnostics.">#REF!</definedName>
    <definedName name="wrn.Diebold._.1.">#REF!</definedName>
    <definedName name="wrn.dil_anal.">#REF!</definedName>
    <definedName name="wrn.dir.">#REF!</definedName>
    <definedName name="wrn.dir._1">#REF!</definedName>
    <definedName name="wrn.dir._2">#REF!</definedName>
    <definedName name="wrn.dir._3">#REF!</definedName>
    <definedName name="wrn.dir._4">#REF!</definedName>
    <definedName name="wrn.divestiture.">#REF!</definedName>
    <definedName name="wrn.DOC.">#REF!</definedName>
    <definedName name="wrn.document.">#REF!</definedName>
    <definedName name="wrn.documentaero.">#REF!</definedName>
    <definedName name="wrn.documentation.">#REF!</definedName>
    <definedName name="wrn.documenthand.">#REF!</definedName>
    <definedName name="wrn.DOM.">#REF!</definedName>
    <definedName name="wrn.DPI._.Summary.">#REF!</definedName>
    <definedName name="wrn.Draft.">#REF!</definedName>
    <definedName name="wrn.Draft._1">#REF!</definedName>
    <definedName name="wrn.Draft._2">#REF!</definedName>
    <definedName name="wrn.Draft._3">#REF!</definedName>
    <definedName name="wrn.Draft._4">#REF!</definedName>
    <definedName name="wrn.E.._.1263._.yr5." hidden="1">{#N/A,#N/A,FALSE,"1263 yr5"}</definedName>
    <definedName name="wrn.Earnings._.Model.">#REF!</definedName>
    <definedName name="wrn.Earnings._.Model._1">#REF!</definedName>
    <definedName name="wrn.Earnings._.Model._2">#REF!</definedName>
    <definedName name="wrn.Earnings._.Model._3">#REF!</definedName>
    <definedName name="wrn.Earnings._.Model._4">#REF!</definedName>
    <definedName name="wrn.East." hidden="1">{"East",#N/A,FALSE,"Total"}</definedName>
    <definedName name="wrn.East..." hidden="1">{"East",#N/A,FALSE,"Total"}</definedName>
    <definedName name="wrn.ebara.">#REF!</definedName>
    <definedName name="wrn.ecart.">#REF!</definedName>
    <definedName name="wrn.Economic._.Value._.Added._.Analysis.">#REF!</definedName>
    <definedName name="wrn.Emg._.report.">#REF!</definedName>
    <definedName name="wrn.EMM._.detail._.edition.">#REF!</definedName>
    <definedName name="wrn.EO.">#REF!</definedName>
    <definedName name="wrn.Equity.">#REF!</definedName>
    <definedName name="wrn.Equity._.Analysis." hidden="1">{#N/A,#N/A,FALSE,"Equity Rollforward";#N/A,#N/A,FALSE,"Common Stock Rollforward";#N/A,#N/A,FALSE,"Common Stock Issued";#N/A,#N/A,FALSE,"Common Stock Repurchased"}</definedName>
    <definedName name="wrn.equity._.comps.">#REF!</definedName>
    <definedName name="wrn.Error." hidden="1">{#N/A,#N/A,FALSE,"Error"}</definedName>
    <definedName name="wrn.esl.">#REF!</definedName>
    <definedName name="wrn.ESPP." hidden="1">{#N/A,#N/A,FALSE,"REPORT"}</definedName>
    <definedName name="wrn.etran.">#REF!</definedName>
    <definedName name="wrn.EURO4.">#REF!</definedName>
    <definedName name="wrn.EURO5.">#REF!</definedName>
    <definedName name="wrn.Everything.">#REF!</definedName>
    <definedName name="wrn.Everything._.landscape." hidden="1">{"IS with EPS",#N/A,FALSE,"FINANCIALS";"IS stats",#N/A,FALSE,"FINANCIALS";"Bal Sheet P1",#N/A,FALSE,"FINANCIALS";"Bal Sheet P2",#N/A,FALSE,"FINANCIALS";"Bal Sheet Ratios",#N/A,FALSE,"FINANCIALS";"Cash Flow Stmt",#N/A,FALSE,"FINANCIALS";"Analysis Stats P1",#N/A,FALSE,"FINANCIALS";"Analysis Stats P2",#N/A,FALSE,"FINANCIALS"}</definedName>
    <definedName name="wrn.Ex.._.A.">#REF!</definedName>
    <definedName name="wrn.Exam._.Workpapers._.1.">#REF!</definedName>
    <definedName name="wrn.Executive._.Summary.">#REF!</definedName>
    <definedName name="wrn.Executive._.Summary._1">#REF!</definedName>
    <definedName name="wrn.EXITO.">#REF!</definedName>
    <definedName name="wrn.EXPORT.">#REF!</definedName>
    <definedName name="wrn.External." hidden="1">{#N/A,#N/A,FALSE,"INDEX (2)";#N/A,#N/A,FALSE,"CIS";#N/A,#N/A,FALSE,"CIS INLINE";#N/A,#N/A,FALSE,"summary";#N/A,#N/A,FALSE,"detail";#N/A,#N/A,FALSE,"SALESTAT";#N/A,#N/A,FALSE,"budget graph";#N/A,#N/A,FALSE,"SALES CHART";#N/A,#N/A,FALSE,"SALES REP";#N/A,#N/A,FALSE,"ORDER BACKLOG";#N/A,#N/A,FALSE,"AR AGE";#N/A,#N/A,FALSE,"AGEREP";#N/A,#N/A,FALSE,"RATIO"}</definedName>
    <definedName name="wrn.external.2">#REF!</definedName>
    <definedName name="wrn.F.._.1263._.Total." hidden="1">{#N/A,#N/A,FALSE,"1263 Total"}</definedName>
    <definedName name="wrn.Facilities.">#REF!</definedName>
    <definedName name="wrn.Factors._.Tab._.10." hidden="1">{"Factors Pages 1-2",#N/A,FALSE,"Factors";"Factors Page 3",#N/A,FALSE,"Factors";"Factors Page 4",#N/A,FALSE,"Factors";"Factors Page 5",#N/A,FALSE,"Factors";"Factors Pages 8-27",#N/A,FALSE,"Factors"}</definedName>
    <definedName name="wrn.Fax.">#REF!</definedName>
    <definedName name="wrn.fc">#REF!</definedName>
    <definedName name="wrn.FC.">#REF!</definedName>
    <definedName name="wrn.fc12">#REF!</definedName>
    <definedName name="wrn.fcb">#REF!</definedName>
    <definedName name="wrn.FCB.">#REF!</definedName>
    <definedName name="wrn.fcb._dcf">#REF!</definedName>
    <definedName name="wrn.fcb.1">#REF!</definedName>
    <definedName name="wrn.fcb.9">#REF!</definedName>
    <definedName name="wrn.fcb1">#REF!</definedName>
    <definedName name="wrn.fcb10">#REF!</definedName>
    <definedName name="wrn.fcb11">#REF!</definedName>
    <definedName name="wrn.fcb2">#REF!</definedName>
    <definedName name="wrn.fcb2_dcf">#REF!</definedName>
    <definedName name="wrn.fcb3">#REF!</definedName>
    <definedName name="wrn.fcb4">#REF!</definedName>
    <definedName name="wrn.fcb5">#REF!</definedName>
    <definedName name="wrn.fcb6">#REF!</definedName>
    <definedName name="wrn.fcb7">#REF!</definedName>
    <definedName name="wrn.fcb8">#REF!</definedName>
    <definedName name="wrn.fcb9">#REF!</definedName>
    <definedName name="wrn.Fcst._.by._.Mon.">#REF!</definedName>
    <definedName name="wrn.Fcst._.by._.Qtr.">#REF!</definedName>
    <definedName name="wrn.Fed._.4797.">#REF!</definedName>
    <definedName name="wrn.Fees._.by._.Quarter.">#REF!</definedName>
    <definedName name="wrn.Fees._.by._.Quarter._1">#REF!</definedName>
    <definedName name="wrn.Fees._.by._.Quarter._2">#REF!</definedName>
    <definedName name="wrn.Fees._.by._.Quarter._3">#REF!</definedName>
    <definedName name="wrn.Fees._.by._.Quarter._4">#REF!</definedName>
    <definedName name="wrn.filecopy.">#REF!</definedName>
    <definedName name="wrn.Filter.">#REF!</definedName>
    <definedName name="wrn.Filter._1">#REF!</definedName>
    <definedName name="wrn.Filter._2">#REF!</definedName>
    <definedName name="wrn.Filter._3">#REF!</definedName>
    <definedName name="wrn.Filter._4">#REF!</definedName>
    <definedName name="wrn.Final.">#REF!</definedName>
    <definedName name="wrn.Final._1">#REF!</definedName>
    <definedName name="wrn.Final._2">#REF!</definedName>
    <definedName name="wrn.Final._3">#REF!</definedName>
    <definedName name="wrn.Final._4">#REF!</definedName>
    <definedName name="wrn.Finance" hidden="1">{"Resale_Cover",#N/A,FALSE,"COVERS";"ResaleC_1",#N/A,FALSE,"IS BY DIV";"ResaleC_2",#N/A,FALSE,"COGS BY DIV";"ResaleC_3",#N/A,FALSE,"TOTAL PF";"ResaleC_4",#N/A,FALSE,"TOTAL PF";"Resale_PL",#N/A,FALSE,"Sales by PL"}</definedName>
    <definedName name="wrn.FINANCE." hidden="1">{#N/A,#N/A,FALSE,"INDEX";#N/A,#N/A,FALSE,"CIS";#N/A,#N/A,FALSE,"CIS INLINE";#N/A,#N/A,FALSE,"summary";#N/A,#N/A,FALSE,"detail";#N/A,#N/A,FALSE,"SALESTAT";#N/A,#N/A,FALSE,"budget graph";#N/A,#N/A,FALSE,"SALES CHART";#N/A,#N/A,FALSE,"SALES REP";#N/A,#N/A,FALSE,"ORDER BACKLOG";#N/A,#N/A,FALSE,"AR AGE";#N/A,#N/A,FALSE,"AGEREP";#N/A,#N/A,FALSE,"RATIO";"Components_Cover",#N/A,FALSE,"COVERS";"ComponentsA_1",#N/A,FALSE,"IS BY DIV";"ComponentsA_2a",#N/A,FALSE,"COGS BY DIV";"ComponentsA_2b",#N/A,FALSE,"COGS BY DIV";"ComponentsA_2c",#N/A,FALSE,"COGS BY DIV";"ComponentsA_3a",#N/A,FALSE,"TOTAL PF";"ComponentsA_3b",#N/A,FALSE,"TOTAL PF";"ComponentsA_4a",#N/A,FALSE,"TOTAL PF";"ComponentsA_4b",#N/A,FALSE,"TOTAL PF";"Components_PL",#N/A,FALSE,"Sales by PL";"Instruments_Cover",#N/A,FALSE,"COVERS";"InstrumentsB_1",#N/A,FALSE,"IS BY DIV";"InstrumentsB_2a",#N/A,FALSE,"COGS BY DIV";"InstrumentsB_2b",#N/A,FALSE,"COGS BY DIV";"InstrumentsB_3",#N/A,FALSE,"TOTAL PF";"InstrumentsB_4",#N/A,FALSE,"TOTAL PF";"Instruments_PL",#N/A,FALSE,"Sales by PL";"Resale_Cover",#N/A,FALSE,"COVERS";"ResaleC_1",#N/A,FALSE,"IS BY DIV";"ResaleC_2",#N/A,FALSE,"COGS BY DIV";"ResaleC_3",#N/A,FALSE,"TOTAL PF";"ResaleC_4",#N/A,FALSE,"TOTAL PF";"Resale_PL",#N/A,FALSE,"Sales by PL";#N/A,#N/A,FALSE,"GMA SUMMARY";#N/A,#N/A,FALSE,"COMPONENTS";#N/A,#N/A,FALSE,"INSTRUMENTS";#N/A,#N/A,FALSE,"RESALE";"Overhead_Summary",#N/A,FALSE,"overhead schedule";"Overhead",#N/A,FALSE,"overhead schedule"}</definedName>
    <definedName name="wrn.Financial._.Model._.Full._.Report." hidden="1">{"Full View (Normal)",#N/A,TRUE,"Financial Summary";"Full View (Normal)",#N/A,TRUE,"IS-Summary";"Full View (Normal)",#N/A,TRUE,"BS - Summary";"Full View (Normal)",#N/A,TRUE,"CS - Summary";"Client Production Assumptions",#N/A,TRUE,"Assumptions";"Summary Assumptions",#N/A,TRUE,"Assumptions"}</definedName>
    <definedName name="wrn.Financial._.Model._.Summary._.Report." hidden="1">{"Full View (Normal)",#N/A,TRUE,"Financial Summary";"Full View (Normal)",#N/A,TRUE,"IS-Summary";"Full View (Normal)",#N/A,TRUE,"BS - Summary";"Full View (Normal)",#N/A,TRUE,"CS - Summary"}</definedName>
    <definedName name="wrn.Financial._.Results.">#REF!</definedName>
    <definedName name="wrn.Financials." hidden="1">{"StatementsIncomeStatement",#N/A,TRUE,"Statements";"StatementsBalanceSheet",#N/A,TRUE,"Statements"}</definedName>
    <definedName name="wrn.Financials._1">#REF!</definedName>
    <definedName name="wrn.Financials._2">#REF!</definedName>
    <definedName name="wrn.Financials._3">#REF!</definedName>
    <definedName name="wrn.Financials._4">#REF!</definedName>
    <definedName name="wrn.Financials_long.">#REF!</definedName>
    <definedName name="wrn.finstat.">#REF!</definedName>
    <definedName name="wrn.first2.">#REF!</definedName>
    <definedName name="wrn.first2._1">#REF!</definedName>
    <definedName name="wrn.first2._2">#REF!</definedName>
    <definedName name="wrn.first2._3">#REF!</definedName>
    <definedName name="wrn.first2._4">#REF!</definedName>
    <definedName name="wrn.first3.">#REF!</definedName>
    <definedName name="wrn.first3._1">#REF!</definedName>
    <definedName name="wrn.first3._2">#REF!</definedName>
    <definedName name="wrn.first3._3">#REF!</definedName>
    <definedName name="wrn.first3._4">#REF!</definedName>
    <definedName name="wrn.first4.">#REF!</definedName>
    <definedName name="wrn.first4._1">#REF!</definedName>
    <definedName name="wrn.first4._2">#REF!</definedName>
    <definedName name="wrn.first4._3">#REF!</definedName>
    <definedName name="wrn.first4._4">#REF!</definedName>
    <definedName name="wrn.Fiscal._.Year.">#REF!</definedName>
    <definedName name="wrn.Fiscal._.Year._1">#REF!</definedName>
    <definedName name="wrn.FISV._.5._.year._.model.">#REF!</definedName>
    <definedName name="wrn.FISV._.5._.year._.model._1">#REF!</definedName>
    <definedName name="wrn.FISV._.5._.year._.model._2">#REF!</definedName>
    <definedName name="wrn.FISV._.5._.year._.model._3">#REF!</definedName>
    <definedName name="wrn.FISV._.5._.year._.model._4">#REF!</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#REF!</definedName>
    <definedName name="wrn.Five._.Year._.Projections.">#REF!</definedName>
    <definedName name="wrn.Fixed._.Asset._.Detail." hidden="1">{#N/A,#N/A,FALSE,"Summary";#N/A,#N/A,FALSE,"Computer Software";#N/A,#N/A,FALSE,"Computer Hardware";#N/A,#N/A,FALSE,"Furniture &amp; Fixtures";#N/A,#N/A,FALSE,"Other Fixed Assets";#N/A,#N/A,FALSE,"Hardware Lab Equipment";#N/A,#N/A,FALSE,"Software Lab Equipment";#N/A,#N/A,FALSE,"Interoperability Equipment";#N/A,#N/A,FALSE,"Demo Equipment ";#N/A,#N/A,FALSE,"Mfg Test Equipment  "}</definedName>
    <definedName name="wrn.FixedAssetSchedule." hidden="1">{#N/A,#N/A,TRUE,"JE Entry";#N/A,#N/A,TRUE,"Recap";#N/A,#N/A,TRUE,"Furniture &amp; Fixtures";#N/A,#N/A,TRUE,"Equipment";#N/A,#N/A,TRUE,"Computer Equipment";#N/A,#N/A,TRUE,"Software";#N/A,#N/A,TRUE,"Leasehold"}</definedName>
    <definedName name="wrn.FN_JE98." hidden="1">{"FN_JE98",#N/A,FALSE,"98 W Options"}</definedName>
    <definedName name="wrn.FN_JE99." hidden="1">{"FN_JE",#N/A,FALSE,"99 W Options"}</definedName>
    <definedName name="wrn.Forecast._.Model.">#REF!</definedName>
    <definedName name="wrn.FORECAST._.PACK.">#REF!</definedName>
    <definedName name="wrn.FORM1.">#REF!</definedName>
    <definedName name="wrn.forms.">#REF!</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P._.REPORT." hidden="1">{#N/A,#N/A,FALSE,"HILITES";#N/A,#N/A,FALSE,"GM ANALYSIS";#N/A,#N/A,FALSE,"EXPTRND";#N/A,#N/A,FALSE,"L.C. INC STMT";#N/A,#N/A,FALSE,"INC STMT TREND IN USD";#N/A,#N/A,FALSE,"L.C. INC STMT AT PSR";#N/A,#N/A,FALSE,"I_S SUMM";#N/A,#N/A,FALSE,"BALSHEET TRENDS"}</definedName>
    <definedName name="wrn.Freq_Res." hidden="1">{#N/A,#N/A,TRUE,"FR_HC";#N/A,#N/A,TRUE,"FR_REST";#N/A,#N/A,TRUE,"FR_RETA";#N/A,#N/A,TRUE,"FR_TECSOF";#N/A,#N/A,TRUE,"FR_NETTEC";#N/A,#N/A,TRUE,"FR_CLISER"}</definedName>
    <definedName name="wrn.Friendly.">#REF!</definedName>
    <definedName name="wrn.FRP." hidden="1">{#N/A,#N/A,FALSE,"Title";#N/A,#N/A,FALSE,"Index";#N/A,#N/A,FALSE,"1";#N/A,#N/A,FALSE,"2";#N/A,#N/A,FALSE,"3";#N/A,#N/A,FALSE,"4";#N/A,#N/A,FALSE,"5";#N/A,#N/A,FALSE,"6";#N/A,#N/A,FALSE,"7";#N/A,#N/A,FALSE,"8"}</definedName>
    <definedName name="wrn.fsfti." hidden="1">{#N/A,#N/A,FALSE,"COVER";#N/A,#N/A,FALSE,"BS";#N/A,#N/A,FALSE,"P&amp;L ";#N/A,#N/A,FALSE,"P&amp;L Detail";#N/A,#N/A,FALSE,"P&amp;L Worksheet";#N/A,#N/A,FALSE,"BS Worksheet";#N/A,#N/A,FALSE,"M-VARIANCE"}</definedName>
    <definedName name="wrn.fsfti._1">#REF!</definedName>
    <definedName name="wrn.fsfti._3">#REF!</definedName>
    <definedName name="wrn.fsgraphs." hidden="1">{#N/A,#N/A,FALSE,"SALES";#N/A,#N/A,FALSE,"TERRITORY";#N/A,#N/A,FALSE,"INCOME";#N/A,#N/A,FALSE,"VENDOR";#N/A,#N/A,FALSE,"PRODUCTLINE"}</definedName>
    <definedName name="wrn.fsgraphs._1">#REF!</definedName>
    <definedName name="wrn.fsgraphs._3">#REF!</definedName>
    <definedName name="wrn.fsmisc." hidden="1">{#N/A,#N/A,FALSE,"M-JIMENEZ";#N/A,#N/A,FALSE,"L-KELLER";#N/A,#N/A,FALSE,"EMP-REC";#N/A,#N/A,FALSE,"INVESTMENTS";#N/A,#N/A,FALSE,"TERR SALES";#N/A,#N/A,FALSE,"AR-ANALYSIS"}</definedName>
    <definedName name="wrn.fsmisc._1">#REF!</definedName>
    <definedName name="wrn.fsmisc._3">#REF!</definedName>
    <definedName name="wrn.FTS.">#REF!</definedName>
    <definedName name="wrn.Full.">#REF!</definedName>
    <definedName name="wrn.Full._.Financials.">#REF!</definedName>
    <definedName name="wrn.Full._.Model." hidden="1">{#N/A,#N/A,FALSE,"Cov";#N/A,#N/A,FALSE,"sum";#N/A,#N/A,FALSE,"baladj";#N/A,#N/A,FALSE,"bs";#N/A,#N/A,FALSE,"is";#N/A,#N/A,FALSE,"pis";#N/A,#N/A,FALSE,"pis";#N/A,#N/A,FALSE,"cf";#N/A,#N/A,FALSE,"balhist";#N/A,#N/A,FALSE,"wc";#N/A,#N/A,FALSE,"ltd";#N/A,#N/A,FALSE,"cover";#N/A,#N/A,FALSE,"fa";#N/A,#N/A,FALSE,"tax";#N/A,#N/A,FALSE,"irr";#N/A,#N/A,FALSE,"in";#N/A,#N/A,FALSE,"DCF Cov";#N/A,#N/A,FALSE,"dcf"}</definedName>
    <definedName name="wrn.Full._.Model.1">#REF!</definedName>
    <definedName name="wrn.Full._.Monty.">#REF!</definedName>
    <definedName name="wrn.Full._.Report." hidden="1">{"Month_March",#N/A,TRUE,"March99";"YTD_March",#N/A,TRUE,"March99"}</definedName>
    <definedName name="wrn.full._.report._1">#REF!</definedName>
    <definedName name="wrn.full._.report._2">#REF!</definedName>
    <definedName name="wrn.full._.report._3">#REF!</definedName>
    <definedName name="wrn.full._.report._4">#REF!</definedName>
    <definedName name="wrn.full._.report._5">#REF!</definedName>
    <definedName name="wrn.Full._.View." hidden="1">{"FullView",#N/A,FALSE,"Consltd-For contngcy"}</definedName>
    <definedName name="wrn.Full_Analysis_Analyst.">#REF!</definedName>
    <definedName name="wrn.Full_Analysis_Base.">#REF!</definedName>
    <definedName name="wrn.Full_Analysis_Middle.">#REF!</definedName>
    <definedName name="wrn.fullpackage." hidden="1">{"quarterly",#N/A,FALSE,"Consol by Mo";"monthly",#N/A,FALSE,"Consol by Mo";#N/A,#N/A,FALSE,"Dock by Mo";#N/A,#N/A,FALSE,"ProdP&amp;L";#N/A,#N/A,FALSE,"MP by Mo";#N/A,#N/A,FALSE,"FC by Mo";#N/A,#N/A,FALSE,"Intellicoat+FC"}</definedName>
    <definedName name="wrn.Fullprint.">#REF!</definedName>
    <definedName name="wrn.Fullprint._1">#REF!</definedName>
    <definedName name="wrn.Fullreport." hidden="1">{"full",#N/A,FALSE,"WW";"full",#N/A,FALSE,"WWissues";"full",#N/A,FALSE,"WW - ki";"full",#N/A,FALSE,"ECM";"full",#N/A,FALSE,"Trading Sum";"full",#N/A,FALSE,"Bal Sheet";"full",#N/A,FALSE,"Funds Flow";"full",#N/A,FALSE,"Cashflow";"full",#N/A,FALSE,"Cash report";"full",#N/A,FALSE,"Fix Ass Forc";"full",#N/A,FALSE,"Fix Ass Bud"}</definedName>
    <definedName name="wrn.FUZ_REP.">#REF!</definedName>
    <definedName name="wrn.fuz_report.">#REF!</definedName>
    <definedName name="wrn.FY01_Fin_Stmts.">#REF!</definedName>
    <definedName name="wrn.FY02._.Without._.Roxio.">#REF!</definedName>
    <definedName name="wrn.FY02._.Without._.Roxio1">#REF!</definedName>
    <definedName name="wrn.FY02_Fin_Stmts.">#REF!</definedName>
    <definedName name="wrn.FY03._.Amortization.">#REF!</definedName>
    <definedName name="wrn.FY03_Fin_Stmts.">#REF!</definedName>
    <definedName name="wrn.FY04_Fin._.Stmts.">#REF!</definedName>
    <definedName name="wrn.FY06">#REF!</definedName>
    <definedName name="wrn.FY07">#REF!</definedName>
    <definedName name="wrn.FY07_fin">#REF!</definedName>
    <definedName name="wrn.FY97SBP.">#REF!</definedName>
    <definedName name="wrn.FY97SBP._1">#REF!</definedName>
    <definedName name="wrn.FY97SBP._2">#REF!</definedName>
    <definedName name="wrn.FY97SBP._3">#REF!</definedName>
    <definedName name="wrn.FY97SBP._4">#REF!</definedName>
    <definedName name="wrn.gastos.">#REF!</definedName>
    <definedName name="wrn.gastos._1">#REF!</definedName>
    <definedName name="wrn.gastos._2">#REF!</definedName>
    <definedName name="wrn.gastos._3">#REF!</definedName>
    <definedName name="wrn.gastos._4">#REF!</definedName>
    <definedName name="wrn.GEER_report." hidden="1">{#N/A,#N/A,FALSE,"Table_Ass.";#N/A,#N/A,FALSE,"# of cust";#N/A,#N/A,FALSE,"Res_Report";#N/A,#N/A,FALSE,"Income Statement";"Qtr Cust",#N/A,FALSE,"Qtrly Proj"}</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eral.OTC1" hidden="1">{#N/A,#N/A,FALSE,"Title Page (3)";#N/A,#N/A,FALSE,"YTD - OTC";#N/A,#N/A,FALSE,"MTH - OTC"}</definedName>
    <definedName name="wrn.GIS.">#REF!</definedName>
    <definedName name="wrn.Global._.CompCo.">#REF!</definedName>
    <definedName name="wrn.GMA." hidden="1">{#N/A,#N/A,FALSE,"INDEX";#N/A,#N/A,FALSE,"INDEX (2)";#N/A,#N/A,FALSE,"GMA SUMMARY";#N/A,#N/A,FALSE,"RESALE";#N/A,#N/A,FALSE,"COMPONENTS";#N/A,#N/A,FALSE,"INSTRUMENTS";#N/A,#N/A,FALSE,"summary";#N/A,#N/A,FALSE,"detail";#N/A,#N/A,FALSE,"SALESTAT";#N/A,#N/A,FALSE,"budget graph";#N/A,#N/A,FALSE,"SALES CHART";#N/A,#N/A,FALSE,"SALES REP";#N/A,#N/A,FALSE,"ORDER BACKLOG";#N/A,#N/A,FALSE,"AR AGE";#N/A,#N/A,FALSE,"AGEREP";#N/A,#N/A,FALSE,"RATIO";#N/A,#N/A,FALSE,"Sales by PL"}</definedName>
    <definedName name="wrn.Goodwill._.Amortization._.FY01.">#REF!</definedName>
    <definedName name="wrn.Goodwill._.Amortization._.FY02.">#REF!</definedName>
    <definedName name="wrn.Goodwill._.Amortization._.FY02.1">#REF!</definedName>
    <definedName name="wrn.GOODWILL._.AND._.INTANGIBLES." hidden="1">{"RECON FROM PRIOR QTR",#N/A,FALSE,"JUNFY03";"GOODWILL AND INTANGIBLES",#N/A,FALSE,"JUNFY03"}</definedName>
    <definedName name="wrn.gr.">#REF!</definedName>
    <definedName name="wrn.Grainger.">#REF!</definedName>
    <definedName name="wrn.Graph._.edition.">#REF!</definedName>
    <definedName name="wrn.Graphs.">#REF!</definedName>
    <definedName name="wrn.Graphs._1">#REF!</definedName>
    <definedName name="wrn.Grinnell">#REF!</definedName>
    <definedName name="wrn.Gross._.Profit._.by._.Month.">#REF!</definedName>
    <definedName name="wrn.gth." hidden="1">{#N/A,#N/A,FALSE,"Title Page";#N/A,#N/A,FALSE,"Summary Sheet"}</definedName>
    <definedName name="wrn.gunsmoke.">#REF!</definedName>
    <definedName name="wrn.H.">#REF!</definedName>
    <definedName name="wrn.HAYWARD.">#REF!</definedName>
    <definedName name="wrn.HAYWARD._1">#REF!</definedName>
    <definedName name="wrn.HEAT.">#REF!</definedName>
    <definedName name="wrn.HEAT._1">#REF!</definedName>
    <definedName name="wrn.HEAT._2">#REF!</definedName>
    <definedName name="wrn.HEAT._3">#REF!</definedName>
    <definedName name="wrn.HEAT._4">#REF!</definedName>
    <definedName name="wrn.HMO.">#REF!</definedName>
    <definedName name="wrn.HNZ.">#REF!</definedName>
    <definedName name="wrn.HÜ._.Umb.liste._.sonst.Angaben." hidden="1">{#N/A,#N/A,FALSE,"HÜ";#N/A,#N/A,FALSE,"Umb";#N/A,#N/A,FALSE,"sonst.A."}</definedName>
    <definedName name="wrn.Hydraulic.">#REF!</definedName>
    <definedName name="wrn.Hydraulic._1">#REF!</definedName>
    <definedName name="wrn.Hydraulic._2">#REF!</definedName>
    <definedName name="wrn.Hydraulic._3">#REF!</definedName>
    <definedName name="wrn.Hydraulic._4">#REF!</definedName>
    <definedName name="wrn.Hydraulic2.">#REF!</definedName>
    <definedName name="wrn.Hydraulic2._1">#REF!</definedName>
    <definedName name="wrn.Hydraulic2._2">#REF!</definedName>
    <definedName name="wrn.Hydraulic2._3">#REF!</definedName>
    <definedName name="wrn.Hydraulic2._4">#REF!</definedName>
    <definedName name="wrn.icem.">#REF!</definedName>
    <definedName name="wrn.icem._1">#REF!</definedName>
    <definedName name="wrn.icem._2">#REF!</definedName>
    <definedName name="wrn.icem._3">#REF!</definedName>
    <definedName name="wrn.icem._4">#REF!</definedName>
    <definedName name="wrn.ICSTMTS.">#REF!</definedName>
    <definedName name="wrn.iedetail." hidden="1">{#N/A,#N/A,FALSE,"Sheet1"}</definedName>
    <definedName name="wrn.Iesummary." hidden="1">{#N/A,#N/A,FALSE,"Sheet1"}</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_1">#REF!</definedName>
    <definedName name="wrn.IFF94TAX._3">#REF!</definedName>
    <definedName name="wrn.Ilijan._.Print.">#REF!</definedName>
    <definedName name="wrn.imp.">#REF!</definedName>
    <definedName name="wrn.IMPACT." hidden="1">{"ALLGRANTS",#N/A,FALSE,"OPTIONS"}</definedName>
    <definedName name="wrn.imprim.">#REF!</definedName>
    <definedName name="wrn.imprim._.ifc.">#REF!</definedName>
    <definedName name="wrn.IMS._.PANEL.">#REF!</definedName>
    <definedName name="wrn.inc.">#REF!</definedName>
    <definedName name="wrn.Income." hidden="1">{"IncomeStatement",#N/A,FALSE,"Income Statement";"ProductCost",#N/A,FALSE,"Income Statement";"OperatingExpense",#N/A,FALSE,"Income Statement"}</definedName>
    <definedName name="wrn.Income._.Statement.">#REF!</definedName>
    <definedName name="wrn.Income._1">#REF!</definedName>
    <definedName name="wrn.IncStmt.">#REF!</definedName>
    <definedName name="wrn.Individual._.Pract._.Summaries.">#REF!</definedName>
    <definedName name="wrn.Industry.xls.">#REF!</definedName>
    <definedName name="wrn.Infectious._.Diseases." hidden="1">{#N/A,#N/A,FALSE,"Anti";#N/A,#N/A,FALSE,"Cefa";#N/A,#N/A,FALSE,"Ceph";#N/A,#N/A,FALSE,"Cefp";#N/A,#N/A,FALSE,"Cefe";#N/A,#N/A,FALSE,"Pens";#N/A,#N/A,FALSE,"Ampi";#N/A,#N/A,FALSE,"Amox";#N/A,#N/A,FALSE,"Isox";#N/A,#N/A,FALSE,"Aztr";#N/A,#N/A,FALSE,"Videx";#N/A,#N/A,FALSE,"Zerit"}</definedName>
    <definedName name="wrn.ingreso.">#REF!</definedName>
    <definedName name="wrn.ingreso._1">#REF!</definedName>
    <definedName name="wrn.ingreso._2">#REF!</definedName>
    <definedName name="wrn.ingreso._3">#REF!</definedName>
    <definedName name="wrn.ingreso._4">#REF!</definedName>
    <definedName name="wrn.ingresos.">#REF!</definedName>
    <definedName name="wrn.ingresos._1">#REF!</definedName>
    <definedName name="wrn.ingresos._2">#REF!</definedName>
    <definedName name="wrn.ingresos._3">#REF!</definedName>
    <definedName name="wrn.ingresos._4">#REF!</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#REF!</definedName>
    <definedName name="wrn.input._.and._.output._3">#REF!</definedName>
    <definedName name="wrn.Input._.Print._.Area.">#REF!</definedName>
    <definedName name="wrn.Inputs.">#REF!</definedName>
    <definedName name="wrn.Inputs._.and._.detail._.calculations.">#REF!</definedName>
    <definedName name="wrn.Inputs._.and._.detail._.calculations._1">#REF!</definedName>
    <definedName name="wrn.Inputs._.and._.detail._.calculations._2">#REF!</definedName>
    <definedName name="wrn.Inputs._.and._.detail._.calculations._3">#REF!</definedName>
    <definedName name="wrn.Inputs._.and._.detail._.calculations._4">#REF!</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struments." hidden="1">{"Instruments_Cover",#N/A,FALSE,"COVERS";"InstrumentsB_1",#N/A,FALSE,"IS BY DIV";"InstrumentsB_2a",#N/A,FALSE,"COGS BY DIV";"InstrumentsB_2b",#N/A,FALSE,"COGS BY DIV";"InstrumentsB_3",#N/A,FALSE,"TOTAL PF";"InstrumentsB_4",#N/A,FALSE,"TOTAL PF";"Instruments_PL",#N/A,FALSE,"Sales by PL"}</definedName>
    <definedName name="wrn.Internal.">#REF!</definedName>
    <definedName name="wrn.Internal._.is.">#REF!</definedName>
    <definedName name="wrn.Interpolations.">#REF!</definedName>
    <definedName name="wrn.INTL._.GROUP.">#REF!</definedName>
    <definedName name="wrn.INTL._.GROUP._1">#REF!</definedName>
    <definedName name="wrn.Investment._.Summary.">#REF!</definedName>
    <definedName name="wrn.IPC._.Fits.">#REF!</definedName>
    <definedName name="wrn.IPIX.">#REF!</definedName>
    <definedName name="wrn.ipo." hidden="1">{"assumptions",#N/A,FALSE,"Scenario 1";"valuation",#N/A,FALSE,"Scenario 1"}</definedName>
    <definedName name="wrn.IPO._.Valuation." hidden="1">{"assumptions",#N/A,FALSE,"Scenario 1";"valuation",#N/A,FALSE,"Scenario 1"}</definedName>
    <definedName name="wrn.IPO._.Valuation._1">#REF!</definedName>
    <definedName name="wrn.IPO._.Valuation._2">#REF!</definedName>
    <definedName name="wrn.IPO._.Valuation._3">#REF!</definedName>
    <definedName name="wrn.IPO._.Valuation._4">#REF!</definedName>
    <definedName name="wrn.ipovalue.">#REF!</definedName>
    <definedName name="wrn.ipovalue._1">#REF!</definedName>
    <definedName name="wrn.ipovalue._2">#REF!</definedName>
    <definedName name="wrn.ipovalue._3">#REF!</definedName>
    <definedName name="wrn.ipovalue._4">#REF!</definedName>
    <definedName name="wrn.ireland">#REF!</definedName>
    <definedName name="wrn.irving._.report.">#REF!</definedName>
    <definedName name="wrn.ISCG._.model.">#REF!</definedName>
    <definedName name="wrn.ISCG._.model._1">#REF!</definedName>
    <definedName name="wrn.ISCG._.model._2">#REF!</definedName>
    <definedName name="wrn.ISCG._.model._3">#REF!</definedName>
    <definedName name="wrn.ISCG._.model._4">#REF!</definedName>
    <definedName name="wrn.IVTI_Rep." hidden="1">{#N/A,#N/A,FALSE,"Title Page";#N/A,#N/A,FALSE,"Summary Sheet";#N/A,#N/A,FALSE,"Fiscal Year Income Statement";#N/A,#N/A,FALSE,"Valuation Summary";#N/A,#N/A,FALSE,"Comps with IVT";#N/A,#N/A,FALSE,"Comps without IVT"}</definedName>
    <definedName name="wrn.JANI._.REBATES.">#REF!</definedName>
    <definedName name="wrn.japan." hidden="1">{"japanwarranty",#N/A,FALSE,"Japan";"japaninstallation",#N/A,FALSE,"Japan"}</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#REF!</definedName>
    <definedName name="wrn.jck94TAXRETURN._3">#REF!</definedName>
    <definedName name="wrn.JE_Pkg.">#REF!</definedName>
    <definedName name="wrn.JODM._.Graphs." hidden="1">{"graph",#N/A,FALSE,"WWJU";"graph",#N/A,FALSE,"WWSEM";"graph",#N/A,FALSE,"GOMJU";"graph",#N/A,FALSE,"GOMSEM";"graph",#N/A,FALSE,"NSJU";"graph",#N/A,FALSE,"NSSEM";"graph",#N/A,FALSE,"WAJU";"graph",#N/A,FALSE,"STOCKPRI";"graph",#N/A,FALSE,"CFTEV";"graph",#N/A,FALSE,"NAV-RCV";"graph",#N/A,FALSE,"CRUDEWW"}</definedName>
    <definedName name="wrn.Journal._.Entry.">#REF!</definedName>
    <definedName name="wrn.July.">#REF!</definedName>
    <definedName name="wrn.June.">#REF!</definedName>
    <definedName name="wrn.junk">#REF!</definedName>
    <definedName name="wrn.K.">#REF!</definedName>
    <definedName name="wrn.k1._.attachment." hidden="1">{"Christian",#N/A,FALSE,"K1 TAX";"evan",#N/A,FALSE,"K1 TAX";"Gail",#N/A,FALSE,"K1 TAX";"Gretchen",#N/A,FALSE,"K1 TAX";"Gun",#N/A,FALSE,"K1 TAX";"master k1",#N/A,FALSE,"K1 TAX";"Michael",#N/A,FALSE,"K1 TAX";"philip",#N/A,FALSE,"K1 TAX";"steve",#N/A,FALSE,"K1 TAX";"Thomas",#N/A,FALSE,"K1 TAX"}</definedName>
    <definedName name="wrn.k1._.attachment._1">#REF!</definedName>
    <definedName name="wrn.k1._.attachment._3">#REF!</definedName>
    <definedName name="wrn.kompletter._.Bericht."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wrn.KOREA.">#REF!</definedName>
    <definedName name="wrn.KOREA._1">#REF!</definedName>
    <definedName name="wrn.LabCorpModel.">#REF!</definedName>
    <definedName name="wrn.Lag._.Report.">#REF!</definedName>
    <definedName name="wrn.Lag._.Report._1">#REF!</definedName>
    <definedName name="wrn.LBO." hidden="1">{#N/A,#N/A,FALSE,"Cov";#N/A,#N/A,FALSE,"sum";#N/A,#N/A,FALSE,"baladj";#N/A,#N/A,FALSE,"bs";#N/A,#N/A,FALSE,"is";#N/A,#N/A,FALSE,"pis";#N/A,#N/A,FALSE,"cf";#N/A,#N/A,FALSE,"balhist";#N/A,#N/A,FALSE,"wc";#N/A,#N/A,FALSE,"ltd";#N/A,#N/A,FALSE,"cover";#N/A,#N/A,FALSE,"fa";#N/A,#N/A,FALSE,"tax";#N/A,#N/A,FALSE,"irr";#N/A,#N/A,FALSE,"in"}</definedName>
    <definedName name="wrn.LBO._.Summary.">#REF!</definedName>
    <definedName name="wrn.LBO._.Summary._1">#REF!</definedName>
    <definedName name="wrn.LBO._.Summary._2">#REF!</definedName>
    <definedName name="wrn.LBO._.Summary._3">#REF!</definedName>
    <definedName name="wrn.LBO._.Summary._4">#REF!</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#REF!</definedName>
    <definedName name="wrn.Lead._.Schedule._3">#REF!</definedName>
    <definedName name="wrn.Lead._.Sheets.">#REF!</definedName>
    <definedName name="wrn.legal.">#REF!</definedName>
    <definedName name="wrn.Limbach.">#REF!</definedName>
    <definedName name="wrn.Limited._.March.">#REF!</definedName>
    <definedName name="WRN.LIMITED._APR">#REF!</definedName>
    <definedName name="wrn.LIST.">#REF!</definedName>
    <definedName name="wrn.LOB.">#REF!</definedName>
    <definedName name="wrn.M_1." hidden="1">{"M_1",#N/A,FALSE,"Main Sch"}</definedName>
    <definedName name="wrn.M_2." hidden="1">{"M_2",#N/A,FALSE,"Main Sch"}</definedName>
    <definedName name="wrn.M_20." hidden="1">{"M_1",#N/A,FALSE,"Main Sch"}</definedName>
    <definedName name="wrn.M_3." hidden="1">{"M_3",#N/A,FALSE,"Main Sch"}</definedName>
    <definedName name="wrn.m_cash.">#REF!</definedName>
    <definedName name="wrn.M1B." hidden="1">{"M1B",#N/A,FALSE,"Support Sch"}</definedName>
    <definedName name="wrn.M1C." hidden="1">{"M1C",#N/A,FALSE,"Support Sch"}</definedName>
    <definedName name="wrn.M1D_1." hidden="1">{"M1D_1",#N/A,FALSE,"Support Sch"}</definedName>
    <definedName name="wrn.M1D_2." hidden="1">{"M1D_2",#N/A,FALSE,"Support Sch"}</definedName>
    <definedName name="wrn.M1E." hidden="1">{"M1E",#N/A,FALSE,"Support Sch"}</definedName>
    <definedName name="wrn.M2A." hidden="1">{"M2A",#N/A,FALSE,"Support Sch"}</definedName>
    <definedName name="wrn.M3A_COMMISSIONS." hidden="1">{"M3A_COMMISSIONS",#N/A,FALSE,"Support Sch"}</definedName>
    <definedName name="wrn.M3A_REVENUE." hidden="1">{"M3A_REVENUE",#N/A,FALSE,"Support Sch"}</definedName>
    <definedName name="wrn.M3A_SUMMARY." hidden="1">{"M3A_SUMMARY",#N/A,FALSE,"Support Sch"}</definedName>
    <definedName name="wrn.M3B_1." hidden="1">{"M3B_1",#N/A,FALSE,"Support Sch"}</definedName>
    <definedName name="wrn.M3B_2." hidden="1">{"M3B_2",#N/A,FALSE,"Support Sch"}</definedName>
    <definedName name="wrn.M3C_PT1." hidden="1">{"M3C_PT1",#N/A,FALSE,"Support Sch"}</definedName>
    <definedName name="wrn.M3C_PT2" hidden="1">{"M3C_PT1",#N/A,FALSE,"Support Sch"}</definedName>
    <definedName name="wrn.M3C_PT2." hidden="1">{"M3C_PT2",#N/A,FALSE,"Support Sch"}</definedName>
    <definedName name="wrn.M3D_PT1." hidden="1">{"M3D_PT1",#N/A,FALSE,"Support Sch"}</definedName>
    <definedName name="wrn.M3D_PT2." hidden="1">{"M3D_PT2",#N/A,FALSE,"Support Sch"}</definedName>
    <definedName name="wrn.M3E_1_PT1." hidden="1">{"M3E_1_PT1",#N/A,FALSE,"Support Sch"}</definedName>
    <definedName name="wrn.M3E_1_PT2." hidden="1">{"M3E_1_PT2",#N/A,FALSE,"Support Sch"}</definedName>
    <definedName name="wrn.M3E_1_PT3." hidden="1">{"M3E_1_PT3",#N/A,FALSE,"Support Sch"}</definedName>
    <definedName name="wrn.M3E_2_PT1." hidden="1">{"M3E_2_PT1",#N/A,FALSE,"Support Sch"}</definedName>
    <definedName name="wrn.M3E_2_PT2." hidden="1">{"M3E_2_PT2",#N/A,FALSE,"Support Sch"}</definedName>
    <definedName name="wrn.M3E_2_PT3." hidden="1">{"M3E_2_PT3",#N/A,FALSE,"Support Sch"}</definedName>
    <definedName name="wrn.M3E_3_PT1." hidden="1">{"M3E_3_PT1",#N/A,FALSE,"Support Sch"}</definedName>
    <definedName name="wrn.M3E_3_PT2." hidden="1">{"M3E_3_PT2",#N/A,FALSE,"Support Sch"}</definedName>
    <definedName name="wrn.M3E_3_PT3." hidden="1">{"M3E_3_PT3",#N/A,FALSE,"Support Sch"}</definedName>
    <definedName name="wrn.M3F_PT1." hidden="1">{"M3F_PT1",#N/A,FALSE,"Support Sch"}</definedName>
    <definedName name="wrn.M3F_PT2." hidden="1">{"M3F_PT2",#N/A,FALSE,"Support Sch"}</definedName>
    <definedName name="wrn.M3F_PT3." hidden="1">{"M3F_PT3",#N/A,FALSE,"Support Sch"}</definedName>
    <definedName name="wrn.M3H." hidden="1">{"M3H",#N/A,FALSE,"Support Sch"}</definedName>
    <definedName name="wrn.M3H_10." hidden="1">{"M3HL10",#N/A,FALSE,"SupportDetail"}</definedName>
    <definedName name="wrn.M3H_20." hidden="1">{"M3HL20",#N/A,FALSE,"SupportDetail"}</definedName>
    <definedName name="wrn.M3H_30." hidden="1">{"M3HL30",#N/A,FALSE,"SupportDetail"}</definedName>
    <definedName name="wrn.M3H_40." hidden="1">{"M3HL40",#N/A,FALSE,"SupportDetail"}</definedName>
    <definedName name="wrn.M3H_50." hidden="1">{"M3HL50",#N/A,FALSE,"SupportDetail"}</definedName>
    <definedName name="wrn.M3H_60." hidden="1">{"M3HL60",#N/A,FALSE,"SupportDetail"}</definedName>
    <definedName name="wrn.M3H_70." hidden="1">{"M3HL70",#N/A,FALSE,"SupportDetail"}</definedName>
    <definedName name="wrn.M3H_80." hidden="1">{"M3HL80",#N/A,FALSE,"SupportDetail"}</definedName>
    <definedName name="wrn.M3H_90." hidden="1">{"M3HL90",#N/A,FALSE,"SupportDetail"}</definedName>
    <definedName name="wrn.M3H100." hidden="1">{"M3H.100",#N/A,FALSE,"SupportDetail"}</definedName>
    <definedName name="wrn.M3H110." hidden="1">{"M3H.110",#N/A,FALSE,"SupportDetail"}</definedName>
    <definedName name="wrn.M3H120." hidden="1">{"M3H.120",#N/A,FALSE,"SupportDetail"}</definedName>
    <definedName name="wrn.M3H130." hidden="1">{"M3H.130",#N/A,FALSE,"SupportDetail"}</definedName>
    <definedName name="wrn.M3H140." hidden="1">{"M3H.140",#N/A,FALSE,"SupportDetail"}</definedName>
    <definedName name="wrn.M3H150." hidden="1">{"M3H.150",#N/A,FALSE,"SupportDetail"}</definedName>
    <definedName name="wrn.M3H160." hidden="1">{"M3H.160",#N/A,FALSE,"SupportDetail"}</definedName>
    <definedName name="wrn.M3H170." hidden="1">{"M3H.170",#N/A,FALSE,"SupportDetail"}</definedName>
    <definedName name="wrn.M3H180." hidden="1">{"M3H.180",#N/A,FALSE,"SupportDetail"}</definedName>
    <definedName name="wrn.M3H190." hidden="1">{"M3H.190",#N/A,FALSE,"SupportDetail"}</definedName>
    <definedName name="wrn.M3H200." hidden="1">{"M3H.200",#N/A,FALSE,"SupportDetail"}</definedName>
    <definedName name="wrn.M3H210." hidden="1">{"M3H.210",#N/A,FALSE,"SupportDetail"}</definedName>
    <definedName name="wrn.M3H220." hidden="1">{"M3H.220",#N/A,FALSE,"SupportDetail"}</definedName>
    <definedName name="wrn.M3H230." hidden="1">{"M3H.230",#N/A,FALSE,"SupportDetail"}</definedName>
    <definedName name="wrn.M3H240." hidden="1">{"M3H.240",#N/A,FALSE,"SupportDetail"}</definedName>
    <definedName name="wrn.M3H250." hidden="1">{"M3H.250",#N/A,FALSE,"SupportDetail"}</definedName>
    <definedName name="wrn.M3H260." hidden="1">{"M3H.260",#N/A,FALSE,"SupportDetail"}</definedName>
    <definedName name="wrn.M3H270." hidden="1">{"M3H.270",#N/A,FALSE,"SupportDetail"}</definedName>
    <definedName name="wrn.M3H280." hidden="1">{"M3H.280",#N/A,FALSE,"SupportDetail"}</definedName>
    <definedName name="wrn.M3H290." hidden="1">{"M3H.290",#N/A,FALSE,"SupportDetail"}</definedName>
    <definedName name="wrn.M3H300." hidden="1">{"M3H.300",#N/A,FALSE,"SupportDetail"}</definedName>
    <definedName name="wrn.M3H310." hidden="1">{"M3H.310",#N/A,FALSE,"SupportDetail"}</definedName>
    <definedName name="wrn.M3H320." hidden="1">{"M3H.320",#N/A,FALSE,"SupportDetail"}</definedName>
    <definedName name="wrn.M3H330." hidden="1">{"M3H.330",#N/A,FALSE,"SupportDetail"}</definedName>
    <definedName name="wrn.M3H340." hidden="1">{"M3H.340",#N/A,FALSE,"SupportDetail"}</definedName>
    <definedName name="wrn.M3H350." hidden="1">{"M3H.350",#N/A,FALSE,"SupportDetail"}</definedName>
    <definedName name="wrn.M3H360." hidden="1">{"M3H.360",#N/A,FALSE,"SupportDetail"}</definedName>
    <definedName name="wrn.M3H370." hidden="1">{"M3H.370",#N/A,FALSE,"SupportDetail"}</definedName>
    <definedName name="wrn.M3H380." hidden="1">{"M3H.380",#N/A,FALSE,"SupportDetail"}</definedName>
    <definedName name="wrn.M3H390." hidden="1">{"M3H.390",#N/A,FALSE,"SupportDetail"}</definedName>
    <definedName name="wrn.M3H400." hidden="1">{"M3H.400",#N/A,FALSE,"SupportDetail"}</definedName>
    <definedName name="wrn.M3J." hidden="1">{"M3J",#N/A,FALSE,"Support Sch"}</definedName>
    <definedName name="wrn.M4B." hidden="1">{"M4B",#N/A,FALSE,"Support Sch"}</definedName>
    <definedName name="wrn.Main." hidden="1">{#N/A,#N/A,FALSE,"Worldwide";#N/A,#N/A,FALSE,"Milpitas";#N/A,#N/A,FALSE,"Fremont";#N/A,#N/A,FALSE,"Tuas";#N/A,#N/A,FALSE,"Woodlands"}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#REF!</definedName>
    <definedName name="wrn.Maine.">#REF!</definedName>
    <definedName name="wrn.Maine._1">#REF!</definedName>
    <definedName name="wrn.Maine._2">#REF!</definedName>
    <definedName name="wrn.Maine._3">#REF!</definedName>
    <definedName name="wrn.Maine._4">#REF!</definedName>
    <definedName name="wrn.Maine2.">#REF!</definedName>
    <definedName name="wrn.Maine2._1">#REF!</definedName>
    <definedName name="wrn.Maine2._2">#REF!</definedName>
    <definedName name="wrn.Maine2._3">#REF!</definedName>
    <definedName name="wrn.Maine2._4">#REF!</definedName>
    <definedName name="wrn.Maintenance.">#REF!</definedName>
    <definedName name="wrn.Manpower._.1996.">#REF!</definedName>
    <definedName name="wrn.MARK98FULL.1">#REF!</definedName>
    <definedName name="wrn.Marketing.">#REF!</definedName>
    <definedName name="wrn.Marketing._1">#REF!</definedName>
    <definedName name="wrn.Marketing1">#REF!</definedName>
    <definedName name="wrn.Marketing1_1">#REF!</definedName>
    <definedName name="wrn.MARKF98FULL.">#REF!</definedName>
    <definedName name="wrn.MARKF98FULL.1">#REF!</definedName>
    <definedName name="wrn.MARKF98H.">#REF!</definedName>
    <definedName name="wrn.MARKF98P.">#REF!</definedName>
    <definedName name="wrn.master.">#REF!</definedName>
    <definedName name="wrn.Master_Income.">#REF!</definedName>
    <definedName name="wrn.MCCRK.">#REF!</definedName>
    <definedName name="wrn.MDS1.">#REF!</definedName>
    <definedName name="wrn.MEET.">#REF!</definedName>
    <definedName name="wrn.memo.">#REF!</definedName>
    <definedName name="wrn.merge.">#REF!</definedName>
    <definedName name="wrn.merge._1">#REF!</definedName>
    <definedName name="wrn.merge._2">#REF!</definedName>
    <definedName name="wrn.merge._3">#REF!</definedName>
    <definedName name="wrn.merge._4">#REF!</definedName>
    <definedName name="wrn.merger.">#REF!</definedName>
    <definedName name="wrn.MergerModel.">#REF!</definedName>
    <definedName name="wrn.mergermodel1">#REF!</definedName>
    <definedName name="wrn.Methods.">#REF!</definedName>
    <definedName name="wrn.mexico." hidden="1">{"mexicoinstallation",#N/A,FALSE,"Mexico";"mexicowarranty",#N/A,FALSE,"Mexico"}</definedName>
    <definedName name="wrn.MHHD.">#REF!</definedName>
    <definedName name="wrn.Mid._.Qtr._.Fcst.">#REF!</definedName>
    <definedName name="wrn.MOBIL.">#REF!</definedName>
    <definedName name="wrn.Model.">#REF!</definedName>
    <definedName name="wrn.Model_Analysis.">#REF!</definedName>
    <definedName name="wrn.Model_Analysis._1">#REF!</definedName>
    <definedName name="wrn.Model_Analysis._2">#REF!</definedName>
    <definedName name="wrn.Model_Analysis._3">#REF!</definedName>
    <definedName name="wrn.Model_Analysis._4">#REF!</definedName>
    <definedName name="wrn.MoEuro3.">#REF!</definedName>
    <definedName name="wrn.Monthly.">#REF!</definedName>
    <definedName name="wrn.Monthly._.Act._.P_L.">#REF!</definedName>
    <definedName name="wrn.Monthly._.Consolidation._.Report." hidden="1">{#N/A,#N/A,FALSE,"Index";#N/A,#N/A,FALSE,"YTD_Consolidation";#N/A,#N/A,FALSE,"Trended Consolidation";#N/A,#N/A,FALSE,"US IS";#N/A,#N/A,FALSE,"US BS";#N/A,#N/A,FALSE,"KOREA IS USD";#N/A,#N/A,FALSE,"KOREA BS USD";#N/A,#N/A,FALSE,"JP BS USD";#N/A,#N/A,FALSE,"JP IS USD"}</definedName>
    <definedName name="wrn.Monthly._.Report.">#REF!</definedName>
    <definedName name="wrn.Monthly._.ST.">#REF!</definedName>
    <definedName name="wrn.monthlynew">#REF!</definedName>
    <definedName name="wrn.MONTHLYRPT.">#REF!</definedName>
    <definedName name="wrn.Monthlys.">#REF!</definedName>
    <definedName name="wrn.Monthlys._1">#REF!</definedName>
    <definedName name="wrn.monthlyunits.">#REF!</definedName>
    <definedName name="wrn.Mor._.Pack._.January.">#REF!</definedName>
    <definedName name="wrn.MP._.Mgmt._.Report." hidden="1">{#N/A,#N/A,FALSE,"MP Cover";#N/A,#N/A,FALSE,"MP Table of Contents";#N/A,#N/A,FALSE,"MP Metrics";"MP Mgmt Report",#N/A,FALSE,"P&amp;L- MP (w Seed)";#N/A,#N/A,FALSE,"P&amp;L- Landec";#N/A,#N/A,FALSE,"P&amp;L- Seed";"MP Mgmt Report",#N/A,FALSE,"Prod Line P&amp;L";#N/A,#N/A,FALSE,"MP (w Seed) BS";#N/A,#N/A,FALSE,"Cash Flow-MP (w Seed)"}</definedName>
    <definedName name="wrn.MRP._.Pack._.excl._.cash.">#REF!</definedName>
    <definedName name="wrn.MRP._.Pack._.excl._.commentary.">#REF!</definedName>
    <definedName name="wrn.MRP._.Pack._.inc._.commentary.">#REF!</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MVD.">#REF!</definedName>
    <definedName name="wrn.N.O.L..">#REF!</definedName>
    <definedName name="wrn.N.O.L.._1">#REF!</definedName>
    <definedName name="wrn.N.O.L.._3">#REF!</definedName>
    <definedName name="wrn.NA.">#REF!</definedName>
    <definedName name="wrn.nema.">#REF!</definedName>
    <definedName name="wrn.nema._1">#REF!</definedName>
    <definedName name="wrn.nema._2">#REF!</definedName>
    <definedName name="wrn.nema._3">#REF!</definedName>
    <definedName name="wrn.nema._4">#REF!</definedName>
    <definedName name="wrn.Neurocrine._.1995._.Dept.._.Budgets.">#REF!</definedName>
    <definedName name="wrn.new.">#REF!</definedName>
    <definedName name="wrn.New._.business.">#REF!</definedName>
    <definedName name="wrn.newest.">#REF!</definedName>
    <definedName name="wrn.newest._1">#REF!</definedName>
    <definedName name="wrn.newest._2">#REF!</definedName>
    <definedName name="wrn.newest._3">#REF!</definedName>
    <definedName name="wrn.newest._4">#REF!</definedName>
    <definedName name="wrn.Nico.">#REF!</definedName>
    <definedName name="wrn.Non._.Current._.Assets." hidden="1">{"month roll",#N/A,FALSE,"cost";"ytd summary",#N/A,FALSE,"cost"}</definedName>
    <definedName name="wrn.ntfinance.">#REF!</definedName>
    <definedName name="wrn.O._.and._.M._.and._.Fuel.">#REF!</definedName>
    <definedName name="wrn.Ofcr._.Comp._.Stmt._.4.">#REF!</definedName>
    <definedName name="wrn.Ofcr._.Comp._.WP.">#REF!</definedName>
    <definedName name="wrn.Officers._.Letter.">#REF!</definedName>
    <definedName name="wrn.Olk._.by._.Qtr.">#REF!</definedName>
    <definedName name="wrn.Oncology." hidden="1">{#N/A,#N/A,FALSE,"Onco";#N/A,#N/A,FALSE,"Taxol";#N/A,#N/A,FALSE,"UFT";#N/A,#N/A,FALSE,"Carb"}</definedName>
    <definedName name="wrn.one" hidden="1">{"page1",#N/A,FALSE,"A";"page2",#N/A,FALSE,"A"}</definedName>
    <definedName name="wrn.one." hidden="1">{"page1",#N/A,FALSE,"A";"page2",#N/A,FALSE,"A"}</definedName>
    <definedName name="wrn.One._.Pager._.plus._.Technicals.">#REF!</definedName>
    <definedName name="wrn.Only._.Distr.._.list.">#REF!</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C.">#REF!</definedName>
    <definedName name="wrn.Open._.Issues._.Only." hidden="1">{"Open issues Only",#N/A,FALSE,"TIMELINE"}</definedName>
    <definedName name="wrn.Operaions._.net._.income.">#REF!</definedName>
    <definedName name="wrn.Operations.">#REF!</definedName>
    <definedName name="wrn.Opportunity._.Assessment.">#REF!</definedName>
    <definedName name="wrn.OR._.Carrying._.Charge._.JV." hidden="1">{#N/A,#N/A,FALSE,"Loans";#N/A,#N/A,FALSE,"Program Costs";#N/A,#N/A,FALSE,"Measures";#N/A,#N/A,FALSE,"Net Lost Rev";#N/A,#N/A,FALSE,"Incentive"}</definedName>
    <definedName name="wrn.OR._.Carrying._.Charge._.JV.1" hidden="1">{#N/A,#N/A,FALSE,"Loans";#N/A,#N/A,FALSE,"Program Costs";#N/A,#N/A,FALSE,"Measures";#N/A,#N/A,FALSE,"Net Lost Rev";#N/A,#N/A,FALSE,"Incentive"}</definedName>
    <definedName name="wrn.OTC._.Market._.Report." hidden="1">{#N/A,#N/A,FALSE,"Sales Graph";#N/A,#N/A,FALSE,"BUC Graph";#N/A,#N/A,FALSE,"P&amp;L - YTD"}</definedName>
    <definedName name="wrn.OTHER.">#REF!</definedName>
    <definedName name="wrn.Other._.Pharm." hidden="1">{#N/A,#N/A,FALSE,"Other";#N/A,#N/A,FALSE,"Ace";#N/A,#N/A,FALSE,"Derm"}</definedName>
    <definedName name="wrn.Outlook._.for._.US._.Domestic._.Paging.">#REF!</definedName>
    <definedName name="wrn.Outlook._.for._.US._.Domestic._.Paging._1">#REF!</definedName>
    <definedName name="wrn.Outlook._.for._.US._.Domestic._.Paging._2">#REF!</definedName>
    <definedName name="wrn.Outlook._.for._.US._.Domestic._.Paging._3">#REF!</definedName>
    <definedName name="wrn.Outlook._.for._.US._.Domestic._.Paging._4">#REF!</definedName>
    <definedName name="wrn.OUTPUT.">{"DCF","UPSIDE CASE",FALSE,"Sheet1";"DCF","BASE CASE",FALSE,"Sheet1";"DCF","DOWNSIDE CASE",FALSE,"Sheet1"}</definedName>
    <definedName name="wrn.OUTPUT._1">{"DCF","UPSIDE CASE",FALSE,"Sheet1";"DCF","BASE CASE",FALSE,"Sheet1";"DCF","DOWNSIDE CASE",FALSE,"Sheet1"}</definedName>
    <definedName name="wrn.OUTPUT._1_1">{"DCF","UPSIDE CASE",FALSE,"Sheet1";"DCF","BASE CASE",FALSE,"Sheet1";"DCF","DOWNSIDE CASE",FALSE,"Sheet1"}</definedName>
    <definedName name="wrn.OUTPUT._1_2">{"DCF","UPSIDE CASE",FALSE,"Sheet1";"DCF","BASE CASE",FALSE,"Sheet1";"DCF","DOWNSIDE CASE",FALSE,"Sheet1"}</definedName>
    <definedName name="wrn.OUTPUT._2">{"DCF","UPSIDE CASE",FALSE,"Sheet1";"DCF","BASE CASE",FALSE,"Sheet1";"DCF","DOWNSIDE CASE",FALSE,"Sheet1"}</definedName>
    <definedName name="wrn.OUTPUT._3">{"DCF","UPSIDE CASE",FALSE,"Sheet1";"DCF","BASE CASE",FALSE,"Sheet1";"DCF","DOWNSIDE CASE",FALSE,"Sheet1"}</definedName>
    <definedName name="wrn.p" hidden="1">{#N/A,#N/A,FALSE,"1";#N/A,#N/A,FALSE,"2";#N/A,#N/A,FALSE,"16 - 17";#N/A,#N/A,FALSE,"18 - 19";#N/A,#N/A,FALSE,"26";#N/A,#N/A,FALSE,"27";#N/A,#N/A,FALSE,"28"}</definedName>
    <definedName name="wrn.p3">{"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acker._.1.">#REF!</definedName>
    <definedName name="wrn.packer._.1._1">#REF!</definedName>
    <definedName name="wrn.packer._.1._2">#REF!</definedName>
    <definedName name="wrn.packer._.1._3">#REF!</definedName>
    <definedName name="wrn.packer._.1._4">#REF!</definedName>
    <definedName name="wrn.page._.1." hidden="1">{"page one",#N/A,FALSE,"revision 01_99"}</definedName>
    <definedName name="wrn.page._.2." hidden="1">{"page two",#N/A,FALSE,"revision 01_99"}</definedName>
    <definedName name="wrn.page._.3." hidden="1">{"page three",#N/A,FALSE,"revision 01_99"}</definedName>
    <definedName name="wrn.pages." hidden="1">{#N/A,#N/A,FALSE,"Bgt";#N/A,#N/A,FALSE,"Act";#N/A,#N/A,FALSE,"Chrt Data";#N/A,#N/A,FALSE,"Bus Result";#N/A,#N/A,FALSE,"Main Charts";#N/A,#N/A,FALSE,"P&amp;L Ttl";#N/A,#N/A,FALSE,"P&amp;L C_Ttl";#N/A,#N/A,FALSE,"P&amp;L C_Oct";#N/A,#N/A,FALSE,"P&amp;L C_Sep";#N/A,#N/A,FALSE,"1996";#N/A,#N/A,FALSE,"Data"}</definedName>
    <definedName name="wrn.paging.">#REF!</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_1">#REF!</definedName>
    <definedName name="wrn.PAIM._.TAX._.PRO._3">#REF!</definedName>
    <definedName name="wrn.PandL_Summary.">#REF!</definedName>
    <definedName name="wrn.paul.">#REF!</definedName>
    <definedName name="wrn.Payment._.View." hidden="1">{#N/A,#N/A,FALSE,"Consltd-For contngcy";"PaymentView",#N/A,FALSE,"Consltd-For contngcy"}</definedName>
    <definedName name="wrn.PCB원가계산." hidden="1">{#N/A,#N/A,FALSE,"P.C.B"}</definedName>
    <definedName name="wrn.PCN.">#REF!</definedName>
    <definedName name="wrn.PCN._.SET.">#REF!</definedName>
    <definedName name="wrn.PCN._.SET.2">#REF!</definedName>
    <definedName name="wrn.PCN.2">#REF!</definedName>
    <definedName name="wrn.Pentair.">#REF!</definedName>
    <definedName name="wrn.PETC.">#REF!</definedName>
    <definedName name="wrn.petey.">#REF!</definedName>
    <definedName name="wrn.PFSreconview." hidden="1">{"PFS recon view",#N/A,FALSE,"Hyperion Proof"}</definedName>
    <definedName name="wrn.PGHCreconview." hidden="1">{"PGHC recon view",#N/A,FALSE,"Hyperion Proof"}</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BU.">#REF!</definedName>
    <definedName name="wrn.pl" hidden="1">{"20 Years",#N/A,FALSE,"P&amp;Ls";"2001",#N/A,FALSE,"P&amp;Ls"}</definedName>
    <definedName name="wrn.PL." hidden="1">{"20 Years",#N/A,FALSE,"P&amp;Ls";"2001",#N/A,FALSE,"P&amp;Ls"}</definedName>
    <definedName name="wrn.PL_inflated." hidden="1">{"inflated_pl",#N/A,FALSE,"P&amp;L"}</definedName>
    <definedName name="wrn.PL_no_inflated." hidden="1">{"PL_no_inflated",#N/A,FALSE,"P&amp;L"}</definedName>
    <definedName name="wrn.PL1990.">#REF!</definedName>
    <definedName name="wrn.PL1991.">#REF!</definedName>
    <definedName name="wrn.PL1992.">#REF!</definedName>
    <definedName name="wrn.PL1993.">#REF!</definedName>
    <definedName name="wrn.PL1994.">#REF!</definedName>
    <definedName name="wrn.Plan._.EVA.">#REF!</definedName>
    <definedName name="wrn.Plan._.EVA._1">#REF!</definedName>
    <definedName name="wrn.PLSCHA4.">#REF!</definedName>
    <definedName name="wrn.PLVar.">#REF!</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oe.">#REF!</definedName>
    <definedName name="wrn.Portrait." hidden="1">{"IS with Stats PORTRAIT",#N/A,FALSE,"FINANCIALS";"Bal Sheet PORTRAIT",#N/A,FALSE,"FINANCIALS"}</definedName>
    <definedName name="wrn.Portrait._.letter._.is.">#REF!</definedName>
    <definedName name="wrn.Pound._.Sterling.">#REF!</definedName>
    <definedName name="wrn.PPMCoCodeView." hidden="1">{"PPM Co Code View",#N/A,FALSE,"Comp Codes"}</definedName>
    <definedName name="wrn.PPMreconview." hidden="1">{"PPM Recon View",#N/A,FALSE,"Hyperion Proof"}</definedName>
    <definedName name="wrn.ppp" hidden="1">{#N/A,#N/A,FALSE,"1";#N/A,#N/A,FALSE,"2";#N/A,#N/A,FALSE,"16 - 17";#N/A,#N/A,FALSE,"18 - 19";#N/A,#N/A,FALSE,"26";#N/A,#N/A,FALSE,"27";#N/A,#N/A,FALSE,"28"}</definedName>
    <definedName name="wrn.PR_TRIAL_BALANCE.">{"TB_PR","50",FALSE,"PR_TRIAL_BALANCE";"TB_PR","51",FALSE,"PR_TRIAL_BALANCE";"TB_PR","52",FALSE,"PR_TRIAL_BALANCE";"TB_PR","53",FALSE,"PR_TRIAL_BALANCE";"TB_PR","54",FALSE,"PR_TRIAL_BALANCE";"TB_PR","55",FALSE,"PR_TRIAL_BALANCE";"TB_PR","56",FALSE,"PR_TRIAL_BALANCE";"TB_PR","57",FALSE,"PR_TRIAL_BALANCE";"TB_PR","61",FALSE,"PR_TRIAL_BALANCE";"TB_PR","63",FALSE,"PR_TRIAL_BALANCE";"TB_PR","65",FALSE,"PR_TRIAL_BALANCE";"TB_PR","66",FALSE,"PR_TRIAL_BALANCE"}</definedName>
    <definedName name="wrn.Preliminary." hidden="1">{"Analysis",#N/A,FALSE,"DETAIL"}</definedName>
    <definedName name="wrn.prices.">#REF!</definedName>
    <definedName name="wrn.prin2._.all." hidden="1">{#N/A,#N/A,FALSE,"Pharm";#N/A,#N/A,FALSE,"WWCM"}</definedName>
    <definedName name="wrn.prin2._.all1" hidden="1">{#N/A,#N/A,FALSE,"Pharm";#N/A,#N/A,FALSE,"WWCM"}</definedName>
    <definedName name="wrn.print" hidden="1">{#N/A,#N/A,FALSE,"Pharm";#N/A,#N/A,FALSE,"WWCM"}</definedName>
    <definedName name="wrn.Print." localSheetId="0" hidden="1">{#N/A,#N/A,FALSE,"Balance Sheet_VDF";#N/A,#N/A,FALSE,"Income Statement_VDF";#N/A,#N/A,FALSE,"Forecasts_VDF";#N/A,#N/A,FALSE,"Summary Page_VDF";#N/A,#N/A,FALSE,"Invested capital_VDF";#N/A,#N/A,FALSE,"NOPAT_VDF";#N/A,#N/A,FALSE,"WACC_VDF";#N/A,#N/A,FALSE,"DCF_VDF";#N/A,#N/A,FALSE,"Charts_VDF"}</definedName>
    <definedName name="wrn.Print." hidden="1">{#N/A,#N/A,FALSE,"Balance Sheet_VDF";#N/A,#N/A,FALSE,"Income Statement_VDF";#N/A,#N/A,FALSE,"Forecasts_VDF";#N/A,#N/A,FALSE,"Summary Page_VDF";#N/A,#N/A,FALSE,"Invested capital_VDF";#N/A,#N/A,FALSE,"NOPAT_VDF";#N/A,#N/A,FALSE,"WACC_VDF";#N/A,#N/A,FALSE,"DCF_VDF";#N/A,#N/A,FALSE,"Charts_VDF"}</definedName>
    <definedName name="wrn.Print._.24.">#REF!</definedName>
    <definedName name="wrn.Print._.24._1">#REF!</definedName>
    <definedName name="wrn.Print._.24._2">#REF!</definedName>
    <definedName name="wrn.Print._.24._3">#REF!</definedName>
    <definedName name="wrn.Print._.24._4">#REF!</definedName>
    <definedName name="wrn.Print._.All." localSheetId="0" hidden="1">{#N/A,#N/A,FALSE,"Corp";#N/A,#N/A,FALSE,"D. Tobacco";#N/A,#N/A,FALSE,"Int'l Tobacco";#N/A,#N/A,FALSE,"Tobacco";#N/A,#N/A,FALSE,"D. Food";#N/A,#N/A,FALSE,"Intl Food";#N/A,#N/A,FALSE,"Food";#N/A,#N/A,FALSE,"Miller";#N/A,#N/A,FALSE,"Fin &amp; RE"}</definedName>
    <definedName name="wrn.Print._.All." hidden="1">{#N/A,#N/A,FALSE,"Corp";#N/A,#N/A,FALSE,"D. Tobacco";#N/A,#N/A,FALSE,"Int'l Tobacco";#N/A,#N/A,FALSE,"Tobacco";#N/A,#N/A,FALSE,"D. Food";#N/A,#N/A,FALSE,"Intl Food";#N/A,#N/A,FALSE,"Food";#N/A,#N/A,FALSE,"Miller";#N/A,#N/A,FALSE,"Fin &amp; RE"}</definedName>
    <definedName name="wrn.Print._.All._.Exhibits.">#REF!</definedName>
    <definedName name="wrn.Print._.All._.Exhibits._1">#REF!</definedName>
    <definedName name="wrn.Print._.All._.Exhibits._2">#REF!</definedName>
    <definedName name="wrn.Print._.All._.Exhibits._3">#REF!</definedName>
    <definedName name="wrn.Print._.All._.Exhibits._4">#REF!</definedName>
    <definedName name="wrn.Print._.All._.Pages.">#REF!</definedName>
    <definedName name="wrn.Print._.All._.Pages._1">#REF!</definedName>
    <definedName name="wrn.Print._.All._.Pages._2">#REF!</definedName>
    <definedName name="wrn.Print._.All._.Pages._3">#REF!</definedName>
    <definedName name="wrn.Print._.All._.Pages._4">#REF!</definedName>
    <definedName name="wrn.print._.all._.sheets.">#REF!</definedName>
    <definedName name="wrn.Print._.All._.Suppliers.">#REF!</definedName>
    <definedName name="wrn.Print._.all.1" hidden="1">{"Page1",#N/A,FALSE,"CF WKSHT";"Page2",#N/A,FALSE,"CF WKSHT"}</definedName>
    <definedName name="wrn.PRINT._.ALL.2" hidden="1">{#N/A,#N/A,FALSE,"Pharm";#N/A,#N/A,FALSE,"WWCM"}</definedName>
    <definedName name="wrn.print._.all2" hidden="1">{#N/A,#N/A,FALSE,"Pharm";#N/A,#N/A,FALSE,"WWCM"}</definedName>
    <definedName name="wrn.Print._.allagain" hidden="1">{"Page1",#N/A,FALSE,"CF WKSHT";"Page2",#N/A,FALSE,"CF WKSHT"}</definedName>
    <definedName name="wrn.Print._.allagain3" hidden="1">{"Page1",#N/A,FALSE,"CF WKSHT";"Page2",#N/A,FALSE,"CF WKSHT"}</definedName>
    <definedName name="wrn.Print._.April." hidden="1">{"Slide1",#N/A,TRUE,"April 98";"Slide2",#N/A,TRUE,"April 98";"Slide3",#N/A,TRUE,"April 98";"Slide4",#N/A,TRUE,"April 98";"Slide5_Lisa",#N/A,TRUE,"April 98"}</definedName>
    <definedName name="wrn.Print._.BS._.Exhibits.">#REF!</definedName>
    <definedName name="wrn.Print._.BS._.Exhibits._1">#REF!</definedName>
    <definedName name="wrn.Print._.BS._.Exhibits._2">#REF!</definedName>
    <definedName name="wrn.Print._.BS._.Exhibits._3">#REF!</definedName>
    <definedName name="wrn.Print._.BS._.Exhibits._4">#REF!</definedName>
    <definedName name="wrn.Print._.CF._.Exhibit.">#REF!</definedName>
    <definedName name="wrn.Print._.CF._.Exhibit._1">#REF!</definedName>
    <definedName name="wrn.Print._.CF._.Exhibit._2">#REF!</definedName>
    <definedName name="wrn.Print._.CF._.Exhibit._3">#REF!</definedName>
    <definedName name="wrn.Print._.CF._.Exhibit._4">#REF!</definedName>
    <definedName name="wrn.Print._.Daily._.Conversion._.Points." hidden="1">{"Conversion (Daily Only)","SITE",FALSE,"Daily";"Conversion (Daily Only)","Apparel",FALSE,"Daily";"Conversion (Daily Only)","Baby",FALSE,"Daily";"Conversion (Daily Only)","Books",FALSE,"Daily";"Conversion (Daily Only)","Electronics",FALSE,"Daily";"Conversion (Daily Only)","Garden",FALSE,"Daily";"Conversion (Daily Only)","Gifts",FALSE,"Daily";"Conversion (Daily Only)","Home",FALSE,"Daily";"Conversion (Daily Only)","Jewelry",FALSE,"Daily";"Conversion (Daily Only)","Movies",FALSE,"Daily";"Conversion (Daily Only)","Music",FALSE,"Daily";"Conversion (Daily Only)","Sports",FALSE,"Daily";"Conversion (Daily Only)","Toys",FALSE,"Daily";"Conversion (Daily Only)","Video Games",FALSE,"Daily"}</definedName>
    <definedName name="wrn.Print._.Distr.">#REF!</definedName>
    <definedName name="wrn.Print._.Econ.">#REF!</definedName>
    <definedName name="wrn.Print._.Economics.">#REF!</definedName>
    <definedName name="wrn.PRINT._.FULL.">#REF!</definedName>
    <definedName name="wrn.print._.graphs.">#REF!</definedName>
    <definedName name="wrn.print._.graphs._1">#REF!</definedName>
    <definedName name="wrn.print._.graphs._2">#REF!</definedName>
    <definedName name="wrn.print._.graphs._3">#REF!</definedName>
    <definedName name="wrn.print._.graphs._4">#REF!</definedName>
    <definedName name="wrn.print._.graphs2">#REF!</definedName>
    <definedName name="wrn.Print._.IS._.Exhibits.">#REF!</definedName>
    <definedName name="wrn.Print._.IS._.Exhibits._1">#REF!</definedName>
    <definedName name="wrn.Print._.IS._.Exhibits._2">#REF!</definedName>
    <definedName name="wrn.Print._.IS._.Exhibits._3">#REF!</definedName>
    <definedName name="wrn.Print._.IS._.Exhibits._4">#REF!</definedName>
    <definedName name="wrn.PRINT._.JOURNAL." hidden="1">{#N/A,#N/A,FALSE,"ADI JE";#N/A,#N/A,FALSE,"ATA"}</definedName>
    <definedName name="wrn.Print._.Ratio._.Exhibits.">#REF!</definedName>
    <definedName name="wrn.Print._.Ratio._.Exhibits._1">#REF!</definedName>
    <definedName name="wrn.Print._.Ratio._.Exhibits._2">#REF!</definedName>
    <definedName name="wrn.Print._.Ratio._.Exhibits._3">#REF!</definedName>
    <definedName name="wrn.Print._.Ratio._.Exhibits._4">#REF!</definedName>
    <definedName name="wrn.print._.raw._.data._.entry.">#REF!</definedName>
    <definedName name="wrn.print._.raw._.data._.entry._1">#REF!</definedName>
    <definedName name="wrn.print._.raw._.data._.entry._2">#REF!</definedName>
    <definedName name="wrn.print._.raw._.data._.entry._3">#REF!</definedName>
    <definedName name="wrn.print._.raw._.data._.entry._4">#REF!</definedName>
    <definedName name="wrn.print._.raw._data._.entry2.">#REF!</definedName>
    <definedName name="wrn.Print._.Report.">#REF!</definedName>
    <definedName name="wrn.print._.standalone.">#REF!</definedName>
    <definedName name="wrn.Print._.Summary.">#REF!</definedName>
    <definedName name="wrn.print._.summary._.sheets.">#REF!</definedName>
    <definedName name="wrn.print._.summary._.sheets._1">#REF!</definedName>
    <definedName name="wrn.print._.summary._.sheets._2">#REF!</definedName>
    <definedName name="wrn.print._.summary._.sheets._3">#REF!</definedName>
    <definedName name="wrn.print._.summary._.sheets._4">#REF!</definedName>
    <definedName name="wrn.print._.summary._.sheets.2">#REF!</definedName>
    <definedName name="wrn.print._.tenaska.">#REF!</definedName>
    <definedName name="wrn.Print._.Weekly._.Conversion._.Points." hidden="1">{"Conversion (Weekly Only)","SITE",FALSE,"Sheet1";"Conversion (Weekly Only)","Apparel",FALSE,"Sheet1";"Conversion (Weekly Only)","Baby",FALSE,"Sheet1";"Conversion (Weekly Only)","Books",FALSE,"Sheet1";"Conversion (Weekly Only)","Electronics",FALSE,"Sheet1";"Conversion (Weekly Only)","Garden",FALSE,"Sheet1";"Conversion (Weekly Only)","Gifts",FALSE,"Sheet1";"Conversion (Weekly Only)","Home",FALSE,"Sheet1";"Conversion (Weekly Only)","Jewelry",FALSE,"Sheet1";"Conversion (Weekly Only)","Movies",FALSE,"Sheet1";"Conversion (Weekly Only)","Music",FALSE,"Sheet1";"Conversion (Weekly Only)","Sports",FALSE,"Sheet1";"Conversion (Weekly Only)","Toys",FALSE,"Sheet1";"Conversion (Weekly Only)","Video Games",FALSE,"Sheet1"}</definedName>
    <definedName name="wrn.Print._1">#REF!</definedName>
    <definedName name="wrn.Print._2">#REF!</definedName>
    <definedName name="wrn.Print._3">#REF!</definedName>
    <definedName name="wrn.Print._4">#REF!</definedName>
    <definedName name="wrn.PRINT._All._Suppliers.">#REF!</definedName>
    <definedName name="wrn.print._all1." hidden="1">{#N/A,#N/A,FALSE,"Pharm";#N/A,#N/A,FALSE,"WWCM"}</definedName>
    <definedName name="wrn.Print_Buyer.">#REF!</definedName>
    <definedName name="wrn.Print_Color." hidden="1">{"Color_Qtr",#N/A,FALSE,"Summary";"Color_YTD",#N/A,FALSE,"Summary"}</definedName>
    <definedName name="wrn.Print_CSC.">#REF!</definedName>
    <definedName name="wrn.Print_CSC._1">#REF!</definedName>
    <definedName name="wrn.Print_CSC._2">#REF!</definedName>
    <definedName name="wrn.Print_CSC._3">#REF!</definedName>
    <definedName name="wrn.Print_CSC._4">#REF!</definedName>
    <definedName name="wrn.Print_Inputs.">#REF!</definedName>
    <definedName name="wrn.Print_Inputs._1">#REF!</definedName>
    <definedName name="wrn.Print_Inputs._2">#REF!</definedName>
    <definedName name="wrn.Print_Inputs._3">#REF!</definedName>
    <definedName name="wrn.Print_Inputs._4">#REF!</definedName>
    <definedName name="wrn.Print_Target.">#REF!</definedName>
    <definedName name="wrn.print1" localSheetId="0" hidden="1">{#N/A,#N/A,FALSE,"Balance Sheet_VDF";#N/A,#N/A,FALSE,"Income Statement_VDF";#N/A,#N/A,FALSE,"Forecasts_VDF";#N/A,#N/A,FALSE,"Summary Page_VDF";#N/A,#N/A,FALSE,"Invested capital_VDF";#N/A,#N/A,FALSE,"NOPAT_VDF";#N/A,#N/A,FALSE,"WACC_VDF";#N/A,#N/A,FALSE,"DCF_VDF";#N/A,#N/A,FALSE,"Charts_VDF"}</definedName>
    <definedName name="wrn.print1" hidden="1">{#N/A,#N/A,FALSE,"Balance Sheet_VDF";#N/A,#N/A,FALSE,"Income Statement_VDF";#N/A,#N/A,FALSE,"Forecasts_VDF";#N/A,#N/A,FALSE,"Summary Page_VDF";#N/A,#N/A,FALSE,"Invested capital_VDF";#N/A,#N/A,FALSE,"NOPAT_VDF";#N/A,#N/A,FALSE,"WACC_VDF";#N/A,#N/A,FALSE,"DCF_VDF";#N/A,#N/A,FALSE,"Charts_VDF"}</definedName>
    <definedName name="wrn.PRINT1.">#REF!</definedName>
    <definedName name="wrn.print2" hidden="1">{#N/A,#N/A,FALSE,"Pharm";#N/A,#N/A,FALSE,"WWCM"}</definedName>
    <definedName name="wrn.print2.">#REF!</definedName>
    <definedName name="wrn.PRINT2._1">#REF!</definedName>
    <definedName name="wrn.PRINT2._2">#REF!</definedName>
    <definedName name="wrn.PRINT2._3">#REF!</definedName>
    <definedName name="wrn.PRINT2._4">#REF!</definedName>
    <definedName name="wrn.print3.">#REF!</definedName>
    <definedName name="wrn.printac.">#REF!</definedName>
    <definedName name="wrn.printac._1">#REF!</definedName>
    <definedName name="wrn.printac._2">#REF!</definedName>
    <definedName name="wrn.printac._3">#REF!</definedName>
    <definedName name="wrn.printac._4">#REF!</definedName>
    <definedName name="wrn.PrintAll.">#REF!</definedName>
    <definedName name="wrn.PrintAll._1">#REF!</definedName>
    <definedName name="wrn.PrintAll._2">#REF!</definedName>
    <definedName name="wrn.PrintAll._3">#REF!</definedName>
    <definedName name="wrn.PrintAll._4">#REF!</definedName>
    <definedName name="wrn.Printout." hidden="1">{"page1",#N/A,FALSE,"Casual RLE";"page2",#N/A,FALSE,"Casual RLE"}</definedName>
    <definedName name="wrn.PrintTheDarnSheets." hidden="1">{"AUP_Prod_Detail",#N/A,FALSE,"Prod Detail 2_97";"Rev_Prod_Detail",#N/A,FALSE,"Prod Detail 2_97";"Units_Prod_Detail",#N/A,FALSE,"Prod Detail 2_97"}</definedName>
    <definedName name="wrn.prn2">#REF!</definedName>
    <definedName name="wrn.prn3">#REF!</definedName>
    <definedName name="wrn.Product._.Full._.Detail._.Media._.Tech." hidden="1">{"Full Detail",#N/A,FALSE,"Adder";"Full Detail",#N/A,FALSE,"Explorer Mint";"Full Detail",#N/A,FALSE,"Copperhead Mint";"Full Detail",#N/A,FALSE,"Matador Mint";"Full Detail",#N/A,FALSE,"Anaconda MDP";"Full Detail",#N/A,FALSE,"Anaconda Mint";"Full Detail",#N/A,FALSE,"Elite Mint";"Full Detail",#N/A,FALSE,"Viper Mint";"Full Detail",#N/A,FALSE,"Media Research"}</definedName>
    <definedName name="wrn.Product._.Full._.Detail._.PD." hidden="1">{"Full detail",#N/A,FALSE,"Cobra MDP";"Full Detail",#N/A,FALSE,"Cobra Mint";"Full Detail",#N/A,FALSE,"Python MDP";"Full Detail",#N/A,FALSE,"Python Mint";"Full Detail",#N/A,FALSE,"Zebra MDP";"Full Detail",#N/A,FALSE,"Zebra Mint";"Full Detail",#N/A,FALSE,"Belize Mint";"Full Detail",#N/A,FALSE,"Maui Mint";"Full Detail",#N/A,FALSE,"Trigger Mint";"Full Detail",#N/A,FALSE,"Anaconda MDP";"Full Detail",#N/A,FALSE,"Anaconda Mint";"Full Detail",#N/A,FALSE,"ST32132";"Full Detail",#N/A,FALSE,"Process Equip Research"}</definedName>
    <definedName name="wrn.PRODUCT._.GROUP.">#REF!</definedName>
    <definedName name="wrn.PRODUCT._.GROUP._1">#REF!</definedName>
    <definedName name="wrn.Product._.Summary." hidden="1">{"Summary Detail",#N/A,FALSE,"Summary";"Summary Rollup",#N/A,FALSE,"Summary"}</definedName>
    <definedName name="wrn.Products." hidden="1">{#N/A,#N/A,FALSE,"1";#N/A,#N/A,FALSE,"2";#N/A,#N/A,FALSE,"16 - 17";#N/A,#N/A,FALSE,"18 - 19";#N/A,#N/A,FALSE,"26";#N/A,#N/A,FALSE,"27";#N/A,#N/A,FALSE,"28"}</definedName>
    <definedName name="wrn.ProForma.">#REF!</definedName>
    <definedName name="wrn.Proforma._.Report.">#REF!</definedName>
    <definedName name="wrn.ProForma._1">#REF!</definedName>
    <definedName name="wrn.Proforma._2">#REF!</definedName>
    <definedName name="wrn.Proforma._3">#REF!</definedName>
    <definedName name="wrn.Proforma._4">#REF!</definedName>
    <definedName name="wrn.PROJECT._.SUMMARY.">#REF!</definedName>
    <definedName name="wrn.ProofElectricOnly." hidden="1">{"Electric Only",#N/A,FALSE,"Hyperion Proof"}</definedName>
    <definedName name="wrn.ProofTotal." hidden="1">{"Proof Total",#N/A,FALSE,"Hyperion Proof"}</definedName>
    <definedName name="wrn.pror" hidden="1">{#N/A,#N/A,FALSE,"Pharm";#N/A,#N/A,FALSE,"WWCM"}</definedName>
    <definedName name="wrn.prov98w._.opt." hidden="1">{"provcal",#N/A,FALSE,"99 W Options"}</definedName>
    <definedName name="wrn.provcal99w._.opt." hidden="1">{#N/A,#N/A,FALSE,"99 W Options";"prov99w opt",#N/A,FALSE,"99 W Options"}</definedName>
    <definedName name="wrn.Pulp.">#REF!</definedName>
    <definedName name="wrn.Pulp.2">#REF!</definedName>
    <definedName name="wrn.Pulp.3">#REF!</definedName>
    <definedName name="wrn.Pump.">#REF!</definedName>
    <definedName name="wrn.Pump._1">#REF!</definedName>
    <definedName name="wrn.Pump._2">#REF!</definedName>
    <definedName name="wrn.Pump._3">#REF!</definedName>
    <definedName name="wrn.Pump._4">#REF!</definedName>
    <definedName name="wrn.Q._.Report.">#REF!</definedName>
    <definedName name="wrn.Q198._.Cash._.Flow._.Package.">#REF!</definedName>
    <definedName name="wrn.QQ_Quick_Merge_3yr.">#REF!</definedName>
    <definedName name="wrn.QQ_Quick_Merge_4yr.">#REF!</definedName>
    <definedName name="wrn.QQ_Quick_Merge_5yr.">#REF!</definedName>
    <definedName name="wrn.QQ_Quick_Merge_6yr.">#REF!</definedName>
    <definedName name="wrn.QQQ_Quick_Merge_3yr.">#REF!</definedName>
    <definedName name="wrn.QQQ_Quick_Merge_4yr.">#REF!</definedName>
    <definedName name="wrn.QQQ_Quick_Merge_5yr.">#REF!</definedName>
    <definedName name="wrn.QQQ_Quick_Merge_6yr.">#REF!</definedName>
    <definedName name="wrn.Qrtly._.Grp._.Consol.">#REF!</definedName>
    <definedName name="wrn.Qrtly._.International.">#REF!</definedName>
    <definedName name="wrn.Qtrly._.Corporate.">#REF!</definedName>
    <definedName name="wrn.Qtrly._.Funding.">#REF!</definedName>
    <definedName name="wrn.Qtrly._.Grp._.Adjustments.">#REF!</definedName>
    <definedName name="wrn.Qtrly._.HTUK.">#REF!</definedName>
    <definedName name="wrn.Qtrly._.OIDL.">#REF!</definedName>
    <definedName name="wrn.Qtrly._.Trust.">#REF!</definedName>
    <definedName name="wrn.Qtrs_PL.">#REF!</definedName>
    <definedName name="wrn.quart.">#REF!</definedName>
    <definedName name="wrn.Quarterly.">#REF!</definedName>
    <definedName name="wrn.Quarterly._.Analysis.">#REF!</definedName>
    <definedName name="wrn.Quarterly._.Analysis._1">#REF!</definedName>
    <definedName name="wrn.Quarterly._.Analysis._2">#REF!</definedName>
    <definedName name="wrn.Quarterly._.Analysis._3">#REF!</definedName>
    <definedName name="wrn.Quarterly._.Analysis._4">#REF!</definedName>
    <definedName name="wrn.Quarterly._.Model.">#REF!</definedName>
    <definedName name="wrn.Quarterly._.Model._1">#REF!</definedName>
    <definedName name="wrn.Quarterly._.Model._2">#REF!</definedName>
    <definedName name="wrn.Quarterly._.Model._3">#REF!</definedName>
    <definedName name="wrn.Quarterly._.Model._4">#REF!</definedName>
    <definedName name="wrn.quarterly._.package.">#REF!</definedName>
    <definedName name="wrn.quarterly._.package._1">#REF!</definedName>
    <definedName name="wrn.quarterly._.package._2">#REF!</definedName>
    <definedName name="wrn.quarterly._.package._3">#REF!</definedName>
    <definedName name="wrn.quarterly._.package._4">#REF!</definedName>
    <definedName name="wrn.Quarterly_All._.pages.">#REF!</definedName>
    <definedName name="wrn.Quarterlys.">#REF!</definedName>
    <definedName name="wrn.Quarterlys._1">#REF!</definedName>
    <definedName name="wrn.quartfin.">#REF!</definedName>
    <definedName name="wrn.QUARTFRP." hidden="1">{#N/A,#N/A,FALSE,"Title";#N/A,#N/A,FALSE,"Index";#N/A,#N/A,FALSE,"1";#N/A,#N/A,FALSE,"2";#N/A,#N/A,FALSE,"3";#N/A,#N/A,FALSE,"4";#N/A,#N/A,FALSE,"5";#N/A,#N/A,FALSE,"5A";#N/A,#N/A,FALSE,"6";#N/A,#N/A,FALSE,"7";#N/A,#N/A,FALSE,"8"}</definedName>
    <definedName name="wrn.Quick_Merge_3yr.">#REF!</definedName>
    <definedName name="wrn.Quick_Merge_4yr.">#REF!</definedName>
    <definedName name="wrn.Quick_Merge_5yr.">#REF!</definedName>
    <definedName name="wrn.Quick_Merge_6yr.">#REF!</definedName>
    <definedName name="wrn.R_D._.Tax._.Services.">#REF!</definedName>
    <definedName name="wrn.Rankings.">#REF!</definedName>
    <definedName name="wrn.Reader.">#REF!</definedName>
    <definedName name="wrn.Rebound._.August._.2002._.MC.">#REF!</definedName>
    <definedName name="wrn.Rebound._.September2002.">#REF!</definedName>
    <definedName name="wrn.Recons.">#REF!</definedName>
    <definedName name="wrn.Reformat._.only." hidden="1">{#N/A,#N/A,FALSE,"Dec 1999 mapping"}</definedName>
    <definedName name="wrn.Reg._.Printer.">#REF!</definedName>
    <definedName name="wrn.Reg._.Printer._1">#REF!</definedName>
    <definedName name="wrn.Relatório._.Resumido.">#REF!</definedName>
    <definedName name="wrn.Relevant.">#REF!</definedName>
    <definedName name="wrn.Relevant1.">#REF!</definedName>
    <definedName name="wrn.RELEVANTSHEETS.">#REF!</definedName>
    <definedName name="wrn.RELEVANTSHEETS._1">#REF!</definedName>
    <definedName name="wrn.RELEVANTSHEETS._2">#REF!</definedName>
    <definedName name="wrn.RELEVANTSHEETS._3">#REF!</definedName>
    <definedName name="wrn.RELEVANTSHEETS._4">#REF!</definedName>
    <definedName name="wrn.rep_page.">#REF!</definedName>
    <definedName name="wrn.report." hidden="1">{#N/A,#N/A,FALSE,"Exchange Rates 1";#N/A,#N/A,FALSE,"Exchange Rates 2"}</definedName>
    <definedName name="wrn.Report._.1.">#REF!</definedName>
    <definedName name="wrn.Report._.2.">#REF!</definedName>
    <definedName name="wrn.Report._.2._1">#REF!</definedName>
    <definedName name="wrn.Report._.2._2">#REF!</definedName>
    <definedName name="wrn.Report._.2._3">#REF!</definedName>
    <definedName name="wrn.Report._.2._4">#REF!</definedName>
    <definedName name="wrn.REPORT._.C.">#REF!</definedName>
    <definedName name="wrn.report._.set._.with._.311.">#REF!</definedName>
    <definedName name="wrn.report._.set._.without._.311.">#REF!</definedName>
    <definedName name="wrn.report._1">#REF!</definedName>
    <definedName name="wrn.report._2">#REF!</definedName>
    <definedName name="wrn.report._3">#REF!</definedName>
    <definedName name="wrn.report._4">#REF!</definedName>
    <definedName name="wrn.Report_Page.">#REF!</definedName>
    <definedName name="wrn.Report_PR_1." hidden="1">{"PR1","pr1",TRUE,"Sch PR-1"}</definedName>
    <definedName name="wrn.Report1.">#REF!</definedName>
    <definedName name="wrn.Report1._1">#REF!</definedName>
    <definedName name="wrn.Report1._2">#REF!</definedName>
    <definedName name="wrn.Report1._3">#REF!</definedName>
    <definedName name="wrn.Report1._4">#REF!</definedName>
    <definedName name="wrn.reports." hidden="1">{#N/A,#N/A,FALSE,"yrtoyr";#N/A,#N/A,FALSE,"finstmtform";"conbud",#N/A,FALSE,"CONBUD"}</definedName>
    <definedName name="wrn.Resale." hidden="1">{"Resale_Cover",#N/A,FALSE,"COVERS";"ResaleC_1",#N/A,FALSE,"IS BY DIV";"ResaleC_2",#N/A,FALSE,"COGS BY DIV";"ResaleC_3",#N/A,FALSE,"TOTAL PF";"ResaleC_4",#N/A,FALSE,"TOTAL PF";"Resale_PL",#N/A,FALSE,"Sales by PL"}</definedName>
    <definedName name="wrn.Results.">#REF!</definedName>
    <definedName name="wrn.Revenue._.Breakdown._.By._.Client." hidden="1">{"Client Revenue Breakdown",#N/A,TRUE,"Assumptions"}</definedName>
    <definedName name="wrn.revenue._.detail.">#REF!</definedName>
    <definedName name="wrn.Review._.all.">#REF!</definedName>
    <definedName name="wrn.Revs.">#REF!</definedName>
    <definedName name="wrn.Riverwood_comp_model.">#REF!</definedName>
    <definedName name="wrn.Roll._.Up._.Fields." hidden="1">{"Total",#N/A,FALSE,"Six Fields";"PDP",#N/A,FALSE,"Six Fields";"PNP",#N/A,FALSE,"Six Fields";"PUD",#N/A,FALSE,"Six Fields";"Prob",#N/A,FALSE,"Six Fields"}</definedName>
    <definedName name="wrn.Royalty." hidden="1">{#N/A,#N/A,FALSE,"ESI";#N/A,#N/A,FALSE,"LTI";#N/A,#N/A,FALSE,"Medical";#N/A,#N/A,FALSE,"DSG";#N/A,#N/A,FALSE,"PI";#N/A,#N/A,FALSE,"OI"}</definedName>
    <definedName name="wrn.rprt.">#REF!</definedName>
    <definedName name="wrn.rpts.">#REF!</definedName>
    <definedName name="wrn.RTS.">#REF!</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_1">#REF!</definedName>
    <definedName name="wrn.SAA94TAX._3">#REF!</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_1">#REF!</definedName>
    <definedName name="wrn.saasimple._3">#REF!</definedName>
    <definedName name="wrn.sales">#REF!</definedName>
    <definedName name="wrn.sales.">#REF!</definedName>
    <definedName name="wrn.Sales._.and._.Admin.">#REF!</definedName>
    <definedName name="wrn.Sales._.nosplit.">#REF!</definedName>
    <definedName name="wrn.Sales._.Split.">#REF!</definedName>
    <definedName name="wrn.sales._1">#REF!</definedName>
    <definedName name="wrn.sales._2">#REF!</definedName>
    <definedName name="wrn.sales._3">#REF!</definedName>
    <definedName name="wrn.sales._4">#REF!</definedName>
    <definedName name="wrn.salesassum.">#REF!</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M.">#REF!</definedName>
    <definedName name="wrn.sdi.">#REF!</definedName>
    <definedName name="wrn.sdi._1">#REF!</definedName>
    <definedName name="wrn.sdi._2">#REF!</definedName>
    <definedName name="wrn.sdi._3">#REF!</definedName>
    <definedName name="wrn.sdi._4">#REF!</definedName>
    <definedName name="wrn.section._.A." hidden="1">{"pg A1",#N/A,FALSE,"Sum P&amp;L";"pg A2",#N/A,FALSE,"Charts1";"pg A3",#N/A,FALSE,"Sum Cash";"pg A4",#N/A,FALSE,"Charts2";"pg A5",#N/A,FALSE,"Sum BS";"pg A6",#N/A,FALSE,"Sum Invest"}</definedName>
    <definedName name="wrn.section._.B." hidden="1">{"pg B1",#N/A,FALSE,"P&amp;L Detail - Month";"pg B2",#N/A,FALSE,"P&amp;L Detail - YTD";"pg B3",#N/A,FALSE,"Cash Detail - Month";"pg B4",#N/A,FALSE,"Cash Detail - YTD";"pg B5",#N/A,FALSE,"BS Detail - CY";"pg B6",#N/A,FALSE,"BS Detail - PY";"pg B7",#N/A,FALSE,"Headcount Detail"}</definedName>
    <definedName name="wrn.section._.E." hidden="1">{"pg E1",#N/A,FALSE,"Ventures Portfolio";"pg E2",#N/A,FALSE,"Venture - Cash";"pg E3",#N/A,FALSE,"Unrealized Gains";"pg E4",#N/A,FALSE,"Realized Gains"}</definedName>
    <definedName name="wrn.section._.F." hidden="1">{"pg F1",#N/A,FALSE,"Fin Smry1";"pg F2",#N/A,FALSE,"Fin Smry2";"pg F3",#N/A,FALSE,"Fin Smry3";"pg F4",#N/A,FALSE,"Fin Smry4"}</definedName>
    <definedName name="wrn.Segments.">#REF!</definedName>
    <definedName name="wrn.Segments._1">#REF!</definedName>
    <definedName name="wrn.Segments._2">#REF!</definedName>
    <definedName name="wrn.Segments._3">#REF!</definedName>
    <definedName name="wrn.Segments._4">#REF!</definedName>
    <definedName name="wrn.SELLTHRU.">#REF!</definedName>
    <definedName name="wrn.sens.">#REF!</definedName>
    <definedName name="wrn.sens3.">#REF!</definedName>
    <definedName name="wrn.sensitivity._.analyses.">#REF!</definedName>
    <definedName name="wrn.Sensitivity._.Analysis.">#REF!</definedName>
    <definedName name="wrn.Sensitivity._.Analysis._1">#REF!</definedName>
    <definedName name="wrn.Sensitivity._.Analysis._2">#REF!</definedName>
    <definedName name="wrn.Sensitivity._.Analysis._3">#REF!</definedName>
    <definedName name="wrn.Sensitivity._.Analysis._4">#REF!</definedName>
    <definedName name="wrn.Seven._.Page.">#REF!</definedName>
    <definedName name="wrn.shareholder.">#REF!</definedName>
    <definedName name="wrn.SHEET.">#REF!</definedName>
    <definedName name="wrn.Ship._.Summary." hidden="1">{"Ship Summary",#N/A,FALSE,"Cobra MDP";"Ship Summary",#N/A,FALSE,"Cobra Mint";"Ship Summary",#N/A,FALSE,"Adder";"Ship Summary",#N/A,FALSE,"Python MDP";"Ship Summary",#N/A,FALSE,"Python Mint";"Ship Summary",#N/A,FALSE,"Zebra MDP";"Ship Summary",#N/A,FALSE,"Zebra Mint";"Ship Summary",#N/A,FALSE,"Belize Mint";"Ship Summary",#N/A,FALSE,"Explorer Mint";"Ship Summary",#N/A,FALSE,"Maui Mint";"Ship Summary",#N/A,FALSE,"Trigger Mint";"Ship Summary",#N/A,FALSE,"Copperhead Mint";"Ship Summary",#N/A,FALSE,"Matador Mint";"Ship Summary",#N/A,FALSE,"Anaconda MDP";"Ship Summary",#N/A,FALSE,"Anaconda Mint";"Ship Summary",#N/A,FALSE,"Elite Mint";"Ship Summary",#N/A,FALSE,"ST32132";"Ship Summary",#N/A,FALSE,"Viper Mint";"Ship Summary",#N/A,FALSE,"Media Research";"Ship Summary",#N/A,FALSE,"Process Equip Research"}</definedName>
    <definedName name="wrn.SHORT.">#REF!</definedName>
    <definedName name="wrn.Short._.Report.">#REF!</definedName>
    <definedName name="wrn.Six._.Page.">#REF!</definedName>
    <definedName name="wrn.Sixpage.">#REF!</definedName>
    <definedName name="wrn.SKSCS1.">#REF!</definedName>
    <definedName name="wrn.stand_alone.">#REF!</definedName>
    <definedName name="wrn.stand_alone_both">#REF!</definedName>
    <definedName name="wrn.STAND_ALONE_BOTH.">#REF!</definedName>
    <definedName name="wrn.Stand_alone_both._dcf">#REF!</definedName>
    <definedName name="wrn.stand_alone_both.1">#REF!</definedName>
    <definedName name="wrn.stand_alone_both1">#REF!</definedName>
    <definedName name="wrn.stand_alone_both9">#REF!</definedName>
    <definedName name="wrn.standaloneboth1">#REF!</definedName>
    <definedName name="wrn.Standard." hidden="1">{"Standard Report",#N/A,FALSE,"DETAIL";"Summary",#N/A,FALSE,"Summary"}</definedName>
    <definedName name="wrn.Standard._.NonUtility._.Only." hidden="1">{"YTD-NonUtility",#N/A,FALSE,"Prov NonUtility"}</definedName>
    <definedName name="wrn.Standard._.Utility._.Only." hidden="1">{"YTD-Utility",#N/A,FALSE,"Prov Utility"}</definedName>
    <definedName name="wrn.Standard._1">#REF!</definedName>
    <definedName name="wrn.Standard._2">#REF!</definedName>
    <definedName name="wrn.Standard._3">#REF!</definedName>
    <definedName name="wrn.Standard._4">#REF!</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#REF!</definedName>
    <definedName name="wrn.stay">#REF!</definedName>
    <definedName name="wrn.std" hidden="1">{"Standard Report",#N/A,FALSE,"DETAIL";"Summary",#N/A,FALSE,"Summary"}</definedName>
    <definedName name="wrn.step_el.">#REF!</definedName>
    <definedName name="wrn.Strategic." hidden="1">{"Strategic",#N/A,FALSE,"Total"}</definedName>
    <definedName name="wrn.Strategic..." hidden="1">{"Strategic",#N/A,FALSE,"Total"}</definedName>
    <definedName name="wrn.subs." hidden="1">{#N/A,#N/A,FALSE,"Comp - War";#N/A,#N/A,FALSE,"Comp - War"}</definedName>
    <definedName name="wrn.sum">#REF!</definedName>
    <definedName name="wrn.sum.">#REF!</definedName>
    <definedName name="wrn.sum._.and._.detail." hidden="1">{#N/A,#N/A,FALSE,"Reported$ - Sum";#N/A,#N/A,FALSE,"Reported$ - Detail";#N/A,#N/A,FALSE,"Constant$ - Sum";#N/A,#N/A,FALSE,"Constant$ - Detail"}</definedName>
    <definedName name="wrn.sum2">#REF!</definedName>
    <definedName name="wrn.SumandMitems.">#REF!</definedName>
    <definedName name="wrn.summary">#REF!</definedName>
    <definedName name="wrn.Summary." hidden="1">{"Summary",#N/A,FALSE,"Summary"}</definedName>
    <definedName name="wrn.Summary._.Presentation.">#REF!</definedName>
    <definedName name="wrn.Summary._.Report._.by._.Month.">#REF!</definedName>
    <definedName name="wrn.Summary._.Report._.by._.Month._1">#REF!</definedName>
    <definedName name="wrn.Summary._.Report._.by._.Month._2">#REF!</definedName>
    <definedName name="wrn.Summary._.Report._.by._.Month._3">#REF!</definedName>
    <definedName name="wrn.Summary._.Report._.by._.Month._4">#REF!</definedName>
    <definedName name="wrn.Summary._.Report._.by._.Year.">#REF!</definedName>
    <definedName name="wrn.Summary._.Report._.by._.Year._1">#REF!</definedName>
    <definedName name="wrn.Summary._.Report._.by._.Year._2">#REF!</definedName>
    <definedName name="wrn.Summary._.Report._.by._.Year._3">#REF!</definedName>
    <definedName name="wrn.Summary._.Report._.by._.Year._4">#REF!</definedName>
    <definedName name="wrn.summary._.schedules.">#REF!</definedName>
    <definedName name="wrn.Summary._.View." hidden="1">{#N/A,#N/A,FALSE,"Consltd-For contngcy"}</definedName>
    <definedName name="wrn.summary_Parameters_tariffs.">#REF!</definedName>
    <definedName name="wrn.SummaryPgs.">#REF!</definedName>
    <definedName name="wrn.SUPP.">#REF!</definedName>
    <definedName name="wrn.Supporting._.Schedules.">#REF!</definedName>
    <definedName name="wrn.SVALE._.FP." hidden="1">{#N/A,#N/A,FALSE,"I_S SUMM";"BS TREND IN L.C.",#N/A,FALSE,"BALSHEET TRENDS"}</definedName>
    <definedName name="wrn.SVALEMONTH." hidden="1">{#N/A,#N/A,FALSE,"RATE";#N/A,#N/A,FALSE,"REVBOOKINGS";#N/A,#N/A,FALSE,"BALSHEET";#N/A,#N/A,FALSE,"INC STMT";#N/A,#N/A,FALSE,"COS";#N/A,#N/A,FALSE,"SERVICE COS";#N/A,#N/A,FALSE,"SERVICE COS ($US)";#N/A,#N/A,FALSE,"COS ($US)";#N/A,#N/A,FALSE,"SHIPPED, NOT INV.";#N/A,#N/A,FALSE,"RTNS IN TRANSIT";#N/A,#N/A,FALSE,"OPEXP";#N/A,#N/A,FALSE,"INTER-CO";#N/A,#N/A,FALSE,"INTER-CO SALES";#N/A,#N/A,FALSE,"CASH";#N/A,#N/A,FALSE,"CAPITAL EQUIP";#N/A,#N/A,FALSE,"AR";#N/A,#N/A,FALSE,"DSO";#N/A,#N/A,FALSE,"INVENTORY";#N/A,#N/A,FALSE,"COMMENTS";#N/A,#N/A,FALSE,"ERRORS";#N/A,#N/A,FALSE,"ELIMINFO";#N/A,#N/A,FALSE,"JE'S";#N/A,#N/A,FALSE,"HILITES";#N/A,#N/A,FALSE,"GM ANALYSIS";#N/A,#N/A,FALSE,"EXPTRND";#N/A,#N/A,FALSE,"L.C. INC STMT";#N/A,#N/A,FALSE,"INC STMT TREND IN USD";#N/A,#N/A,FALSE,"L.C. INC STMT AT PSR";#N/A,#N/A,FALSE,"I_S SUMM";#N/A,#N/A,FALSE,"BALSHEET TRENDS"}</definedName>
    <definedName name="wrn.SVALEQTR." hidden="1">{#N/A,#N/A,FALSE,"QTR OTHER ASSETS";#N/A,#N/A,FALSE,"QTR ACCD LIAB";#N/A,#N/A,FALSE,"QTRTAX"}</definedName>
    <definedName name="wrn.t_cash.">#REF!</definedName>
    <definedName name="wrn.Tables.">#REF!</definedName>
    <definedName name="wrn.Tables._1">#REF!</definedName>
    <definedName name="wrn.Tables._2">#REF!</definedName>
    <definedName name="wrn.Tables._3">#REF!</definedName>
    <definedName name="wrn.Tables._4">#REF!</definedName>
    <definedName name="wrn.tap." hidden="1">{#N/A,#N/A,FALSE,"AC Price";#N/A,#N/A,FALSE,"Spec Sum";#N/A,#N/A,FALSE,"AC1-52";#N/A,#N/A,FALSE,"AC53-57";#N/A,#N/A,FALSE,"AC58-119";#N/A,#N/A,FALSE,"Worksheet";#N/A,#N/A,FALSE,"Early Lease Return";#N/A,#N/A,FALSE,"Escalation Cap";#N/A,#N/A,FALSE,"40 Seat Subsidy";#N/A,#N/A,FALSE,"44 Seat Subsidy";#N/A,#N/A,FALSE,"Cash Sum";#N/A,#N/A,FALSE,"Pymt";#N/A,#N/A,FALSE,"Delivery"}</definedName>
    <definedName name="wrn.tap._1">#REF!</definedName>
    <definedName name="wrn.tap._3">#REF!</definedName>
    <definedName name="wrn.Target.">#REF!</definedName>
    <definedName name="wrn.Target._1">#REF!</definedName>
    <definedName name="wrn.Target._2">#REF!</definedName>
    <definedName name="wrn.Target._3">#REF!</definedName>
    <definedName name="wrn.Target._4">#REF!</definedName>
    <definedName name="wrn.TargetLBO.">#REF!</definedName>
    <definedName name="wrn.TargetLBO._1">#REF!</definedName>
    <definedName name="wrn.TargetLBO._2">#REF!</definedName>
    <definedName name="wrn.TargetLBO._3">#REF!</definedName>
    <definedName name="wrn.TargetLBO._4">#REF!</definedName>
    <definedName name="wrn.TargetState.">#REF!</definedName>
    <definedName name="wrn.TargetState._1">#REF!</definedName>
    <definedName name="wrn.TargetState._2">#REF!</definedName>
    <definedName name="wrn.TargetState._3">#REF!</definedName>
    <definedName name="wrn.TargetState._4">#REF!</definedName>
    <definedName name="wrn.TargetVal.">#REF!</definedName>
    <definedName name="wrn.TargetVal._1">#REF!</definedName>
    <definedName name="wrn.TargetVal._2">#REF!</definedName>
    <definedName name="wrn.TargetVal._3">#REF!</definedName>
    <definedName name="wrn.TargetVal._4">#REF!</definedName>
    <definedName name="wrn.Tariff._.working.">#REF!</definedName>
    <definedName name="wrn.Tax_Package.">#REF!</definedName>
    <definedName name="wrn.Taxes.">#REF!</definedName>
    <definedName name="wrn.Teacher.">#REF!</definedName>
    <definedName name="wrn.Tech._.Support.">#REF!</definedName>
    <definedName name="wrn.technology.">#REF!</definedName>
    <definedName name="wrn.tel2.">#REF!</definedName>
    <definedName name="wrn.tel2._1">#REF!</definedName>
    <definedName name="wrn.tel2._2">#REF!</definedName>
    <definedName name="wrn.tel2._3">#REF!</definedName>
    <definedName name="wrn.tel2._4">#REF!</definedName>
    <definedName name="wrn.telem.">#REF!</definedName>
    <definedName name="wrn.telem._1">#REF!</definedName>
    <definedName name="wrn.telem._2">#REF!</definedName>
    <definedName name="wrn.telem._3">#REF!</definedName>
    <definedName name="wrn.telem._4">#REF!</definedName>
    <definedName name="wrn.Telstra._.Inputs.">#REF!</definedName>
    <definedName name="wrn.Telstra._.Output.">#REF!</definedName>
    <definedName name="wrn.TenQ." hidden="1">{"TenQ IS",#N/A,TRUE,"10Q Format IS";"TenQ BS",#N/A,TRUE,"10Q Format BS";"TenQ Csh Flo",#N/A,TRUE,"10Q Format Cash Flow";"TenQ Notes",#N/A,TRUE,"10Q Format Notes to Financials"}</definedName>
    <definedName name="wrn.TEST." hidden="1">{#N/A,#N/A,FALSE,"3가";#N/A,#N/A,FALSE,"3나";#N/A,#N/A,FALSE,"3다"}</definedName>
    <definedName name="wrn.TEST._1">#REF!</definedName>
    <definedName name="wrn.TEST._3">#REF!</definedName>
    <definedName name="wrn.Textron.">#REF!</definedName>
    <definedName name="wrn.Therasense." hidden="1">{#N/A,#N/A,FALSE,"Portfolio Summary";#N/A,#N/A,FALSE,"Performance ";#N/A,#N/A,FALSE,"Earnings";#N/A,#N/A,FALSE,"Earnings by Maturity";#N/A,#N/A,FALSE,"Credit Analysis";#N/A,#N/A,FALSE,"Reconciliation "}</definedName>
    <definedName name="wrn.Therasense._1">#REF!</definedName>
    <definedName name="wrn.TheWholeEnchilada." hidden="1">{"CSheet",#N/A,FALSE,"C";"SmCap",#N/A,FALSE,"VAL1";"GulfCoast",#N/A,FALSE,"VAL1";"nav",#N/A,FALSE,"NAV";"Summary",#N/A,FALSE,"NAV"}</definedName>
    <definedName name="wrn.Thomas_Case.">#REF!</definedName>
    <definedName name="wrn.three">#REF!</definedName>
    <definedName name="wrn.Three._.Month._.I.S.">#REF!</definedName>
    <definedName name="wrn.Three._.Months._.Cash._.Flow." hidden="1">{"Landscape Detail CF",#N/A,FALSE,"Cash Flow for the 3 m-e 8.31";"Portrait Detail CF",#N/A,FALSE,"Cash Flow for the 3 m-e 8.31"}</definedName>
    <definedName name="wrn.Tobra." hidden="1">{"clinbud",#N/A,FALSE,"Tobra";"followon",#N/A,FALSE,"Tobra";"canada",#N/A,FALSE,"Tobra"}</definedName>
    <definedName name="wrn.TODO.">#REF!</definedName>
    <definedName name="wrn.TODO._1">#REF!</definedName>
    <definedName name="wrn.TODO._2">#REF!</definedName>
    <definedName name="wrn.TODO._3">#REF!</definedName>
    <definedName name="wrn.TODO._4">#REF!</definedName>
    <definedName name="wrn.TOOL.">#REF!</definedName>
    <definedName name="wrn.TOOL._1">#REF!</definedName>
    <definedName name="wrn.TOOL._2">#REF!</definedName>
    <definedName name="wrn.TOOL._3">#REF!</definedName>
    <definedName name="wrn.TOOL._4">#REF!</definedName>
    <definedName name="wrn.Top._.Level._.Summaries.">#REF!</definedName>
    <definedName name="wrn.toshg.">#REF!</definedName>
    <definedName name="wrn.Total.">#REF!</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_.Presentation.">#REF!</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REPORT.">#REF!</definedName>
    <definedName name="wrn.Total._1">#REF!</definedName>
    <definedName name="wrn.Total._2">#REF!</definedName>
    <definedName name="wrn.Total._3">#REF!</definedName>
    <definedName name="wrn.Total._4">#REF!</definedName>
    <definedName name="wrn.totalcomp.">#REF!</definedName>
    <definedName name="wrn.tox." hidden="1">{"tox95",#N/A,FALSE,"studydata";"tox96",#N/A,FALSE,"studydata";"tox97",#N/A,FALSE,"studydata";"tox98",#N/A,FALSE,"studydata"}</definedName>
    <definedName name="wrn.TP.">#REF!</definedName>
    <definedName name="wrn.trademark._.and._.trade._.name.">#REF!</definedName>
    <definedName name="wrn.Trading._.Summary.">#REF!</definedName>
    <definedName name="wrn.TRANSLATED._.B.S." hidden="1">{#N/A,#N/A,FALSE,"CANADA";#N/A,#N/A,FALSE,"HOLLAND";#N/A,#N/A,FALSE,"AUSTRALIA";#N/A,#N/A,FALSE,"ALLOW &amp; RESRV "}</definedName>
    <definedName name="wrn.TRANSLATED._.B.S._1">#REF!</definedName>
    <definedName name="wrn.Transparency.">#REF!</definedName>
    <definedName name="wrn.TransPrcd_123.">#REF!</definedName>
    <definedName name="wrn.TransPrcd_123._1">#REF!</definedName>
    <definedName name="wrn.TransPrcd_123._2">#REF!</definedName>
    <definedName name="wrn.TransPrcd_123._3">#REF!</definedName>
    <definedName name="wrn.TransPrcd_123._4">#REF!</definedName>
    <definedName name="wrn.TREND.">#REF!</definedName>
    <definedName name="wrn.Trends.">#REF!</definedName>
    <definedName name="wrn.Trial._.Balance.">#REF!</definedName>
    <definedName name="wrn.Triangles.">#REF!</definedName>
    <definedName name="wrn.Tweety.">#REF!</definedName>
    <definedName name="wrn.Typhoon.">#REF!</definedName>
    <definedName name="wrn.Typhoon._1">#REF!</definedName>
    <definedName name="wrn.Typhoon._2">#REF!</definedName>
    <definedName name="wrn.Typhoon._3">#REF!</definedName>
    <definedName name="wrn.Typhoon._4">#REF!</definedName>
    <definedName name="wrn.U.S.._.Industries._.Inc..">#REF!</definedName>
    <definedName name="wrn.UK._.Conversion._.Only." hidden="1">{#N/A,#N/A,FALSE,"Dec 1999 UK Continuing Ops"}</definedName>
    <definedName name="wrn.uni">#REF!</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_1">#REF!</definedName>
    <definedName name="wrn.UNIONGAS94TAXRETURN._3">#REF!</definedName>
    <definedName name="wrn.Units.">#REF!</definedName>
    <definedName name="wrn.up.">#REF!</definedName>
    <definedName name="wrn.Update._.certificate.">#REF!</definedName>
    <definedName name="wrn.upstairs.">#REF!</definedName>
    <definedName name="wrn.upstairs._1">#REF!</definedName>
    <definedName name="wrn.upstairs._2">#REF!</definedName>
    <definedName name="wrn.upstairs._3">#REF!</definedName>
    <definedName name="wrn.upstairs._4">#REF!</definedName>
    <definedName name="wrn.US._.Dollar.">#REF!</definedName>
    <definedName name="wrn.USAmc.">#REF!</definedName>
    <definedName name="wrn.USAmg.">#REF!</definedName>
    <definedName name="wrn.USAsg.">#REF!</definedName>
    <definedName name="wrn.USF._.GROUP.">#REF!</definedName>
    <definedName name="wrn.USF._.GROUP._1">#REF!</definedName>
    <definedName name="wrn.USR.">#REF!</definedName>
    <definedName name="wrn.V96_USA.">#REF!</definedName>
    <definedName name="wrn.Valuation.">#REF!</definedName>
    <definedName name="wrn.Valuation._.Package._.1.">#REF!</definedName>
    <definedName name="wrn.Valuation._.Package._.1._1">#REF!</definedName>
    <definedName name="wrn.Valuation._.Package._.1._2">#REF!</definedName>
    <definedName name="wrn.Valuation._.Package._.1._3">#REF!</definedName>
    <definedName name="wrn.Valuation._.Package._.1._4">#REF!</definedName>
    <definedName name="wrn.Valuation._.Worksheets.">#REF!</definedName>
    <definedName name="wrn.Valuation._1">#REF!</definedName>
    <definedName name="wrn.VALUATION._2">#REF!</definedName>
    <definedName name="wrn.VALUATION._3">#REF!</definedName>
    <definedName name="wrn.VALUATION._4">#REF!</definedName>
    <definedName name="wrn.Wacc.">#REF!</definedName>
    <definedName name="wrn.Wacc._1">#REF!</definedName>
    <definedName name="wrn.Wacc._2">#REF!</definedName>
    <definedName name="wrn.Wacc._3">#REF!</definedName>
    <definedName name="wrn.Wacc._4">#REF!</definedName>
    <definedName name="wrn.wara.">#REF!</definedName>
    <definedName name="wrn.Warranty._.Reserves.">#REF!</definedName>
    <definedName name="wrn.WATERTOWN._.BUDGET.">#REF!</definedName>
    <definedName name="wrn.West." hidden="1">{"West",#N/A,FALSE,"Total"}</definedName>
    <definedName name="wrn.West..." hidden="1">{"West",#N/A,FALSE,"Total"}</definedName>
    <definedName name="wrn.Western._.Metal.">#REF!</definedName>
    <definedName name="wrn.Whitebk." hidden="1">{#N/A,#N/A,FALSE,"ROTARY";#N/A,#N/A,FALSE,"CHARTS"}</definedName>
    <definedName name="wrn.Whitebk._1">#REF!</definedName>
    <definedName name="wrn.whole._.document.">#REF!</definedName>
    <definedName name="wrn.whole._.document._1">#REF!</definedName>
    <definedName name="wrn.whole._.document._2">#REF!</definedName>
    <definedName name="wrn.whole._.document._3">#REF!</definedName>
    <definedName name="wrn.whole._.document._4">#REF!</definedName>
    <definedName name="wrn.Whole._.Pack.">#REF!</definedName>
    <definedName name="wrn.WholeShabang.">#REF!</definedName>
    <definedName name="wrn.WholeShabang._1">#REF!</definedName>
    <definedName name="wrn.WholeShabang._2">#REF!</definedName>
    <definedName name="wrn.WholeShabang._3">#REF!</definedName>
    <definedName name="wrn.WholeShabang._4">#REF!</definedName>
    <definedName name="wrn.wicor.">#REF!</definedName>
    <definedName name="wrn.wicor._1">#REF!</definedName>
    <definedName name="wrn.wicor._2">#REF!</definedName>
    <definedName name="wrn.wicor._3">#REF!</definedName>
    <definedName name="wrn.wicor._4">#REF!</definedName>
    <definedName name="wrn.Wireless.">#REF!</definedName>
    <definedName name="wrn.Wireless._1">#REF!</definedName>
    <definedName name="wrn.without._.Wireless._.All._.Periods.">#REF!</definedName>
    <definedName name="wrn.without._.Wireless._.All._.Periods._1">#REF!</definedName>
    <definedName name="wrn.WL._.Business._.Plan._.Nov._.1996." hidden="1">{#N/A,#N/A,FALSE,"Annual income statement";#N/A,#N/A,FALSE,"Annual balance sheet";#N/A,#N/A,FALSE,"Annual cash flow";#N/A,#N/A,FALSE,"2-year Income statement";#N/A,#N/A,FALSE,"2 year balance sheet";#N/A,#N/A,FALSE,"2- year cash flow statement";#N/A,#N/A,FALSE,"Sales drivers"}</definedName>
    <definedName name="wrn.work._.paper._.shcedules.">#REF!</definedName>
    <definedName name="wrn.WorkCap.">#REF!</definedName>
    <definedName name="wrn.Workpapers.">#REF!</definedName>
    <definedName name="wrn.Worldwide." hidden="1">{"Worldwide",#N/A,FALSE,"Total";"West",#N/A,FALSE,"Total";"Central",#N/A,FALSE,"Total";"East",#N/A,FALSE,"Total";"Strategic",#N/A,FALSE,"Total";"Development",#N/A,FALSE,"Total"}</definedName>
    <definedName name="wrn.Worldwide..." hidden="1">{"Worldwide",#N/A,FALSE,"Total";"West",#N/A,FALSE,"Total";"Central",#N/A,FALSE,"Total";"East",#N/A,FALSE,"Total";"Strategic",#N/A,FALSE,"Total";"Development",#N/A,FALSE,"Total"}</definedName>
    <definedName name="wrn.WP._.4797.">#REF!</definedName>
    <definedName name="wrn.wpoall.">#REF!</definedName>
    <definedName name="wrn.WW._.M._.Detail.">#REF!</definedName>
    <definedName name="wrn.WWY.">#REF!</definedName>
    <definedName name="wrn.Y95current.">#REF!</definedName>
    <definedName name="wrn.Y95qtrs.">#REF!</definedName>
    <definedName name="wrn.Yahoo.">#REF!</definedName>
    <definedName name="wrn.Year._.End.">#REF!</definedName>
    <definedName name="wrn.YearEnd." hidden="1">{"Factors Pages 1-2",#N/A,FALSE,"Variables";"Factors Page 3",#N/A,FALSE,"Variables";"Factors Page 4",#N/A,FALSE,"Variables";"Factors Page 5",#N/A,FALSE,"Variables";"YE Pages 7-26",#N/A,FALSE,"Variables"}</definedName>
    <definedName name="wrn.Yield._.Graph.">#REF!</definedName>
    <definedName name="wrn.Yield._.Graph._.plus._.Input.">#REF!</definedName>
    <definedName name="wrn.YTD_ROY_PL.">#REF!</definedName>
    <definedName name="wrn.Y차._.종합." hidden="1">{#N/A,#N/A,TRUE,"Y생산";#N/A,#N/A,TRUE,"Y판매";#N/A,#N/A,TRUE,"Y총물량";#N/A,#N/A,TRUE,"Y능력";#N/A,#N/A,TRUE,"YKD"}</definedName>
    <definedName name="wrn.ｷｬｼｭﾌﾛｰ.">#REF!</definedName>
    <definedName name="wrn.מאזן_בוחן_כללי.">#REF!</definedName>
    <definedName name="wrn.סעיפי_מאזן_בוחן.">#REF!</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#REF!</definedName>
    <definedName name="wrn.간단한세무조정계산서._3">#REF!</definedName>
    <definedName name="wrn.결산서." hidden="1">{#N/A,#N/A,TRUE,"최종합계잔액시산표";#N/A,#N/A,TRUE,"최종대차대조표";#N/A,#N/A,TRUE,"최종손익계산서";#N/A,#N/A,TRUE,"재무상태변동표";#N/A,#N/A,TRUE,"이익잉여금처분"}</definedName>
    <definedName name="wrn.구조2." hidden="1">{#N/A,#N/A,FALSE,"구조2"}</definedName>
    <definedName name="wrn.기술료._.비교." hidden="1">{#N/A,#N/A,FALSE,"기술료 비교"}</definedName>
    <definedName name="wrn.낙관적000112." hidden="1">{#N/A,#N/A,FALSE,"추정손익계산서";#N/A,#N/A,FALSE,"추정대차대조표";#N/A,#N/A,FALSE,"자금수지예상표";#N/A,#N/A,FALSE,"재무비율분석"}</definedName>
    <definedName name="wrn.대차._.대조표." hidden="1">{#N/A,#N/A,TRUE,"대 차 대 조 표"}</definedName>
    <definedName name="wrn.배수1." hidden="1">{#N/A,#N/A,FALSE,"배수1"}</definedName>
    <definedName name="wrn.배수2." hidden="1">{#N/A,#N/A,FALSE,"배수2"}</definedName>
    <definedName name="wrn.보고서." hidden="1">{#N/A,#N/A,FALSE,"Sheet1";#N/A,#N/A,FALSE,"기평9607"}</definedName>
    <definedName name="wrn.부대1." hidden="1">{#N/A,#N/A,FALSE,"부대1"}</definedName>
    <definedName name="wrn.부대2." hidden="1">{#N/A,#N/A,FALSE,"부대2"}</definedName>
    <definedName name="wrn.부문손익." hidden="1">{#N/A,#N/A,FALSE,"매출이익"}</definedName>
    <definedName name="wrn.설변현황." hidden="1">{#N/A,#N/A,FALSE,"KMC최종회의(7월) 자료"}</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_1">#REF!</definedName>
    <definedName name="wrn.세무_3">#REF!</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#REF!</definedName>
    <definedName name="wrn.세무조정계산서._3">#REF!</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#REF!</definedName>
    <definedName name="wrn.세무조정모든양식._3">#REF!</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수주현황." hidden="1">{#N/A,#N/A,FALSE,"수주현황";#N/A,#N/A,FALSE,"수주현황";#N/A,#N/A,FALSE,"수주현황"}</definedName>
    <definedName name="wrn.신규dep._.full._.set." hidden="1">{#N/A,#N/A,FALSE,"신규dep";#N/A,#N/A,FALSE,"신규dep-금형상각후";#N/A,#N/A,FALSE,"신규dep-연구비상각후";#N/A,#N/A,FALSE,"신규dep-기계,공구상각후"}</definedName>
    <definedName name="wrn.에금차입금명세." hidden="1">{#N/A,#N/A,FALSE,"Sheet3"}</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분석." hidden="1">{#N/A,#N/A,FALSE,"표지";#N/A,#N/A,FALSE,"주요지표";#N/A,#N/A,FALSE,"고장현황(시간)";#N/A,#N/A,FALSE,"고장현황(1제강)"}</definedName>
    <definedName name="wrn.이정표." hidden="1">{#N/A,#N/A,FALSE,"이정표"}</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hidden="1">{#N/A,#N/A,FALSE,"BS";#N/A,#N/A,FALSE,"IS";#N/A,#N/A,FALSE,"결손금처리";#N/A,#N/A,FALSE,"cashflow"}</definedName>
    <definedName name="wrn.전부인쇄." hidden="1">{#N/A,#N/A,FALSE,"단축1";#N/A,#N/A,FALSE,"단축2";#N/A,#N/A,FALSE,"단축3";#N/A,#N/A,FALSE,"장축";#N/A,#N/A,FALSE,"4WD"}</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_1">#REF!</definedName>
    <definedName name="wrn.조흥94세무._3">#REF!</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_1">#REF!</definedName>
    <definedName name="wrn.조흥축약94._3">#REF!</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채권채무조회서." hidden="1">{#N/A,#N/A,FALSE,"채권채무";#N/A,#N/A,FALSE,"control sheet"}</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현대정공구매현황." hidden="1">{#N/A,#N/A,FALSE,"정공"}</definedName>
    <definedName name="wrn.회선임차현황." hidden="1">{#N/A,#N/A,FALSE,"회선임차현황"}</definedName>
    <definedName name="wrn.회의0104.XLS." hidden="1">{#N/A,#N/A,TRUE,"매출진척-1";#N/A,#N/A,TRUE,"매출진척-2";#N/A,#N/A,TRUE,"제품실적";#N/A,#N/A,TRUE,"RAC";#N/A,#N/A,TRUE,"PAC ";#N/A,#N/A,TRUE,"재고현황";#N/A,#N/A,TRUE,"공지사항"}</definedName>
    <definedName name="wrn.회의0104.XLS._1">#REF!</definedName>
    <definedName name="wrn.회의0104.XLS._3">#REF!</definedName>
    <definedName name="wrn.中期.">#REF!</definedName>
    <definedName name="wrn.全体.">#REF!</definedName>
    <definedName name="wrn.収支">#REF!</definedName>
    <definedName name="wrn.収支.">#REF!</definedName>
    <definedName name="wrn.営業報告.">#REF!</definedName>
    <definedName name="wrn.店別.">#REF!</definedName>
    <definedName name="wrn.第一四半期.">#REF!</definedName>
    <definedName name="wrn.第三四半期.">#REF!</definedName>
    <definedName name="wrn.第二四半期.">#REF!</definedName>
    <definedName name="wrn.第四四半期.">#REF!</definedName>
    <definedName name="wrn_otpt">{"DCF","UPSIDE CASE",FALSE,"Sheet1";"DCF","BASE CASE",FALSE,"Sheet1";"DCF","DOWNSIDE CASE",FALSE,"Sheet1"}</definedName>
    <definedName name="wrn1.all._Sheets">#REF!</definedName>
    <definedName name="wrn1.Fax.">#REF!</definedName>
    <definedName name="wrn1.supp.">#REF!</definedName>
    <definedName name="WRN2.Document">#REF!</definedName>
    <definedName name="wrn2.summary" hidden="1">{"00000summary",#N/A,FALSE,"00000";"10000summary",#N/A,FALSE,"10000"}</definedName>
    <definedName name="wrnn">#REF!</definedName>
    <definedName name="wrnn_1">#REF!</definedName>
    <definedName name="wrnn_2">#REF!</definedName>
    <definedName name="wrnn_3">#REF!</definedName>
    <definedName name="wrnn_4">#REF!</definedName>
    <definedName name="WRNNO" hidden="1">{"PRVSN",#N/A,FALSE,"Q196";"PRVSN",#N/A,FALSE,"Q296";"PRVSN",#N/A,FALSE,"Q396";"PRVSN",#N/A,FALSE,"Q496";"VARIANCES",#N/A,FALSE,"Q196";"VARIANCES",#N/A,FALSE,"Q296"}</definedName>
    <definedName name="wrrrrr" hidden="1">{#N/A,#N/A,FALSE,"REPORT"}</definedName>
    <definedName name="wrt">#REF!</definedName>
    <definedName name="wrth">#REF!</definedName>
    <definedName name="wrth_1">#REF!</definedName>
    <definedName name="wrtwyt">#REF!</definedName>
    <definedName name="wrvg">#REF!</definedName>
    <definedName name="wrvg_1">#REF!</definedName>
    <definedName name="wrvg_2">#REF!</definedName>
    <definedName name="wrvg_3">#REF!</definedName>
    <definedName name="wrvg_4">#REF!</definedName>
    <definedName name="wS">#REF!</definedName>
    <definedName name="WS_1">#REF!</definedName>
    <definedName name="WS_ALL">#REF!</definedName>
    <definedName name="Wsmv">-26269838.1705935</definedName>
    <definedName name="WTTL">#REF!</definedName>
    <definedName name="wv" hidden="1">{#N/A,#N/A,FALSE,"Pharm";#N/A,#N/A,FALSE,"WWCM"}</definedName>
    <definedName name="wvu.All.">#REF!</definedName>
    <definedName name="wvu.Analysis." hidden="1">{TRUE,TRUE,-1.25,-15.5,484.5,276.75,FALSE,TRUE,TRUE,TRUE,0,1,#N/A,1,#N/A,17.9772727272727,21.9230769230769,1,FALSE,FALSE,3,TRUE,1,FALSE,75,"Swvu.Analysis.","ACwvu.Analysis.",#N/A,FALSE,FALSE,0.36,0.36,1,1,2,"&amp;L&amp;""Courier New,Regular""&amp;8Prepared by:  Pete Goodell
File:  &amp;F &amp;A","&amp;L&amp;""Arial,Bold""Actel Corporation Confidential&amp;C&amp;D &amp;T&amp;RPage &amp;P of &amp;N",TRUE,FALSE,FALSE,FALSE,1,#N/A,1,#N/A,"=R6C2:R82C28","=R1:R6","Rwvu.Analysis.",#N/A,FALSE,FALSE,FALSE,1,#N/A,#N/A,FALSE,FALSE,TRUE,TRUE,TRUE}</definedName>
    <definedName name="wvu.cash.">#REF!</definedName>
    <definedName name="wvu.cash._1">#REF!</definedName>
    <definedName name="wvu.cash._2">#REF!</definedName>
    <definedName name="wvu.cash._3">#REF!</definedName>
    <definedName name="wvu.cash._4">#REF!</definedName>
    <definedName name="wvu.holdings." hidden="1">{TRUE,TRUE,-1.25,-15.5,484.5,276.75,FALSE,TRUE,TRUE,TRUE,0,15,#N/A,37,#N/A,8.46666666666667,14.8095238095238,1,FALSE,FALSE,3,TRUE,1,FALSE,100,"Swvu.holdings.","ACwvu.holdings.",#N/A,FALSE,FALSE,0.2,0.2,0.73,1,2,"","&amp;L&amp;""Book Antiqua,Bold""&amp;14FIXED INCOME ADVISORY SERVICES&amp;R&amp;""Book Antiqua,Bold""&amp;16GREENWICH
STREET
ADVISORS",FALSE,FALSE,FALSE,FALSE,1,#N/A,1,1,FALSE,FALSE,#N/A,#N/A,FALSE,FALSE,FALSE,1,65532,65532,FALSE,FALSE,TRUE,TRUE,TRUE}</definedName>
    <definedName name="wvu.IMSD._.Only.">#REF!</definedName>
    <definedName name="wvu.incearn." hidden="1">{TRUE,TRUE,-1.25,-15.5,484.5,277.5,FALSE,TRUE,TRUE,TRUE,0,10,#N/A,100,#N/A,9.30434782608696,14.8571428571429,1,FALSE,FALSE,3,TRUE,1,FALSE,100,"Swvu.incearn.","ACwvu.incearn.",#N/A,FALSE,FALSE,0.2,0.2,0.73,0.45,2,"","&amp;L&amp;""Book Antiqua,Bold""&amp;14FIXED INCOME ADVISORY SERVICES&amp;R&amp;""Book Antiqua,Bold""&amp;16GREENWICH
STREET
ADVISORS",TRUE,FALSE,FALSE,FALSE,1,#N/A,1,1,FALSE,FALSE,"Rwvu.incearn.",#N/A,FALSE,FALSE,FALSE,5,65532,65532,FALSE,FALSE,TRUE,TRUE,TRUE}</definedName>
    <definedName name="wvu.inputs._.raw._.data.">#REF!</definedName>
    <definedName name="wvu.inputs._.raw._.data._1">#REF!</definedName>
    <definedName name="wvu.inputs._.raw._.data._2">#REF!</definedName>
    <definedName name="wvu.inputs._.raw._.data._3">#REF!</definedName>
    <definedName name="wvu.inputs._.raw._.data._4">#REF!</definedName>
    <definedName name="wvu.Presentation.">#REF!</definedName>
    <definedName name="wvu.profits.">#REF!</definedName>
    <definedName name="wvu.profits._1">#REF!</definedName>
    <definedName name="wvu.profits._2">#REF!</definedName>
    <definedName name="wvu.profits._3">#REF!</definedName>
    <definedName name="wvu.profits._4">#REF!</definedName>
    <definedName name="wvu.provision.">#REF!</definedName>
    <definedName name="wvu.PRT.">#REF!</definedName>
    <definedName name="wvu.qtr._.view." hidden="1">{TRUE,TRUE,-0.8,-17,618,355.8,FALSE,FALSE,TRUE,TRUE,0,1,#N/A,1,#N/A,79.1318681318681,23.4090909090909,1,FALSE,FALSE,3,TRUE,1,FALSE,100,"Swvu.qtr._.view.","ACwvu.qtr._.view.",#N/A,FALSE,FALSE,0.5,0.5,0.55,0.55,2,"&amp;RWorldwide","&amp;LPrepared by: Lisa Racine&amp;CSeagate Technology, Inc. Confidential&amp;R&amp;D   &amp;T    Page ________",TRUE,FALSE,FALSE,FALSE,1,60,#N/A,#N/A,"=R1C1:R167C82","=R1:R5","Rwvu.qtr._.view.","Cwvu.qtr._.view.",FALSE,FALSE,FALSE,1,65532,65532,FALSE,FALSE,TRUE,TRUE,TRUE}</definedName>
    <definedName name="wvu.Report1." hidden="1">{TRUE,TRUE,-1.25,-15.5,484.5,276.75,FALSE,TRUE,TRUE,TRUE,0,1,#N/A,1,#N/A,14.6020408163265,22.6153846153846,1,FALSE,FALSE,3,TRUE,1,FALSE,75,"Swvu.Report1.","ACwvu.Report1.",#N/A,FALSE,FALSE,0.3,0.3,1,1,2,"&amp;L&amp;""Courier New,Regular""&amp;8Prepared by:  Pete Goodell
File:  &amp;F &amp;A","&amp;L&amp;""Arial,Bold""Actel Corporation Confidential&amp;C&amp;D &amp;T&amp;RPage &amp;P of &amp;N",TRUE,FALSE,FALSE,FALSE,1,#N/A,1,#N/A,"=R8C5:R403C28","=R1:R6","Rwvu.Report1.",#N/A,FALSE,FALSE,FALSE,1,#N/A,#N/A,FALSE,FALSE,TRUE,TRUE,TRUE}</definedName>
    <definedName name="wvu.reserve._.analysis.">#REF!</definedName>
    <definedName name="wvu.Standard._.Report." hidden="1">{TRUE,TRUE,-1.25,-15.5,484.5,276.75,FALSE,TRUE,TRUE,TRUE,0,1,#N/A,1,#N/A,14.0714285714286,23.0769230769231,1,FALSE,FALSE,3,TRUE,1,FALSE,75,"Swvu.Standard._.Report.","ACwvu.Standard._.Report.",#N/A,FALSE,FALSE,0.3,0.3,1,1,2,"&amp;L&amp;""Courier New,Regular""&amp;8Prepared by:  Pete Goodell
File:  &amp;F &amp;A","&amp;L&amp;""Arial,Bold""Actel Corporation Confidential&amp;C&amp;D &amp;T&amp;RPage &amp;P of &amp;N",TRUE,FALSE,FALSE,FALSE,1,#N/A,1,#N/A,"=R8C2:R488C27","=R1:R6","Rwvu.Standard._.Report.",#N/A,FALSE,FALSE,FALSE,1,#N/A,#N/A,FALSE,FALSE,TRUE,TRUE,TRUE}</definedName>
    <definedName name="wvu.Summary." hidden="1">{TRUE,TRUE,1.75,1,480,258,FALSE,TRUE,TRUE,TRUE,0,1,#N/A,1,#N/A,7.075,22.3846153846154,1,FALSE,FALSE,1,TRUE,1,FALSE,75,"Swvu.Summary.","ACwvu.Summary.",#N/A,FALSE,FALSE,0.75,0.75,1,1,2,"&amp;L&amp;BActel Corporation Confidential&amp;B&amp;C&amp;A&amp;RPage &amp;P","&amp;L&amp;F &amp;A&amp;CPrepared by Pete Goodell &amp;RPage &amp;P",TRUE,FALSE,FALSE,FALSE,1,#N/A,1,1,"=R3C1:R33C8",FALSE,#N/A,#N/A,FALSE,FALSE,FALSE,1,#N/A,#N/A,FALSE,FALSE,TRUE,TRUE,TRUE}</definedName>
    <definedName name="wvu.summary1.">#REF!</definedName>
    <definedName name="wvu.summary1._1">#REF!</definedName>
    <definedName name="wvu.summary1._2">#REF!</definedName>
    <definedName name="wvu.summary1._3">#REF!</definedName>
    <definedName name="wvu.summary1._4">#REF!</definedName>
    <definedName name="wvu.summary2.">#REF!</definedName>
    <definedName name="wvu.summary2._1">#REF!</definedName>
    <definedName name="wvu.summary2._2">#REF!</definedName>
    <definedName name="wvu.summary2._3">#REF!</definedName>
    <definedName name="wvu.summary2._4">#REF!</definedName>
    <definedName name="wvu.summary3.">#REF!</definedName>
    <definedName name="wvu.summary3._1">#REF!</definedName>
    <definedName name="wvu.summary3._2">#REF!</definedName>
    <definedName name="wvu.summary3._3">#REF!</definedName>
    <definedName name="wvu.summary3._4">#REF!</definedName>
    <definedName name="wvu.summary4">#REF!</definedName>
    <definedName name="wvu.summary4.">#REF!</definedName>
    <definedName name="wvu.summary6">#REF!</definedName>
    <definedName name="wvu.turnover.">#REF!</definedName>
    <definedName name="wvu.turnover._1">#REF!</definedName>
    <definedName name="wvu.turnover._2">#REF!</definedName>
    <definedName name="wvu.turnover._3">#REF!</definedName>
    <definedName name="wvu.turnover._4">#REF!</definedName>
    <definedName name="wvu.Wty._.accrual._.summary.">#REF!</definedName>
    <definedName name="ww" hidden="1">{#N/A,#N/A,TRUE,"Condensed IS";#N/A,#N/A,TRUE,"Condensed BS";#N/A,#N/A,TRUE,"Outlook";#N/A,#N/A,TRUE,"Condensed CF";#N/A,#N/A,TRUE,"Condensed CF - qtr"}</definedName>
    <definedName name="ww.Rele">#REF!</definedName>
    <definedName name="WW03825db139ec4d1b9b07c639b7ae7c2a_634237032743338121">#REF!</definedName>
    <definedName name="WWCompany">#REF!</definedName>
    <definedName name="wweee" hidden="1">#REF!</definedName>
    <definedName name="wwetwev">{"'1-TheatreBkgs'!$A$1:$L$102"}</definedName>
    <definedName name="wwew" hidden="1">{#N/A,#N/A,FALSE,"UNIT";#N/A,#N/A,FALSE,"UNIT";#N/A,#N/A,FALSE,"계정"}</definedName>
    <definedName name="wwewewewe" hidden="1">{#N/A,#N/A,TRUE,"Summary";#N/A,#N/A,TRUE,"IS";#N/A,#N/A,TRUE,"Adj";#N/A,#N/A,TRUE,"BS";#N/A,#N/A,TRUE,"CF";#N/A,#N/A,TRUE,"Debt";#N/A,#N/A,TRUE,"IRR"}</definedName>
    <definedName name="wwewww" hidden="1">{#N/A,#N/A,FALSE,"UNIT";#N/A,#N/A,FALSE,"UNIT";#N/A,#N/A,FALSE,"계정"}</definedName>
    <definedName name="wwqety">#REF!</definedName>
    <definedName name="wwqety_1">#REF!</definedName>
    <definedName name="www" hidden="1">{"DOMETIC CONSOLIDATED",#N/A,FALSE,"M-1"}</definedName>
    <definedName name="www.wki">#REF!</definedName>
    <definedName name="wwww" hidden="1">{"Page1",#N/A,FALSE,"CF WKSHT";"Page2",#N/A,FALSE,"CF WKSHT"}</definedName>
    <definedName name="wwwww" hidden="1">#REF!</definedName>
    <definedName name="wwwwww" hidden="1">#REF!</definedName>
    <definedName name="wwwwwww" hidden="1">{#N/A,#N/A,FALSE,"UNIT";#N/A,#N/A,FALSE,"UNIT";#N/A,#N/A,FALSE,"계정"}</definedName>
    <definedName name="WWWWWWWW">#REF!</definedName>
    <definedName name="wwwwwwwwdw" hidden="1">{#N/A,#N/A,FALSE,"UNIT";#N/A,#N/A,FALSE,"UNIT";#N/A,#N/A,FALSE,"계정"}</definedName>
    <definedName name="wwwwwwwww" hidden="1">{#N/A,#N/A,FALSE,"UNIT";#N/A,#N/A,FALSE,"UNIT";#N/A,#N/A,FALSE,"계정"}</definedName>
    <definedName name="wwwwwwwwwwww" hidden="1">{#N/A,#N/A,FALSE,"UNIT";#N/A,#N/A,FALSE,"UNIT";#N/A,#N/A,FALSE,"계정"}</definedName>
    <definedName name="wwwwwwwwwwwwwww" hidden="1">{#N/A,#N/A,FALSE,"UNIT";#N/A,#N/A,FALSE,"UNIT";#N/A,#N/A,FALSE,"계정"}</definedName>
    <definedName name="wx" hidden="1">{#N/A,#N/A,FALSE,"Pharm";#N/A,#N/A,FALSE,"WWCM"}</definedName>
    <definedName name="wyh">#REF!</definedName>
    <definedName name="wyh_1">#REF!</definedName>
    <definedName name="wyh_3">#REF!</definedName>
    <definedName name="WYSE">#REF!</definedName>
    <definedName name="WZ">#REF!</definedName>
    <definedName name="x">#REF!</definedName>
    <definedName name="x_1">#REF!</definedName>
    <definedName name="x_2">#REF!</definedName>
    <definedName name="x_3">#REF!</definedName>
    <definedName name="x_4">#REF!</definedName>
    <definedName name="x_5">#REF!</definedName>
    <definedName name="x_dataentry">#REF!</definedName>
    <definedName name="x_dataentry_1">#REF!</definedName>
    <definedName name="X9802장판원본_원본_List">#REF!</definedName>
    <definedName name="xasd" hidden="1">{#N/A,#N/A,FALSE,"KMC최종회의(7월) 자료"}</definedName>
    <definedName name="xbcxbxcb">#REF!</definedName>
    <definedName name="xbxcbc">#REF!</definedName>
    <definedName name="XC">#REF!</definedName>
    <definedName name="xcbxcbxcb">#REF!</definedName>
    <definedName name="xcbxcbxcbc">#REF!</definedName>
    <definedName name="xcgjgy">#REF!</definedName>
    <definedName name="xcgjgy_1">#REF!</definedName>
    <definedName name="xCurrency">#REF!</definedName>
    <definedName name="xcvb">#REF!</definedName>
    <definedName name="xcvbn">#REF!</definedName>
    <definedName name="xcvbn_1">#REF!</definedName>
    <definedName name="xcvm">#REF!</definedName>
    <definedName name="xcvm_1">#REF!</definedName>
    <definedName name="xdcvbxcv">#REF!</definedName>
    <definedName name="XDS" hidden="1">{#N/A,#N/A,FALSE,"을지 (4)";#N/A,#N/A,FALSE,"을지 (5)";#N/A,#N/A,FALSE,"을지 (6)"}</definedName>
    <definedName name="XIT">#REF!</definedName>
    <definedName name="xl">#REF!</definedName>
    <definedName name="XLDW_UID">"us318357"</definedName>
    <definedName name="XLDW_VER">"Office 2000 2.0 with Query Builder"</definedName>
    <definedName name="XLOPTvec">"12 14 1 125 1 0 1 1 1 1 1 2 0 0 0 0 0 0 0 0"</definedName>
    <definedName name="XLSIMIM2">{"Sim",3,"Raleigh","'DC Inventory Turns'!$AL$25","Midwest","'DC Inventory Turns'!$AL$26","New Orleans","'DC Inventory Turns'!$AL$27","1","2","100","0"}</definedName>
    <definedName name="XLSIMSIM">{"Sim",3,"Raleigh","'DC Inventory Turns'!$AL$25","Midwest","'DC Inventory Turns'!$AL$26","New Orleans","'DC Inventory Turns'!$AL$27","1","2","100","0"}</definedName>
    <definedName name="xnvhlk">#REF!</definedName>
    <definedName name="xnvhlk_1">#REF!</definedName>
    <definedName name="xqsx">#REF!</definedName>
    <definedName name="XR">#REF!</definedName>
    <definedName name="xRange10001">#REF!</definedName>
    <definedName name="xRange10002">#REF!</definedName>
    <definedName name="xRange10003">#REF!</definedName>
    <definedName name="xRange10004">#REF!</definedName>
    <definedName name="xRange10005">#REF!</definedName>
    <definedName name="xRange10006">#REF!</definedName>
    <definedName name="xRange10007">#REF!</definedName>
    <definedName name="xRange10008">#REF!</definedName>
    <definedName name="xRange10009">#REF!</definedName>
    <definedName name="xRange10010">#REF!</definedName>
    <definedName name="xRange10011">#REF!</definedName>
    <definedName name="xRange10012">#REF!</definedName>
    <definedName name="xRange10013">#REF!</definedName>
    <definedName name="xRange10014">#REF!</definedName>
    <definedName name="xRange10015">#REF!</definedName>
    <definedName name="xRange10016">#REF!</definedName>
    <definedName name="xRange10017">#REF!</definedName>
    <definedName name="xRange10019">#REF!</definedName>
    <definedName name="xRange10020">#REF!</definedName>
    <definedName name="xRange10021">#REF!</definedName>
    <definedName name="xRange10022">#REF!</definedName>
    <definedName name="xRange10039">#REF!</definedName>
    <definedName name="xRange10040">#REF!</definedName>
    <definedName name="xRange10044">#REF!</definedName>
    <definedName name="xRange10045">#REF!</definedName>
    <definedName name="xRange10050">#REF!</definedName>
    <definedName name="xRange10051">#REF!</definedName>
    <definedName name="xRange10052">#REF!</definedName>
    <definedName name="xRange10053">#REF!</definedName>
    <definedName name="xRange10067">#REF!</definedName>
    <definedName name="xRange10069">#REF!</definedName>
    <definedName name="xRange10070">#REF!</definedName>
    <definedName name="xRange10071">#REF!</definedName>
    <definedName name="xRange10072">#REF!</definedName>
    <definedName name="xRange10075">#REF!</definedName>
    <definedName name="xRange10077">#REF!</definedName>
    <definedName name="xRange10081">#REF!</definedName>
    <definedName name="xRange10084">#REF!</definedName>
    <definedName name="xRange10102">#REF!</definedName>
    <definedName name="xRange10103">#REF!</definedName>
    <definedName name="xRange10104">#REF!</definedName>
    <definedName name="xRange10105">#REF!</definedName>
    <definedName name="xRange10106">#REF!</definedName>
    <definedName name="xRange10107">#REF!</definedName>
    <definedName name="xRange10108">#REF!</definedName>
    <definedName name="xRange10109">#REF!</definedName>
    <definedName name="xRange10110">#REF!</definedName>
    <definedName name="xRange10111">#REF!</definedName>
    <definedName name="xRange10112">#REF!</definedName>
    <definedName name="xRange10114">#REF!</definedName>
    <definedName name="xRange10115">#REF!</definedName>
    <definedName name="xRange10118">#REF!</definedName>
    <definedName name="xRange10119">#REF!</definedName>
    <definedName name="xRange10128">#REF!</definedName>
    <definedName name="xRange10129">#REF!</definedName>
    <definedName name="xRange10130">#REF!</definedName>
    <definedName name="xRange10131">#REF!</definedName>
    <definedName name="xRange10132">#REF!</definedName>
    <definedName name="xRange10133">#REF!</definedName>
    <definedName name="xRange10134">#REF!</definedName>
    <definedName name="xRange10135">#REF!</definedName>
    <definedName name="xRange10136">#REF!</definedName>
    <definedName name="Xrecap">#REF!</definedName>
    <definedName name="XREF_COLUMN_1">#REF!</definedName>
    <definedName name="XREF_COLUMN_10" hidden="1">#REF!</definedName>
    <definedName name="XREF_COLUMN_11">#REF!</definedName>
    <definedName name="XREF_COLUMN_110" hidden="1">#REF!</definedName>
    <definedName name="XREF_COLUMN_12">#REF!</definedName>
    <definedName name="XREF_COLUMN_13">#REF!</definedName>
    <definedName name="XREF_COLUMN_14">#REF!</definedName>
    <definedName name="XREF_COLUMN_15">#REF!</definedName>
    <definedName name="XREF_COLUMN_16">#REF!</definedName>
    <definedName name="XREF_COLUMN_17">#REF!</definedName>
    <definedName name="XREF_COLUMN_18">#REF!</definedName>
    <definedName name="XREF_COLUMN_19">#REF!</definedName>
    <definedName name="XREF_COLUMN_2">#REF!</definedName>
    <definedName name="XREF_COLUMN_2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#REF!</definedName>
    <definedName name="XREF_COLUMN_28">#REF!</definedName>
    <definedName name="XREF_COLUMN_29" hidden="1">#REF!</definedName>
    <definedName name="XREF_COLUMN_3">#REF!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#REF!</definedName>
    <definedName name="XRefColumnsCnt">6</definedName>
    <definedName name="XRefColumnsCount" hidden="1">2</definedName>
    <definedName name="XRefColumnsCount_1">4</definedName>
    <definedName name="XRefCopy1">#REF!</definedName>
    <definedName name="XRefCopy10">#REF!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#REF!</definedName>
    <definedName name="XRefCopy12">#REF!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#REF!</definedName>
    <definedName name="XRefCopy13" hidden="1">#REF!</definedName>
    <definedName name="XRefCopy13Row">#REF!</definedName>
    <definedName name="XRefCopy14">#REF!</definedName>
    <definedName name="XRefCopy14Row" hidden="1">#REF!</definedName>
    <definedName name="XRefCopy15" hidden="1">#REF!</definedName>
    <definedName name="XRefCopy15Row" hidden="1">#REF!</definedName>
    <definedName name="XRefCopy16" hidden="1">#REF!</definedName>
    <definedName name="XRefCopy16Row">#REF!</definedName>
    <definedName name="XRefCopy17">#REF!</definedName>
    <definedName name="XRefCopy17Row">#REF!</definedName>
    <definedName name="XRefCopy18">#REF!</definedName>
    <definedName name="XRefCopy18Row">#REF!</definedName>
    <definedName name="XRefCopy19">#REF!</definedName>
    <definedName name="XRefCopy19Row">#REF!</definedName>
    <definedName name="XRefCopy1Row">#REF!</definedName>
    <definedName name="XRefCopy2">#REF!</definedName>
    <definedName name="XRefCopy20">#REF!</definedName>
    <definedName name="XRefCopy20Row">#REF!</definedName>
    <definedName name="XRefCopy21">#REF!</definedName>
    <definedName name="XRefCopy21Row">#REF!</definedName>
    <definedName name="XRefCopy22">#REF!</definedName>
    <definedName name="XRefCopy22Row">#REF!</definedName>
    <definedName name="XRefCopy23">#REF!</definedName>
    <definedName name="XRefCopy23Row">#REF!</definedName>
    <definedName name="XRefCopy24">#REF!</definedName>
    <definedName name="XRefCopy24Row">#REF!</definedName>
    <definedName name="XRefCopy25" hidden="1">#REF!</definedName>
    <definedName name="XRefCopy25Row" hidden="1">#REF!</definedName>
    <definedName name="XRefCopy26" hidden="1">#REF!</definedName>
    <definedName name="XRefCopy26Row" hidden="1">#REF!</definedName>
    <definedName name="XRefCopy27">#REF!</definedName>
    <definedName name="XRefCopy27Row">#REF!</definedName>
    <definedName name="XRefCopy28">#REF!</definedName>
    <definedName name="XRefCopy28Row" hidden="1">#REF!</definedName>
    <definedName name="XRefCopy29">#REF!</definedName>
    <definedName name="XRefCopy29Row">#REF!</definedName>
    <definedName name="XRefCopy2Row">#REF!</definedName>
    <definedName name="XRefCopy3">#REF!</definedName>
    <definedName name="XRefCopy30">#REF!</definedName>
    <definedName name="XRefCopy30Row">#REF!</definedName>
    <definedName name="XRefCopy31">#REF!</definedName>
    <definedName name="XRefCopy31Row">#REF!</definedName>
    <definedName name="XRefCopy32">#REF!</definedName>
    <definedName name="XRefCopy32Row">#REF!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#REF!</definedName>
    <definedName name="XRefCopy36Row" hidden="1">#N/A</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 hidden="1">#REF!</definedName>
    <definedName name="XRefCopy40" hidden="1">#REF!</definedName>
    <definedName name="XRefCopy40Row" hidden="1">#N/A</definedName>
    <definedName name="XRefCopy41" hidden="1">#REF!</definedName>
    <definedName name="XRefCopy41Row">#REF!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#REF!</definedName>
    <definedName name="XRefCopy5" hidden="1">#REF!</definedName>
    <definedName name="XRefCopy50" hidden="1">#REF!</definedName>
    <definedName name="XRefCopy50Row" hidden="1">#REF!</definedName>
    <definedName name="XRefCopy51">#REF!</definedName>
    <definedName name="XRefCopy51Row">#REF!</definedName>
    <definedName name="XRefCopy52" hidden="1">#REF!</definedName>
    <definedName name="XRefCopy52Row" hidden="1">#REF!</definedName>
    <definedName name="XRefCopy53">#REF!</definedName>
    <definedName name="XRefCopy53Row">#REF!</definedName>
    <definedName name="XRefCopy54">#REF!</definedName>
    <definedName name="XRefCopy54Row">#REF!</definedName>
    <definedName name="XRefCopy55">#REF!</definedName>
    <definedName name="XRefCopy55Row">#REF!</definedName>
    <definedName name="XRefCopy56">#REF!</definedName>
    <definedName name="XRefCopy56Row">#REF!</definedName>
    <definedName name="XRefCopy57" hidden="1">#REF!</definedName>
    <definedName name="XRefCopy57Row" hidden="1">#N/A</definedName>
    <definedName name="XRefCopy58">#REF!</definedName>
    <definedName name="XRefCopy58Row" hidden="1">#N/A</definedName>
    <definedName name="XRefCopy59">#REF!</definedName>
    <definedName name="XRefCopy59Row">#REF!</definedName>
    <definedName name="XRefCopy5Row">#REF!</definedName>
    <definedName name="XRefCopy6" hidden="1">#REF!</definedName>
    <definedName name="XRefCopy60">#REF!</definedName>
    <definedName name="XRefCopy60Row" hidden="1">#N/A</definedName>
    <definedName name="XRefCopy61">#REF!</definedName>
    <definedName name="XRefCopy61Row">#REF!</definedName>
    <definedName name="XRefCopy62">#REF!</definedName>
    <definedName name="XRefCopy62Row">#REF!</definedName>
    <definedName name="XRefCopy63">#REF!</definedName>
    <definedName name="XRefCopy63Row" hidden="1">#N/A</definedName>
    <definedName name="XRefCopy64">#REF!</definedName>
    <definedName name="XRefCopy64Row" hidden="1">#N/A</definedName>
    <definedName name="XRefCopy65">#REF!</definedName>
    <definedName name="XRefCopy65Row" hidden="1">#N/A</definedName>
    <definedName name="XRefCopy66">#REF!</definedName>
    <definedName name="XRefCopy66Row">#REF!</definedName>
    <definedName name="XRefCopy67" hidden="1">#REF!</definedName>
    <definedName name="XRefCopy67Row" hidden="1">#N/A</definedName>
    <definedName name="XRefCopy68">#REF!</definedName>
    <definedName name="XRefCopy68Row" hidden="1">#N/A</definedName>
    <definedName name="XRefCopy69" hidden="1">#REF!</definedName>
    <definedName name="XRefCopy69Row" hidden="1">#N/A</definedName>
    <definedName name="XRefCopy6Row">#REF!</definedName>
    <definedName name="XRefCopy7" hidden="1">#REF!</definedName>
    <definedName name="XRefCopy70">#REF!</definedName>
    <definedName name="XRefCopy70Row" hidden="1">#N/A</definedName>
    <definedName name="XRefCopy71">#REF!</definedName>
    <definedName name="XRefCopy71Row" hidden="1">#N/A</definedName>
    <definedName name="XRefCopy72">#REF!</definedName>
    <definedName name="XRefCopy72Row" hidden="1">#N/A</definedName>
    <definedName name="XRefCopy73">#REF!</definedName>
    <definedName name="XRefCopy73Row" hidden="1">#N/A</definedName>
    <definedName name="XRefCopy74" hidden="1">#REF!</definedName>
    <definedName name="XRefCopy74Row" hidden="1">#N/A</definedName>
    <definedName name="XRefCopy75">#REF!</definedName>
    <definedName name="XRefCopy75Row" hidden="1">#N/A</definedName>
    <definedName name="XRefCopy76">#REF!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#REF!</definedName>
    <definedName name="XRefCopy8" hidden="1">#REF!</definedName>
    <definedName name="XRefCopy80" hidden="1">#REF!</definedName>
    <definedName name="XRefCopy80Row" hidden="1">#N/A</definedName>
    <definedName name="XRefCopy81">#REF!</definedName>
    <definedName name="XRefCopy82" hidden="1">#REF!</definedName>
    <definedName name="XRefCopy83" hidden="1">#REF!</definedName>
    <definedName name="XRefCopy84">#REF!</definedName>
    <definedName name="XRefCopy85">#REF!</definedName>
    <definedName name="XRefCopy86">#REF!</definedName>
    <definedName name="XRefCopy87">#REF!</definedName>
    <definedName name="XRefCopy88">#REF!</definedName>
    <definedName name="XRefCopy89">#REF!</definedName>
    <definedName name="XRefCopy8Row" hidden="1">#REF!</definedName>
    <definedName name="XRefCopy9">#REF!</definedName>
    <definedName name="XRefCopy90">#REF!</definedName>
    <definedName name="XRefCopy91">#REF!</definedName>
    <definedName name="XRefCopy92">#REF!</definedName>
    <definedName name="XRefCopy93">#REF!</definedName>
    <definedName name="XRefCopy94">#REF!</definedName>
    <definedName name="XRefCopy95">#REF!</definedName>
    <definedName name="XRefCopy95Row">#REF!</definedName>
    <definedName name="XRefCopy96">#REF!</definedName>
    <definedName name="XRefCopy97">#REF!</definedName>
    <definedName name="XRefCopy98">#REF!</definedName>
    <definedName name="XRefCopy99">#REF!</definedName>
    <definedName name="XRefCopy9Row" hidden="1">#REF!</definedName>
    <definedName name="XRefCopyRangeCount" hidden="1">3</definedName>
    <definedName name="XRefCopyRangeCount_1">27</definedName>
    <definedName name="XRefPaste1">#REF!</definedName>
    <definedName name="XRefPaste10">#REF!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#REF!</definedName>
    <definedName name="XRefPaste1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#REF!</definedName>
    <definedName name="XRefPaste12">#REF!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#REF!</definedName>
    <definedName name="XRefPaste13">#REF!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#REF!</definedName>
    <definedName name="XRefPaste14">#REF!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9" hidden="1">#REF!</definedName>
    <definedName name="XRefPaste14Row">#REF!</definedName>
    <definedName name="XRefPaste15">#REF!</definedName>
    <definedName name="XRefPaste150" hidden="1">#REF!</definedName>
    <definedName name="XRefPaste151" hidden="1">#REF!</definedName>
    <definedName name="XRefPaste152" hidden="1">#REF!</definedName>
    <definedName name="XRefPaste153" hidden="1">#REF!</definedName>
    <definedName name="XRefPaste154" hidden="1">#REF!</definedName>
    <definedName name="XRefPaste155" hidden="1">#REF!</definedName>
    <definedName name="XRefPaste156" hidden="1">#REF!</definedName>
    <definedName name="XRefPaste157" hidden="1">#REF!</definedName>
    <definedName name="XRefPaste158" hidden="1">#REF!</definedName>
    <definedName name="XRefPaste159" hidden="1">#REF!</definedName>
    <definedName name="XRefPaste15Row">#REF!</definedName>
    <definedName name="XRefPaste16">#REF!</definedName>
    <definedName name="XRefPaste160" hidden="1">#REF!</definedName>
    <definedName name="XRefPaste161" hidden="1">#REF!</definedName>
    <definedName name="XRefPaste162" hidden="1">#REF!</definedName>
    <definedName name="XRefPaste163" hidden="1">#REF!</definedName>
    <definedName name="XRefPaste164" hidden="1">#REF!</definedName>
    <definedName name="XRefPaste165" hidden="1">#REF!</definedName>
    <definedName name="XRefPaste166" hidden="1">#REF!</definedName>
    <definedName name="XRefPaste167" hidden="1">#REF!</definedName>
    <definedName name="XRefPaste168" hidden="1">#REF!</definedName>
    <definedName name="XRefPaste169" hidden="1">#REF!</definedName>
    <definedName name="XRefPaste16Row">#REF!</definedName>
    <definedName name="XRefPaste17">#REF!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9" hidden="1">#REF!</definedName>
    <definedName name="XRefPaste17Row">#REF!</definedName>
    <definedName name="XRefPaste18">#REF!</definedName>
    <definedName name="XRefPaste180" hidden="1">#REF!</definedName>
    <definedName name="XRefPaste180Row"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#REF!</definedName>
    <definedName name="XRefPaste19" hidden="1">#REF!</definedName>
    <definedName name="XRefPaste190Row" hidden="1">#REF!</definedName>
    <definedName name="XRefPaste191Row" hidden="1">#REF!</definedName>
    <definedName name="XRefPaste192Row" hidden="1">#REF!</definedName>
    <definedName name="XRefPaste193Row" hidden="1">#REF!</definedName>
    <definedName name="XRefPaste194" hidden="1">#REF!</definedName>
    <definedName name="XRefPaste194Row" hidden="1">#REF!</definedName>
    <definedName name="XRefPaste195Row"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#REF!</definedName>
    <definedName name="XRefPaste2">#REF!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 hidden="1">#REF!</definedName>
    <definedName name="XRefPaste235Row" hidden="1">#REF!</definedName>
    <definedName name="XRefPaste236Row" hidden="1">#REF!</definedName>
    <definedName name="XRefPaste237Row" hidden="1">#REF!</definedName>
    <definedName name="XRefPaste238Row"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Row" hidden="1">#REF!</definedName>
    <definedName name="XRefPaste246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#REF!</definedName>
    <definedName name="XRefPaste27Row">#REF!</definedName>
    <definedName name="XRefPaste28" hidden="1">#REF!</definedName>
    <definedName name="XRefPaste28Row">#REF!</definedName>
    <definedName name="XRefPaste29" hidden="1">#REF!</definedName>
    <definedName name="XRefPaste29Row" hidden="1">#REF!</definedName>
    <definedName name="XRefPaste2Row">#REF!</definedName>
    <definedName name="XRefPaste3">#REF!</definedName>
    <definedName name="XRefPaste30" hidden="1">#REF!</definedName>
    <definedName name="XRefPaste30Row" hidden="1">#REF!</definedName>
    <definedName name="XRefPaste31" hidden="1">#REF!</definedName>
    <definedName name="XRefPaste31Row" hidden="1">#REF!</definedName>
    <definedName name="XRefPaste32">#REF!</definedName>
    <definedName name="XRefPaste32Row" hidden="1">#REF!</definedName>
    <definedName name="XRefPaste33">#REF!</definedName>
    <definedName name="XRefPaste33Row" hidden="1">#REF!</definedName>
    <definedName name="XRefPaste34">#REF!</definedName>
    <definedName name="XRefPaste34Row" hidden="1">#REF!</definedName>
    <definedName name="XRefPaste35">#REF!</definedName>
    <definedName name="XRefPaste35Row">#REF!</definedName>
    <definedName name="XRefPaste36">#REF!</definedName>
    <definedName name="XRefPaste36Row">#REF!</definedName>
    <definedName name="XRefPaste37">#REF!</definedName>
    <definedName name="XRefPaste37Row">#REF!</definedName>
    <definedName name="XRefPaste38">#REF!</definedName>
    <definedName name="XRefPaste38Row">#REF!</definedName>
    <definedName name="XRefPaste39">#REF!</definedName>
    <definedName name="XRefPaste39Row">#REF!</definedName>
    <definedName name="XRefPaste3Row">#REF!</definedName>
    <definedName name="XRefPaste4">#REF!</definedName>
    <definedName name="XRefPaste40" hidden="1">#REF!</definedName>
    <definedName name="XRefPaste40Row" hidden="1">#N/A</definedName>
    <definedName name="XRefPaste41" hidden="1">#REF!</definedName>
    <definedName name="XRefPaste41Row" hidden="1">#N/A</definedName>
    <definedName name="XRefPaste42">#REF!</definedName>
    <definedName name="XRefPaste42Row">#REF!</definedName>
    <definedName name="XRefPaste43">#REF!</definedName>
    <definedName name="XRefPaste43Row">#REF!</definedName>
    <definedName name="XRefPaste44" hidden="1">#REF!</definedName>
    <definedName name="XRefPaste44Row" hidden="1">#N/A</definedName>
    <definedName name="XRefPaste45" hidden="1">#REF!</definedName>
    <definedName name="XRefPaste45Row" hidden="1">#N/A</definedName>
    <definedName name="XRefPaste46">#REF!</definedName>
    <definedName name="XRefPaste46Row">#REF!</definedName>
    <definedName name="XRefPaste47" hidden="1">#REF!</definedName>
    <definedName name="XRefPaste47Row" hidden="1">#REF!</definedName>
    <definedName name="XRefPaste48" hidden="1">#REF!</definedName>
    <definedName name="XRefPaste49" hidden="1">#REF!</definedName>
    <definedName name="XRefPaste4Row">#REF!</definedName>
    <definedName name="XRefPaste5">#REF!</definedName>
    <definedName name="XRefPaste50" hidden="1">#REF!</definedName>
    <definedName name="XRefPaste51" hidden="1">#REF!</definedName>
    <definedName name="XRefPaste52" hidden="1">#REF!</definedName>
    <definedName name="XRefPaste52Row" hidden="1">#REF!</definedName>
    <definedName name="XRefPaste53" hidden="1">#REF!</definedName>
    <definedName name="XRefPaste54" hidden="1">#REF!</definedName>
    <definedName name="XRefPaste55" hidden="1">#REF!</definedName>
    <definedName name="XRefPaste56" hidden="1">#REF!</definedName>
    <definedName name="XRefPaste58" hidden="1">#REF!</definedName>
    <definedName name="XRefPaste59" hidden="1">#REF!</definedName>
    <definedName name="XRefPaste5Row">#REF!</definedName>
    <definedName name="XRefPaste6">#REF!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#REF!</definedName>
    <definedName name="XRefPaste67" hidden="1">#REF!</definedName>
    <definedName name="XRefPaste68" hidden="1">#REF!</definedName>
    <definedName name="XRefPaste69" hidden="1">#REF!</definedName>
    <definedName name="XRefPaste6Row">#REF!</definedName>
    <definedName name="XRefPaste7">#REF!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#REF!</definedName>
    <definedName name="XRefPaste8">#REF!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#REF!</definedName>
    <definedName name="XRefPaste9">#REF!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#REF!</definedName>
    <definedName name="XRefPasteRange">3</definedName>
    <definedName name="XRefPasteRangeCount" hidden="1">11</definedName>
    <definedName name="XRefPasteRangeCount_1">4</definedName>
    <definedName name="XRefVRangeCnt">6</definedName>
    <definedName name="xRng_19922257178745fdbc41422b37711d7c">#REF!</definedName>
    <definedName name="xRng_7b7e59fe9c1c439fa24e944d7c2cd348">#REF!</definedName>
    <definedName name="xRng_9aac743d1cbb44118c0d0403bc8b0d69">#REF!</definedName>
    <definedName name="xRng_beaed4ccfab34442aa5dfc877321490d">#REF!</definedName>
    <definedName name="XS" hidden="1">{#N/A,#N/A,FALSE,"을지 (4)";#N/A,#N/A,FALSE,"을지 (5)";#N/A,#N/A,FALSE,"을지 (6)"}</definedName>
    <definedName name="xsort" hidden="1">#REF!</definedName>
    <definedName name="xta92경전.서TBr23c13r23c36TBr13">#REF!</definedName>
    <definedName name="xta경영계92.서TBr13c7r41c30TBr1">#REF!</definedName>
    <definedName name="xvc">#REF!</definedName>
    <definedName name="xx" hidden="1">#REF!</definedName>
    <definedName name="xxx">#REF!</definedName>
    <definedName name="xxxConstR195C2">0</definedName>
    <definedName name="xxxx" hidden="1">{"Page1",#N/A,FALSE,"CF WKSHT";"Page2",#N/A,FALSE,"CF WKSHT"}</definedName>
    <definedName name="xxxxx" hidden="1">{#N/A,#N/A,FALSE,"UNIT";#N/A,#N/A,FALSE,"UNIT";#N/A,#N/A,FALSE,"계정"}</definedName>
    <definedName name="xxxxxx">#REF!</definedName>
    <definedName name="xxxxxxx">#REF!</definedName>
    <definedName name="xxxxxxxxxxxxxxxxxxxx" hidden="1">#REF!</definedName>
    <definedName name="xy" hidden="1">#REF!</definedName>
    <definedName name="xyx">#REF!</definedName>
    <definedName name="xyz" hidden="1">{#N/A,#N/A,TRUE,"Condensed IS";#N/A,#N/A,TRUE,"Condensed BS";#N/A,#N/A,TRUE,"Outlook";#N/A,#N/A,TRUE,"Condensed CF";#N/A,#N/A,TRUE,"Condensed CF - qtr"}</definedName>
    <definedName name="xzcg">#REF!</definedName>
    <definedName name="xzcg_1">#REF!</definedName>
    <definedName name="xzy" hidden="1">{#N/A,#N/A,FALSE,"Sales Graph";#N/A,#N/A,FALSE,"PSBM";#N/A,#N/A,FALSE,"BUC Graph";#N/A,#N/A,FALSE,"P&amp;L - YTD"}</definedName>
    <definedName name="y" hidden="1">{"00000summary",#N/A,FALSE,"00000";"10000summary",#N/A,FALSE,"10000"}</definedName>
    <definedName name="y1active">#REF!</definedName>
    <definedName name="y1build">#REF!</definedName>
    <definedName name="y1build_alt">#REF!</definedName>
    <definedName name="y1sport">#REF!</definedName>
    <definedName name="y2active">#REF!</definedName>
    <definedName name="y2build">#REF!</definedName>
    <definedName name="y2build_alt">#REF!</definedName>
    <definedName name="y2sport">#REF!</definedName>
    <definedName name="y3active">#REF!</definedName>
    <definedName name="y3build">#REF!</definedName>
    <definedName name="y3build_alt">#REF!</definedName>
    <definedName name="y3sport">#REF!</definedName>
    <definedName name="y4active">#REF!</definedName>
    <definedName name="y4build">#REF!</definedName>
    <definedName name="y4build_alt">#REF!</definedName>
    <definedName name="y4sport">#REF!</definedName>
    <definedName name="y5active">#REF!</definedName>
    <definedName name="y5build">#REF!</definedName>
    <definedName name="y5build_alt">#REF!</definedName>
    <definedName name="y5sport">#REF!</definedName>
    <definedName name="y6active">#REF!</definedName>
    <definedName name="y6build">#REF!</definedName>
    <definedName name="y6build_alt">#REF!</definedName>
    <definedName name="y6sport">#REF!</definedName>
    <definedName name="ya" hidden="1">{#N/A,#N/A,FALSE,"Aging Summary";#N/A,#N/A,FALSE,"Ratio Analysis";#N/A,#N/A,FALSE,"Test 120 Day Accts";#N/A,#N/A,FALSE,"Tickmarks"}</definedName>
    <definedName name="ya_3">#REF!</definedName>
    <definedName name="ya5y">#REF!</definedName>
    <definedName name="Yahoo">#REF!</definedName>
    <definedName name="Yahoo__Annual_EPS_Model___1995A___1998E">#REF!</definedName>
    <definedName name="Yahoo__Quarterly_Advertising_Revenue_Summary__1996E___1998E">#REF!</definedName>
    <definedName name="ye">#REF!</definedName>
    <definedName name="YEAR">#REF!</definedName>
    <definedName name="YEAR_1__2004">"RentGrowthAssumptions"</definedName>
    <definedName name="Year_end_exchange_rate">#REF!</definedName>
    <definedName name="Year_ended">#REF!</definedName>
    <definedName name="YEAREND">#REF!</definedName>
    <definedName name="yedate">#REF!</definedName>
    <definedName name="yell">#REF!</definedName>
    <definedName name="Yellow">#N/A</definedName>
    <definedName name="yells">#REF!</definedName>
    <definedName name="yells2">#REF!</definedName>
    <definedName name="Yen">#REF!</definedName>
    <definedName name="yen020531">6.6616</definedName>
    <definedName name="yes" hidden="1">#REF!</definedName>
    <definedName name="Yes_Np">#REF!</definedName>
    <definedName name="YESMEANING1">#REF!</definedName>
    <definedName name="YesNo">#REF!</definedName>
    <definedName name="yfy">{"'NPL @ 30 June 00'!$B$22"}</definedName>
    <definedName name="YG">#REF!</definedName>
    <definedName name="YG_1">#REF!</definedName>
    <definedName name="yh" hidden="1">{#N/A,#N/A,FALSE,"Aging Summary";#N/A,#N/A,FALSE,"Ratio Analysis";#N/A,#N/A,FALSE,"Test 120 Day Accts";#N/A,#N/A,FALSE,"Tickmarks"}</definedName>
    <definedName name="yh_3">#REF!</definedName>
    <definedName name="yhg">2</definedName>
    <definedName name="yhgf">#REF!</definedName>
    <definedName name="yhgf_1">#REF!</definedName>
    <definedName name="yhjkhdfhset">#REF!</definedName>
    <definedName name="yhjkhdfhset_1">#REF!</definedName>
    <definedName name="yhjkhdfhset_2">#REF!</definedName>
    <definedName name="yhjkhdfhset_3">#REF!</definedName>
    <definedName name="yhjkhdfhset_4">#REF!</definedName>
    <definedName name="YIHR">#REF!</definedName>
    <definedName name="YIHR1">#REF!</definedName>
    <definedName name="YIHR2">#REF!</definedName>
    <definedName name="YIHR3">#REF!</definedName>
    <definedName name="YIHR4">#REF!</definedName>
    <definedName name="YIHR5">#REF!</definedName>
    <definedName name="YIHR6">#REF!</definedName>
    <definedName name="yioyi">#REF!</definedName>
    <definedName name="yioyi_1">#REF!</definedName>
    <definedName name="ykj">#REF!</definedName>
    <definedName name="yn">#REF!</definedName>
    <definedName name="you">#REF!</definedName>
    <definedName name="yr">39686.6865509259</definedName>
    <definedName name="ysj" hidden="1">{#N/A,#N/A,FALSE,"Sheet5"}</definedName>
    <definedName name="YT" hidden="1">{#N/A,#N/A,FALSE,"Pharm";#N/A,#N/A,FALSE,"WWCM"}</definedName>
    <definedName name="YTD">#REF!</definedName>
    <definedName name="YTD_2019">#REF!</definedName>
    <definedName name="YTD_2020">#REF!</definedName>
    <definedName name="YTD_BS">#REF!</definedName>
    <definedName name="YTD_PL">#REF!</definedName>
    <definedName name="YTDBudget">#REF!</definedName>
    <definedName name="ytdrec">#REF!</definedName>
    <definedName name="ytdsum">#REF!</definedName>
    <definedName name="YTF">#REF!</definedName>
    <definedName name="YTF_1">#REF!</definedName>
    <definedName name="ytgf">#REF!</definedName>
    <definedName name="ytgf_1">#REF!</definedName>
    <definedName name="ytjdyfhfgdfh">#REF!</definedName>
    <definedName name="ytjdyfhfgdfh_1">#REF!</definedName>
    <definedName name="ytjdyfhfgdfh_2">#REF!</definedName>
    <definedName name="ytjdyfhfgdfh_3">#REF!</definedName>
    <definedName name="ytjdyfhfgdfh_4">#REF!</definedName>
    <definedName name="ytruy">#REF!</definedName>
    <definedName name="ytryrry" hidden="1">{#N/A,#N/A,FALSE,"Pharm";#N/A,#N/A,FALSE,"WWCM"}</definedName>
    <definedName name="YTTY" hidden="1">{#N/A,#N/A,FALSE,"Pharm";#N/A,#N/A,FALSE,"WWCM"}</definedName>
    <definedName name="ytuio">#REF!</definedName>
    <definedName name="ytuio_1">#REF!</definedName>
    <definedName name="YTYT" hidden="1">{#N/A,#N/A,FALSE,"Pharm";#N/A,#N/A,FALSE,"WWCM"}</definedName>
    <definedName name="YU">#REF!</definedName>
    <definedName name="yui">#REF!</definedName>
    <definedName name="yuk">#REF!</definedName>
    <definedName name="yuk_1">#REF!</definedName>
    <definedName name="yuk_2">#REF!</definedName>
    <definedName name="yuk_3">#REF!</definedName>
    <definedName name="yuk_4">#REF!</definedName>
    <definedName name="yulia" hidden="1">{"page two",#N/A,FALSE,"revision 01_99"}</definedName>
    <definedName name="yulkui">#REF!</definedName>
    <definedName name="yulkui_1">#REF!</definedName>
    <definedName name="yuyuyu" hidden="1">#REF!</definedName>
    <definedName name="yvonne" hidden="1">#REF!</definedName>
    <definedName name="yy">#REF!</definedName>
    <definedName name="yyy" hidden="1">{"Page1",#N/A,FALSE,"CF WKSHT";"Page2",#N/A,FALSE,"CF WKSHT"}</definedName>
    <definedName name="yyyy" hidden="1">{"Page1",#N/A,FALSE,"CF WKSHT";"Page2",#N/A,FALSE,"CF WKSHT"}</definedName>
    <definedName name="YYYYYYYYYYYY">#REF!</definedName>
    <definedName name="YYYYYYYYYYYYY">#REF!</definedName>
    <definedName name="yyyyyyyyyyyyyyy">#REF!</definedName>
    <definedName name="z" hidden="1">{#N/A,#N/A,FALSE,"Aging Summary";#N/A,#N/A,FALSE,"Ratio Analysis";#N/A,#N/A,FALSE,"Test 120 Day Accts";#N/A,#N/A,FALSE,"Tickmarks"}</definedName>
    <definedName name="Z_00AC0B71_AA97_11D0_B456_0000F62B346E_.wvu.Cols" hidden="1">#REF!,#REF!,#REF!,#REF!,#REF!</definedName>
    <definedName name="Z_01844156_6462_4A28_9785_1A86F4D0C834_.wvu.PrintTitles" hidden="1">#REF!</definedName>
    <definedName name="Z_03612579_9F94_11D0_B44C_0000F62B346E_.wvu.Cols" hidden="1">#REF!,#REF!,#REF!,#REF!,#REF!</definedName>
    <definedName name="Z_0D0B497D_21F8_11D5_91EF_00B0D058E5A7_.wvu.Cols">#REF!</definedName>
    <definedName name="Z_0D0B497D_21F8_11D5_91EF_00B0D058E5A7_.wvu.FilterData" hidden="1">#REF!</definedName>
    <definedName name="Z_0DD2C3B1_93D5_11D4_976F_00062985DD58_.wvu.Cols">#REF!</definedName>
    <definedName name="Z_0FDEF005_6C86_11D3_B9EF_00C04F680B2A_.wvu.FilterData" hidden="1">#REF!</definedName>
    <definedName name="Z_0FDEF005_6C86_11D3_B9EF_00C04F680B2A_.wvu.PrintTitles" hidden="1">#REF!,#REF!</definedName>
    <definedName name="Z_0FDEF007_6C86_11D3_B9EF_00C04F680B2A_.wvu.Cols" hidden="1">#REF!,#REF!</definedName>
    <definedName name="Z_0FDEF007_6C86_11D3_B9EF_00C04F680B2A_.wvu.FilterData" hidden="1">#REF!</definedName>
    <definedName name="Z_0FDEF007_6C86_11D3_B9EF_00C04F680B2A_.wvu.PrintTitles" hidden="1">#REF!,#REF!</definedName>
    <definedName name="Z_101EC640_5E07_11D2_AD7B_08001703272A_.wvu.Cols" hidden="1">#REF!,#REF!,#REF!,#REF!,#REF!,#REF!,#REF!,#REF!,#REF!,#REF!</definedName>
    <definedName name="Z_101EC640_5E07_11D2_AD7B_08001703272A_.wvu.Rows" hidden="1">#REF!,#REF!,#REF!,#REF!,#REF!,#REF!,#REF!,#REF!,#REF!,#REF!,#REF!,#REF!,#REF!,#REF!,#REF!,#REF!,#REF!,#REF!,#REF!,#REF!,#REF!,#REF!,#REF!,#REF!,#REF!,#REF!,#REF!,#REF!,#REF!</definedName>
    <definedName name="Z_128D8F34_9864_4F93_98E2_12587B58B6EC_.wvu.Cols" hidden="1">#REF!,#REF!,#REF!,#REF!,#REF!</definedName>
    <definedName name="Z_128D8F34_9864_4F93_98E2_12587B58B6EC_.wvu.Rows" hidden="1">#REF!,#REF!,#REF!,#REF!,#REF!,#REF!,#REF!,#REF!,#REF!,#REF!,#REF!,#REF!,#REF!,#REF!,#REF!,#REF!,#REF!,#REF!,#REF!,#REF!,#REF!,#REF!,#REF!,#REF!,#REF!</definedName>
    <definedName name="Z_1BE54220_644B_11D2_AD7B_08001703272A_.wvu.Cols" hidden="1">#REF!,#REF!,#REF!,#REF!,#REF!,#REF!,#REF!,#REF!,#REF!,#REF!</definedName>
    <definedName name="Z_1BE54220_644B_11D2_AD7B_08001703272A_.wvu.Rows" hidden="1">#REF!,#REF!,#REF!,#REF!,#REF!,#REF!,#REF!,#REF!,#REF!,#REF!,#REF!,#REF!,#REF!,#REF!,#REF!,#REF!,#REF!,#REF!,#REF!,#REF!,#REF!,#REF!,#REF!,#REF!,#REF!,#REF!,#REF!,#REF!,#REF!</definedName>
    <definedName name="Z_1DEB6CA4_BC56_4C3B_B0E7_A284A3A002A1_.wvu.Rows">#REF!</definedName>
    <definedName name="Z_1E06FFC0_30FD_11D2_AD7B_08001703272A_.wvu.Cols" hidden="1">#REF!,#REF!,#REF!,#REF!,#REF!,#REF!,#REF!,#REF!,#REF!,#REF!</definedName>
    <definedName name="Z_1E06FFC0_30FD_11D2_AD7B_08001703272A_.wvu.Rows" hidden="1">#REF!,#REF!,#REF!,#REF!,#REF!,#REF!,#REF!,#REF!,#REF!,#REF!,#REF!,#REF!,#REF!,#REF!,#REF!,#REF!,#REF!,#REF!,#REF!,#REF!,#REF!,#REF!,#REF!,#REF!,#REF!,#REF!,#REF!,#REF!,#REF!</definedName>
    <definedName name="Z_213E26B2_3E91_4DDE_8593_C583EB52A019_.wvu.PrintArea">#REF!</definedName>
    <definedName name="Z_23968E92_93CA_11D4_9DE0_000629455B3F_.wvu.Cols">#REF!</definedName>
    <definedName name="Z_25996983_6802_11D2_AD7B_08001703272A_.wvu.Cols" hidden="1">#REF!,#REF!,#REF!,#REF!,#REF!,#REF!,#REF!,#REF!</definedName>
    <definedName name="Z_25996983_6802_11D2_AD7B_08001703272A_.wvu.Rows" hidden="1">#REF!,#REF!,#REF!,#REF!,#REF!,#REF!,#REF!,#REF!,#REF!,#REF!,#REF!,#REF!,#REF!,#REF!,#REF!,#REF!,#REF!,#REF!,#REF!,#REF!,#REF!,#REF!,#REF!,#REF!,#REF!,#REF!,#REF!,#REF!,#REF!</definedName>
    <definedName name="Z_29A22E60_1FB2_11D2_AD7B_08001703272A_.wvu.Cols" hidden="1">#REF!,#REF!,#REF!,#REF!,#REF!,#REF!,#REF!,#REF!,#REF!</definedName>
    <definedName name="Z_29A22E60_1FB2_11D2_AD7B_08001703272A_.wvu.Rows" hidden="1">#REF!,#REF!,#REF!,#REF!,#REF!,#REF!,#REF!,#REF!,#REF!,#REF!,#REF!,#REF!,#REF!,#REF!,#REF!,#REF!,#REF!,#REF!,#REF!,#REF!,#REF!,#REF!,#REF!,#REF!,#REF!,#REF!,#REF!,#REF!,#REF!</definedName>
    <definedName name="Z_2B2A4BC5_90C6_11D4_B4DB_000629AF3DEA_.wvu.Cols">#REF!</definedName>
    <definedName name="z_3">#REF!</definedName>
    <definedName name="Z_33376133_CFCA_11D4_9FDE_000103021132_.wvu.Cols" hidden="1">#REF!,#REF!</definedName>
    <definedName name="Z_33376133_CFCA_11D4_9FDE_000103021132_.wvu.Rows" hidden="1">#REF!</definedName>
    <definedName name="Z_37B34331_6D13_11D3_A342_0050040526C4_.wvu.Cols" hidden="1">#REF!</definedName>
    <definedName name="Z_37B34331_6D13_11D3_A342_0050040526C4_.wvu.FilterData" hidden="1">#REF!</definedName>
    <definedName name="Z_37B34331_6D13_11D3_A342_0050040526C4_.wvu.PrintTitles" hidden="1">#REF!,#REF!</definedName>
    <definedName name="Z_3DE5A5C8_E1AF_4DA6_93EE_7887DDCD241F_.wvu.PrintArea">#REF!</definedName>
    <definedName name="Z_3DE5A5C8_E1AF_4DA6_93EE_7887DDCD241F_.wvu.PrintTitles">#REF!</definedName>
    <definedName name="Z_3E078380_77ED_11D2_AD7B_08001703272A_.wvu.Cols" hidden="1">#REF!,#REF!,#REF!,#REF!,#REF!,#REF!,#REF!,#REF!,#REF!,#REF!</definedName>
    <definedName name="Z_3E078380_77ED_11D2_AD7B_08001703272A_.wvu.Rows" hidden="1">#REF!,#REF!,#REF!,#REF!,#REF!,#REF!,#REF!,#REF!,#REF!,#REF!,#REF!,#REF!,#REF!,#REF!,#REF!,#REF!,#REF!,#REF!,#REF!,#REF!,#REF!,#REF!,#REF!,#REF!,#REF!,#REF!,#REF!,#REF!,#REF!</definedName>
    <definedName name="Z_44EA93A3_9181_11D4_B4DD_000629AF3DEA_.wvu.Cols">#REF!</definedName>
    <definedName name="Z_47939A2C_A55D_46B4_84FB_3CD5372CD5C0_.wvu.Cols" hidden="1">#REF!,#REF!,#REF!</definedName>
    <definedName name="Z_47939A2C_A55D_46B4_84FB_3CD5372CD5C0_.wvu.Rows" hidden="1">#REF!,#REF!,#REF!,#REF!,#REF!,#REF!,#REF!,#REF!,#REF!,#REF!,#REF!,#REF!,#REF!,#REF!,#REF!,#REF!,#REF!,#REF!,#REF!,#REF!,#REF!,#REF!,#REF!,#REF!,#REF!</definedName>
    <definedName name="Z_535E88E4_32FD_4333_8C66_7B3ECF07C8A8_.wvu.PrintArea" hidden="1">#REF!</definedName>
    <definedName name="Z_53B97FD7_206F_4E0F_BD6E_C5CE50A4020E_.wvu.Cols">#REF!</definedName>
    <definedName name="Z_53B97FD7_206F_4E0F_BD6E_C5CE50A4020E_.wvu.Rows">#REF!</definedName>
    <definedName name="Z_57A5B6D1_774C_11D3_A34A_0050040526C4_.wvu.Cols" hidden="1">#REF!</definedName>
    <definedName name="Z_57A5B6D1_774C_11D3_A34A_0050040526C4_.wvu.FilterData" hidden="1">#REF!</definedName>
    <definedName name="Z_57A5B6D1_774C_11D3_A34A_0050040526C4_.wvu.PrintTitles" hidden="1">#REF!,#REF!</definedName>
    <definedName name="Z_65726B72_CEFC_11D4_AA53_00010301C464_.wvu.Cols" hidden="1">#REF!,#REF!</definedName>
    <definedName name="Z_65726B72_CEFC_11D4_AA53_00010301C464_.wvu.Rows" hidden="1">#REF!</definedName>
    <definedName name="Z_6B0FE324_F74E_11D4_8755_0050DA581453_.wvu.Rows">#REF!</definedName>
    <definedName name="Z_6E95FD23_1423_11D2_AD7B_08001703272A_.wvu.Cols" hidden="1">#REF!,#REF!,#REF!,#REF!,#REF!,#REF!,#REF!,#REF!,#REF!,#REF!</definedName>
    <definedName name="Z_6E95FD23_1423_11D2_AD7B_08001703272A_.wvu.Rows" hidden="1">#REF!,#REF!,#REF!,#REF!,#REF!,#REF!,#REF!,#REF!,#REF!,#REF!,#REF!,#REF!,#REF!,#REF!,#REF!,#REF!,#REF!,#REF!,#REF!,#REF!,#REF!,#REF!,#REF!,#REF!,#REF!,#REF!,#REF!,#REF!,#REF!</definedName>
    <definedName name="Z_74348A01_6D24_11D3_A342_0050040526C4_.wvu.FilterData" hidden="1">#REF!</definedName>
    <definedName name="Z_74348A01_6D24_11D3_A342_0050040526C4_.wvu.PrintTitles" hidden="1">#REF!,#REF!</definedName>
    <definedName name="Z_74E6F881_9937_11D1_87C8_444553540000_.wvu.Rows">#REF!</definedName>
    <definedName name="Z_7A37C2E4_0AA0_489E_98B6_D2B554079708_.wvu.Cols">#REF!</definedName>
    <definedName name="Z_7A37C2E4_0AA0_489E_98B6_D2B554079708_.wvu.PrintArea">#REF!</definedName>
    <definedName name="Z_7A37C2E4_0AA0_489E_98B6_D2B554079708_.wvu.PrintTitles">#REF!</definedName>
    <definedName name="Z_7A37C2E4_0AA0_489E_98B6_D2B554079708_.wvu.Rows">#REF!</definedName>
    <definedName name="Z_7D88F320_5DFA_11D2_AD7B_08001703272A_.wvu.Cols" hidden="1">#REF!,#REF!,#REF!,#REF!,#REF!,#REF!,#REF!,#REF!,#REF!,#REF!</definedName>
    <definedName name="Z_7D88F320_5DFA_11D2_AD7B_08001703272A_.wvu.Rows" hidden="1">#REF!,#REF!,#REF!,#REF!,#REF!,#REF!,#REF!,#REF!,#REF!,#REF!,#REF!,#REF!,#REF!,#REF!,#REF!,#REF!,#REF!,#REF!,#REF!,#REF!,#REF!,#REF!,#REF!,#REF!,#REF!,#REF!,#REF!,#REF!,#REF!</definedName>
    <definedName name="Z_80E05628_A34C_4666_9DEC_E528308A36DF_.wvu.Rows">#REF!</definedName>
    <definedName name="Z_83CC5E40_5920_11D2_B385_0060972C0952_.wvu.Cols" hidden="1">#REF!,#REF!,#REF!,#REF!,#REF!,#REF!</definedName>
    <definedName name="Z_83CC5E40_5920_11D2_B385_0060972C0952_.wvu.Rows" hidden="1">#REF!,#REF!,#REF!,#REF!,#REF!,#REF!,#REF!,#REF!,#REF!,#REF!,#REF!,#REF!,#REF!,#REF!,#REF!,#REF!,#REF!,#REF!,#REF!,#REF!,#REF!,#REF!,#REF!,#REF!,#REF!,#REF!,#REF!,#REF!,#REF!</definedName>
    <definedName name="Z_870DA93B_C7EC_11D1_935A_00A0C95F1362_.wvu.PrintArea">#REF!</definedName>
    <definedName name="Z_87C0A393_8FDF_11D0_B43D_0000F62B346E_.wvu.Cols" hidden="1">#REF!,#REF!,#REF!,#REF!,#REF!</definedName>
    <definedName name="Z_89F84399_5587_4CB2_B788_FDF4E5D8396E_.wvu.PrintArea" hidden="1">#REF!</definedName>
    <definedName name="Z_8C4781CD_B133_11D1_87D1_444553540000_.wvu.Rows">#REF!</definedName>
    <definedName name="Z_8DC60084_7D0D_4E68_9EB7_04861F4A9AF8_.wvu.Cols">#REF!</definedName>
    <definedName name="Z_8DC60084_7D0D_4E68_9EB7_04861F4A9AF8_.wvu.PrintArea">#REF!</definedName>
    <definedName name="Z_8DC60084_7D0D_4E68_9EB7_04861F4A9AF8_.wvu.PrintTitles">#REF!</definedName>
    <definedName name="Z_8DC60084_7D0D_4E68_9EB7_04861F4A9AF8_.wvu.Rows">#REF!</definedName>
    <definedName name="Z_8ED412BE_494E_47E0_A7A3_62D56F893861_.wvu.Cols">#REF!</definedName>
    <definedName name="Z_8ED412BE_494E_47E0_A7A3_62D56F893861_.wvu.PrintArea">#REF!</definedName>
    <definedName name="Z_919A0F12_8EB4_11D0_B43A_0000F62B346E_.wvu.Cols" hidden="1">#REF!,#REF!,#REF!,#REF!,#REF!</definedName>
    <definedName name="Z_925BED80_64FC_11D2_B385_0060972C0952_.wvu.Cols" hidden="1">#REF!,#REF!,#REF!,#REF!,#REF!,#REF!,#REF!,#REF!,#REF!,#REF!</definedName>
    <definedName name="Z_925BED80_64FC_11D2_B385_0060972C0952_.wvu.Rows" hidden="1">#REF!,#REF!,#REF!,#REF!,#REF!,#REF!,#REF!,#REF!,#REF!,#REF!,#REF!,#REF!,#REF!,#REF!,#REF!,#REF!,#REF!,#REF!,#REF!,#REF!,#REF!,#REF!,#REF!,#REF!,#REF!,#REF!,#REF!,#REF!,#REF!</definedName>
    <definedName name="Z_95BFBAA0_7231_11D2_AD7B_08001703272A_.wvu.Cols" hidden="1">#REF!,#REF!,#REF!,#REF!,#REF!,#REF!,#REF!,#REF!,#REF!,#REF!</definedName>
    <definedName name="Z_95BFBAA0_7231_11D2_AD7B_08001703272A_.wvu.Rows" hidden="1">#REF!,#REF!,#REF!,#REF!,#REF!,#REF!,#REF!,#REF!,#REF!,#REF!,#REF!,#REF!,#REF!,#REF!,#REF!,#REF!,#REF!,#REF!,#REF!,#REF!,#REF!,#REF!,#REF!,#REF!,#REF!,#REF!,#REF!,#REF!,#REF!</definedName>
    <definedName name="Z_9858B950_CFCD_11D4_A6D2_00508BC7FCD7_.wvu.Cols" hidden="1">#REF!,#REF!,#REF!,#REF!</definedName>
    <definedName name="Z_9858B950_CFCD_11D4_A6D2_00508BC7FCD7_.wvu.PrintArea" hidden="1">#REF!</definedName>
    <definedName name="Z_9858B950_CFCD_11D4_A6D2_00508BC7FCD7_.wvu.Rows" hidden="1">#REF!,#REF!,#REF!</definedName>
    <definedName name="Z_9B47E6EA_A5DE_11D0_B453_0000F62B346E_.wvu.Cols" hidden="1">#REF!,#REF!,#REF!,#REF!,#REF!</definedName>
    <definedName name="Z_A34D0867_AA68_11D6_98B3_0060B0F8D414_.wvu.PrintTitles">#REF!</definedName>
    <definedName name="Z_A8AE14F4_1E9F_4F94_9C1B_1FA01532CCE5_.wvu.PrintArea">#REF!</definedName>
    <definedName name="Z_A8AE14F4_1E9F_4F94_9C1B_1FA01532CCE5_.wvu.PrintTitles">#REF!</definedName>
    <definedName name="Z_AD0F132B_0410_4BA7_90D7_890FD3888945_.wvu.FilterData" hidden="1">#REF!</definedName>
    <definedName name="Z_B0841432_2BC0_4A1E_9372_2534287640B8_.wvu.Cols">#REF!</definedName>
    <definedName name="Z_B0E457B1_5AE1_41CF_B775_5D8355A4C6D6_.wvu.Cols">#REF!</definedName>
    <definedName name="Z_B0E457B1_5AE1_41CF_B775_5D8355A4C6D6_.wvu.PrintArea">#REF!</definedName>
    <definedName name="Z_B0E457B1_5AE1_41CF_B775_5D8355A4C6D6_.wvu.PrintTitles">#REF!</definedName>
    <definedName name="Z_B0E457B1_5AE1_41CF_B775_5D8355A4C6D6_.wvu.Rows">#REF!</definedName>
    <definedName name="Z_B8D30F00_07A3_48E4_982B_7D435ADE48EE_.wvu.Cols">#REF!</definedName>
    <definedName name="Z_B8D30F00_07A3_48E4_982B_7D435ADE48EE_.wvu.PrintArea">#REF!</definedName>
    <definedName name="Z_B8D30F00_07A3_48E4_982B_7D435ADE48EE_.wvu.Rows">#REF!</definedName>
    <definedName name="Z_BA9C77CC_B925_11D1_87D2_444553540000_.wvu.Rows">#REF!</definedName>
    <definedName name="Z_BE5CA973_A6A8_11D0_B454_0000F62B346E_.wvu.Cols" hidden="1">#REF!,#REF!,#REF!,#REF!,#REF!</definedName>
    <definedName name="Z_BE5CA977_A6A8_11D0_B454_0000F62B346E_.wvu.Cols" hidden="1">#REF!,#REF!,#REF!,#REF!,#REF!</definedName>
    <definedName name="Z_C00E0055_D79E_11D4_84AD_00D0B7B3CB09_.wvu.Cols" hidden="1">#REF!,#REF!</definedName>
    <definedName name="Z_C00E0055_D79E_11D4_84AD_00D0B7B3CB09_.wvu.Rows" hidden="1">#REF!</definedName>
    <definedName name="Z_C1610CA5_A685_471B_92D9_B0F3E985986C_.wvu.Cols">#REF!</definedName>
    <definedName name="Z_C1610CA5_A685_471B_92D9_B0F3E985986C_.wvu.PrintArea">#REF!</definedName>
    <definedName name="Z_C1610CA5_A685_471B_92D9_B0F3E985986C_.wvu.PrintTitles">#REF!</definedName>
    <definedName name="Z_C1610CA5_A685_471B_92D9_B0F3E985986C_.wvu.Rows">#REF!</definedName>
    <definedName name="Z_CD3E4CF3_A54F_11D0_B452_0000F62B346E_.wvu.Cols" hidden="1">#REF!,#REF!,#REF!,#REF!,#REF!</definedName>
    <definedName name="Z_D14E4514_50D1_400B_AD84_5C99D0990B8C_.wvu.Cols">#REF!</definedName>
    <definedName name="Z_D14E4514_50D1_400B_AD84_5C99D0990B8C_.wvu.PrintArea">#REF!</definedName>
    <definedName name="Z_D14E4514_50D1_400B_AD84_5C99D0990B8C_.wvu.PrintTitles">#REF!</definedName>
    <definedName name="Z_D14E4514_50D1_400B_AD84_5C99D0990B8C_.wvu.Rows">#REF!</definedName>
    <definedName name="Z_D3F45D3B_5608_11D2_AD7B_08001703272A_.wvu.Cols" hidden="1">#REF!,#REF!,#REF!,#REF!,#REF!,#REF!,#REF!</definedName>
    <definedName name="Z_D3F45D3B_5608_11D2_AD7B_08001703272A_.wvu.Rows" hidden="1">#REF!,#REF!,#REF!,#REF!,#REF!,#REF!,#REF!,#REF!,#REF!,#REF!,#REF!,#REF!,#REF!,#REF!,#REF!,#REF!,#REF!,#REF!,#REF!,#REF!,#REF!,#REF!,#REF!,#REF!,#REF!,#REF!,#REF!,#REF!,#REF!</definedName>
    <definedName name="Z_D3F45D42_5608_11D2_AD7B_08001703272A_.wvu.Cols" hidden="1">#REF!,#REF!,#REF!,#REF!,#REF!,#REF!</definedName>
    <definedName name="Z_D3F45D42_5608_11D2_AD7B_08001703272A_.wvu.Rows" hidden="1">#REF!,#REF!,#REF!,#REF!,#REF!,#REF!,#REF!,#REF!,#REF!,#REF!,#REF!,#REF!,#REF!,#REF!,#REF!,#REF!,#REF!,#REF!,#REF!,#REF!,#REF!,#REF!,#REF!,#REF!,#REF!,#REF!,#REF!,#REF!,#REF!</definedName>
    <definedName name="Z_D53CE597_A65F_4ECD_83BA_62DCF576C2C6_.wvu.Rows">#REF!</definedName>
    <definedName name="Z_D56E2943_78A1_11D2_AD7B_08001703272A_.wvu.Cols" hidden="1">#REF!,#REF!,#REF!,#REF!,#REF!,#REF!,#REF!,#REF!,#REF!,#REF!</definedName>
    <definedName name="Z_D56E2943_78A1_11D2_AD7B_08001703272A_.wvu.Rows" hidden="1">#REF!,#REF!,#REF!,#REF!,#REF!,#REF!,#REF!,#REF!,#REF!,#REF!,#REF!,#REF!,#REF!,#REF!,#REF!,#REF!,#REF!,#REF!,#REF!,#REF!,#REF!,#REF!,#REF!,#REF!,#REF!,#REF!,#REF!,#REF!,#REF!</definedName>
    <definedName name="Z_D5B65D60_5B77_11D2_B385_0060972C0952_.wvu.Cols" hidden="1">#REF!,#REF!,#REF!,#REF!,#REF!,#REF!,#REF!,#REF!,#REF!,#REF!,#REF!,#REF!</definedName>
    <definedName name="Z_D5B65D60_5B77_11D2_B385_0060972C0952_.wvu.Rows" hidden="1">#REF!,#REF!,#REF!,#REF!,#REF!,#REF!,#REF!,#REF!,#REF!,#REF!,#REF!,#REF!,#REF!,#REF!,#REF!,#REF!,#REF!,#REF!,#REF!,#REF!,#REF!,#REF!,#REF!,#REF!,#REF!,#REF!,#REF!,#REF!,#REF!</definedName>
    <definedName name="Z_D5DCA881_BA8A_11D4_95D5_00508BC7A72F_.wvu.Rows" hidden="1">#REF!,#REF!,#REF!</definedName>
    <definedName name="Z_D61995E3_6DA8_11D2_AD7B_08001703272A_.wvu.Cols" hidden="1">#REF!,#REF!,#REF!,#REF!,#REF!,#REF!,#REF!,#REF!,#REF!,#REF!</definedName>
    <definedName name="Z_D61995E3_6DA8_11D2_AD7B_08001703272A_.wvu.Rows" hidden="1">#REF!,#REF!,#REF!,#REF!,#REF!,#REF!,#REF!,#REF!,#REF!,#REF!,#REF!,#REF!,#REF!,#REF!,#REF!,#REF!,#REF!,#REF!,#REF!,#REF!,#REF!,#REF!,#REF!,#REF!,#REF!,#REF!,#REF!,#REF!,#REF!</definedName>
    <definedName name="Z_E3932E20_584F_11D2_B385_0060972C0952_.wvu.Cols" hidden="1">#REF!,#REF!,#REF!,#REF!,#REF!,#REF!</definedName>
    <definedName name="Z_E3932E20_584F_11D2_B385_0060972C0952_.wvu.Rows" hidden="1">#REF!,#REF!,#REF!,#REF!,#REF!,#REF!,#REF!,#REF!,#REF!,#REF!,#REF!,#REF!,#REF!,#REF!,#REF!,#REF!,#REF!,#REF!,#REF!,#REF!,#REF!,#REF!,#REF!,#REF!,#REF!,#REF!,#REF!,#REF!,#REF!</definedName>
    <definedName name="Z_E4EFD430_64D5_11D2_AD7B_08001703272A_.wvu.Cols" hidden="1">#REF!,#REF!,#REF!,#REF!,#REF!,#REF!,#REF!,#REF!,#REF!,#REF!</definedName>
    <definedName name="Z_E4EFD430_64D5_11D2_AD7B_08001703272A_.wvu.Rows" hidden="1">#REF!,#REF!,#REF!,#REF!,#REF!,#REF!,#REF!,#REF!,#REF!,#REF!,#REF!,#REF!,#REF!,#REF!,#REF!,#REF!,#REF!,#REF!,#REF!,#REF!,#REF!,#REF!,#REF!,#REF!,#REF!,#REF!,#REF!,#REF!,#REF!</definedName>
    <definedName name="Z_E5ADD1E0_5B9E_11D2_AD7B_08001703272A_.wvu.Cols" hidden="1">#REF!,#REF!,#REF!,#REF!,#REF!,#REF!,#REF!,#REF!,#REF!,#REF!,#REF!</definedName>
    <definedName name="Z_E5ADD1E0_5B9E_11D2_AD7B_08001703272A_.wvu.Rows" hidden="1">#REF!,#REF!,#REF!,#REF!,#REF!,#REF!,#REF!,#REF!,#REF!,#REF!,#REF!,#REF!,#REF!,#REF!,#REF!,#REF!,#REF!,#REF!,#REF!,#REF!,#REF!,#REF!,#REF!,#REF!,#REF!,#REF!,#REF!,#REF!,#REF!</definedName>
    <definedName name="Z_F341BC20_5ACE_11D2_AD7B_08001703272A_.wvu.Cols" hidden="1">#REF!,#REF!,#REF!,#REF!,#REF!,#REF!</definedName>
    <definedName name="Z_F341BC20_5ACE_11D2_AD7B_08001703272A_.wvu.Rows" hidden="1">#REF!,#REF!,#REF!,#REF!,#REF!,#REF!,#REF!,#REF!,#REF!,#REF!,#REF!,#REF!,#REF!,#REF!,#REF!,#REF!,#REF!,#REF!,#REF!,#REF!,#REF!,#REF!,#REF!,#REF!,#REF!,#REF!,#REF!,#REF!,#REF!</definedName>
    <definedName name="Z1ZZZZ" hidden="1">{"PRVSN",#N/A,FALSE,"Q196";"PRVSN",#N/A,FALSE,"Q296";"PRVSN",#N/A,FALSE,"Q396";"PRVSN",#N/A,FALSE,"Q496";"VARIANCES",#N/A,FALSE,"Q196";"VARIANCES",#N/A,FALSE,"Q296"}</definedName>
    <definedName name="Za">{"'Sheet3'!$CL$329:$CU$335"}</definedName>
    <definedName name="ZAR">#REF!</definedName>
    <definedName name="zaz">#REF!</definedName>
    <definedName name="zdfb">#REF!</definedName>
    <definedName name="zdfb_1">#REF!</definedName>
    <definedName name="zdrjxm">#REF!</definedName>
    <definedName name="zdrjxm_1">#REF!</definedName>
    <definedName name="zero">#REF!</definedName>
    <definedName name="zero1">#REF!</definedName>
    <definedName name="zero2">#REF!</definedName>
    <definedName name="zero3">#REF!</definedName>
    <definedName name="zero4">#REF!</definedName>
    <definedName name="zero5">#REF!</definedName>
    <definedName name="zezere">{"'1-TheatreBkgs'!$A$1:$L$102"}</definedName>
    <definedName name="zfgha">#REF!</definedName>
    <definedName name="zfgzsdfgzsdf">#REF!</definedName>
    <definedName name="ZFSDAHDDGHFSGF" hidden="1">{#N/A,#N/A,FALSE,"1";#N/A,#N/A,FALSE,"2";#N/A,#N/A,FALSE,"16 - 17";#N/A,#N/A,FALSE,"18 - 19";#N/A,#N/A,FALSE,"26";#N/A,#N/A,FALSE,"27";#N/A,#N/A,FALSE,"28"}</definedName>
    <definedName name="zfzsf">#REF!</definedName>
    <definedName name="Zip">#REF!</definedName>
    <definedName name="zo" hidden="1">{#N/A,#N/A,FALSE,"Australia";#N/A,#N/A,FALSE,"Austria";#N/A,#N/A,FALSE,"Belgium";#N/A,#N/A,FALSE,"Canada";#N/A,#N/A,FALSE,"France";#N/A,#N/A,FALSE,"Germany";#N/A,#N/A,FALSE,"Hong Kong";#N/A,#N/A,FALSE,"Italy";#N/A,#N/A,FALSE,"Japan";#N/A,#N/A,FALSE,"Korea";#N/A,#N/A,FALSE,"Mexico";#N/A,#N/A,FALSE,"Poland";#N/A,#N/A,FALSE,"Spain";#N/A,#N/A,FALSE,"Switzerland";#N/A,#N/A,FALSE,"UK"}</definedName>
    <definedName name="zon" hidden="1">{#N/A,#N/A,FALSE,"Australia";#N/A,#N/A,FALSE,"Austria";#N/A,#N/A,FALSE,"Belgium";#N/A,#N/A,FALSE,"Canada";#N/A,#N/A,FALSE,"France";#N/A,#N/A,FALSE,"Germany";#N/A,#N/A,FALSE,"Hong Kong";#N/A,#N/A,FALSE,"Italy";#N/A,#N/A,FALSE,"Japan";#N/A,#N/A,FALSE,"Korea";#N/A,#N/A,FALSE,"Mexico";#N/A,#N/A,FALSE,"Poland";#N/A,#N/A,FALSE,"Spain";#N/A,#N/A,FALSE,"Switzerland";#N/A,#N/A,FALSE,"UK"}</definedName>
    <definedName name="Zones5">#REF!</definedName>
    <definedName name="Zones7">#REF!</definedName>
    <definedName name="zop" hidden="1">{#N/A,#N/A,FALSE,"Title";#N/A,#N/A,FALSE,"Index";#N/A,#N/A,FALSE,"1";#N/A,#N/A,FALSE,"2";#N/A,#N/A,FALSE,"3";#N/A,#N/A,FALSE,"4";#N/A,#N/A,FALSE,"5";#N/A,#N/A,FALSE,"6";#N/A,#N/A,FALSE,"7";#N/A,#N/A,FALSE,"8"}</definedName>
    <definedName name="zre" hidden="1">{"PRVSN",#N/A,FALSE,"Q196";"PRVSN",#N/A,FALSE,"Q296";"PRVSN",#N/A,FALSE,"Q396";"PRVSN",#N/A,FALSE,"Q496";"VARIANCES",#N/A,FALSE,"Q196";"VARIANCES",#N/A,FALSE,"Q296"}</definedName>
    <definedName name="zs">#REF!</definedName>
    <definedName name="zsdas">#REF!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 hidden="1">{#N/A,#N/A,FALSE,"초도품";#N/A,#N/A,FALSE,"초도품 (2)";#N/A,#N/A,FALSE,"초도품 (3)";#N/A,#N/A,FALSE,"초도품 (4)";#N/A,#N/A,FALSE,"초도품 (5)";#N/A,#N/A,FALSE,"초도품 (6)"}</definedName>
    <definedName name="zxcas" hidden="1">{#N/A,#N/A,FALSE,"KMC최종회의(7월) 자료"}</definedName>
    <definedName name="zxcvb" hidden="1">#REF!</definedName>
    <definedName name="zxczz">#REF!</definedName>
    <definedName name="zxgjfky">#REF!</definedName>
    <definedName name="zxgjfky_1">#REF!</definedName>
    <definedName name="zxnxg">#REF!</definedName>
    <definedName name="zxnxg_1">#REF!</definedName>
    <definedName name="zz">#REF!</definedName>
    <definedName name="zzee" hidden="1">{#N/A,#N/A,FALSE,"Pharm";#N/A,#N/A,FALSE,"WWCM"}</definedName>
    <definedName name="zzop" hidden="1">{#N/A,#N/A,FALSE,"Title";#N/A,#N/A,FALSE,"Index";#N/A,#N/A,FALSE,"1";#N/A,#N/A,FALSE,"2";#N/A,#N/A,FALSE,"3";#N/A,#N/A,FALSE,"4";#N/A,#N/A,FALSE,"5";#N/A,#N/A,FALSE,"5A";#N/A,#N/A,FALSE,"6";#N/A,#N/A,FALSE,"7";#N/A,#N/A,FALSE,"8"}</definedName>
    <definedName name="zzz" hidden="1">{"Page1",#N/A,FALSE,"CF WKSHT";"Page2",#N/A,FALSE,"CF WKSHT"}</definedName>
    <definedName name="zzz.com">#REF!</definedName>
    <definedName name="ZZZ_3">#REF!</definedName>
    <definedName name="zzzz" hidden="1">{"Page1",#N/A,FALSE,"CF WKSHT";"Page2",#N/A,FALSE,"CF WKSHT"}</definedName>
    <definedName name="ZZZZxxxxxZZZZZ">#REF!</definedName>
    <definedName name="ZZZZZ" hidden="1">{"PRVSN",#N/A,FALSE,"Q196";"PRVSN",#N/A,FALSE,"Q296";"PRVSN",#N/A,FALSE,"Q396";"PRVSN",#N/A,FALSE,"Q496";"VARIANCES",#N/A,FALSE,"Q196";"VARIANCES",#N/A,FALSE,"Q296"}</definedName>
    <definedName name="Ε_샥dⅨ">#REF!</definedName>
    <definedName name="ппп" hidden="1">#N/A</definedName>
    <definedName name="あああ">{"'TYPE (2)'!$A$1:$Q$76"}</definedName>
    <definedName name="ｲﾁﾈﾝ">#REF!</definedName>
    <definedName name="ｵﾘｯｸｽ">#REF!</definedName>
    <definedName name="ｵﾘｯｸｽ車">#REF!</definedName>
    <definedName name="ｾﾝﾄﾗﾙ">#REF!</definedName>
    <definedName name="その他の投資" hidden="1">{"'買掛金'!$J$6"}</definedName>
    <definedName name="その他税金">#REF!</definedName>
    <definedName name="っっｂ" hidden="1">{"'買掛金'!$J$6"}</definedName>
    <definedName name="ﾃｸﾉﾚﾝﾄ">#REF!</definedName>
    <definedName name="テスト" hidden="1">{"'買掛金'!$J$6"}</definedName>
    <definedName name="ﾄﾖﾀ">#REF!</definedName>
    <definedName name="ﾅｼｮﾅﾙ1">#REF!</definedName>
    <definedName name="ﾅｼｮﾅﾙ2">#REF!</definedName>
    <definedName name="ﾋﾞｰｴｽﾃｨ">#REF!</definedName>
    <definedName name="ﾌｧｯｸｽ">#REF!</definedName>
    <definedName name="リース料">#REF!</definedName>
    <definedName name="ﾘｺｰﾘｰｽ">#REF!</definedName>
    <definedName name="אאא">#REF!</definedName>
    <definedName name="אאא1" hidden="1">{#N/A,#N/A,FALSE,"מאזן בוחן";"כל_מאזן_בוחן",#N/A,FALSE,"מאזן בוחן"}</definedName>
    <definedName name="באורים">#REF!</definedName>
    <definedName name="בככ">#REF!</definedName>
    <definedName name="בככ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גילגול">#REF!</definedName>
    <definedName name="דוח_תזרים_הגשה">#REF!</definedName>
    <definedName name="דוח_תזרים_צרפת">#REF!</definedName>
    <definedName name="דוח_תזרים_קיימן">#REF!</definedName>
    <definedName name="חברה">#REF!</definedName>
    <definedName name="חח">#REF!</definedName>
    <definedName name="לל">#REF!</definedName>
    <definedName name="מ">#REF!</definedName>
    <definedName name="מאזן_">#REF!</definedName>
    <definedName name="מאזן_אקטיב_ארהב">#REF!</definedName>
    <definedName name="מאזן_אקטיב_הגשה">#REF!</definedName>
    <definedName name="מאזן_אקטיב_ישראל">#REF!</definedName>
    <definedName name="מאזן_אקטיב_צרפת">#REF!</definedName>
    <definedName name="מאזן_אקטיב_קיימן">#REF!</definedName>
    <definedName name="מאזן_בוחן_כללי_1" hidden="1">{#N/A,#N/A,FALSE,"מאזן בוחן";"כל_מאזן_בוחן",#N/A,FALSE,"מאזן בוחן"}</definedName>
    <definedName name="מאזן_בוחן_כללי1" hidden="1">{#N/A,#N/A,FALSE,"מאזן בוחן";"כל_מאזן_בוחן",#N/A,FALSE,"מאזן בוחן"}</definedName>
    <definedName name="מאזן_פאסיב_ארהב">#REF!</definedName>
    <definedName name="מאזן_פאסיב_הגשה">#REF!</definedName>
    <definedName name="מאזן_פאסיב_ישראל">#REF!</definedName>
    <definedName name="מאזן_פאסיב_צרפת">#REF!</definedName>
    <definedName name="מאזן_פאסיב_קיימן">#REF!</definedName>
    <definedName name="מדד_חודש_97__9">"a"</definedName>
    <definedName name="מזומן">#REF!</definedName>
    <definedName name="נ">#REF!</definedName>
    <definedName name="סעיפי_מאזן_בוחן_1"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עמוד_אינדקס">#REF!</definedName>
    <definedName name="עמוד_פתיחה">#REF!</definedName>
    <definedName name="רווח_והפסד_ארהב">#REF!</definedName>
    <definedName name="רווח_והפסד_הגשה">#REF!</definedName>
    <definedName name="רווח_והפסד_ישראל">#REF!</definedName>
    <definedName name="רווח_והפסד_צרפת">#REF!</definedName>
    <definedName name="רווח_והפסד_קיימן">#REF!</definedName>
    <definedName name="תרמאזן">#REF!</definedName>
    <definedName name="ㄱ">#REF!</definedName>
    <definedName name="ㄱ_3">#REF!</definedName>
    <definedName name="ㄱ1">#REF!</definedName>
    <definedName name="ㄱㄱ" hidden="1">{#N/A,#N/A,FALSE,"UNIT";#N/A,#N/A,FALSE,"UNIT";#N/A,#N/A,FALSE,"계정"}</definedName>
    <definedName name="ㄱㄱㄱ" hidden="1">{#N/A,#N/A,FALSE,"UNIT";#N/A,#N/A,FALSE,"UNIT";#N/A,#N/A,FALSE,"계정"}</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 hidden="1">{#N/A,#N/A,FALSE,"UNIT";#N/A,#N/A,FALSE,"UNIT";#N/A,#N/A,FALSE,"계정"}</definedName>
    <definedName name="ㄱㄱㄱㄱㄱㄱ" hidden="1">#REF!</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ㄹㄹㄹㄹㄹㄹ" hidden="1">{#N/A,#N/A,TRUE,"Y생산";#N/A,#N/A,TRUE,"Y판매";#N/A,#N/A,TRUE,"Y총물량";#N/A,#N/A,TRUE,"Y능력";#N/A,#N/A,TRUE,"YKD"}</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ㅇㅎ">#REF!</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가">#REF!</definedName>
    <definedName name="가1" hidden="1">{#N/A,#N/A,TRUE,"Y생산";#N/A,#N/A,TRUE,"Y판매";#N/A,#N/A,TRUE,"Y총물량";#N/A,#N/A,TRUE,"Y능력";#N/A,#N/A,TRUE,"YKD"}</definedName>
    <definedName name="가가" hidden="1">{#N/A,#N/A,FALSE,"Sheet5"}</definedName>
    <definedName name="가각" hidden="1">{#N/A,#N/A,FALSE,"Sheet5"}</definedName>
    <definedName name="가결산" hidden="1">{#N/A,#N/A,TRUE,"Summary";#N/A,#N/A,TRUE,"IS";#N/A,#N/A,TRUE,"Adj";#N/A,#N/A,TRUE,"BS";#N/A,#N/A,TRUE,"CF";#N/A,#N/A,TRUE,"Debt";#N/A,#N/A,TRUE,"IRR"}</definedName>
    <definedName name="가나" hidden="1">#REF!</definedName>
    <definedName name="가나다">#REF!</definedName>
    <definedName name="가나다오" hidden="1">{#N/A,#N/A,FALSE,"정공"}</definedName>
    <definedName name="가람" hidden="1">#REF!</definedName>
    <definedName name="가미"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미_3">#REF!</definedName>
    <definedName name="가아ㅓ라어" hidden="1">{#N/A,#N/A,FALSE,"초도품";#N/A,#N/A,FALSE,"초도품 (2)";#N/A,#N/A,FALSE,"초도품 (3)";#N/A,#N/A,FALSE,"초도품 (4)";#N/A,#N/A,FALSE,"초도품 (5)";#N/A,#N/A,FALSE,"초도품 (6)"}</definedName>
    <definedName name="가지급금" hidden="1">{#N/A,#N/A,FALSE,"Aging Summary";#N/A,#N/A,FALSE,"Ratio Analysis";#N/A,#N/A,FALSE,"Test 120 Day Accts";#N/A,#N/A,FALSE,"Tickmarks"}</definedName>
    <definedName name="각"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각_3">#REF!</definedName>
    <definedName name="간" hidden="1">{#N/A,#N/A,FALSE,"UNIT";#N/A,#N/A,FALSE,"UNIT";#N/A,#N/A,FALSE,"계정"}</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_3">#REF!</definedName>
    <definedName name="감가" hidden="1">{"'통신지'!$A$1:$J$41"}</definedName>
    <definedName name="감가overall" hidden="1">{#N/A,#N/A,FALSE,"Aging Summary";#N/A,#N/A,FALSE,"Ratio Analysis";#N/A,#N/A,FALSE,"Test 120 Day Accts";#N/A,#N/A,FALSE,"Tickmarks"}</definedName>
    <definedName name="감가overall_3">#REF!</definedName>
    <definedName name="감가상" hidden="1">{"'통신지'!$A$1:$J$41"}</definedName>
    <definedName name="감가상각">#REF!</definedName>
    <definedName name="감가상각비">#REF!</definedName>
    <definedName name="감가상각비2" hidden="1">{#N/A,#N/A,FALSE,"Aging Summary";#N/A,#N/A,FALSE,"Ratio Analysis";#N/A,#N/A,FALSE,"Test 120 Day Accts";#N/A,#N/A,FALSE,"Tickmarks"}</definedName>
    <definedName name="감가상각비2_3">#REF!</definedName>
    <definedName name="감가상각재계산" hidden="1">{"'통신지'!$A$1:$J$41"}</definedName>
    <definedName name="감가상각재계산수정전" hidden="1">{"'통신지'!$A$1:$J$41"}</definedName>
    <definedName name="감가상갃ㄴ" hidden="1">{"'통신지'!$A$1:$J$41"}</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갔" hidden="1">{#N/A,#N/A,FALSE,"Sheet5"}</definedName>
    <definedName name="강" hidden="1">{#N/A,#N/A,FALSE,"Sheet5"}</definedName>
    <definedName name="강용" hidden="1">{"'Sheet1'!$A$1:$H$36"}</definedName>
    <definedName name="강원트래픽">#REF!</definedName>
    <definedName name="갤로" hidden="1">{#N/A,#N/A,FALSE,"정공"}</definedName>
    <definedName name="거래처명1">#REF!</definedName>
    <definedName name="거리도모" hidden="1">{#N/A,#N/A,FALSE,"BS";#N/A,#N/A,FALSE,"PL";#N/A,#N/A,FALSE,"처분";#N/A,#N/A,FALSE,"현금";#N/A,#N/A,FALSE,"매출";#N/A,#N/A,FALSE,"원가";#N/A,#N/A,FALSE,"경영"}</definedName>
    <definedName name="건">{"'손익현황'!$A$1:$J$29"}</definedName>
    <definedName name="건가_개발비">#REF!</definedName>
    <definedName name="건물">{"'손익현황'!$A$1:$J$29"}</definedName>
    <definedName name="건물2">#REF!</definedName>
    <definedName name="건물임.">{"'손익현황'!$A$1:$J$29"}</definedName>
    <definedName name="건설">{"'표지'!$B$5"}</definedName>
    <definedName name="건임">{"'손익현황'!$A$1:$J$29"}</definedName>
    <definedName name="검사공정">#REF!</definedName>
    <definedName name="결산">37802</definedName>
    <definedName name="결산일">"2003년12월31일"</definedName>
    <definedName name="결손금">#REF!</definedName>
    <definedName name="결영" hidden="1">{#N/A,#N/A,FALSE,"P.C.B"}</definedName>
    <definedName name="경남은행">#REF!</definedName>
    <definedName name="경리" hidden="1">{#N/A,#N/A,FALSE,"P.C.B"}</definedName>
    <definedName name="경리손익" hidden="1">{#N/A,#N/A,FALSE,"정공"}</definedName>
    <definedName name="경비실적" hidden="1">{#N/A,#N/A,FALSE,"정공"}</definedName>
    <definedName name="경비예산">#REF!,#REF!</definedName>
    <definedName name="경영" hidden="1">{"'Sheet1'!$A$1:$H$36"}</definedName>
    <definedName name="경영지원부문">#REF!</definedName>
    <definedName name="경영지표2" hidden="1">#REF!</definedName>
    <definedName name="경주" hidden="1">{#N/A,#N/A,FALSE,"손익표지";#N/A,#N/A,FALSE,"손익계산";#N/A,#N/A,FALSE,"일반관리비";#N/A,#N/A,FALSE,"영업외수익";#N/A,#N/A,FALSE,"영업외비용";#N/A,#N/A,FALSE,"매출액";#N/A,#N/A,FALSE,"요약손익";#N/A,#N/A,FALSE,"요약대차";#N/A,#N/A,FALSE,"매출채권현황";#N/A,#N/A,FALSE,"매출채권명세"}</definedName>
    <definedName name="계">#REF!</definedName>
    <definedName name="계량기재료비분석" hidden="1">{#N/A,#N/A,FALSE,"UNIT";#N/A,#N/A,FALSE,"UNIT";#N/A,#N/A,FALSE,"계정"}</definedName>
    <definedName name="계산근거용" hidden="1">{#N/A,#N/A,FALSE,"KMC최종회의(7월) 자료"}</definedName>
    <definedName name="계정">#REF!</definedName>
    <definedName name="계정1">#REF!</definedName>
    <definedName name="계정11">#REF!</definedName>
    <definedName name="계정2">#REF!</definedName>
    <definedName name="계정3">#REF!</definedName>
    <definedName name="계정4">#REF!</definedName>
    <definedName name="계정과목">#REF!</definedName>
    <definedName name="계정명세서" hidden="1">{#N/A,#N/A,FALSE,"Sheet5"}</definedName>
    <definedName name="계정코드">#REF!</definedName>
    <definedName name="계획" hidden="1">{#N/A,#N/A,FALSE,"UNIT";#N/A,#N/A,FALSE,"UNIT";#N/A,#N/A,FALSE,"계정"}</definedName>
    <definedName name="계획1" hidden="1">{#N/A,#N/A,FALSE,"UNIT";#N/A,#N/A,FALSE,"UNIT";#N/A,#N/A,FALSE,"계정"}</definedName>
    <definedName name="계획2" hidden="1">{#N/A,#N/A,FALSE,"정공"}</definedName>
    <definedName name="고객베네핏">#REF!</definedName>
    <definedName name="고정광고비">#REF!</definedName>
    <definedName name="고정이하">#REF!</definedName>
    <definedName name="고처분">#REF!</definedName>
    <definedName name="골라인쇄">#REF!</definedName>
    <definedName name="공">{"'손익현황'!$A$1:$J$29"}</definedName>
    <definedName name="공구">{"'손익현황'!$A$1:$J$29"}</definedName>
    <definedName name="공구기구">{"'손익현황'!$A$1:$J$29"}</definedName>
    <definedName name="공비">#REF!</definedName>
    <definedName name="공사일정복" hidden="1">{#N/A,#N/A,FALSE,"표지";#N/A,#N/A,FALSE,"주요지표";#N/A,#N/A,FALSE,"고장현황(시간)";#N/A,#N/A,FALSE,"고장현황(1제강)"}</definedName>
    <definedName name="공수투입" hidden="1">{#N/A,#N/A,FALSE,"정공"}</definedName>
    <definedName name="공장">#REF!</definedName>
    <definedName name="공장별">#REF!,#REF!,#REF!,#REF!</definedName>
    <definedName name="공정별">{"'Sheet1'!$A$1:$H$36"}</definedName>
    <definedName name="공통광고비">#REF!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금서버">#REF!</definedName>
    <definedName name="과금소프트">#REF!</definedName>
    <definedName name="과세제외" hidden="1">{#N/A,#N/A,FALSE,"세무양식01";#N/A,#N/A,FALSE,"세무양식02";#N/A,#N/A,FALSE,"세무양식03"}</definedName>
    <definedName name="과정">#REF!</definedName>
    <definedName name="곽">#REF!</definedName>
    <definedName name="곽윤식" hidden="1">{#N/A,#N/A,FALSE,"Sheet5"}</definedName>
    <definedName name="관리지표" hidden="1">{#N/A,#N/A,FALSE,"P.C.B"}</definedName>
    <definedName name="관세">#REF!</definedName>
    <definedName name="관할세무서지">#REF!</definedName>
    <definedName name="광">#REF!</definedName>
    <definedName name="광고선전비">#REF!</definedName>
    <definedName name="광고수수료">#REF!</definedName>
    <definedName name="광고원가명세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광주공장" hidden="1">#REF!</definedName>
    <definedName name="괜찮아" hidden="1">{#N/A,#N/A,FALSE,"손익표지";#N/A,#N/A,FALSE,"손익계산";#N/A,#N/A,FALSE,"일반관리비";#N/A,#N/A,FALSE,"영업외수익";#N/A,#N/A,FALSE,"영업외비용";#N/A,#N/A,FALSE,"매출액";#N/A,#N/A,FALSE,"요약손익";#N/A,#N/A,FALSE,"요약대차";#N/A,#N/A,FALSE,"매출채권현황";#N/A,#N/A,FALSE,"매출채권명세"}</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세" hidden="1">{#N/A,#N/A,FALSE,"세무양식01";#N/A,#N/A,FALSE,"세무양식02";#N/A,#N/A,FALSE,"세무양식03"}</definedName>
    <definedName name="교육훈련">#REF!</definedName>
    <definedName name="구">{"'손익현황'!$A$1:$J$29"}</definedName>
    <definedName name="구기지국명별">#REF!</definedName>
    <definedName name="구매">#REF!</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부품TOT" hidden="1">{#N/A,#N/A,FALSE,"Aging Summary";#N/A,#N/A,FALSE,"Ratio Analysis";#N/A,#N/A,FALSE,"Test 120 Day Accts";#N/A,#N/A,FALSE,"Tickmarks"}</definedName>
    <definedName name="구매부품TOT_3">#REF!</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#REF!</definedName>
    <definedName name="구축물">{"'손익현황'!$A$1:$J$29"}</definedName>
    <definedName name="구축물임">{"'손익현황'!$A$1:$J$29"}</definedName>
    <definedName name="구축본부" hidden="1">{#N/A,#N/A,FALSE,"3가";#N/A,#N/A,FALSE,"3나";#N/A,#N/A,FALSE,"3다"}</definedName>
    <definedName name="구축본부_3">#REF!</definedName>
    <definedName name="국_내_매_출">#REF!</definedName>
    <definedName name="국내SAP2">{"'표지'!$B$5"}</definedName>
    <definedName name="국문2" hidden="1">{#N/A,#N/A,FALSE,"BS";#N/A,#N/A,FALSE,"PL";#N/A,#N/A,FALSE,"처분";#N/A,#N/A,FALSE,"현금";#N/A,#N/A,FALSE,"매출";#N/A,#N/A,FALSE,"원가";#N/A,#N/A,FALSE,"경영"}</definedName>
    <definedName name="국문3" hidden="1">{#N/A,#N/A,FALSE,"BS";#N/A,#N/A,FALSE,"PL";#N/A,#N/A,FALSE,"A";#N/A,#N/A,FALSE,"B";#N/A,#N/A,FALSE,"B1";#N/A,#N/A,FALSE,"C";#N/A,#N/A,FALSE,"C1";#N/A,#N/A,FALSE,"C2";#N/A,#N/A,FALSE,"D";#N/A,#N/A,FALSE,"E";#N/A,#N/A,FALSE,"F";#N/A,#N/A,FALSE,"AA";#N/A,#N/A,FALSE,"BB";#N/A,#N/A,FALSE,"CC";#N/A,#N/A,FALSE,"DD";#N/A,#N/A,FALSE,"EE";#N/A,#N/A,FALSE,"FF";#N/A,#N/A,FALSE,"PL10";#N/A,#N/A,FALSE,"PL20";#N/A,#N/A,FALSE,"PL30"}</definedName>
    <definedName name="국민연금전환금">#REF!</definedName>
    <definedName name="국산화">#REF!,#REF!</definedName>
    <definedName name="국소수_서울">#REF!</definedName>
    <definedName name="국순당">#REF!</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_3">#REF!</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군">#REF!</definedName>
    <definedName name="군매출">#REF!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_3">#REF!</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래드">#REF!</definedName>
    <definedName name="그리도무지" hidden="1">{#N/A,#N/A,FALSE,"BS";#N/A,#N/A,FALSE,"PL";#N/A,#N/A,FALSE,"처분";#N/A,#N/A,FALSE,"현금";#N/A,#N/A,FALSE,"매출";#N/A,#N/A,FALSE,"원가";#N/A,#N/A,FALSE,"경영"}</definedName>
    <definedName name="그리움" hidden="1">{#N/A,#N/A,FALSE,"Sheet5"}</definedName>
    <definedName name="금월" hidden="1">{#N/A,#N/A,TRUE,"Y생산";#N/A,#N/A,TRUE,"Y판매";#N/A,#N/A,TRUE,"Y총물량";#N/A,#N/A,TRUE,"Y능력";#N/A,#N/A,TRUE,"YKD"}</definedName>
    <definedName name="금융미수잔존외화">#REF!</definedName>
    <definedName name="금융미수잔존원화">#REF!</definedName>
    <definedName name="금융선수잔존외화">#REF!</definedName>
    <definedName name="금융선수잔존원화">#REF!</definedName>
    <definedName name="급여">#REF!</definedName>
    <definedName name="급여1" hidden="1">#REF!</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간보정분_외화">#REF!</definedName>
    <definedName name="기간보정분_원화">#REF!</definedName>
    <definedName name="기계" hidden="1">#REF!</definedName>
    <definedName name="기계장치">{"'손익현황'!$A$1:$J$29"}</definedName>
    <definedName name="기계장치2" hidden="1">{#N/A,#N/A,FALSE,"UNIT";#N/A,#N/A,FALSE,"UNIT";#N/A,#N/A,FALSE,"계정"}</definedName>
    <definedName name="기계평수">#REF!</definedName>
    <definedName name="기계필요평수">#REF!</definedName>
    <definedName name="기구">#REF!</definedName>
    <definedName name="기기" hidden="1">{#N/A,#N/A,FALSE,"UNIT";#N/A,#N/A,FALSE,"UNIT";#N/A,#N/A,FALSE,"계정"}</definedName>
    <definedName name="기기투자리스트" hidden="1">{#N/A,#N/A,FALSE,"UNIT";#N/A,#N/A,FALSE,"UNIT";#N/A,#N/A,FALSE,"계정"}</definedName>
    <definedName name="기말">#REF!</definedName>
    <definedName name="기말중점검토">#REF!</definedName>
    <definedName name="기번">#REF!</definedName>
    <definedName name="기부금">#REF!</definedName>
    <definedName name="기부금기본화면">#REF!</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1" hidden="1">{#N/A,#N/A,FALSE,"손익표지";#N/A,#N/A,FALSE,"손익계산";#N/A,#N/A,FALSE,"일반관리비";#N/A,#N/A,FALSE,"영업외수익";#N/A,#N/A,FALSE,"영업외비용";#N/A,#N/A,FALSE,"매출액";#N/A,#N/A,FALSE,"요약손익";#N/A,#N/A,FALSE,"요약대차";#N/A,#N/A,FALSE,"매출채권현황";#N/A,#N/A,FALSE,"매출채권명세"}</definedName>
    <definedName name="기아모텍" hidden="1">{#N/A,#N/A,FALSE,"정공"}</definedName>
    <definedName name="기아전자" hidden="1">{#N/A,#N/A,FALSE,"정공"}</definedName>
    <definedName name="기업자유_5103">#REF!</definedName>
    <definedName name="기업투자">#REF!</definedName>
    <definedName name="기존" hidden="1">{#N/A,#N/A,FALSE,"UNIT";#N/A,#N/A,FALSE,"UNIT";#N/A,#N/A,FALSE,"계정"}</definedName>
    <definedName name="기준">#REF!</definedName>
    <definedName name="기준시점">#REF!</definedName>
    <definedName name="기준일">#REF!</definedName>
    <definedName name="기준차이조정" hidden="1">{"'손익현황'!$A$1:$J$29"}</definedName>
    <definedName name="기초">#REF!</definedName>
    <definedName name="기타수수료" hidden="1">{#N/A,#N/A,FALSE,"세무양식01";#N/A,#N/A,FALSE,"세무양식02";#N/A,#N/A,FALSE,"세무양식03"}</definedName>
    <definedName name="기획">#REF!</definedName>
    <definedName name="김" hidden="1">{#N/A,#N/A,FALSE,"Aging Summary";#N/A,#N/A,FALSE,"Ratio Analysis";#N/A,#N/A,FALSE,"Test 120 Day Accts";#N/A,#N/A,FALSE,"Tickmarks"}</definedName>
    <definedName name="김_3">#REF!</definedName>
    <definedName name="김권두" hidden="1">{#N/A,#N/A,FALSE,"Sheet5"}</definedName>
    <definedName name="김권수" hidden="1">{#N/A,#N/A,FALSE,"Sheet5"}</definedName>
    <definedName name="김대업" hidden="1">{#N/A,#N/A,FALSE,"기술료 비교"}</definedName>
    <definedName name="김도형" hidden="1">{#N/A,#N/A,FALSE,"Sheet5"}</definedName>
    <definedName name="김민석">#REF!</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종묵" hidden="1">{#N/A,#N/A,FALSE,"기술료 비교"}</definedName>
    <definedName name="김종신">{"'Sheet1'!$A$1:$H$36"}</definedName>
    <definedName name="김지은" hidden="1">{#N/A,#N/A,FALSE,"세무양식01";#N/A,#N/A,FALSE,"세무양식02";#N/A,#N/A,FALSE,"세무양식03"}</definedName>
    <definedName name="김춘진" hidden="1">{#N/A,#N/A,FALSE,"Sheet5"}</definedName>
    <definedName name="김현영" hidden="1">{#N/A,#N/A,FALSE,"Sheet5"}</definedName>
    <definedName name="김희란">{"'Sheet1'!$A$1:$H$36"}</definedName>
    <definedName name="ㄲ">#REF!</definedName>
    <definedName name="ㄳㄱ" hidden="1">{#N/A,#N/A,FALSE,"Aging Summary";#N/A,#N/A,FALSE,"Ratio Analysis";#N/A,#N/A,FALSE,"Test 120 Day Accts";#N/A,#N/A,FALSE,"Tickmarks"}</definedName>
    <definedName name="ㄳㄱ_3">#REF!</definedName>
    <definedName name="ㄴ">#REF!</definedName>
    <definedName name="ㄴ_3">#REF!</definedName>
    <definedName name="ㄴㄴ">{"'표지'!$B$5"}</definedName>
    <definedName name="ㄴㄴㄴ" hidden="1">{#N/A,#N/A,FALSE,"BS";#N/A,#N/A,FALSE,"PL";#N/A,#N/A,FALSE,"처분";#N/A,#N/A,FALSE,"현금";#N/A,#N/A,FALSE,"매출";#N/A,#N/A,FALSE,"원가";#N/A,#N/A,FALSE,"경영"}</definedName>
    <definedName name="ㄴㄴㄴㄴ" hidden="1">{#N/A,#N/A,FALSE,"UNIT";#N/A,#N/A,FALSE,"UNIT";#N/A,#N/A,FALSE,"계정"}</definedName>
    <definedName name="ㄴㄴㄴㄴㄴㄴㄴㄴ" hidden="1">{"'손익현황'!$A$1:$J$29"}</definedName>
    <definedName name="ㄴㄹㅇ" hidden="1">{#N/A,#N/A,FALSE,"Aging Summary";#N/A,#N/A,FALSE,"Ratio Analysis";#N/A,#N/A,FALSE,"Test 120 Day Accts";#N/A,#N/A,FALSE,"Tickmarks"}</definedName>
    <definedName name="ㄴㄹㅇ_3">#REF!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ㄻㄴㄹ" hidden="1">#REF!</definedName>
    <definedName name="ㄴㄻㅇ">{"'표지'!$B$5"}</definedName>
    <definedName name="ㄴㅁㅇ" hidden="1">{#N/A,#N/A,FALSE,"BS";#N/A,#N/A,FALSE,"PL";#N/A,#N/A,FALSE,"A";#N/A,#N/A,FALSE,"B";#N/A,#N/A,FALSE,"B1";#N/A,#N/A,FALSE,"C";#N/A,#N/A,FALSE,"C1";#N/A,#N/A,FALSE,"C2";#N/A,#N/A,FALSE,"D";#N/A,#N/A,FALSE,"E";#N/A,#N/A,FALSE,"F";#N/A,#N/A,FALSE,"AA";#N/A,#N/A,FALSE,"BB";#N/A,#N/A,FALSE,"CC";#N/A,#N/A,FALSE,"DD";#N/A,#N/A,FALSE,"EE";#N/A,#N/A,FALSE,"FF";#N/A,#N/A,FALSE,"PL10";#N/A,#N/A,FALSE,"PL20";#N/A,#N/A,FALSE,"PL30"}</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_3">#REF!</definedName>
    <definedName name="ㄴㅇㄹ" hidden="1">{#N/A,#N/A,FALSE,"3가";#N/A,#N/A,FALSE,"3나";#N/A,#N/A,FALSE,"3다"}</definedName>
    <definedName name="ㄴㅇㄹ_3">#REF!</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ㄻ">{"'표지'!$B$5"}</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ㅁㅇㅎㄴㅇㅁㅀㅇㅀㄴㅇㅀ" hidden="1">{#N/A,#N/A,FALSE,"정공"}</definedName>
    <definedName name="ㄴㅇㅇㄴㄹ" hidden="1">{#N/A,#N/A,FALSE,"BS";#N/A,#N/A,FALSE,"PL";#N/A,#N/A,FALSE,"처분";#N/A,#N/A,FALSE,"현금";#N/A,#N/A,FALSE,"매출";#N/A,#N/A,FALSE,"원가";#N/A,#N/A,FALSE,"경영"}</definedName>
    <definedName name="나" hidden="1">{#N/A,#N/A,FALSE,"Aging Summary";#N/A,#N/A,FALSE,"Ratio Analysis";#N/A,#N/A,FALSE,"Test 120 Day Accts";#N/A,#N/A,FALSE,"Tickmarks"}</definedName>
    <definedName name="나_3">#REF!</definedName>
    <definedName name="나나" hidden="1">{#N/A,#N/A,FALSE,"Sheet5"}</definedName>
    <definedName name="나라사랑" hidden="1">{#N/A,#N/A,FALSE,"정공"}</definedName>
    <definedName name="나리" hidden="1">{#N/A,#N/A,FALSE,"P.C.B"}</definedName>
    <definedName name="나무라오" hidden="1">{#N/A,#N/A,FALSE,"정공"}</definedName>
    <definedName name="난" hidden="1">{#N/A,#N/A,FALSE,"BS";#N/A,#N/A,FALSE,"PL";#N/A,#N/A,FALSE,"처분";#N/A,#N/A,FALSE,"현금";#N/A,#N/A,FALSE,"매출";#N/A,#N/A,FALSE,"원가";#N/A,#N/A,FALSE,"경영"}</definedName>
    <definedName name="남" hidden="1">{#N/A,#N/A,FALSE,"Sheet5"}</definedName>
    <definedName name="남미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남의나라" hidden="1">{#N/A,#N/A,FALSE,"정공"}</definedName>
    <definedName name="납회">#REF!</definedName>
    <definedName name="내선번호">#REF!</definedName>
    <definedName name="냉공수지" hidden="1">#REF!</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네" hidden="1">{#N/A,#N/A,FALSE,"Sheet5"}</definedName>
    <definedName name="노재현" hidden="1">{#N/A,#N/A,FALSE,"Sheet5"}</definedName>
    <definedName name="누" hidden="1">{#N/A,#N/A,FALSE,"Sheet5"}</definedName>
    <definedName name="누계매출" hidden="1">{#N/A,#N/A,FALSE,"표지&amp;목차";#N/A,#N/A,FALSE,"경영현황";#N/A,#N/A,FALSE,"매출현황";#N/A,#N/A,FALSE,"매출차이분석(양식)";#N/A,#N/A,FALSE,"손익현황";#N/A,#N/A,FALSE,"손익차이분석";#N/A,#N/A,FALSE,"제품별손익";#N/A,#N/A,FALSE,"재공재고";#N/A,#N/A,FALSE,"원가추이"}</definedName>
    <definedName name="뉴">{"'Sheet1'!$A$1:$H$36"}</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{"'표지'!$B$5"}</definedName>
    <definedName name="니아ㅓㄹ" hidden="1">{#N/A,#N/A,FALSE,"손익표지";#N/A,#N/A,FALSE,"손익계산";#N/A,#N/A,FALSE,"일반관리비";#N/A,#N/A,FALSE,"영업외수익";#N/A,#N/A,FALSE,"영업외비용";#N/A,#N/A,FALSE,"매출액";#N/A,#N/A,FALSE,"요약손익";#N/A,#N/A,FALSE,"요약대차";#N/A,#N/A,FALSE,"매출채권현황";#N/A,#N/A,FALSE,"매출채권명세"}</definedName>
    <definedName name="닣" hidden="1">#REF!</definedName>
    <definedName name="ㄷ">#REF!</definedName>
    <definedName name="ㄷ_3">#REF!</definedName>
    <definedName name="ㄷ98">#REF!</definedName>
    <definedName name="ㄷㄷ">#REF!</definedName>
    <definedName name="ㄷㄷ_3">#REF!</definedName>
    <definedName name="ㄷㄷㄷ">{"'표지'!$B$5"}</definedName>
    <definedName name="ㄷㄷㄷㄷ">{"'Sheet1'!$A$1:$H$36"}</definedName>
    <definedName name="ㄷㄷㄷㄷㄷ">{"'Sheet1'!$A$1:$H$36"}</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ㄹㄴㄹㅇㅎㅇㅁㄴㅁㅎ" hidden="1">{#N/A,#N/A,FALSE,"Aging Summary";#N/A,#N/A,FALSE,"Ratio Analysis";#N/A,#N/A,FALSE,"Test 120 Day Accts";#N/A,#N/A,FALSE,"Tickmarks"}</definedName>
    <definedName name="ㄷㅎㄹㄴㄹㅇㅎㅇㅁㄴㅁㅎ_3">#REF!</definedName>
    <definedName name="다">#REF!</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다른" hidden="1">{#N/A,#N/A,FALSE,"BS";#N/A,#N/A,FALSE,"PL";#N/A,#N/A,FALSE,"처분";#N/A,#N/A,FALSE,"현금";#N/A,#N/A,FALSE,"매출";#N/A,#N/A,FALSE,"원가";#N/A,#N/A,FALSE,"경영"}</definedName>
    <definedName name="다시FM">{"'표지'!$B$5"}</definedName>
    <definedName name="단가">#REF!</definedName>
    <definedName name="단기대여금">#REF!</definedName>
    <definedName name="단기차입금">#REF!</definedName>
    <definedName name="단기차입금1" hidden="1">#N/A</definedName>
    <definedName name="단말기" hidden="1">{#N/A,#N/A,FALSE,"정공"}</definedName>
    <definedName name="단말기번호" hidden="1">{#N/A,#N/A,FALSE,"정공"}</definedName>
    <definedName name="단알기" hidden="1">{#N/A,#N/A,FALSE,"정공"}</definedName>
    <definedName name="단위_백만원">#REF!</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#REF!</definedName>
    <definedName name="달러비용">#REF!</definedName>
    <definedName name="달러환율">#REF!</definedName>
    <definedName name="담당자">#REF!</definedName>
    <definedName name="당" hidden="1">{#N/A,#N/A,FALSE,"BS";#N/A,#N/A,FALSE,"PL";#N/A,#N/A,FALSE,"처분";#N/A,#N/A,FALSE,"현금";#N/A,#N/A,FALSE,"매출";#N/A,#N/A,FALSE,"원가";#N/A,#N/A,FALSE,"경영"}</definedName>
    <definedName name="당기보정">#REF!</definedName>
    <definedName name="당기보정외화">#REF!</definedName>
    <definedName name="당사매출">#REF!</definedName>
    <definedName name="당좌예금_5102">#REF!</definedName>
    <definedName name="당초기준손이" hidden="1">{#N/A,#N/A,FALSE,"정공"}</definedName>
    <definedName name="당초손익표" hidden="1">{#N/A,#N/A,FALSE,"정공"}</definedName>
    <definedName name="대" hidden="1">#REF!</definedName>
    <definedName name="대구서울" hidden="1">#REF!</definedName>
    <definedName name="대련" hidden="1">{#N/A,#N/A,FALSE,"UNIT";#N/A,#N/A,FALSE,"UNIT";#N/A,#N/A,FALSE,"계정"}</definedName>
    <definedName name="대리님" hidden="1">{#N/A,#N/A,FALSE,"정공"}</definedName>
    <definedName name="대상시트" hidden="1">{#N/A,#N/A,FALSE,"정공"}</definedName>
    <definedName name="대손">#REF!</definedName>
    <definedName name="대손추정률">0.01</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_신탁">#REF!</definedName>
    <definedName name="대차_은행">#REF!</definedName>
    <definedName name="대차_은행1">#REF!</definedName>
    <definedName name="대차대조부채자본">#REF!</definedName>
    <definedName name="대차대조자산">#REF!</definedName>
    <definedName name="대차대조표"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hidden="1">#REF!</definedName>
    <definedName name="대차대조표2">#REF!</definedName>
    <definedName name="대체거래">#REF!</definedName>
    <definedName name="대표자성명">#REF!</definedName>
    <definedName name="대표자주민등록번호">#REF!</definedName>
    <definedName name="대현" hidden="1">{#N/A,#N/A,FALSE,"손익표지";#N/A,#N/A,FALSE,"손익계산";#N/A,#N/A,FALSE,"일반관리비";#N/A,#N/A,FALSE,"영업외수익";#N/A,#N/A,FALSE,"영업외비용";#N/A,#N/A,FALSE,"매출액";#N/A,#N/A,FALSE,"요약손익";#N/A,#N/A,FALSE,"요약대차";#N/A,#N/A,FALSE,"매출채권현황";#N/A,#N/A,FALSE,"매출채권명세"}</definedName>
    <definedName name="던" hidden="1">{#N/A,#N/A,FALSE,"Sheet5"}</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비">#REF!</definedName>
    <definedName name="도조" hidden="1">{#N/A,#N/A,FALSE,"BS";#N/A,#N/A,FALSE,"PL";#N/A,#N/A,FALSE,"처분";#N/A,#N/A,FALSE,"현금";#N/A,#N/A,FALSE,"매출";#N/A,#N/A,FALSE,"원가";#N/A,#N/A,FALSE,"경영"}</definedName>
    <definedName name="돌" hidden="1">{#N/A,#N/A,FALSE,"Sheet5"}</definedName>
    <definedName name="돌아버려" hidden="1">{"'Sheet1'!$A$1:$H$36"}</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hidden="1">{#N/A,#N/A,FALSE,"정공"}</definedName>
    <definedName name="두산">{"'손익현황'!$A$1:$J$29"}</definedName>
    <definedName name="두원">{"'손익현황'!$A$1:$J$29"}</definedName>
    <definedName name="디비서버">#REF!</definedName>
    <definedName name="디비소프트">#REF!</definedName>
    <definedName name="디자인부">#REF!</definedName>
    <definedName name="또왜이래" hidden="1">{"'Sheet1'!$A$1:$H$36"}</definedName>
    <definedName name="똥">#REF!</definedName>
    <definedName name="ㄹ">#REF!</definedName>
    <definedName name="ㄹ_3">#REF!</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오히ㅑ" hidden="1">{#N/A,#N/A,FALSE,"Sheet5"}</definedName>
    <definedName name="ㄹㄶㅀ" hidden="1">{#N/A,#N/A,FALSE,"회선임차현황"}</definedName>
    <definedName name="ㄹㄷㅈ" hidden="1">#REF!</definedName>
    <definedName name="ㄹㄷㅈㄹㄹㄹ" hidden="1">#N/A</definedName>
    <definedName name="ㄹㄹ">#REF!</definedName>
    <definedName name="ㄹㄹ_3">#REF!</definedName>
    <definedName name="ㄹㄹㄹ" hidden="1">{#N/A,#N/A,FALSE,"Aging Summary";#N/A,#N/A,FALSE,"Ratio Analysis";#N/A,#N/A,FALSE,"Test 120 Day Accts";#N/A,#N/A,FALSE,"Tickmarks"}</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{"'Sheet1'!$A$1:$H$36"}</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ㅇㅇ">{"'Sheet1'!$A$1:$H$36"}</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#REF!</definedName>
    <definedName name="라마바">#REF!</definedName>
    <definedName name="라우터">#REF!</definedName>
    <definedName name="란다리아" hidden="1">{#N/A,#N/A,FALSE,"정공"}</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력">#REF!</definedName>
    <definedName name="로커커버" hidden="1">{#N/A,#N/A,FALSE,"단축1";#N/A,#N/A,FALSE,"단축2";#N/A,#N/A,FALSE,"단축3";#N/A,#N/A,FALSE,"장축";#N/A,#N/A,FALSE,"4WD"}</definedName>
    <definedName name="리" hidden="1">{#N/A,#N/A,FALSE,"Sheet5"}</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셋">#REF!</definedName>
    <definedName name="리스트">#REF!</definedName>
    <definedName name="ㄺㄹ" hidden="1">{#N/A,#N/A,FALSE,"UNIT";#N/A,#N/A,FALSE,"UNIT";#N/A,#N/A,FALSE,"계정"}</definedName>
    <definedName name="ㄻㄴㄻㅇㄹㅇㅁㄹ" hidden="1">{#N/A,#N/A,FALSE,"Aging Summary";#N/A,#N/A,FALSE,"Ratio Analysis";#N/A,#N/A,FALSE,"Test 120 Day Accts";#N/A,#N/A,FALSE,"Tickmarks"}</definedName>
    <definedName name="ㄻㄴㄻㅇㄹㅇㅁㄹ_3">#REF!</definedName>
    <definedName name="ㄻㄴㅇㄻㅇㄻㄴㅊㅇ" hidden="1">{#N/A,#N/A,FALSE,"손익표지";#N/A,#N/A,FALSE,"손익계산";#N/A,#N/A,FALSE,"일반관리비";#N/A,#N/A,FALSE,"영업외수익";#N/A,#N/A,FALSE,"영업외비용";#N/A,#N/A,FALSE,"매출액";#N/A,#N/A,FALSE,"요약손익";#N/A,#N/A,FALSE,"요약대차";#N/A,#N/A,FALSE,"매출채권현황";#N/A,#N/A,FALSE,"매출채권명세"}</definedName>
    <definedName name="ㅀ미리밀ㅎ밈림" hidden="1">{#N/A,#N/A,FALSE,"을지 (4)";#N/A,#N/A,FALSE,"을지 (5)";#N/A,#N/A,FALSE,"을지 (6)"}</definedName>
    <definedName name="ㅀㅇㄹㄶㅀㄹ" hidden="1">{#N/A,#N/A,FALSE,"UNIT";#N/A,#N/A,FALSE,"UNIT";#N/A,#N/A,FALSE,"계정"}</definedName>
    <definedName name="ㅀㅎ">{"'Sheet1'!$L$16"}</definedName>
    <definedName name="ㅁ">#REF!</definedName>
    <definedName name="ㅁ_3">#REF!</definedName>
    <definedName name="ㅁ1">#REF!</definedName>
    <definedName name="ㅁ5">#REF!</definedName>
    <definedName name="ㅁ555">#REF!</definedName>
    <definedName name="ㅁㄴ" hidden="1">{#N/A,#N/A,TRUE,"매출진척-1";#N/A,#N/A,TRUE,"매출진척-2";#N/A,#N/A,TRUE,"제품실적";#N/A,#N/A,TRUE,"RAC";#N/A,#N/A,TRUE,"PAC ";#N/A,#N/A,TRUE,"재고현황";#N/A,#N/A,TRUE,"공지사항"}</definedName>
    <definedName name="ㅁㄴ_3">#REF!</definedName>
    <definedName name="ㅁㄴㄴㅌ" hidden="1">{#N/A,#N/A,FALSE,"KMC최종회의(7월) 자료"}</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#REF!</definedName>
    <definedName name="ㅁㄴㅁㄴㅁㄴㅁㄴㅁㄴㅁ">#REF!</definedName>
    <definedName name="ㅁㄴㅇ">#REF!</definedName>
    <definedName name="ㅁㄴㅇㄹ">#REF!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ㅇㄴㄻㄴㅇ" hidden="1">{#N/A,#N/A,FALSE,"손익표지";#N/A,#N/A,FALSE,"손익계산";#N/A,#N/A,FALSE,"일반관리비";#N/A,#N/A,FALSE,"영업외수익";#N/A,#N/A,FALSE,"영업외비용";#N/A,#N/A,FALSE,"매출액";#N/A,#N/A,FALSE,"요약손익";#N/A,#N/A,FALSE,"요약대차";#N/A,#N/A,FALSE,"매출채권현황";#N/A,#N/A,FALSE,"매출채권명세"}</definedName>
    <definedName name="ㅁㄴㅇㅀㅁㅎ" hidden="1">#REF!</definedName>
    <definedName name="ㅁ나ㅣ어리마ㅗㅇ호미오히ㅏ몬이호" hidden="1">{#N/A,#N/A,FALSE,"Aging Summary";#N/A,#N/A,FALSE,"Ratio Analysis";#N/A,#N/A,FALSE,"Test 120 Day Accts";#N/A,#N/A,FALSE,"Tickmarks"}</definedName>
    <definedName name="ㅁㄹㅇㄴㅁㄹ"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ㅇㄴㄻㅇㄴㄻㄴㅇㄻㄴㅇㄻㅇㄹ" hidden="1">{#N/A,#N/A,FALSE,"손익표지";#N/A,#N/A,FALSE,"손익계산";#N/A,#N/A,FALSE,"일반관리비";#N/A,#N/A,FALSE,"영업외수익";#N/A,#N/A,FALSE,"영업외비용";#N/A,#N/A,FALSE,"매출액";#N/A,#N/A,FALSE,"요약손익";#N/A,#N/A,FALSE,"요약대차";#N/A,#N/A,FALSE,"매출채권현황";#N/A,#N/A,FALSE,"매출채권명세"}</definedName>
    <definedName name="ㅁㅁ" hidden="1">#REF!</definedName>
    <definedName name="ㅁㅁ_3">#REF!</definedName>
    <definedName name="ㅁㅁㅁ">#REF!</definedName>
    <definedName name="ㅁㅁㅁㅁ" hidden="1">{#N/A,#N/A,FALSE,"UNIT";#N/A,#N/A,FALSE,"UNIT";#N/A,#N/A,FALSE,"계정"}</definedName>
    <definedName name="ㅁㅁㅁㅁㅁ" hidden="1">{#N/A,#N/A,FALSE,"Aging Summary";#N/A,#N/A,FALSE,"Ratio Analysis";#N/A,#N/A,FALSE,"Test 120 Day Accts";#N/A,#N/A,FALSE,"Tickmarks"}</definedName>
    <definedName name="ㅁㅁㅁㅁㅁ_3">#REF!</definedName>
    <definedName name="ㅁㅁㅁㅁㅁㅁㅁㅁㅁㅁㅁㅁㅁㅁㅁㅁㅁㅁㅁㅁㅁㅁ">{"'표지'!$B$5"}</definedName>
    <definedName name="ㅁㅁㅇ" hidden="1">{#N/A,#N/A,FALSE,"KMC최종회의(7월) 자료"}</definedName>
    <definedName name="ㅁ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ㄴㄻㅋ" hidden="1">{#N/A,#N/A,FALSE,"손익표지";#N/A,#N/A,FALSE,"손익계산";#N/A,#N/A,FALSE,"일반관리비";#N/A,#N/A,FALSE,"영업외수익";#N/A,#N/A,FALSE,"영업외비용";#N/A,#N/A,FALSE,"매출액";#N/A,#N/A,FALSE,"요약손익";#N/A,#N/A,FALSE,"요약대차";#N/A,#N/A,FALSE,"매출채권현황";#N/A,#N/A,FALSE,"매출채권명세"}</definedName>
    <definedName name="ㅁㅇㄴㅁㄴㅇ" hidden="1">{#N/A,#N/A,FALSE,"BS";#N/A,#N/A,FALSE,"PL";#N/A,#N/A,FALSE,"처분";#N/A,#N/A,FALSE,"현금";#N/A,#N/A,FALSE,"매출";#N/A,#N/A,FALSE,"원가";#N/A,#N/A,FALSE,"경영"}</definedName>
    <definedName name="ㅁㅇㄹ" hidden="1">{#N/A,#N/A,FALSE,"Aging Summary";#N/A,#N/A,FALSE,"Ratio Analysis";#N/A,#N/A,FALSE,"Test 120 Day Accts";#N/A,#N/A,FALSE,"Tickmarks"}</definedName>
    <definedName name="ㅁㅇㄹ_3">#REF!</definedName>
    <definedName name="ㅁㅇㄻㄴㅇㅁㄹㄹㅋㅌ" hidden="1">{#N/A,#N/A,FALSE,"손익표지";#N/A,#N/A,FALSE,"손익계산";#N/A,#N/A,FALSE,"일반관리비";#N/A,#N/A,FALSE,"영업외수익";#N/A,#N/A,FALSE,"영업외비용";#N/A,#N/A,FALSE,"매출액";#N/A,#N/A,FALSE,"요약손익";#N/A,#N/A,FALSE,"요약대차";#N/A,#N/A,FALSE,"매출채권현황";#N/A,#N/A,FALSE,"매출채권명세"}</definedName>
    <definedName name="ㅁㅇㄻㅇㄴㄻㄴㅇㄹ" hidden="1">{#N/A,#N/A,FALSE,"손익표지";#N/A,#N/A,FALSE,"손익계산";#N/A,#N/A,FALSE,"일반관리비";#N/A,#N/A,FALSE,"영업외수익";#N/A,#N/A,FALSE,"영업외비용";#N/A,#N/A,FALSE,"매출액";#N/A,#N/A,FALSE,"요약손익";#N/A,#N/A,FALSE,"요약대차";#N/A,#N/A,FALSE,"매출채권현황";#N/A,#N/A,FALSE,"매출채권명세"}</definedName>
    <definedName name="ㅁㅇㄻㅇㅊㅋㅌㅊㅍ" hidden="1">{#N/A,#N/A,FALSE,"손익표지";#N/A,#N/A,FALSE,"손익계산";#N/A,#N/A,FALSE,"일반관리비";#N/A,#N/A,FALSE,"영업외수익";#N/A,#N/A,FALSE,"영업외비용";#N/A,#N/A,FALSE,"매출액";#N/A,#N/A,FALSE,"요약손익";#N/A,#N/A,FALSE,"요약대차";#N/A,#N/A,FALSE,"매출채권현황";#N/A,#N/A,FALSE,"매출채권명세"}</definedName>
    <definedName name="ㅁㅇㅁㄻㄹㅇㅊ"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{#N/A,#N/A,FALSE,"Sheet5"}</definedName>
    <definedName name="마감" hidden="1">{#N/A,#N/A,FALSE,"기술료 비교"}</definedName>
    <definedName name="마마보이" hidden="1">{#N/A,#N/A,FALSE,"정공"}</definedName>
    <definedName name="마모루" hidden="1">{"'손익현황'!$A$1:$J$29"}</definedName>
    <definedName name="마미ㅣㅏㅓ"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마미ㅣㅏㅓ_3">#REF!</definedName>
    <definedName name="마케팅" hidden="1">{"'5국공정'!$A$1:$E$128"}</definedName>
    <definedName name="마케팅2" hidden="1">{"'5국공정'!$A$1:$E$128"}</definedName>
    <definedName name="마케팅부">#REF!</definedName>
    <definedName name="만기보장수익율">#REF!</definedName>
    <definedName name="매입" hidden="1">#REF!</definedName>
    <definedName name="매출">#REF!</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금">#REF!</definedName>
    <definedName name="매출기준" hidden="1">{#N/A,#N/A,FALSE,"정공"}</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원가" hidden="1">{#N/A,#N/A,FALSE,"Aging Summary";#N/A,#N/A,FALSE,"Ratio Analysis";#N/A,#N/A,FALSE,"Test 120 Day Accts";#N/A,#N/A,FALSE,"Tickmarks"}</definedName>
    <definedName name="매출원가_3">#REF!</definedName>
    <definedName name="매출원가1" hidden="1">{#N/A,#N/A,FALSE,"Aging Summary";#N/A,#N/A,FALSE,"Ratio Analysis";#N/A,#N/A,FALSE,"Test 120 Day Accts";#N/A,#N/A,FALSE,"Tickmarks"}</definedName>
    <definedName name="매출유형" hidden="1">#REF!</definedName>
    <definedName name="매출유형21" hidden="1">#REF!</definedName>
    <definedName name="매출전환손익" hidden="1">{#N/A,#N/A,FALSE,"정공"}</definedName>
    <definedName name="매출추1" hidden="1">{#N/A,#N/A,FALSE,"정공"}</definedName>
    <definedName name="매출추정" hidden="1">{#N/A,#N/A,FALSE,"정공"}</definedName>
    <definedName name="머"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메뉴">#REF!</definedName>
    <definedName name="메뉴2">#REF!</definedName>
    <definedName name="메모">{"'Sheet1'!$A$1:$H$36"}</definedName>
    <definedName name="메모리연">{"'Sheet1'!$A$1:$H$36"}</definedName>
    <definedName name="명세" hidden="1">{#N/A,#N/A,FALSE,"Aging Summary";#N/A,#N/A,FALSE,"Ratio Analysis";#N/A,#N/A,FALSE,"Test 120 Day Accts";#N/A,#N/A,FALSE,"Tickmarks"}</definedName>
    <definedName name="명세_3">#REF!</definedName>
    <definedName name="명세서">#REF!</definedName>
    <definedName name="모" hidden="1">{#N/A,#N/A,FALSE,"UNIT";#N/A,#N/A,FALSE,"UNIT";#N/A,#N/A,FALSE,"계정"}</definedName>
    <definedName name="모나리자아" hidden="1">{#N/A,#N/A,FALSE,"정공"}</definedName>
    <definedName name="모야" hidden="1">{#N/A,#N/A,FALSE,"BS";#N/A,#N/A,FALSE,"PL";#N/A,#N/A,FALSE,"처분";#N/A,#N/A,FALSE,"현금";#N/A,#N/A,FALSE,"매출";#N/A,#N/A,FALSE,"원가";#N/A,#N/A,FALSE,"경영"}</definedName>
    <definedName name="모야2" hidden="1">{#N/A,#N/A,FALSE,"BS";#N/A,#N/A,FALSE,"PL";#N/A,#N/A,FALSE,"처분";#N/A,#N/A,FALSE,"현금";#N/A,#N/A,FALSE,"매출";#N/A,#N/A,FALSE,"원가";#N/A,#N/A,FALSE,"경영"}</definedName>
    <definedName name="목ㄱ돋">BLCH</definedName>
    <definedName name="목동현대">BLCH</definedName>
    <definedName name="목차도" hidden="1">{#N/A,#N/A,FALSE,"정공"}</definedName>
    <definedName name="몰라" hidden="1">#REF!</definedName>
    <definedName name="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묑_3">#REF!</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형자산">#REF!</definedName>
    <definedName name="무형자산상각">#REF!</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의처">#REF!</definedName>
    <definedName name="뭐야" hidden="1">{#N/A,#N/A,FALSE,"손익표지";#N/A,#N/A,FALSE,"손익계산";#N/A,#N/A,FALSE,"일반관리비";#N/A,#N/A,FALSE,"영업외수익";#N/A,#N/A,FALSE,"영업외비용";#N/A,#N/A,FALSE,"매출액";#N/A,#N/A,FALSE,"요약손익";#N/A,#N/A,FALSE,"요약대차";#N/A,#N/A,FALSE,"매출채권현황";#N/A,#N/A,FALSE,"매출채권명세"}</definedName>
    <definedName name="뭐야_3">#REF!</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hidden="1">{#N/A,#N/A,FALSE,"기술료 비교"}</definedName>
    <definedName name="미경">{"'Sheet1'!$A$1:$H$36"}</definedName>
    <definedName name="미미미아" hidden="1">{#N/A,#N/A,FALSE,"정공"}</definedName>
    <definedName name="미석" hidden="1">{#N/A,#N/A,FALSE,"정공"}</definedName>
    <definedName name="미수">#REF!</definedName>
    <definedName name="미수1">#REF!</definedName>
    <definedName name="미수금" hidden="1">{#N/A,#N/A,FALSE,"Aging Summary";#N/A,#N/A,FALSE,"Ratio Analysis";#N/A,#N/A,FALSE,"Test 120 Day Accts";#N/A,#N/A,FALSE,"Tickmarks"}</definedName>
    <definedName name="미수금_3">#REF!</definedName>
    <definedName name="미수금융외화">#REF!</definedName>
    <definedName name="미수금융원화">#REF!</definedName>
    <definedName name="미수수익">{"Book1","채권채무조회.xls"}</definedName>
    <definedName name="미수수익7">#REF!</definedName>
    <definedName name="미수외화금융">#REF!</definedName>
    <definedName name="미수운용외화">#REF!</definedName>
    <definedName name="미수운용원화">#REF!</definedName>
    <definedName name="미수잔존금융외화">#REF!</definedName>
    <definedName name="미수잔존금융원화">#REF!</definedName>
    <definedName name="미수잔존운용외화">#REF!</definedName>
    <definedName name="미수잔존운용원화">#REF!</definedName>
    <definedName name="미지">#REF!</definedName>
    <definedName name="미지급" hidden="1">{#N/A,#N/A,FALSE,"BS";#N/A,#N/A,FALSE,"IS";#N/A,#N/A,FALSE,"결손금처리";#N/A,#N/A,FALSE,"cashflow"}</definedName>
    <definedName name="미지급1" hidden="1">#REF!</definedName>
    <definedName name="미지급RV외화">#REF!</definedName>
    <definedName name="미지급RV원화">#REF!</definedName>
    <definedName name="미지급명세" hidden="1">{"'보고양식'!$A$58:$K$111"}</definedName>
    <definedName name="미지급법인세">#REF!</definedName>
    <definedName name="미지급비용">#REF!</definedName>
    <definedName name="미치겠네" hidden="1">{"'Sheet1'!$A$1:$H$36"}</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#REF!</definedName>
    <definedName name="ㅂ_3">#REF!</definedName>
    <definedName name="ㅂ3ㄱ" hidden="1">{#N/A,#N/A,FALSE,"BS";#N/A,#N/A,FALSE,"PL";#N/A,#N/A,FALSE,"처분";#N/A,#N/A,FALSE,"현금";#N/A,#N/A,FALSE,"매출";#N/A,#N/A,FALSE,"원가";#N/A,#N/A,FALSE,"경영"}</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ㅈㄱㅂㅈㄷㄱㅂㅈㄷㄱ" hidden="1">{#N/A,#N/A,FALSE,"손익표지";#N/A,#N/A,FALSE,"손익계산";#N/A,#N/A,FALSE,"일반관리비";#N/A,#N/A,FALSE,"영업외수익";#N/A,#N/A,FALSE,"영업외비용";#N/A,#N/A,FALSE,"매출액";#N/A,#N/A,FALSE,"요약손익";#N/A,#N/A,FALSE,"요약대차";#N/A,#N/A,FALSE,"매출채권현황";#N/A,#N/A,FALSE,"매출채권명세"}</definedName>
    <definedName name="ㅂㄴㅌ" hidden="1">{#N/A,#N/A,FALSE,"KMC최종회의(7월) 자료"}</definedName>
    <definedName name="ㅂㄷㄱ" hidden="1">{#N/A,#N/A,FALSE,"Aging Summary";#N/A,#N/A,FALSE,"Ratio Analysis";#N/A,#N/A,FALSE,"Test 120 Day Accts";#N/A,#N/A,FALSE,"Tickmarks"}</definedName>
    <definedName name="ㅂㄷㄱ_3">#REF!</definedName>
    <definedName name="ㅂㄷㄷㄱ" hidden="1">{#N/A,#N/A,FALSE,"Aging Summary";#N/A,#N/A,FALSE,"Ratio Analysis";#N/A,#N/A,FALSE,"Test 120 Day Accts";#N/A,#N/A,FALSE,"Tickmarks"}</definedName>
    <definedName name="ㅂㄷㄷㄱ_3">#REF!</definedName>
    <definedName name="ㅂㄷㅈ" hidden="1">{#N/A,#N/A,FALSE,"손익표지";#N/A,#N/A,FALSE,"손익계산";#N/A,#N/A,FALSE,"일반관리비";#N/A,#N/A,FALSE,"영업외수익";#N/A,#N/A,FALSE,"영업외비용";#N/A,#N/A,FALSE,"매출액";#N/A,#N/A,FALSE,"요약손익";#N/A,#N/A,FALSE,"요약대차";#N/A,#N/A,FALSE,"매출채권현황";#N/A,#N/A,FALSE,"매출채권명세"}</definedName>
    <definedName name="ㅂㅁ">{"'손익현황'!$A$1:$J$29"}</definedName>
    <definedName name="ㅂㅂ" hidden="1">{#N/A,#N/A,FALSE,"Aging Summary";#N/A,#N/A,FALSE,"Ratio Analysis";#N/A,#N/A,FALSE,"Test 120 Day Accts";#N/A,#N/A,FALSE,"Tickmarks"}</definedName>
    <definedName name="ㅂㅂ_3">#REF!</definedName>
    <definedName name="ㅂㅂㅂ" hidden="1">{#N/A,#N/A,FALSE,"Aging Summary";#N/A,#N/A,FALSE,"Ratio Analysis";#N/A,#N/A,FALSE,"Test 120 Day Accts";#N/A,#N/A,FALSE,"Tickmarks"}</definedName>
    <definedName name="ㅂㅂㅂ_3">#REF!</definedName>
    <definedName name="ㅂㅂㅂㅂㅂㅂ" hidden="1">#REF!</definedName>
    <definedName name="ㅂㅈㄱㄷ" hidden="1">{#N/A,#N/A,FALSE,"KMC최종회의(7월) 자료"}</definedName>
    <definedName name="ㅂㅈㄱㄷㅈ" hidden="1">{#N/A,#N/A,FALSE,"Aging Summary";#N/A,#N/A,FALSE,"Ratio Analysis";#N/A,#N/A,FALSE,"Test 120 Day Accts";#N/A,#N/A,FALSE,"Tickmarks"}</definedName>
    <definedName name="ㅂㅈㄱㄷㅈ_3">#REF!</definedName>
    <definedName name="ㅂㅈㄷ" hidden="1">{#N/A,#N/A,FALSE,"Aging Summary";#N/A,#N/A,FALSE,"Ratio Analysis";#N/A,#N/A,FALSE,"Test 120 Day Accts";#N/A,#N/A,FALSE,"Tickmarks"}</definedName>
    <definedName name="ㅂㅈㄷ_3">#REF!</definedName>
    <definedName name="ㅂㅈㄷㄷㄱㄱ" hidden="1">{#N/A,#N/A,FALSE,"UNIT";#N/A,#N/A,FALSE,"UNIT";#N/A,#N/A,FALSE,"계정"}</definedName>
    <definedName name="바">{"'Sheet1'!$A$1:$H$36"}</definedName>
    <definedName name="바랑라" hidden="1">{#N/A,#N/A,FALSE,"정공"}</definedName>
    <definedName name="바보" hidden="1">{#N/A,#N/A,FALSE,"Aging Summary";#N/A,#N/A,FALSE,"Ratio Analysis";#N/A,#N/A,FALSE,"Test 120 Day Accts";#N/A,#N/A,FALSE,"Tickmarks"}</definedName>
    <definedName name="바보_3">#REF!</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박" hidden="1">{#N/A,#N/A,FALSE,"UNIT";#N/A,#N/A,FALSE,"UNIT";#N/A,#N/A,FALSE,"계정"}</definedName>
    <definedName name="박문희">{"'표지'!$B$5"}</definedName>
    <definedName name="받을어음">#REF!</definedName>
    <definedName name="밤">#REF!</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백재욱">{"'Sheet1'!$A$1:$H$36"}</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범위">#REF!</definedName>
    <definedName name="범위액"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범위액_3">#REF!</definedName>
    <definedName name="범위액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범위액2_3">#REF!</definedName>
    <definedName name="법인등록번호">#REF!</definedName>
    <definedName name="법인명_상호명">#REF!</definedName>
    <definedName name="법인세비용_수정" hidden="1">{#N/A,#N/A,FALSE,"BS";#N/A,#N/A,FALSE,"PL";#N/A,#N/A,FALSE,"처분";#N/A,#N/A,FALSE,"현금";#N/A,#N/A,FALSE,"매출";#N/A,#N/A,FALSE,"원가";#N/A,#N/A,FALSE,"경영"}</definedName>
    <definedName name="법인세주석사항정리" hidden="1">{#N/A,#N/A,FALSE,"UNIT";#N/A,#N/A,FALSE,"UNIT";#N/A,#N/A,FALSE,"계정"}</definedName>
    <definedName name="변경내역" hidden="1">{#N/A,#N/A,FALSE,"3가";#N/A,#N/A,FALSE,"3나";#N/A,#N/A,FALSE,"3다"}</definedName>
    <definedName name="변경내역_3">#REF!</definedName>
    <definedName name="변파유닛" hidden="1">{#N/A,#N/A,FALSE,"3가";#N/A,#N/A,FALSE,"3나";#N/A,#N/A,FALSE,"3다"}</definedName>
    <definedName name="변파유닛_3">#REF!</definedName>
    <definedName name="별지66">#REF!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_3">#REF!</definedName>
    <definedName name="보" hidden="1">{#N/A,#N/A,FALSE,"3가";#N/A,#N/A,FALSE,"3나";#N/A,#N/A,FALSE,"3다"}</definedName>
    <definedName name="보_3">#REF!</definedName>
    <definedName name="보고" hidden="1">{#N/A,#N/A,FALSE,"UNIT";#N/A,#N/A,FALSE,"UNIT";#N/A,#N/A,FALSE,"계정"}</definedName>
    <definedName name="보고1">#REF!</definedName>
    <definedName name="보고기준" hidden="1">{#N/A,#N/A,FALSE,"UNIT";#N/A,#N/A,FALSE,"UNIT";#N/A,#N/A,FALSE,"계정"}</definedName>
    <definedName name="보람">#REF!</definedName>
    <definedName name="보봅" hidden="1">{#N/A,#N/A,FALSE,"Aging Summary";#N/A,#N/A,FALSE,"Ratio Analysis";#N/A,#N/A,FALSE,"Test 120 Day Accts";#N/A,#N/A,FALSE,"Tickmarks"}</definedName>
    <definedName name="보봅_3">#REF!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장수익율">#REF!</definedName>
    <definedName name="보증기관">#REF!</definedName>
    <definedName name="보통주자본금">#REF!</definedName>
    <definedName name="보험료" hidden="1">{#N/A,#N/A,FALSE,"Aging Summary";#N/A,#N/A,FALSE,"Ratio Analysis";#N/A,#N/A,FALSE,"Test 120 Day Accts";#N/A,#N/A,FALSE,"Tickmarks"}</definedName>
    <definedName name="보험료_3">#REF!</definedName>
    <definedName name="복리후생">#REF!</definedName>
    <definedName name="본란계정">#REF!</definedName>
    <definedName name="본사">{"'Sheet1'!$A$1:$H$36"}</definedName>
    <definedName name="볼트수정" hidden="1">{#N/A,#N/A,FALSE,"단축1";#N/A,#N/A,FALSE,"단축2";#N/A,#N/A,FALSE,"단축3";#N/A,#N/A,FALSE,"장축";#N/A,#N/A,FALSE,"4WD"}</definedName>
    <definedName name="부과">#REF!</definedName>
    <definedName name="부도어음">#REF!</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서별공수">#REF!</definedName>
    <definedName name="부서코드">#REF!</definedName>
    <definedName name="부속" hidden="1">#REF!</definedName>
    <definedName name="분개및수수료계상">#REF!</definedName>
    <definedName name="분류표2">#REF!</definedName>
    <definedName name="분석">#REF!</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 hidden="1">{#N/A,#N/A,FALSE,"Sheet5"}</definedName>
    <definedName name="비고">#REF!</definedName>
    <definedName name="비교1">#REF!</definedName>
    <definedName name="비교관리">#REF!</definedName>
    <definedName name="비교손익당초" hidden="1">{#N/A,#N/A,FALSE,"정공"}</definedName>
    <definedName name="비비비" hidden="1">#REF!</definedName>
    <definedName name="비용">#REF!</definedName>
    <definedName name="비용거래">#REF!</definedName>
    <definedName name="비용배분">#REF!</definedName>
    <definedName name="비율0" hidden="1">#REF!</definedName>
    <definedName name="비율2" hidden="1">#REF!</definedName>
    <definedName name="ㅃ">#REF!</definedName>
    <definedName name="ㅅ">#REF!</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ㅅㅅ">{"'손익현황'!$A$1:$J$29"}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1" hidden="1">#REF!</definedName>
    <definedName name="사10" hidden="1">#REF!</definedName>
    <definedName name="사2" hidden="1">#REF!</definedName>
    <definedName name="사3" hidden="1">#REF!</definedName>
    <definedName name="사4" hidden="1">#REF!</definedName>
    <definedName name="사5" hidden="1">#REF!</definedName>
    <definedName name="사6" hidden="1">#REF!</definedName>
    <definedName name="사7" hidden="1">#REF!</definedName>
    <definedName name="사8" hidden="1">#REF!</definedName>
    <definedName name="사9" hidden="1">#REF!</definedName>
    <definedName name="사다함이" hidden="1">{#N/A,#N/A,FALSE,"정공"}</definedName>
    <definedName name="사람" hidden="1">{#N/A,#N/A,FALSE,"BS";#N/A,#N/A,FALSE,"PL";#N/A,#N/A,FALSE,"처분";#N/A,#N/A,FALSE,"현금";#N/A,#N/A,FALSE,"매출";#N/A,#N/A,FALSE,"원가";#N/A,#N/A,FALSE,"경영"}</definedName>
    <definedName name="사람이야" hidden="1">{#N/A,#N/A,FALSE,"정공"}</definedName>
    <definedName name="사랑" hidden="1">{"'Sheet1'!$A$1:$H$36"}</definedName>
    <definedName name="사랑하오" hidden="1">{#N/A,#N/A,FALSE,"정공"}</definedName>
    <definedName name="사본" hidden="1">{#N/A,#N/A,FALSE,"정공"}</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년도_월수">#REF!</definedName>
    <definedName name="사업년도1">#REF!</definedName>
    <definedName name="사업년도2">#REF!</definedName>
    <definedName name="사업비교표" hidden="1">{#N/A,#N/A,FALSE,"정공"}</definedName>
    <definedName name="사업자등록번호">#REF!</definedName>
    <definedName name="사업장소재지">#REF!</definedName>
    <definedName name="사업추진" hidden="1">{#N/A,#N/A,FALSE,"정공"}</definedName>
    <definedName name="사업활성" hidden="1">{#N/A,#N/A,FALSE,"UNIT";#N/A,#N/A,FALSE,"UNIT";#N/A,#N/A,FALSE,"계정"}</definedName>
    <definedName name="사용료"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사용료_3">#REF!</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사채">#REF!</definedName>
    <definedName name="삼성" hidden="1">{#N/A,#N/A,FALSE,"정공"}</definedName>
    <definedName name="삼성2" hidden="1">{#N/A,#N/A,FALSE,"정공"}</definedName>
    <definedName name="상각비">#REF!</definedName>
    <definedName name="상각액">#REF!</definedName>
    <definedName name="상각액외화">#REF!</definedName>
    <definedName name="상각율">#REF!</definedName>
    <definedName name="상국">{"'Sheet1'!$A$1:$H$36"}</definedName>
    <definedName name="상로허호" hidden="1">{#N/A,#N/A,FALSE,"정공"}</definedName>
    <definedName name="상반기" hidden="1">{#N/A,#N/A,FALSE,"회선임차현황"}</definedName>
    <definedName name="상품" hidden="1">{#N/A,#N/A,FALSE,"Sheet5"}</definedName>
    <definedName name="상품수불" hidden="1">{#N/A,#N/A,FALSE,"Sheet5"}</definedName>
    <definedName name="상품시화">#REF!</definedName>
    <definedName name="상품원가" hidden="1">{#N/A,#N/A,FALSE,"Sheet5"}</definedName>
    <definedName name="새" hidden="1">{#N/A,#N/A,FALSE,"Aging Summary";#N/A,#N/A,FALSE,"Ratio Analysis";#N/A,#N/A,FALSE,"Test 120 Day Accts";#N/A,#N/A,FALSE,"Tickmarks"}</definedName>
    <definedName name="새_3">#REF!</definedName>
    <definedName name="새로운">#REF!</definedName>
    <definedName name="새로운이름" hidden="1">{#N/A,#N/A,FALSE,"UNIT";#N/A,#N/A,FALSE,"UNIT";#N/A,#N/A,FALSE,"계정"}</definedName>
    <definedName name="새이름" hidden="1">#REF!</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1">#REF!</definedName>
    <definedName name="생산성2">#REF!,#REF!</definedName>
    <definedName name="생산손익" hidden="1">{#N/A,#N/A,FALSE,"정공"}</definedName>
    <definedName name="생산실적">#REF!</definedName>
    <definedName name="생산품목" hidden="1">{#N/A,#N/A,FALSE,"정공"}</definedName>
    <definedName name="서버대수">#REF!</definedName>
    <definedName name="선">#REF!</definedName>
    <definedName name="선급"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선급_3">#REF!</definedName>
    <definedName name="선급금">#REF!</definedName>
    <definedName name="선급법인세9">#REF!</definedName>
    <definedName name="선급비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선급비용_3">#REF!</definedName>
    <definedName name="선급이자" hidden="1">{"'Sheet1'!$A$1:$H$36"}</definedName>
    <definedName name="선물환">#REF!</definedName>
    <definedName name="선번data">#REF!</definedName>
    <definedName name="선수금">#REF!</definedName>
    <definedName name="선수금융외화">#REF!</definedName>
    <definedName name="선수금융외화1">#REF!</definedName>
    <definedName name="선수금융원화">#REF!</definedName>
    <definedName name="선수운용외화">#REF!</definedName>
    <definedName name="선수운용외화1">#REF!</definedName>
    <definedName name="선수운용원화">#REF!</definedName>
    <definedName name="설계2팀" hidden="1">{#N/A,#N/A,FALSE,"UNIT";#N/A,#N/A,FALSE,"UNIT";#N/A,#N/A,FALSE,"계정"}</definedName>
    <definedName name="설문지" hidden="1">#REF!</definedName>
    <definedName name="설비투자" hidden="1">{#N/A,#N/A,FALSE,"정공"}</definedName>
    <definedName name="성" hidden="1">{#N/A,#N/A,FALSE,"UNIT";#N/A,#N/A,FALSE,"UNIT";#N/A,#N/A,FALSE,"계정"}</definedName>
    <definedName name="세율">#REF!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득구분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소득구분3_3">#REF!</definedName>
    <definedName name="소득구분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소득구분조서_3">#REF!</definedName>
    <definedName name="소득금액" hidden="1">{#N/A,#N/A,FALSE,"UNIT";#N/A,#N/A,FALSE,"UNIT";#N/A,#N/A,FALSE,"계정"}</definedName>
    <definedName name="소득금액2000" hidden="1">{#N/A,#N/A,FALSE,"UNIT";#N/A,#N/A,FALSE,"UNIT";#N/A,#N/A,FALSE,"계정"}</definedName>
    <definedName name="소모품비">#REF!</definedName>
    <definedName name="소요기간" hidden="1">{#N/A,#N/A,FALSE,"정공"}</definedName>
    <definedName name="속찌">#REF!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_3">#REF!</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#REF!</definedName>
    <definedName name="손익_신탁">#REF!</definedName>
    <definedName name="손익_은행">#REF!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{#N/A,#N/A,TRUE,"대 차 대 조 표"}</definedName>
    <definedName name="손익계산서">#REF!</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hidden="1">{#N/A,#N/A,FALSE,"UNIT";#N/A,#N/A,FALSE,"UNIT";#N/A,#N/A,FALSE,"계정"}</definedName>
    <definedName name="손익인쇄">#REF!</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쇼바2" hidden="1">{#N/A,#N/A,FALSE,"단축1";#N/A,#N/A,FALSE,"단축2";#N/A,#N/A,FALSE,"단축3";#N/A,#N/A,FALSE,"장축";#N/A,#N/A,FALSE,"4WD"}</definedName>
    <definedName name="수_______출">#REF!</definedName>
    <definedName name="수당">#REF!</definedName>
    <definedName name="수량추정" hidden="1">{#N/A,#N/A,FALSE,"정공"}</definedName>
    <definedName name="수불" hidden="1">{#N/A,#N/A,FALSE,"Sheet5"}</definedName>
    <definedName name="수선유지">#REF!</definedName>
    <definedName name="수수료계상">#REF!</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입금융" hidden="1">{#N/A,#N/A,FALSE,"UNIT";#N/A,#N/A,FALSE,"UNIT";#N/A,#N/A,FALSE,"계정"}</definedName>
    <definedName name="수입보증금">#REF!</definedName>
    <definedName name="수정">#REF!</definedName>
    <definedName name="수정1" hidden="1">#REF!</definedName>
    <definedName name="수정4월25일" hidden="1">{"'Sheet1'!$A$1:$H$36"}</definedName>
    <definedName name="수정CF" hidden="1">{#N/A,#N/A,TRUE,"Summary";#N/A,#N/A,TRUE,"IS";#N/A,#N/A,TRUE,"Adj";#N/A,#N/A,TRUE,"BS";#N/A,#N/A,TRUE,"CF";#N/A,#N/A,TRUE,"Debt";#N/A,#N/A,TRUE,"IRR"}</definedName>
    <definedName name="수정사항" hidden="1">#REF!</definedName>
    <definedName name="수정손익" hidden="1">{#N/A,#N/A,FALSE,"정공"}</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수정현금흐름표2" hidden="1">{#N/A,#N/A,TRUE,"Summary";#N/A,#N/A,TRUE,"IS";#N/A,#N/A,TRUE,"Adj";#N/A,#N/A,TRUE,"BS";#N/A,#N/A,TRUE,"CF";#N/A,#N/A,TRUE,"Debt";#N/A,#N/A,TRUE,"IRR"}</definedName>
    <definedName name="수정후">#REF!</definedName>
    <definedName name="수정후외화">#REF!</definedName>
    <definedName name="수주">#REF!</definedName>
    <definedName name="수주2">{"'표지'!$B$5"}</definedName>
    <definedName name="수주2222">{"'표지'!$B$5"}</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주매출">{"'표지'!$B$5"}</definedName>
    <definedName name="수주추정2">{"'표지'!$B$5"}</definedName>
    <definedName name="슈">#REF!</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왑">#REF!</definedName>
    <definedName name="스왑09">#REF!</definedName>
    <definedName name="스왑2">#REF!</definedName>
    <definedName name="스파">#REF!</definedName>
    <definedName name="스파2">#REF!</definedName>
    <definedName name="시">#REF!</definedName>
    <definedName name="시간외10">#REF!</definedName>
    <definedName name="시간외11">#REF!</definedName>
    <definedName name="시간외12">#REF!</definedName>
    <definedName name="시매출">#REF!</definedName>
    <definedName name="시산">#REF!</definedName>
    <definedName name="시산표">#REF!</definedName>
    <definedName name="시산표2" hidden="1">{#N/A,#N/A,FALSE,"BS";#N/A,#N/A,FALSE,"PL";#N/A,#N/A,FALSE,"처분";#N/A,#N/A,FALSE,"현금";#N/A,#N/A,FALSE,"매출";#N/A,#N/A,FALSE,"원가";#N/A,#N/A,FALSE,"경영"}</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시이자">#REF!</definedName>
    <definedName name="시인원">#REF!</definedName>
    <definedName name="시트자료1" hidden="1">#REF!</definedName>
    <definedName name="시트자료2" hidden="1">#REF!</definedName>
    <definedName name="시트자료3" hidden="1">#REF!</definedName>
    <definedName name="시트자료4" hidden="1">#REF!</definedName>
    <definedName name="시파">#REF!</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신규" hidden="1">{#N/A,#N/A,FALSE,"UNIT";#N/A,#N/A,FALSE,"UNIT";#N/A,#N/A,FALSE,"계정"}</definedName>
    <definedName name="신기지국명별">#REF!</definedName>
    <definedName name="신부1">#REF!</definedName>
    <definedName name="신부2">#REF!</definedName>
    <definedName name="신비1">#REF!</definedName>
    <definedName name="신비2">#REF!</definedName>
    <definedName name="신설통계" hidden="1">{#N/A,#N/A,FALSE,"3가";#N/A,#N/A,FALSE,"3나";#N/A,#N/A,FALSE,"3다"}</definedName>
    <definedName name="신설통계_3">#REF!</definedName>
    <definedName name="신수1">#REF!</definedName>
    <definedName name="신수2">#REF!</definedName>
    <definedName name="신신자">#REF!</definedName>
    <definedName name="신자">#REF!</definedName>
    <definedName name="신자1">#REF!</definedName>
    <definedName name="신자2">#REF!</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4월" hidden="1">{#N/A,#N/A,FALSE,"UNIT";#N/A,#N/A,FALSE,"UNIT";#N/A,#N/A,FALSE,"계정"}</definedName>
    <definedName name="실적6월" hidden="1">{#N/A,#N/A,FALSE,"UNIT";#N/A,#N/A,FALSE,"UNIT";#N/A,#N/A,FALSE,"계정"}</definedName>
    <definedName name="십이월">#REF!</definedName>
    <definedName name="ㅇ">#REF!</definedName>
    <definedName name="ㅇ_3">#REF!</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ADKFJDA" hidden="1">{#N/A,#N/A,FALSE,"을지 (4)";#N/A,#N/A,FALSE,"을지 (5)";#N/A,#N/A,FALSE,"을지 (6)"}</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ㅇㅇ" hidden="1">{#N/A,#N/A,FALSE,"UNIT";#N/A,#N/A,FALSE,"UNIT";#N/A,#N/A,FALSE,"계정"}</definedName>
    <definedName name="ㅇㄷㄴ" hidden="1">{#N/A,#N/A,FALSE,"Aging Summary";#N/A,#N/A,FALSE,"Ratio Analysis";#N/A,#N/A,FALSE,"Test 120 Day Accts";#N/A,#N/A,FALSE,"Tickmarks"}</definedName>
    <definedName name="ㅇㄷㄴ_3">#REF!</definedName>
    <definedName name="ㅇㄷㅁ" hidden="1">{#N/A,#N/A,FALSE,"UNIT";#N/A,#N/A,FALSE,"UNIT";#N/A,#N/A,FALSE,"계정"}</definedName>
    <definedName name="ㅇㄹㄴ" hidden="1">{#N/A,#N/A,FALSE,"BS";#N/A,#N/A,FALSE,"PL";#N/A,#N/A,FALSE,"처분";#N/A,#N/A,FALSE,"현금";#N/A,#N/A,FALSE,"매출";#N/A,#N/A,FALSE,"원가";#N/A,#N/A,FALSE,"경영"}</definedName>
    <definedName name="ㅇㄹㅀㅎ" hidden="1">{#N/A,#N/A,FALSE,"Aging Summary";#N/A,#N/A,FALSE,"Ratio Analysis";#N/A,#N/A,FALSE,"Test 120 Day Accts";#N/A,#N/A,FALSE,"Tickmarks"}</definedName>
    <definedName name="ㅇㄹㅀㅎ_3">#REF!</definedName>
    <definedName name="ㅇㄹㅇ" hidden="1">{#N/A,#N/A,FALSE,"3가";#N/A,#N/A,FALSE,"3나";#N/A,#N/A,FALSE,"3다"}</definedName>
    <definedName name="ㅇㄹㅇ_3">#REF!</definedName>
    <definedName name="ㅇㄹㅇㄴ" hidden="1">{#N/A,#N/A,FALSE,"3가";#N/A,#N/A,FALSE,"3나";#N/A,#N/A,FALSE,"3다"}</definedName>
    <definedName name="ㅇㄹㅇㄴ_3">#REF!</definedName>
    <definedName name="ㅇㄹㅇㄹ" hidden="1">#REF!</definedName>
    <definedName name="ㅇㄹㅇㄹㅇ" hidden="1">{#N/A,#N/A,FALSE,"정공"}</definedName>
    <definedName name="ㅇㄹㅇㄹㅇㄹㅇ" hidden="1">{#N/A,#N/A,FALSE,"UNIT";#N/A,#N/A,FALSE,"UNIT";#N/A,#N/A,FALSE,"계정"}</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롬ㄴ" hidden="1">{#N/A,#N/A,FALSE,"Sheet5"}</definedName>
    <definedName name="ㅇㄻㅇㄹ" hidden="1">{#N/A,#N/A,FALSE,"Aging Summary";#N/A,#N/A,FALSE,"Ratio Analysis";#N/A,#N/A,FALSE,"Test 120 Day Accts";#N/A,#N/A,FALSE,"Tickmarks"}</definedName>
    <definedName name="ㅇㄻㅇㄹ_3">#REF!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ㅁㄹ" hidden="1">{#N/A,#N/A,FALSE,"3가";#N/A,#N/A,FALSE,"3나";#N/A,#N/A,FALSE,"3다"}</definedName>
    <definedName name="ㅇㅀㅇㅁㄹ_3">#REF!</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 hidden="1">{#N/A,#N/A,FALSE,"Aging Summary";#N/A,#N/A,FALSE,"Ratio Analysis";#N/A,#N/A,FALSE,"Test 120 Day Accts";#N/A,#N/A,FALSE,"Tickmarks"}</definedName>
    <definedName name="ㅇㅁㄻ_3">#REF!</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ㄻㅇㄴㄹㅇㅁ" hidden="1">{#N/A,#N/A,FALSE,"Aging Summary";#N/A,#N/A,FALSE,"Ratio Analysis";#N/A,#N/A,FALSE,"Test 120 Day Accts";#N/A,#N/A,FALSE,"Tickmarks"}</definedName>
    <definedName name="ㅇㅁㄻㅇㄴㄹㅇㅁ_3">#REF!</definedName>
    <definedName name="ㅇㅁㄻㅇㄹ" hidden="1">{#N/A,#N/A,FALSE,"Aging Summary";#N/A,#N/A,FALSE,"Ratio Analysis";#N/A,#N/A,FALSE,"Test 120 Day Accts";#N/A,#N/A,FALSE,"Tickmarks"}</definedName>
    <definedName name="ㅇㅁㄻㅇㄹ_3">#REF!</definedName>
    <definedName name="ㅇㅇ">#REF!</definedName>
    <definedName name="ㅇㅇ_3">#REF!</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ㅇ">#REF!</definedName>
    <definedName name="ㅇㅇㅇㅇ" hidden="1">{#N/A,#N/A,FALSE,"UNIT";#N/A,#N/A,FALSE,"UNIT";#N/A,#N/A,FALSE,"계정"}</definedName>
    <definedName name="ㅇㅇㅇㅇㅇ">{"'Sheet1'!$A$1:$H$36"}</definedName>
    <definedName name="ㅇㅇㅇㅇㅇㅇ" hidden="1">{#N/A,#N/A,FALSE,"UNIT";#N/A,#N/A,FALSE,"UNIT";#N/A,#N/A,FALSE,"계정"}</definedName>
    <definedName name="ㅇㅇㅇㅇㅇㅇㅇㅇㅇㅇㅇㅇㅇㅇ" hidden="1">{#N/A,#N/A,FALSE,"UNIT";#N/A,#N/A,FALSE,"UNIT";#N/A,#N/A,FALSE,"계정"}</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_3">#REF!</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ㅎ">#REF!</definedName>
    <definedName name="ㅇ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誴_3">#REF!</definedName>
    <definedName name="아" hidden="1">{#N/A,#N/A,FALSE,"BS";#N/A,#N/A,FALSE,"PL";#N/A,#N/A,FALSE,"처분";#N/A,#N/A,FALSE,"현금";#N/A,#N/A,FALSE,"매출";#N/A,#N/A,FALSE,"원가";#N/A,#N/A,FALSE,"경영"}</definedName>
    <definedName name="아나나" hidden="1">{#N/A,#N/A,FALSE,"정공"}</definedName>
    <definedName name="아나마오" hidden="1">{#N/A,#N/A,FALSE,"정공"}</definedName>
    <definedName name="아니" hidden="1">{#N/A,#N/A,FALSE,"BS";#N/A,#N/A,FALSE,"PL";#N/A,#N/A,FALSE,"처분";#N/A,#N/A,FALSE,"현금";#N/A,#N/A,FALSE,"매출";#N/A,#N/A,FALSE,"원가";#N/A,#N/A,FALSE,"경영"}</definedName>
    <definedName name="아니면말고" hidden="1">{#N/A,#N/A,FALSE,"정공"}</definedName>
    <definedName name="아니오아" hidden="1">{#N/A,#N/A,FALSE,"KMC최종회의(7월) 자료"}</definedName>
    <definedName name="아닙니다" hidden="1">{#N/A,#N/A,FALSE,"정공"}</definedName>
    <definedName name="아름다은" hidden="1">{#N/A,#N/A,FALSE,"BS";#N/A,#N/A,FALSE,"PL";#N/A,#N/A,FALSE,"처분";#N/A,#N/A,FALSE,"현금";#N/A,#N/A,FALSE,"매출";#N/A,#N/A,FALSE,"원가";#N/A,#N/A,FALSE,"경영"}</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싸아" hidden="1">{#N/A,#N/A,FALSE,"손익표지";#N/A,#N/A,FALSE,"손익계산";#N/A,#N/A,FALSE,"일반관리비";#N/A,#N/A,FALSE,"영업외수익";#N/A,#N/A,FALSE,"영업외비용";#N/A,#N/A,FALSE,"매출액";#N/A,#N/A,FALSE,"요약손익";#N/A,#N/A,FALSE,"요약대차";#N/A,#N/A,FALSE,"매출채권현황";#N/A,#N/A,FALSE,"매출채권명세"}</definedName>
    <definedName name="아아">#REF!</definedName>
    <definedName name="아조하아" hidden="1">{#N/A,#N/A,FALSE,"UNIT";#N/A,#N/A,FALSE,"UNIT";#N/A,#N/A,FALSE,"계정"}</definedName>
    <definedName name="아ㅏ아아아아아" hidden="1">{#N/A,#N/A,FALSE,"UNIT";#N/A,#N/A,FALSE,"UNIT";#N/A,#N/A,FALSE,"계정"}</definedName>
    <definedName name="아ㅓㅏㅣㅓ" hidden="1">{#N/A,#N/A,FALSE,"Sheet5"}</definedName>
    <definedName name="안" hidden="1">{#N/A,#N/A,FALSE,"3가";#N/A,#N/A,FALSE,"3나";#N/A,#N/A,FALSE,"3다"}</definedName>
    <definedName name="안_3">#REF!</definedName>
    <definedName name="안건">#REF!</definedName>
    <definedName name="알파">#REF!</definedName>
    <definedName name="앗서" hidden="1">{#N/A,#N/A,FALSE,"정공"}</definedName>
    <definedName name="앙">BLCH</definedName>
    <definedName name="앙1" hidden="1">{#N/A,#N/A,FALSE,"BS";#N/A,#N/A,FALSE,"PL";#N/A,#N/A,FALSE,"처분";#N/A,#N/A,FALSE,"현금";#N/A,#N/A,FALSE,"매출";#N/A,#N/A,FALSE,"원가";#N/A,#N/A,FALSE,"경영"}</definedName>
    <definedName name="앙앙" hidden="1">{#N/A,#N/A,FALSE,"BS";#N/A,#N/A,FALSE,"PL";#N/A,#N/A,FALSE,"처분";#N/A,#N/A,FALSE,"현금";#N/A,#N/A,FALSE,"매출";#N/A,#N/A,FALSE,"원가";#N/A,#N/A,FALSE,"경영"}</definedName>
    <definedName name="앟ㅀㅎ" hidden="1">{#N/A,#N/A,FALSE,"손익표지";#N/A,#N/A,FALSE,"손익계산";#N/A,#N/A,FALSE,"일반관리비";#N/A,#N/A,FALSE,"영업외수익";#N/A,#N/A,FALSE,"영업외비용";#N/A,#N/A,FALSE,"매출액";#N/A,#N/A,FALSE,"요약손익";#N/A,#N/A,FALSE,"요약대차";#N/A,#N/A,FALSE,"매출채권현황";#N/A,#N/A,FALSE,"매출채권명세"}</definedName>
    <definedName name="애드서버">#REF!</definedName>
    <definedName name="애드소프트">#REF!</definedName>
    <definedName name="야" hidden="1">{#N/A,#N/A,FALSE,"UNIT";#N/A,#N/A,FALSE,"UNIT";#N/A,#N/A,FALSE,"계정"}</definedName>
    <definedName name="약식손익" hidden="1">{#N/A,#N/A,FALSE,"정공"}</definedName>
    <definedName name="약식손익계산서">#REF!</definedName>
    <definedName name="약정잉자" hidden="1">{#N/A,#N/A,FALSE,"정공"}</definedName>
    <definedName name="양"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양_3">#REF!</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재승2222222" hidden="1">#REF!</definedName>
    <definedName name="어" hidden="1">{#N/A,#N/A,FALSE,"Sheet5"}</definedName>
    <definedName name="어떡해" hidden="1">{"'Sheet1'!$A$1:$H$36"}</definedName>
    <definedName name="어음차입금" hidden="1">#N/A</definedName>
    <definedName name="업_태">#REF!</definedName>
    <definedName name="업무보고용" hidden="1">{#N/A,#N/A,FALSE,"정공"}</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에버림" hidden="1">{#N/A,#N/A,FALSE,"손익표지";#N/A,#N/A,FALSE,"손익계산";#N/A,#N/A,FALSE,"일반관리비";#N/A,#N/A,FALSE,"영업외수익";#N/A,#N/A,FALSE,"영업외비용";#N/A,#N/A,FALSE,"매출액";#N/A,#N/A,FALSE,"요약손익";#N/A,#N/A,FALSE,"요약대차";#N/A,#N/A,FALSE,"매출채권현황";#N/A,#N/A,FALSE,"매출채권명세"}</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엔">#REF!</definedName>
    <definedName name="엔비용">#REF!</definedName>
    <definedName name="엔환율">#REF!</definedName>
    <definedName name="여비교통">#REF!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주" hidden="1">{#N/A,#N/A,FALSE,"손익표지";#N/A,#N/A,FALSE,"손익계산";#N/A,#N/A,FALSE,"일반관리비";#N/A,#N/A,FALSE,"영업외수익";#N/A,#N/A,FALSE,"영업외비용";#N/A,#N/A,FALSE,"매출액";#N/A,#N/A,FALSE,"요약손익";#N/A,#N/A,FALSE,"요약대차";#N/A,#N/A,FALSE,"매출채권현황";#N/A,#N/A,FALSE,"매출채권명세"}</definedName>
    <definedName name="연간예상" hidden="1">{#N/A,#N/A,FALSE,"UNIT";#N/A,#N/A,FALSE,"UNIT";#N/A,#N/A,FALSE,"계정"}</definedName>
    <definedName name="연결정산표2" hidden="1">{#N/A,#N/A,FALSE,"Aging Summary";#N/A,#N/A,FALSE,"Ratio Analysis";#N/A,#N/A,FALSE,"Test 120 Day Accts";#N/A,#N/A,FALSE,"Tickmarks"}</definedName>
    <definedName name="연계서버">#REF!</definedName>
    <definedName name="연계소프트">#REF!</definedName>
    <definedName name="연구" hidden="1">{#N/A,#N/A,FALSE,"3가";#N/A,#N/A,FALSE,"3나";#N/A,#N/A,FALSE,"3다"}</definedName>
    <definedName name="연구_3">#REF!</definedName>
    <definedName name="연구개발비">#REF!</definedName>
    <definedName name="연구소계" hidden="1">{"'5국공정'!$A$1:$E$128"}</definedName>
    <definedName name="연령분석" hidden="1">#REF!</definedName>
    <definedName name="연령분석표" hidden="1">#REF!</definedName>
    <definedName name="연리">#REF!</definedName>
    <definedName name="연말" hidden="1">#REF!</definedName>
    <definedName name="연말손익" hidden="1">{#N/A,#N/A,FALSE,"UNIT";#N/A,#N/A,FALSE,"UNIT";#N/A,#N/A,FALSE,"계정"}</definedName>
    <definedName name="연말예상" hidden="1">#REF!</definedName>
    <definedName name="연숩" hidden="1">{#N/A,#N/A,FALSE,"손익표지";#N/A,#N/A,FALSE,"손익계산";#N/A,#N/A,FALSE,"일반관리비";#N/A,#N/A,FALSE,"영업외수익";#N/A,#N/A,FALSE,"영업외비용";#N/A,#N/A,FALSE,"매출액";#N/A,#N/A,FALSE,"요약손익";#N/A,#N/A,FALSE,"요약대차";#N/A,#N/A,FALSE,"매출채권현황";#N/A,#N/A,FALSE,"매출채권명세"}</definedName>
    <definedName name="연습">#REF!</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hidden="1">{#N/A,#N/A,FALSE,"정공"}</definedName>
    <definedName name="연차">#REF!</definedName>
    <definedName name="연체이자탕감" hidden="1">{#N/A,#N/A,FALSE,"KMC최종회의(7월) 자료"}</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쇠" hidden="1">#REF!</definedName>
    <definedName name="영">#REF!</definedName>
    <definedName name="영업">#REF!</definedName>
    <definedName name="영업권" hidden="1">{#N/A,#N/A,FALSE,"BS";#N/A,#N/A,FALSE,"PL";#N/A,#N/A,FALSE,"처분";#N/A,#N/A,FALSE,"현금";#N/A,#N/A,FALSE,"매출";#N/A,#N/A,FALSE,"원가";#N/A,#N/A,FALSE,"경영"}</definedName>
    <definedName name="영업권_3">#REF!</definedName>
    <definedName name="영업권1" hidden="1">{#N/A,#N/A,FALSE,"BS";#N/A,#N/A,FALSE,"PL";#N/A,#N/A,FALSE,"처분";#N/A,#N/A,FALSE,"현금";#N/A,#N/A,FALSE,"매출";#N/A,#N/A,FALSE,"원가";#N/A,#N/A,FALSE,"경영"}</definedName>
    <definedName name="영업비중">#REF!</definedName>
    <definedName name="영업수수료">#REF!</definedName>
    <definedName name="영업외" hidden="1">#REF!</definedName>
    <definedName name="영업외비용">#REF!</definedName>
    <definedName name="영업외비용_3">#REF!</definedName>
    <definedName name="영업외수" hidden="1">#REF!</definedName>
    <definedName name="영역">#REF!</definedName>
    <definedName name="영역1">#REF!</definedName>
    <definedName name="영외수">#REF!</definedName>
    <definedName name="예1" hidden="1">{#N/A,#N/A,FALSE,"정공"}</definedName>
    <definedName name="예2" hidden="1">{#N/A,#N/A,FALSE,"정공"}</definedName>
    <definedName name="예3" hidden="1">{#N/A,#N/A,FALSE,"정공"}</definedName>
    <definedName name="예금명세">#REF!</definedName>
    <definedName name="예비분석">#REF!</definedName>
    <definedName name="예산">#REF!</definedName>
    <definedName name="예수금">#REF!</definedName>
    <definedName name="오" hidden="1">{#N/A,#N/A,FALSE,"UNIT";#N/A,#N/A,FALSE,"UNIT";#N/A,#N/A,FALSE,"계정"}</definedName>
    <definedName name="오." hidden="1">{#N/A,#N/A,FALSE,"UNIT";#N/A,#N/A,FALSE,"UNIT";#N/A,#N/A,FALSE,"계정"}</definedName>
    <definedName name="오.." hidden="1">{#N/A,#N/A,FALSE,"UNIT";#N/A,#N/A,FALSE,"UNIT";#N/A,#N/A,FALSE,"계정"}</definedName>
    <definedName name="오성협" hidden="1">{#N/A,#N/A,TRUE,"Y생산";#N/A,#N/A,TRUE,"Y판매";#N/A,#N/A,TRUE,"Y총물량";#N/A,#N/A,TRUE,"Y능력";#N/A,#N/A,TRUE,"YKD"}</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오토케어">#REF!</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왔" hidden="1">{#N/A,#N/A,FALSE,"Sheet5"}</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러냐" hidden="1">{"'Sheet1'!$A$1:$H$36"}</definedName>
    <definedName name="왜이러지" hidden="1">{#N/A,#N/A,FALSE,"BS";#N/A,#N/A,FALSE,"PL";#N/A,#N/A,FALSE,"처분";#N/A,#N/A,FALSE,"현금";#N/A,#N/A,FALSE,"매출";#N/A,#N/A,FALSE,"원가";#N/A,#N/A,FALSE,"경영"}</definedName>
    <definedName name="외국인급여">#REF!</definedName>
    <definedName name="외상매입">#REF!</definedName>
    <definedName name="외상매출금">#REF!</definedName>
    <definedName name="외화"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외화_3">#REF!</definedName>
    <definedName name="외화단기차입금" hidden="1">#REF!</definedName>
    <definedName name="외화매입">#REF!</definedName>
    <definedName name="외화부채평가2" hidden="1">{#N/A,#N/A,FALSE,"UNIT";#N/A,#N/A,FALSE,"UNIT";#N/A,#N/A,FALSE,"계정"}</definedName>
    <definedName name="외화평가">#REF!</definedName>
    <definedName name="외화평가명세">#REF!</definedName>
    <definedName name="외화환산" hidden="1">{#N/A,#N/A,FALSE,"Aging Summary";#N/A,#N/A,FALSE,"Ratio Analysis";#N/A,#N/A,FALSE,"Test 120 Day Accts";#N/A,#N/A,FALSE,"Tickmarks"}</definedName>
    <definedName name="외화환산_3">#REF!</definedName>
    <definedName name="외화환차" hidden="1">{#N/A,#N/A,FALSE,"정공"}</definedName>
    <definedName name="외화환차1" hidden="1">{#N/A,#N/A,FALSE,"정공"}</definedName>
    <definedName name="외환산"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외환산_3">#REF!</definedName>
    <definedName name="외환산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외환산조서_3">#REF!</definedName>
    <definedName name="외환차손ADJ"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외환차손ADJ_3">#REF!</definedName>
    <definedName name="요" hidden="1">{#N/A,#N/A,FALSE,"BS";#N/A,#N/A,FALSE,"PL";#N/A,#N/A,FALSE,"처분";#N/A,#N/A,FALSE,"현금";#N/A,#N/A,FALSE,"매출";#N/A,#N/A,FALSE,"원가";#N/A,#N/A,FALSE,"경영"}</definedName>
    <definedName name="요금DATA">#REF!</definedName>
    <definedName name="요약" hidden="1">{#N/A,#N/A,FALSE,"BS";#N/A,#N/A,FALSE,"PL";#N/A,#N/A,FALSE,"처분";#N/A,#N/A,FALSE,"현금";#N/A,#N/A,FALSE,"매출";#N/A,#N/A,FALSE,"원가";#N/A,#N/A,FALSE,"경영"}</definedName>
    <definedName name="요약1차">#REF!,#REF!</definedName>
    <definedName name="요약2차">#REF!,#REF!</definedName>
    <definedName name="요약3" hidden="1">{#N/A,#N/A,FALSE,"정공"}</definedName>
    <definedName name="요약5" hidden="1">{#N/A,#N/A,FALSE,"정공"}</definedName>
    <definedName name="요약총괄" hidden="1">{#N/A,#N/A,FALSE,"정공"}</definedName>
    <definedName name="용" hidden="1">{#N/A,#N/A,FALSE,"P.C.B"}</definedName>
    <definedName name="우" hidden="1">{#N/A,#N/A,FALSE,"Sheet5"}</definedName>
    <definedName name="우가현황">#REF!</definedName>
    <definedName name="우리" hidden="1">{#N/A,#N/A,FALSE,"P.C.B"}</definedName>
    <definedName name="우선">{"'손익현황'!$A$1:$J$29"}</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송">#REF!</definedName>
    <definedName name="운송ㅁ">#REF!</definedName>
    <definedName name="운송명세">#REF!</definedName>
    <definedName name="운용리스잔존원화">#REF!</definedName>
    <definedName name="운용미수잔존외화">#REF!</definedName>
    <definedName name="운용미수잔존원화">#REF!</definedName>
    <definedName name="운용선수잔존외화">#REF!</definedName>
    <definedName name="운용선수잔존원화">#REF!</definedName>
    <definedName name="운용잔존외화">#REF!</definedName>
    <definedName name="운용잔존원화">#REF!</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hidden="1">{#N/A,#N/A,FALSE,"P.C.B"}</definedName>
    <definedName name="원가관리라" hidden="1">{#N/A,#N/A,FALSE,"정공"}</definedName>
    <definedName name="원가요소1027" hidden="1">{#N/A,#N/A,FALSE,"표지";#N/A,#N/A,FALSE,"주요지표";#N/A,#N/A,FALSE,"고장현황(시간)";#N/A,#N/A,FALSE,"고장현황(1제강)"}</definedName>
    <definedName name="원가적용" hidden="1">{#N/A,#N/A,FALSE,"정공"}</definedName>
    <definedName name="원금">#REF!</definedName>
    <definedName name="원래" hidden="1">{#N/A,#N/A,FALSE,"손익표지";#N/A,#N/A,FALSE,"손익계산";#N/A,#N/A,FALSE,"일반관리비";#N/A,#N/A,FALSE,"영업외수익";#N/A,#N/A,FALSE,"영업외비용";#N/A,#N/A,FALSE,"매출액";#N/A,#N/A,FALSE,"요약손익";#N/A,#N/A,FALSE,"요약대차";#N/A,#N/A,FALSE,"매출채권현황";#N/A,#N/A,FALSE,"매출채권명세"}</definedName>
    <definedName name="원본2" hidden="1">#REF!</definedName>
    <definedName name="원시">#REF!</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_3">#REF!</definedName>
    <definedName name="월">#REF!</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별내역">{"'Sheet1'!$A$1:$H$36"}</definedName>
    <definedName name="월별비용">#REF!</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원가절감상세" hidden="1">{#N/A,#N/A,FALSE,"정공"}</definedName>
    <definedName name="월수">#REF!</definedName>
    <definedName name="위치서버">#REF!</definedName>
    <definedName name="위치소프트">#REF!</definedName>
    <definedName name="윌" hidden="1">{#N/A,#N/A,FALSE,"손익표지";#N/A,#N/A,FALSE,"손익계산";#N/A,#N/A,FALSE,"일반관리비";#N/A,#N/A,FALSE,"영업외수익";#N/A,#N/A,FALSE,"영업외비용";#N/A,#N/A,FALSE,"매출액";#N/A,#N/A,FALSE,"요약손익";#N/A,#N/A,FALSE,"요약대차";#N/A,#N/A,FALSE,"매출채권현황";#N/A,#N/A,FALSE,"매출채권명세"}</definedName>
    <definedName name="유가">#REF!</definedName>
    <definedName name="유가증권">#REF!</definedName>
    <definedName name="유가증권평가test" hidden="1">{#N/A,#N/A,FALSE,"Aging Summary";#N/A,#N/A,FALSE,"Ratio Analysis";#N/A,#N/A,FALSE,"Test 120 Day Accts";#N/A,#N/A,FALSE,"Tickmarks"}</definedName>
    <definedName name="유가증권평가test_3">#REF!</definedName>
    <definedName name="유가평가">#REF!</definedName>
    <definedName name="유니트" hidden="1">{#N/A,#N/A,FALSE,"3가";#N/A,#N/A,FALSE,"3나";#N/A,#N/A,FALSE,"3다"}</definedName>
    <definedName name="유니트_3">#REF!</definedName>
    <definedName name="유동성사채">#REF!</definedName>
    <definedName name="유동성장기부채">#REF!</definedName>
    <definedName name="유산" hidden="1">#REF!</definedName>
    <definedName name="유슨준"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첨">{"'Sheet1'!$A$1:$H$36"}</definedName>
    <definedName name="유형" hidden="1">{#N/A,#N/A,FALSE,"Sheet5"}</definedName>
    <definedName name="유형자산" hidden="1">{#N/A,#N/A,FALSE,"Aging Summary";#N/A,#N/A,FALSE,"Ratio Analysis";#N/A,#N/A,FALSE,"Test 120 Day Accts";#N/A,#N/A,FALSE,"Tickmarks"}</definedName>
    <definedName name="유형자산_3">#REF!</definedName>
    <definedName name="유형자산1_3">#REF!</definedName>
    <definedName name="유형자산tot" hidden="1">{#N/A,#N/A,FALSE,"Aging Summary";#N/A,#N/A,FALSE,"Ratio Analysis";#N/A,#N/A,FALSE,"Test 120 Day Accts";#N/A,#N/A,FALSE,"Tickmarks"}</definedName>
    <definedName name="유형자산tot_3">#REF!</definedName>
    <definedName name="유형자산잔액" hidden="1">{#N/A,#N/A,FALSE,"BS";#N/A,#N/A,FALSE,"PL";#N/A,#N/A,FALSE,"처분";#N/A,#N/A,FALSE,"현금";#N/A,#N/A,FALSE,"매출";#N/A,#N/A,FALSE,"원가";#N/A,#N/A,FALSE,"경영"}</definedName>
    <definedName name="율리1총괄표_3">#REF!</definedName>
    <definedName name="이" hidden="1">#REF!</definedName>
    <definedName name="이근우">#REF!</definedName>
    <definedName name="이대호" hidden="1">{#N/A,#N/A,FALSE,"Sheet5"}</definedName>
    <definedName name="이동" hidden="1">{#N/A,#N/A,FALSE,"을지 (4)";#N/A,#N/A,FALSE,"을지 (5)";#N/A,#N/A,FALSE,"을지 (6)"}</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{"'Sheet1'!$A$1:$H$36"}</definedName>
    <definedName name="이름충돌" hidden="1">{#N/A,#N/A,FALSE,"UNIT";#N/A,#N/A,FALSE,"UNIT";#N/A,#N/A,FALSE,"계정"}</definedName>
    <definedName name="이매출">#REF!</definedName>
    <definedName name="이쁘니">#REF!</definedName>
    <definedName name="이설공사_광양07호_시설진행중">BLCH</definedName>
    <definedName name="이성일" hidden="1">{"'5국공정'!$A$1:$E$128"}</definedName>
    <definedName name="이연법인세001231">#REF!</definedName>
    <definedName name="이연자산">#REF!</definedName>
    <definedName name="이영봉" hidden="1">{#N/A,#N/A,FALSE,"BS";#N/A,#N/A,FALSE,"PL";#N/A,#N/A,FALSE,"처분";#N/A,#N/A,FALSE,"현금";#N/A,#N/A,FALSE,"매출";#N/A,#N/A,FALSE,"원가";#N/A,#N/A,FALSE,"경영"}</definedName>
    <definedName name="이우" hidden="1">{"'통신지'!$A$1:$J$41"}</definedName>
    <definedName name="이이잉" hidden="1">#REF!</definedName>
    <definedName name="이이자">#REF!</definedName>
    <definedName name="이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이익_3">#REF!</definedName>
    <definedName name="이익잉여금처분계산서변경" hidden="1">{#N/A,#N/A,FALSE,"BS";#N/A,#N/A,FALSE,"PL";#N/A,#N/A,FALSE,"처분";#N/A,#N/A,FALSE,"현금";#N/A,#N/A,FALSE,"매출";#N/A,#N/A,FALSE,"원가";#N/A,#N/A,FALSE,"경영"}</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계산내역" hidden="1">{#N/A,#N/A,FALSE,"KMC최종회의(7월) 자료"}</definedName>
    <definedName name="이종환" hidden="1">{#N/A,#N/A,FALSE,"Sheet5"}</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천생산">{"'Sheet1'!$A$1:$H$36"}</definedName>
    <definedName name="이천자동화팀">{"'Sheet1'!$A$1:$H$36"}</definedName>
    <definedName name="이혜영ㅇ">#REF!</definedName>
    <definedName name="이화감가">#REF!</definedName>
    <definedName name="이화매출">#REF!</definedName>
    <definedName name="이화인원">#REF!</definedName>
    <definedName name="이ㅏㄴㅇ">#REF!</definedName>
    <definedName name="인">#REF!</definedName>
    <definedName name="인니" hidden="1">{#N/A,#N/A,FALSE,"UNIT";#N/A,#N/A,FALSE,"UNIT";#N/A,#N/A,FALSE,"계정"}</definedName>
    <definedName name="인도네시아" hidden="1">{#N/A,#N/A,FALSE,"UNIT";#N/A,#N/A,FALSE,"UNIT";#N/A,#N/A,FALSE,"계정"}</definedName>
    <definedName name="인사" hidden="1">{#N/A,#N/A,FALSE,"P.C.B"}</definedName>
    <definedName name="인사1">#REF!</definedName>
    <definedName name="인쇄01">#REF!</definedName>
    <definedName name="인쇄매체집행율">#REF!</definedName>
    <definedName name="인수자">#REF!</definedName>
    <definedName name="인원">#REF!,#REF!,#REF!</definedName>
    <definedName name="인원1"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정"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인정_3">#REF!</definedName>
    <definedName name="인플레">#REF!</definedName>
    <definedName name="일">#REF!</definedName>
    <definedName name="일년">365</definedName>
    <definedName name="일반관리비교">#REF!</definedName>
    <definedName name="일반사채이자율">#REF!</definedName>
    <definedName name="일반현황__2_">#REF!</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수">#REF!</definedName>
    <definedName name="일위" hidden="1">#REF!</definedName>
    <definedName name="일자">#REF!</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97" hidden="1">#REF!</definedName>
    <definedName name="임금인상">#REF!</definedName>
    <definedName name="임대보증금">#REF!</definedName>
    <definedName name="임동원" hidden="1">{#N/A,#N/A,FALSE,"정공"}</definedName>
    <definedName name="임시">BLCH</definedName>
    <definedName name="임원">#REF!</definedName>
    <definedName name="임원순증">#REF!</definedName>
    <definedName name="임원평수">#REF!</definedName>
    <definedName name="임정은" hidden="1">{#N/A,#N/A,FALSE,"Sheet5"}</definedName>
    <definedName name="임차단가">#REF!</definedName>
    <definedName name="임차보증">#REF!</definedName>
    <definedName name="임차보증금">#REF!</definedName>
    <definedName name="입고불량">#REF!</definedName>
    <definedName name="입고양품">#REF!</definedName>
    <definedName name="잉ㅅ간" hidden="1">{#N/A,#N/A,FALSE,"손익표지";#N/A,#N/A,FALSE,"손익계산";#N/A,#N/A,FALSE,"일반관리비";#N/A,#N/A,FALSE,"영업외수익";#N/A,#N/A,FALSE,"영업외비용";#N/A,#N/A,FALSE,"매출액";#N/A,#N/A,FALSE,"요약손익";#N/A,#N/A,FALSE,"요약대차";#N/A,#N/A,FALSE,"매출채권현황";#N/A,#N/A,FALSE,"매출채권명세"}</definedName>
    <definedName name="ㅈ">#REF!</definedName>
    <definedName name="ㅈ_3">#REF!</definedName>
    <definedName name="ㅈㄴㄴㄴ" hidden="1">{#N/A,#N/A,FALSE,"P.C.B"}</definedName>
    <definedName name="ㅈㄶㄹㄴ">#REF!</definedName>
    <definedName name="ㅈㄷㄱ" hidden="1">{#N/A,#N/A,FALSE,"BS";#N/A,#N/A,FALSE,"PL";#N/A,#N/A,FALSE,"처분";#N/A,#N/A,FALSE,"현금";#N/A,#N/A,FALSE,"매출";#N/A,#N/A,FALSE,"원가";#N/A,#N/A,FALSE,"경영"}</definedName>
    <definedName name="ㅈㄷㄱㄱ" hidden="1">{#N/A,#N/A,FALSE,"Aging Summary";#N/A,#N/A,FALSE,"Ratio Analysis";#N/A,#N/A,FALSE,"Test 120 Day Accts";#N/A,#N/A,FALSE,"Tickmarks"}</definedName>
    <definedName name="ㅈㄷㄱㄱ_3">#REF!</definedName>
    <definedName name="ㅈㄷㄱㅂㄷㄱㅂㅈㄷㄱㅂㄷㅈ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ㅈ" hidden="1">#REF!</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ㅈㅈㅈ_3">#REF!</definedName>
    <definedName name="ㅈㅈㅈㅈ" hidden="1">{"'Sheet1'!$A$1:$H$36"}</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자" hidden="1">{#N/A,#N/A,FALSE,"3가";#N/A,#N/A,FALSE,"3나";#N/A,#N/A,FALSE,"3다"}</definedName>
    <definedName name="자." hidden="1">{#N/A,#N/A,FALSE,"UNIT";#N/A,#N/A,FALSE,"UNIT";#N/A,#N/A,FALSE,"계정"}</definedName>
    <definedName name="자.." hidden="1">{#N/A,#N/A,FALSE,"UNIT";#N/A,#N/A,FALSE,"UNIT";#N/A,#N/A,FALSE,"계정"}</definedName>
    <definedName name="자_3">#REF!</definedName>
    <definedName name="자금" hidden="1">{#N/A,#N/A,FALSE,"Aging Summary";#N/A,#N/A,FALSE,"Ratio Analysis";#N/A,#N/A,FALSE,"Test 120 Day Accts";#N/A,#N/A,FALSE,"Tickmarks"}</definedName>
    <definedName name="자금계획서">#REF!</definedName>
    <definedName name="자금운요" hidden="1">{#N/A,#N/A,FALSE,"Aging Summary";#N/A,#N/A,FALSE,"Ratio Analysis";#N/A,#N/A,FALSE,"Test 120 Day Accts";#N/A,#N/A,FALSE,"Tickmarks"}</definedName>
    <definedName name="자금운용">#REF!</definedName>
    <definedName name="자금운용2" hidden="1">{#N/A,#N/A,FALSE,"Aging Summary";#N/A,#N/A,FALSE,"Ratio Analysis";#N/A,#N/A,FALSE,"Test 120 Day Accts";#N/A,#N/A,FALSE,"Tickmarks"}</definedName>
    <definedName name="자금원천">#REF!</definedName>
    <definedName name="자금집행실적" hidden="1">{"'Sheet1'!$A$1:$H$36"}</definedName>
    <definedName name="자동화" hidden="1">{#N/A,#N/A,FALSE,"UNIT";#N/A,#N/A,FALSE,"UNIT";#N/A,#N/A,FALSE,"계정"}</definedName>
    <definedName name="자동화팀">{"'Sheet1'!$A$1:$H$36"}</definedName>
    <definedName name="자리">{"'Sheet1'!$A$1:$H$36"}</definedName>
    <definedName name="자매출">#REF!</definedName>
    <definedName name="자본" hidden="1">{#N/A,#N/A,FALSE,"Aging Summary";#N/A,#N/A,FALSE,"Ratio Analysis";#N/A,#N/A,FALSE,"Test 120 Day Accts";#N/A,#N/A,FALSE,"Tickmarks"}</definedName>
    <definedName name="자본_3">#REF!</definedName>
    <definedName name="자본금" hidden="1">{#N/A,#N/A,FALSE,"Aging Summary";#N/A,#N/A,FALSE,"Ratio Analysis";#N/A,#N/A,FALSE,"Test 120 Day Accts";#N/A,#N/A,FALSE,"Tickmarks"}</definedName>
    <definedName name="자본금_3">#REF!</definedName>
    <definedName name="자본금과잉여금">#REF!</definedName>
    <definedName name="자본방" hidden="1">{#N/A,#N/A,FALSE,"Aging Summary";#N/A,#N/A,FALSE,"Ratio Analysis";#N/A,#N/A,FALSE,"Test 120 Day Accts";#N/A,#N/A,FALSE,"Tickmarks"}</definedName>
    <definedName name="자본방_3">#REF!</definedName>
    <definedName name="자본변동표" hidden="1">{#N/A,#N/A,FALSE,"Sheet5"}</definedName>
    <definedName name="자본변동표3" hidden="1">{#N/A,#N/A,FALSE,"Aging Summary";#N/A,#N/A,FALSE,"Ratio Analysis";#N/A,#N/A,FALSE,"Test 120 Day Accts";#N/A,#N/A,FALSE,"Tickmarks"}</definedName>
    <definedName name="자산건전성">#REF!</definedName>
    <definedName name="자산현금유입">#REF!,#REF!,#REF!,#REF!</definedName>
    <definedName name="자산현금유출">#REF!,#REF!,#REF!,#REF!</definedName>
    <definedName name="자이자">#REF!</definedName>
    <definedName name="자인원">#REF!</definedName>
    <definedName name="자재입력">#REF!</definedName>
    <definedName name="자재재고">#REF!</definedName>
    <definedName name="자재현황비교">#REF!</definedName>
    <definedName name="작성조서">#REF!</definedName>
    <definedName name="작업"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작업_3">#REF!</definedName>
    <definedName name="작업중">#REF!</definedName>
    <definedName name="잔다르크" hidden="1">{#N/A,#N/A,FALSE,"정공"}</definedName>
    <definedName name="잔양" hidden="1">{#N/A,#N/A,FALSE,"P.C.B"}</definedName>
    <definedName name="잔존17기">#REF!</definedName>
    <definedName name="잔존금기">#REF!</definedName>
    <definedName name="잔존만기">#REF!</definedName>
    <definedName name="잔존전기">#REF!</definedName>
    <definedName name="잡비">#REF!</definedName>
    <definedName name="잡이익분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잡이익분석_3">#REF!</definedName>
    <definedName name="장VP" hidden="1">{#N/A,#N/A,FALSE,"UNIT";#N/A,#N/A,FALSE,"UNIT";#N/A,#N/A,FALSE,"계정"}</definedName>
    <definedName name="장기미수금" hidden="1">{#N/A,#N/A,FALSE,"UNIT";#N/A,#N/A,FALSE,"UNIT";#N/A,#N/A,FALSE,"계정"}</definedName>
    <definedName name="장기미지급" hidden="1">#REF!</definedName>
    <definedName name="장기차입">#REF!</definedName>
    <definedName name="장부가액">#REF!</definedName>
    <definedName name="장부가액합계">#REF!</definedName>
    <definedName name="장원">#REF!</definedName>
    <definedName name="재">#REF!</definedName>
    <definedName name="재경" hidden="1">{#N/A,#N/A,FALSE,"UNIT";#N/A,#N/A,FALSE,"UNIT";#N/A,#N/A,FALSE,"계정"}</definedName>
    <definedName name="재고" hidden="1">{#N/A,#N/A,FALSE,"Aging Summary";#N/A,#N/A,FALSE,"Ratio Analysis";#N/A,#N/A,FALSE,"Test 120 Day Accts";#N/A,#N/A,FALSE,"Tickmarks"}</definedName>
    <definedName name="재고자산"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재고자산_3">#REF!</definedName>
    <definedName name="재공입력">#REF!</definedName>
    <definedName name="재공재고">#REF!</definedName>
    <definedName name="재공포함" hidden="1">{#N/A,#N/A,FALSE,"Sheet5"}</definedName>
    <definedName name="재공품공수2" hidden="1">{#N/A,#N/A,FALSE,"Sheet5"}</definedName>
    <definedName name="재공합계표">#REF!</definedName>
    <definedName name="재공현황비교">#REF!</definedName>
    <definedName name="재료" hidden="1">{#N/A,#N/A,FALSE,"UNIT";#N/A,#N/A,FALSE,"UNIT";#N/A,#N/A,FALSE,"계정"}</definedName>
    <definedName name="재리스미수운용외화">#REF!</definedName>
    <definedName name="재리스미수운용원화">#REF!</definedName>
    <definedName name="재리스선수외화">#REF!</definedName>
    <definedName name="재리스선수외화1">#REF!</definedName>
    <definedName name="재리스선수운용외화">#REF!</definedName>
    <definedName name="재리스선수운용외화1">#REF!</definedName>
    <definedName name="재리스선수운용원화">#REF!</definedName>
    <definedName name="재리스원금차감외화">#REF!</definedName>
    <definedName name="재리스원금차감원화">#REF!</definedName>
    <definedName name="저1" hidden="1">{#N/A,#N/A,FALSE,"정공"}</definedName>
    <definedName name="저2" hidden="1">{#N/A,#N/A,FALSE,"정공"}</definedName>
    <definedName name="저장" hidden="1">{#N/A,#N/A,FALSE,"Sheet5"}</definedName>
    <definedName name="저장1" hidden="1">{#N/A,#N/A,FALSE,"Sheet5"}</definedName>
    <definedName name="저장2" hidden="1">{#N/A,#N/A,FALSE,"Sheet5"}</definedName>
    <definedName name="저장33" hidden="1">{#N/A,#N/A,FALSE,"Sheet5"}</definedName>
    <definedName name="저장품">#REF!</definedName>
    <definedName name="저장품수불" hidden="1">{#N/A,#N/A,FALSE,"Sheet5"}</definedName>
    <definedName name="저저" hidden="1">{#N/A,#N/A,FALSE,"UNIT";#N/A,#N/A,FALSE,"UNIT";#N/A,#N/A,FALSE,"계정"}</definedName>
    <definedName name="전2" hidden="1">{#N/A,#N/A,FALSE,"정공"}</definedName>
    <definedName name="전략" hidden="1">{#N/A,#N/A,FALSE,"정공"}</definedName>
    <definedName name="전략2" hidden="1">{#N/A,#N/A,FALSE,"정공"}</definedName>
    <definedName name="전략투" hidden="1">{#N/A,#N/A,FALSE,"정공"}</definedName>
    <definedName name="전산장비" hidden="1">{"'Sheet1'!$A$1:$H$36"}</definedName>
    <definedName name="전신전화">#REF!</definedName>
    <definedName name="전입액">#REF!</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체시장">#REF!</definedName>
    <definedName name="전화번호">{"'Sheet1'!$A$1:$H$36"}</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내역상세" hidden="1">{#N/A,#N/A,FALSE,"정공"}</definedName>
    <definedName name="절감반기계획對실적" hidden="1">{#N/A,#N/A,FALSE,"정공"}</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_3">#REF!</definedName>
    <definedName name="정" hidden="1">{#N/A,#N/A,FALSE,"UNIT";#N/A,#N/A,FALSE,"UNIT";#N/A,#N/A,FALSE,"계정"}</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hidden="1">{#N/A,#N/A,FALSE,"UNIT";#N/A,#N/A,FALSE,"UNIT";#N/A,#N/A,FALSE,"계정"}</definedName>
    <definedName name="정문식" hidden="1">{#N/A,#N/A,FALSE,"UNIT";#N/A,#N/A,FALSE,"UNIT";#N/A,#N/A,FALSE,"계정"}</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산표">#REF!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_3">#REF!</definedName>
    <definedName name="정상가격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상가격2_3">#REF!</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일우">#REF!</definedName>
    <definedName name="정임" hidden="1">#REF!</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젖아" hidden="1">{#N/A,#N/A,FALSE,"Sheet5"}</definedName>
    <definedName name="제" hidden="1">{#N/A,#N/A,FALSE,"Sheet5"}</definedName>
    <definedName name="제1안" hidden="1">{#N/A,#N/A,TRUE,"매출진척-1";#N/A,#N/A,TRUE,"매출진척-2";#N/A,#N/A,TRUE,"제품실적";#N/A,#N/A,TRUE,"RAC";#N/A,#N/A,TRUE,"PAC ";#N/A,#N/A,TRUE,"재고현황";#N/A,#N/A,TRUE,"공지사항"}</definedName>
    <definedName name="제1안_3">#REF!</definedName>
    <definedName name="제원">#REF!</definedName>
    <definedName name="제일장" hidden="1">#REF!</definedName>
    <definedName name="제작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제작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제조" hidden="1">#REF!</definedName>
    <definedName name="제조원가">#REF!</definedName>
    <definedName name="제주추가종합수정안" hidden="1">{#N/A,#N/A,FALSE,"3가";#N/A,#N/A,FALSE,"3나";#N/A,#N/A,FALSE,"3다"}</definedName>
    <definedName name="제주추가종합수정안_3">#REF!</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별사업전략" hidden="1">{#N/A,#N/A,FALSE,"UNIT";#N/A,#N/A,FALSE,"UNIT";#N/A,#N/A,FALSE,"계정"}</definedName>
    <definedName name="제품시화">#REF!</definedName>
    <definedName name="조" hidden="1">{#N/A,#N/A,FALSE,"BS";#N/A,#N/A,FALSE,"PL";#N/A,#N/A,FALSE,"처분";#N/A,#N/A,FALSE,"현금";#N/A,#N/A,FALSE,"매출";#N/A,#N/A,FALSE,"원가";#N/A,#N/A,FALSE,"경영"}</definedName>
    <definedName name="조달" hidden="1">{#N/A,#N/A,FALSE,"P.C.B"}</definedName>
    <definedName name="조정" hidden="1">#REF!</definedName>
    <definedName name="조정금액">#REF!</definedName>
    <definedName name="조정후손익" hidden="1">{#N/A,#N/A,FALSE,"정공"}</definedName>
    <definedName name="조직3" hidden="1">{#N/A,#N/A,FALSE,"정공"}</definedName>
    <definedName name="조회" hidden="1">{#N/A,#N/A,FALSE,"손익표지";#N/A,#N/A,FALSE,"손익계산";#N/A,#N/A,FALSE,"일반관리비";#N/A,#N/A,FALSE,"영업외수익";#N/A,#N/A,FALSE,"영업외비용";#N/A,#N/A,FALSE,"매출액";#N/A,#N/A,FALSE,"요약손익";#N/A,#N/A,FALSE,"요약대차";#N/A,#N/A,FALSE,"매출채권현황";#N/A,#N/A,FALSE,"매출채권명세"}</definedName>
    <definedName name="조회금액">#REF!</definedName>
    <definedName name="조회액">#REF!</definedName>
    <definedName name="조회인">#REF!</definedName>
    <definedName name="조회일">#REF!</definedName>
    <definedName name="조회일자">#REF!</definedName>
    <definedName name="조회주화면">#REF!</definedName>
    <definedName name="종_목">#REF!</definedName>
    <definedName name="종업원대여금">#REF!</definedName>
    <definedName name="종합2" hidden="1">{#N/A,#N/A,FALSE,"정공"}</definedName>
    <definedName name="종합미래2" hidden="1">{#N/A,#N/A,FALSE,"정공"}</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{#N/A,#N/A,FALSE,"UNIT";#N/A,#N/A,FALSE,"UNIT";#N/A,#N/A,FALSE,"계정"}</definedName>
    <definedName name="주민번호">#REF!</definedName>
    <definedName name="주부신수익권증서_400">#REF!</definedName>
    <definedName name="주소범위">#REF!</definedName>
    <definedName name="주소범위2">#REF!</definedName>
    <definedName name="주식발행초과금">#REF!</definedName>
    <definedName name="주식배당등">#REF!</definedName>
    <definedName name="주요업무" hidden="1">{#N/A,#N/A,FALSE,"P.C.B"}</definedName>
    <definedName name="주요업무2" hidden="1">{#N/A,#N/A,TRUE,"Y생산";#N/A,#N/A,TRUE,"Y판매";#N/A,#N/A,TRUE,"Y총물량";#N/A,#N/A,TRUE,"Y능력";#N/A,#N/A,TRUE,"YKD"}</definedName>
    <definedName name="주요업무3" hidden="1">{#N/A,#N/A,TRUE,"Y생산";#N/A,#N/A,TRUE,"Y판매";#N/A,#N/A,TRUE,"Y총물량";#N/A,#N/A,TRUE,"Y능력";#N/A,#N/A,TRUE,"YKD"}</definedName>
    <definedName name="주원수정사항" hidden="1">#REF!</definedName>
    <definedName name="주재원" hidden="1">#REF!</definedName>
    <definedName name="주종단체">#REF!</definedName>
    <definedName name="주주" hidden="1">{#N/A,#N/A,FALSE,"Aging Summary";#N/A,#N/A,FALSE,"Ratio Analysis";#N/A,#N/A,FALSE,"Test 120 Day Accts";#N/A,#N/A,FALSE,"Tickmarks"}</definedName>
    <definedName name="주주_3">#REF!</definedName>
    <definedName name="주차계획" hidden="1">{#N/A,#N/A,FALSE,"UNIT";#N/A,#N/A,FALSE,"UNIT";#N/A,#N/A,FALSE,"계정"}</definedName>
    <definedName name="준" hidden="1">{#N/A,#N/A,FALSE,"Aging Summary";#N/A,#N/A,FALSE,"Ratio Analysis";#N/A,#N/A,FALSE,"Test 120 Day Accts";#N/A,#N/A,FALSE,"Tickmarks"}</definedName>
    <definedName name="준_3">#REF!</definedName>
    <definedName name="준공">BLCH</definedName>
    <definedName name="준공2">BLCH</definedName>
    <definedName name="준공계2">BLCH</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_3">#REF!</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_3">#REF!</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_3">#REF!</definedName>
    <definedName name="중간요약">#REF!</definedName>
    <definedName name="중계기현황">#REF!</definedName>
    <definedName name="중기" hidden="1">{#N/A,#N/A,FALSE,"정공"}</definedName>
    <definedName name="중기예산" hidden="1">{#N/A,#N/A,FALSE,"3가";#N/A,#N/A,FALSE,"3나";#N/A,#N/A,FALSE,"3다"}</definedName>
    <definedName name="중기예산_3">#REF!</definedName>
    <definedName name="중소기업진흥공단" hidden="1">{#N/A,#N/A,FALSE,"UNIT";#N/A,#N/A,FALSE,"UNIT";#N/A,#N/A,FALSE,"계정"}</definedName>
    <definedName name="중소기업해당여부">#REF!</definedName>
    <definedName name="중앙" hidden="1">{#N/A,#N/A,FALSE,"단축1";#N/A,#N/A,FALSE,"단축2";#N/A,#N/A,FALSE,"단축3";#N/A,#N/A,FALSE,"장축";#N/A,#N/A,FALSE,"4WD"}</definedName>
    <definedName name="중요성" hidden="1">{#N/A,#N/A,FALSE,"UNIT";#N/A,#N/A,FALSE,"UNIT";#N/A,#N/A,FALSE,"계정"}</definedName>
    <definedName name="중점검토">#REF!</definedName>
    <definedName name="지급수수">#REF!</definedName>
    <definedName name="지급어음">#REF!</definedName>
    <definedName name="지급어음명세서3" hidden="1">{#N/A,#N/A,FALSE,"정공"}</definedName>
    <definedName name="지급임차료">#REF!</definedName>
    <definedName name="지분">{"'Sheet1'!$L$16"}</definedName>
    <definedName name="지자">#REF!</definedName>
    <definedName name="직원">#REF!</definedName>
    <definedName name="직원순증">#REF!</definedName>
    <definedName name="직원평수">#REF!</definedName>
    <definedName name="직접재료" hidden="1">{#N/A,#N/A,FALSE,"Sheet5"}</definedName>
    <definedName name="진" hidden="1">{#N/A,#N/A,FALSE,"3가";#N/A,#N/A,FALSE,"3나";#N/A,#N/A,FALSE,"3다"}</definedName>
    <definedName name="진_3">#REF!</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짜살림">#REF!</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hidden="1">{#N/A,#N/A,FALSE,"BS";#N/A,#N/A,FALSE,"PL";#N/A,#N/A,FALSE,"처분";#N/A,#N/A,FALSE,"현금";#N/A,#N/A,FALSE,"매출";#N/A,#N/A,FALSE,"원가";#N/A,#N/A,FALSE,"경영"}</definedName>
    <definedName name="집">#REF!</definedName>
    <definedName name="집행실적200211" hidden="1">{"'Sheet1'!$A$1:$H$36"}</definedName>
    <definedName name="ㅊ">#REF!</definedName>
    <definedName name="ㅊㅊ">#REF!</definedName>
    <definedName name="ㅊㅊㅊ">{"'표지'!$B$5"}</definedName>
    <definedName name="ㅊㅌㅍㅇㄴ" hidden="1">{#N/A,#N/A,FALSE,"손익표지";#N/A,#N/A,FALSE,"손익계산";#N/A,#N/A,FALSE,"일반관리비";#N/A,#N/A,FALSE,"영업외수익";#N/A,#N/A,FALSE,"영업외비용";#N/A,#N/A,FALSE,"매출액";#N/A,#N/A,FALSE,"요약손익";#N/A,#N/A,FALSE,"요약대차";#N/A,#N/A,FALSE,"매출채권현황";#N/A,#N/A,FALSE,"매출채권명세"}</definedName>
    <definedName name="차" hidden="1">{#N/A,#N/A,FALSE,"Sheet5"}</definedName>
    <definedName name="차." hidden="1">{#N/A,#N/A,FALSE,"UNIT";#N/A,#N/A,FALSE,"UNIT";#N/A,#N/A,FALSE,"계정"}</definedName>
    <definedName name="차.ㅇ" hidden="1">{#N/A,#N/A,FALSE,"UNIT";#N/A,#N/A,FALSE,"UNIT";#N/A,#N/A,FALSE,"계정"}</definedName>
    <definedName name="차라리" hidden="1">{#N/A,#N/A,FALSE,"KMC최종회의(7월) 자료"}</definedName>
    <definedName name="차량" hidden="1">{#N/A,#N/A,FALSE,"UNIT";#N/A,#N/A,FALSE,"UNIT";#N/A,#N/A,FALSE,"계정"}</definedName>
    <definedName name="차량SVC" hidden="1">{#N/A,#N/A,FALSE,"UNIT";#N/A,#N/A,FALSE,"UNIT";#N/A,#N/A,FALSE,"계정"}</definedName>
    <definedName name="차량별손익보고2" hidden="1">{#N/A,#N/A,FALSE,"Sheet5"}</definedName>
    <definedName name="차량운반구">{"'손익현황'!$A$1:$J$29"}</definedName>
    <definedName name="차이">#REF!</definedName>
    <definedName name="차이외화">#REF!</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트" hidden="1">{#N/A,#N/A,FALSE,"정공"}</definedName>
    <definedName name="참고" hidden="1">{#N/A,#N/A,FALSE,"BS";#N/A,#N/A,FALSE,"PL";#N/A,#N/A,FALSE,"처분";#N/A,#N/A,FALSE,"현금";#N/A,#N/A,FALSE,"매출";#N/A,#N/A,FALSE,"원가";#N/A,#N/A,FALSE,"경영"}</definedName>
    <definedName name="책연1">#REF!</definedName>
    <definedName name="책연2">#REF!</definedName>
    <definedName name="청" hidden="1">#REF!</definedName>
    <definedName name="초고압" hidden="1">{#N/A,#N/A,FALSE,"UNIT";#N/A,#N/A,FALSE,"UNIT";#N/A,#N/A,FALSE,"계정"}</definedName>
    <definedName name="초이">#REF!</definedName>
    <definedName name="총">#REF!</definedName>
    <definedName name="총RV외화">#REF!</definedName>
    <definedName name="총RV원화">#REF!</definedName>
    <definedName name="총괄" hidden="1">{#N/A,#N/A,TRUE,"1호 과표세액";#N/A,#N/A,TRUE,"6호 첨부(익)";#N/A,#N/A,TRUE,"6-3호 퇴충";#N/A,#N/A,TRUE,"PL";#N/A,#N/A,TRUE,"BS";#N/A,#N/A,TRUE,"RE";#N/A,#N/A,TRUE,"표지"}</definedName>
    <definedName name="총괄_3">#REF!</definedName>
    <definedName name="총괄_신세대" hidden="1">{#N/A,#N/A,FALSE,"정공"}</definedName>
    <definedName name="총괄1" hidden="1">{#N/A,#N/A,FALSE,"UNIT";#N/A,#N/A,FALSE,"UNIT";#N/A,#N/A,FALSE,"계정"}</definedName>
    <definedName name="총괄11" hidden="1">{#N/A,#N/A,FALSE,"3가";#N/A,#N/A,FALSE,"3나";#N/A,#N/A,FALSE,"3다"}</definedName>
    <definedName name="총괄11_3">#REF!</definedName>
    <definedName name="총괄예산규모">#REF!</definedName>
    <definedName name="총괄예산규모2">#REF!</definedName>
    <definedName name="총괄표">#REF!</definedName>
    <definedName name="총광고비">#REF!</definedName>
    <definedName name="총무" hidden="1">{#N/A,#N/A,FALSE,"P.C.B"}</definedName>
    <definedName name="총인원">#REF!</definedName>
    <definedName name="총회">#REF!</definedName>
    <definedName name="최승우">#REF!</definedName>
    <definedName name="최영" hidden="1">{#N/A,#N/A,FALSE,"정공"}</definedName>
    <definedName name="최재호" hidden="1">#REF!</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계합계">#REF!</definedName>
    <definedName name="추진" hidden="1">{#N/A,#N/A,FALSE,"정공"}</definedName>
    <definedName name="추진전략" hidden="1">{#N/A,#N/A,FALSE,"정공"}</definedName>
    <definedName name="출고불량">#REF!</definedName>
    <definedName name="출고양품">#REF!</definedName>
    <definedName name="출자금" hidden="1">{#N/A,#N/A,FALSE,"BS";#N/A,#N/A,FALSE,"PL";#N/A,#N/A,FALSE,"처분";#N/A,#N/A,FALSE,"현금";#N/A,#N/A,FALSE,"매출";#N/A,#N/A,FALSE,"원가";#N/A,#N/A,FALSE,"경영"}</definedName>
    <definedName name="출처">#REF!</definedName>
    <definedName name="충남신설">#REF!</definedName>
    <definedName name="충남트래픽">#REF!</definedName>
    <definedName name="충당금">#REF!</definedName>
    <definedName name="충북">#REF!</definedName>
    <definedName name="충북신설">#REF!</definedName>
    <definedName name="충북트래픽">#REF!</definedName>
    <definedName name="취득가액">#REF!</definedName>
    <definedName name="취소">#REF!</definedName>
    <definedName name="취소국소">BLCH</definedName>
    <definedName name="칠">#REF!</definedName>
    <definedName name="ㅋ">#REF!</definedName>
    <definedName name="ㅋ_3">#REF!</definedName>
    <definedName name="ㅋㅊㅌㅍㅋㅁㅇㄿ"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ㅋㅋㅋ_3">#REF!</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 hidden="1">{#N/A,#N/A,FALSE,"손익표지";#N/A,#N/A,FALSE,"손익계산";#N/A,#N/A,FALSE,"일반관리비";#N/A,#N/A,FALSE,"영업외수익";#N/A,#N/A,FALSE,"영업외비용";#N/A,#N/A,FALSE,"매출액";#N/A,#N/A,FALSE,"요약손익";#N/A,#N/A,FALSE,"요약대차";#N/A,#N/A,FALSE,"매출채권현황";#N/A,#N/A,FALSE,"매출채권명세"}</definedName>
    <definedName name="ㅋㅌㅊㅊㅁㅇ" hidden="1">{#N/A,#N/A,FALSE,"손익표지";#N/A,#N/A,FALSE,"손익계산";#N/A,#N/A,FALSE,"일반관리비";#N/A,#N/A,FALSE,"영업외수익";#N/A,#N/A,FALSE,"영업외비용";#N/A,#N/A,FALSE,"매출액";#N/A,#N/A,FALSE,"요약손익";#N/A,#N/A,FALSE,"요약대차";#N/A,#N/A,FALSE,"매출채권현황";#N/A,#N/A,FALSE,"매출채권명세"}</definedName>
    <definedName name="카" hidden="1">{#N/A,#N/A,FALSE,"Sheet5"}</definedName>
    <definedName name="캐쉬">{"'Sheet1'!$A$1:$H$36"}</definedName>
    <definedName name="캠코환매채권" hidden="1">{#N/A,#N/A,FALSE,"Aging Summary";#N/A,#N/A,FALSE,"Ratio Analysis";#N/A,#N/A,FALSE,"Test 120 Day Accts";#N/A,#N/A,FALSE,"Tickmarks"}</definedName>
    <definedName name="코">#REF!</definedName>
    <definedName name="코드">#REF!</definedName>
    <definedName name="코드번호셀연결">#REF!</definedName>
    <definedName name="코설">#REF!</definedName>
    <definedName name="콘도비용"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콘도비용_3">#REF!</definedName>
    <definedName name="크리너">#REF!</definedName>
    <definedName name="키프코" hidden="1">{#N/A,#N/A,FALSE,"을지 (4)";#N/A,#N/A,FALSE,"을지 (5)";#N/A,#N/A,FALSE,"을지 (6)"}</definedName>
    <definedName name="ㅌ">#REF!</definedName>
    <definedName name="ㅌ1">#REF!</definedName>
    <definedName name="ㅌㄴㅁ" hidden="1">{#N/A,#N/A,FALSE,"KMC최종회의(7월) 자료"}</definedName>
    <definedName name="ㅌㄴㅁㅁ" hidden="1">{#N/A,#N/A,FALSE,"KMC최종회의(7월) 자료"}</definedName>
    <definedName name="ㅌㄴㅁㅈ" hidden="1">{#N/A,#N/A,FALSE,"KMC최종회의(7월) 자료"}</definedName>
    <definedName name="ㅌㄵ" hidden="1">{#N/A,#N/A,FALSE,"KMC최종회의(7월) 자료"}</definedName>
    <definedName name="ㅌㄹㅇㄴㄻㅇㄹ" hidden="1">{#N/A,#N/A,FALSE,"Aging Summary";#N/A,#N/A,FALSE,"Ratio Analysis";#N/A,#N/A,FALSE,"Test 120 Day Accts";#N/A,#N/A,FALSE,"Tickmarks"}</definedName>
    <definedName name="ㅌㄹㅇㄴㄻㅇㄹ_3">#REF!</definedName>
    <definedName name="ㅌㅊㅇㄻㄷㅈㄹㄷㅈ" hidden="1">{#N/A,#N/A,FALSE,"손익표지";#N/A,#N/A,FALSE,"손익계산";#N/A,#N/A,FALSE,"일반관리비";#N/A,#N/A,FALSE,"영업외수익";#N/A,#N/A,FALSE,"영업외비용";#N/A,#N/A,FALSE,"매출액";#N/A,#N/A,FALSE,"요약손익";#N/A,#N/A,FALSE,"요약대차";#N/A,#N/A,FALSE,"매출채권현황";#N/A,#N/A,FALSE,"매출채권명세"}</definedName>
    <definedName name="ㅌㅋㅊㅍㄹ픃룡ㅅㅎㄴㄹㄴ" hidden="1">{#N/A,#N/A,FALSE,"손익표지";#N/A,#N/A,FALSE,"손익계산";#N/A,#N/A,FALSE,"일반관리비";#N/A,#N/A,FALSE,"영업외수익";#N/A,#N/A,FALSE,"영업외비용";#N/A,#N/A,FALSE,"매출액";#N/A,#N/A,FALSE,"요약손익";#N/A,#N/A,FALSE,"요약대차";#N/A,#N/A,FALSE,"매출채권현황";#N/A,#N/A,FALSE,"매출채권명세"}</definedName>
    <definedName name="ㅌㅌ">#REF!</definedName>
    <definedName name="ㅌㅌㅌ" hidden="1">{#N/A,#N/A,FALSE,"BS";#N/A,#N/A,FALSE,"PL";#N/A,#N/A,FALSE,"처분";#N/A,#N/A,FALSE,"현금";#N/A,#N/A,FALSE,"매출";#N/A,#N/A,FALSE,"원가";#N/A,#N/A,FALSE,"경영"}</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타" hidden="1">{#N/A,#N/A,FALSE,"Sheet5"}</definedName>
    <definedName name="타계정">#REF!</definedName>
    <definedName name="타이틀">#REF!</definedName>
    <definedName name="타타타" hidden="1">{"'Sheet1'!$A$1:$H$36"}</definedName>
    <definedName name="템플리트모듈1">BLCH</definedName>
    <definedName name="템플리트모듈2">BLCH</definedName>
    <definedName name="템플리트모듈3">BLCH</definedName>
    <definedName name="템플리트모듈4">BLCH</definedName>
    <definedName name="템플리트모듈5">BLCH</definedName>
    <definedName name="템플리트모듈6">BLCH</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통계서버">#REF!</definedName>
    <definedName name="통계소프트">#REF!</definedName>
    <definedName name="통신비">#REF!</definedName>
    <definedName name="통신회선편집용" hidden="1">{#N/A,#N/A,FALSE,"회선임차현황"}</definedName>
    <definedName name="통제권">#REF!</definedName>
    <definedName name="통제범위">#REF!</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_3">#REF!</definedName>
    <definedName name="퇴직급" hidden="1">{#N/A,#N/A,FALSE,"UNIT";#N/A,#N/A,FALSE,"UNIT";#N/A,#N/A,FALSE,"계정"}</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보험료"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퇴직보험료_3">#REF!</definedName>
    <definedName name="퇴직충" hidden="1">{#N/A,#N/A,FALSE,"UNIT";#N/A,#N/A,FALSE,"UNIT";#N/A,#N/A,FALSE,"계정"}</definedName>
    <definedName name="퇴충">#REF!</definedName>
    <definedName name="퇴충2" hidden="1">#N/A</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_3">#REF!</definedName>
    <definedName name="투자">#REF!,#REF!,#REF!</definedName>
    <definedName name="투자TOT" hidden="1">{#N/A,#N/A,FALSE,"Aging Summary";#N/A,#N/A,FALSE,"Ratio Analysis";#N/A,#N/A,FALSE,"Test 120 Day Accts";#N/A,#N/A,FALSE,"Tickmarks"}</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예산">#REF!</definedName>
    <definedName name="투자유" hidden="1">{#N/A,#N/A,FALSE,"BS";#N/A,#N/A,FALSE,"PL";#N/A,#N/A,FALSE,"처분";#N/A,#N/A,FALSE,"현금";#N/A,#N/A,FALSE,"매출";#N/A,#N/A,FALSE,"원가";#N/A,#N/A,FALSE,"경영"}</definedName>
    <definedName name="투자자산">#REF!</definedName>
    <definedName name="투자주식명세" hidden="1">#REF!</definedName>
    <definedName name="투자현황" hidden="1">{#N/A,#N/A,FALSE,"UNIT";#N/A,#N/A,FALSE,"UNIT";#N/A,#N/A,FALSE,"계정"}</definedName>
    <definedName name="트">#REF!</definedName>
    <definedName name="트라제">#REF!</definedName>
    <definedName name="특정현금">#REF!</definedName>
    <definedName name="특정현금과예금" hidden="1">#N/A</definedName>
    <definedName name="팀별계획" hidden="1">{#N/A,#N/A,FALSE,"UNIT";#N/A,#N/A,FALSE,"UNIT";#N/A,#N/A,FALSE,"계정"}</definedName>
    <definedName name="ㅍ" hidden="1">{#N/A,#N/A,FALSE,"Aging Summary";#N/A,#N/A,FALSE,"Ratio Analysis";#N/A,#N/A,FALSE,"Test 120 Day Accts";#N/A,#N/A,FALSE,"Tickmarks"}</definedName>
    <definedName name="ㅍ_3">#REF!</definedName>
    <definedName name="ㅍㄹㄷㅁㅁ" hidden="1">#REF!</definedName>
    <definedName name="ㅍㅊㅌㅋㅍㅁㅇ" hidden="1">{#N/A,#N/A,FALSE,"손익표지";#N/A,#N/A,FALSE,"손익계산";#N/A,#N/A,FALSE,"일반관리비";#N/A,#N/A,FALSE,"영업외수익";#N/A,#N/A,FALSE,"영업외비용";#N/A,#N/A,FALSE,"매출액";#N/A,#N/A,FALSE,"요약손익";#N/A,#N/A,FALSE,"요약대차";#N/A,#N/A,FALSE,"매출채권현황";#N/A,#N/A,FALSE,"매출채권명세"}</definedName>
    <definedName name="ㅍㅋㅊㅌㅍㅋㅊㅍ" hidden="1">{#N/A,#N/A,FALSE,"손익표지";#N/A,#N/A,FALSE,"손익계산";#N/A,#N/A,FALSE,"일반관리비";#N/A,#N/A,FALSE,"영업외수익";#N/A,#N/A,FALSE,"영업외비용";#N/A,#N/A,FALSE,"매출액";#N/A,#N/A,FALSE,"요약손익";#N/A,#N/A,FALSE,"요약대차";#N/A,#N/A,FALSE,"매출채권현황";#N/A,#N/A,FALSE,"매출채권명세"}</definedName>
    <definedName name="ㅍㅍㅇㅌㅍ" hidden="1">{#N/A,#N/A,FALSE,"손익표지";#N/A,#N/A,FALSE,"손익계산";#N/A,#N/A,FALSE,"일반관리비";#N/A,#N/A,FALSE,"영업외수익";#N/A,#N/A,FALSE,"영업외비용";#N/A,#N/A,FALSE,"매출액";#N/A,#N/A,FALSE,"요약손익";#N/A,#N/A,FALSE,"요약대차";#N/A,#N/A,FALSE,"매출채권현황";#N/A,#N/A,FALSE,"매출채권명세"}</definedName>
    <definedName name="ㅍㅍㅍㅍ" hidden="1">{#N/A,#N/A,FALSE,"UNIT";#N/A,#N/A,FALSE,"UNIT";#N/A,#N/A,FALSE,"계정"}</definedName>
    <definedName name="ㅍㅍㅍㅍㅍㅍ" hidden="1">#REF!</definedName>
    <definedName name="파" hidden="1">{#N/A,#N/A,FALSE,"Sheet5"}</definedName>
    <definedName name="판가1">#REF!</definedName>
    <definedName name="판가2">#REF!</definedName>
    <definedName name="판가3">#REF!</definedName>
    <definedName name="판가4">#REF!</definedName>
    <definedName name="판가재료비2" hidden="1">#N/A</definedName>
    <definedName name="판관경비" hidden="1">{#N/A,#N/A,FALSE,"Aging Summary";#N/A,#N/A,FALSE,"Ratio Analysis";#N/A,#N/A,FALSE,"Test 120 Day Accts";#N/A,#N/A,FALSE,"Tickmarks"}</definedName>
    <definedName name="판관경비2" hidden="1">{#N/A,#N/A,FALSE,"Aging Summary";#N/A,#N/A,FALSE,"Ratio Analysis";#N/A,#N/A,FALSE,"Test 120 Day Accts";#N/A,#N/A,FALSE,"Tickmarks"}</definedName>
    <definedName name="판관비tot" hidden="1">{#N/A,#N/A,FALSE,"Aging Summary";#N/A,#N/A,FALSE,"Ratio Analysis";#N/A,#N/A,FALSE,"Test 120 Day Accts";#N/A,#N/A,FALSE,"Tickmarks"}</definedName>
    <definedName name="판관비tot_3">#REF!</definedName>
    <definedName name="판도라상자" hidden="1">{#N/A,#N/A,FALSE,"정공"}</definedName>
    <definedName name="판촉지원적립금" hidden="1">{#N/A,#N/A,TRUE,"매출진척-1";#N/A,#N/A,TRUE,"매출진척-2";#N/A,#N/A,TRUE,"제품실적";#N/A,#N/A,TRUE,"RAC";#N/A,#N/A,TRUE,"PAC ";#N/A,#N/A,TRUE,"재고현황";#N/A,#N/A,TRUE,"공지사항"}</definedName>
    <definedName name="판촉지원적립금_3">#REF!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평가손익">#REF!,#REF!</definedName>
    <definedName name="평균급여">#REF!</definedName>
    <definedName name="평균이자" hidden="1">#REF!</definedName>
    <definedName name="평균이자율" hidden="1">#REF!</definedName>
    <definedName name="폐기" hidden="1">#REF!</definedName>
    <definedName name="포" hidden="1">{#N/A,#N/A,FALSE,"UNIT";#N/A,#N/A,FALSE,"UNIT";#N/A,#N/A,FALSE,"계정"}</definedName>
    <definedName name="폴">#REF!</definedName>
    <definedName name="표">#REF!</definedName>
    <definedName name="표1" hidden="1">{#N/A,#N/A,FALSE,"P.C.B"}</definedName>
    <definedName name="표지">#REF!</definedName>
    <definedName name="표지2" hidden="1">0</definedName>
    <definedName name="표표표" hidden="1">{#N/A,#N/A,FALSE,"P.C.B"}</definedName>
    <definedName name="품" hidden="1">{#N/A,#N/A,TRUE,"Y생산";#N/A,#N/A,TRUE,"Y판매";#N/A,#N/A,TRUE,"Y총물량";#N/A,#N/A,TRUE,"Y능력";#N/A,#N/A,TRUE,"YKD"}</definedName>
    <definedName name="품보부" hidden="1">{#N/A,#N/A,FALSE,"KMC최종회의(7월) 자료"}</definedName>
    <definedName name="품의서">#REF!</definedName>
    <definedName name="품질현황">#REF!,#REF!</definedName>
    <definedName name="피비씨">#REF!</definedName>
    <definedName name="피비씨리스트">#REF!</definedName>
    <definedName name="필요평수">#REF!</definedName>
    <definedName name="ㅎ">#REF!</definedName>
    <definedName name="ㅎ_3">#REF!</definedName>
    <definedName name="ㅎㄹㄹㄹ."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ㅎㄽ" hidden="1">{#N/A,#N/A,FALSE,"UNIT";#N/A,#N/A,FALSE,"UNIT";#N/A,#N/A,FALSE,"계정"}</definedName>
    <definedName name="ㅎㅇㄴㄻㅇㄴㄹ" hidden="1">{"'수정손익계산서'!$AT$97:$AY$174"}</definedName>
    <definedName name="ㅎㅎ">#REF!</definedName>
    <definedName name="ㅎㅎ2" hidden="1">{#N/A,#N/A,TRUE,"Summary";#N/A,#N/A,TRUE,"IS";#N/A,#N/A,TRUE,"Adj";#N/A,#N/A,TRUE,"BS";#N/A,#N/A,TRUE,"CF";#N/A,#N/A,TRUE,"Debt";#N/A,#N/A,TRUE,"IRR"}</definedName>
    <definedName name="ㅎㅎㅎ" hidden="1">{#N/A,#N/A,FALSE,"3가";#N/A,#N/A,FALSE,"3나";#N/A,#N/A,FALSE,"3다"}</definedName>
    <definedName name="ㅎㅎㅎ_3">#REF!</definedName>
    <definedName name="ㅎㅎㅎㅇㄹ" hidden="1">{#N/A,#N/A,FALSE,"KMC최종회의(7월) 자료"}</definedName>
    <definedName name="ㅎㅎㅎㅎ">#REF!</definedName>
    <definedName name="하" hidden="1">{"'Sheet1'!$A$1:$H$36"}</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하">#REF!</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호">#REF!</definedName>
    <definedName name="한" hidden="1">{#N/A,#N/A,FALSE,"3가";#N/A,#N/A,FALSE,"3나";#N/A,#N/A,FALSE,"3다"}</definedName>
    <definedName name="한_3">#REF!</definedName>
    <definedName name="한국8" hidden="1">#REF!</definedName>
    <definedName name="한국9" hidden="1">#REF!</definedName>
    <definedName name="한미" hidden="1">#REF!</definedName>
    <definedName name="한빛수정" hidden="1">{#N/A,#N/A,FALSE,"KMC최종회의(7월) 자료"}</definedName>
    <definedName name="한은보고">#REF!</definedName>
    <definedName name="한총2" hidden="1">{#N/A,#N/A,FALSE,"을지 (4)";#N/A,#N/A,FALSE,"을지 (5)";#N/A,#N/A,FALSE,"을지 (6)"}</definedName>
    <definedName name="할인9월"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합계">#REF!</definedName>
    <definedName name="합계잔액시산표_시산표_List">#REF!</definedName>
    <definedName name="합영손익계산서">#REF!</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외영업1팀">#REF!</definedName>
    <definedName name="해외특수"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해외특수_3">#REF!</definedName>
    <definedName name="해원3" hidden="1">{#N/A,#N/A,FALSE,"Sheet5"}</definedName>
    <definedName name="허순이1">#REF!</definedName>
    <definedName name="허순이2">#REF!</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현금" hidden="1">{#N/A,#N/A,TRUE,"Summary";#N/A,#N/A,TRUE,"IS";#N/A,#N/A,TRUE,"Adj";#N/A,#N/A,TRUE,"BS";#N/A,#N/A,TRUE,"CF";#N/A,#N/A,TRUE,"Debt";#N/A,#N/A,TRUE,"IRR"}</definedName>
    <definedName name="현금_당기말">#REF!</definedName>
    <definedName name="현금_전기말">#REF!</definedName>
    <definedName name="현금23" hidden="1">{#N/A,#N/A,FALSE,"BS";#N/A,#N/A,FALSE,"PL";#N/A,#N/A,FALSE,"처분";#N/A,#N/A,FALSE,"현금";#N/A,#N/A,FALSE,"매출";#N/A,#N/A,FALSE,"원가";#N/A,#N/A,FALSE,"경영"}</definedName>
    <definedName name="현금거래_5300">#REF!</definedName>
    <definedName name="현금과예금">#REF!</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출납장">#REF!</definedName>
    <definedName name="현금흐름" hidden="1">{#N/A,#N/A,TRUE,"Summary";#N/A,#N/A,TRUE,"IS";#N/A,#N/A,TRUE,"Adj";#N/A,#N/A,TRUE,"BS";#N/A,#N/A,TRUE,"CF";#N/A,#N/A,TRUE,"Debt";#N/A,#N/A,TRUE,"IRR"}</definedName>
    <definedName name="현금흐름1" hidden="1">#REF!</definedName>
    <definedName name="현금흐름표" hidden="1">{#N/A,#N/A,FALSE,"BS";#N/A,#N/A,FALSE,"PL";#N/A,#N/A,FALSE,"A";#N/A,#N/A,FALSE,"B";#N/A,#N/A,FALSE,"B1";#N/A,#N/A,FALSE,"C";#N/A,#N/A,FALSE,"C1";#N/A,#N/A,FALSE,"C2";#N/A,#N/A,FALSE,"D";#N/A,#N/A,FALSE,"E";#N/A,#N/A,FALSE,"F";#N/A,#N/A,FALSE,"AA";#N/A,#N/A,FALSE,"BB";#N/A,#N/A,FALSE,"CC";#N/A,#N/A,FALSE,"DD";#N/A,#N/A,FALSE,"EE";#N/A,#N/A,FALSE,"FF";#N/A,#N/A,FALSE,"PL10";#N/A,#N/A,FALSE,"PL20";#N/A,#N/A,FALSE,"PL30"}</definedName>
    <definedName name="현대">#REF!</definedName>
    <definedName name="현대내자터미널">#REF!</definedName>
    <definedName name="현작성조서">#REF!</definedName>
    <definedName name="현재" hidden="1">{"'Sheet1'!$A$1:$H$36"}</definedName>
    <definedName name="호">#REF!</definedName>
    <definedName name="호부진사유" hidden="1">#REF!</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ㅗ허ㅗ허">{"'Sheet1'!$A$1:$H$36"}</definedName>
    <definedName name="홇" hidden="1">{#N/A,#N/A,TRUE,"Summary";#N/A,#N/A,TRUE,"IS";#N/A,#N/A,TRUE,"Adj";#N/A,#N/A,TRUE,"BS";#N/A,#N/A,TRUE,"CF";#N/A,#N/A,TRUE,"Debt";#N/A,#N/A,TRUE,"IRR"}</definedName>
    <definedName name="홈키드럭">#REF!</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화">#REF!</definedName>
    <definedName name="확" hidden="1">{#N/A,#N/A,FALSE,"BS";#N/A,#N/A,FALSE,"PL";#N/A,#N/A,FALSE,"처분";#N/A,#N/A,FALSE,"현금";#N/A,#N/A,FALSE,"매출";#N/A,#N/A,FALSE,"원가";#N/A,#N/A,FALSE,"경영"}</definedName>
    <definedName name="확대3" hidden="1">{#N/A,#N/A,FALSE,"UNIT";#N/A,#N/A,FALSE,"UNIT";#N/A,#N/A,FALSE,"계정"}</definedName>
    <definedName name="확인용" hidden="1">#REF!</definedName>
    <definedName name="환경" hidden="1">{#N/A,#N/A,FALSE,"UNIT";#N/A,#N/A,FALSE,"UNIT";#N/A,#N/A,FALSE,"계정"}</definedName>
    <definedName name="환율">#REF!</definedName>
    <definedName name="환율1">#REF!</definedName>
    <definedName name="환율11">#REF!</definedName>
    <definedName name="환율12">#REF!</definedName>
    <definedName name="환율15기">#REF!</definedName>
    <definedName name="환율2">#REF!</definedName>
    <definedName name="환율2000">#REF!</definedName>
    <definedName name="환율3">#REF!</definedName>
    <definedName name="환율970">#REF!</definedName>
    <definedName name="환율9703">#REF!</definedName>
    <definedName name="환율9704">#REF!</definedName>
    <definedName name="환율9706">#REF!</definedName>
    <definedName name="환율9708">#REF!</definedName>
    <definedName name="환율금">#REF!</definedName>
    <definedName name="환율상">#REF!</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하">#REF!</definedName>
    <definedName name="환차손" hidden="1">{#N/A,#N/A,FALSE,"Aging Summary";#N/A,#N/A,FALSE,"Ratio Analysis";#N/A,#N/A,FALSE,"Test 120 Day Accts";#N/A,#N/A,FALSE,"Tickmarks"}</definedName>
    <definedName name="환차손_3">#REF!</definedName>
    <definedName name="환차손익수정" hidden="1">{#N/A,#N/A,FALSE,"Aging Summary";#N/A,#N/A,FALSE,"Ratio Analysis";#N/A,#N/A,FALSE,"Test 120 Day Accts";#N/A,#N/A,FALSE,"Tickmarks"}</definedName>
    <definedName name="환차손익수정_3">#REF!</definedName>
    <definedName name="황지현">#REF!</definedName>
    <definedName name="회사">#REF!</definedName>
    <definedName name="회사명">#REF!</definedName>
    <definedName name="회사이름">#REF!</definedName>
    <definedName name="회원권">#REF!</definedName>
    <definedName name="회차">#REF!</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획">#REF!</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성전자" hidden="1">{#N/A,#N/A,TRUE,"대 차 대 조 표"}</definedName>
    <definedName name="훈" hidden="1">255</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휴지내역" hidden="1">#REF!</definedName>
    <definedName name="흐름">#REF!</definedName>
    <definedName name="히히">#REF!</definedName>
    <definedName name="ㅏ">#REF!</definedName>
    <definedName name="ㅏ나앙">#REF!</definedName>
    <definedName name="ㅏ앙">#REF!</definedName>
    <definedName name="ㅏㅏ" hidden="1">{#N/A,#N/A,FALSE,"Aging Summary";#N/A,#N/A,FALSE,"Ratio Analysis";#N/A,#N/A,FALSE,"Test 120 Day Accts";#N/A,#N/A,FALSE,"Tickmarks"}</definedName>
    <definedName name="ㅏㅏㅏ">#REF!</definedName>
    <definedName name="ㅏㅐㅏㅔㅐㅣ" hidden="1">{#N/A,#N/A,FALSE,"UNIT";#N/A,#N/A,FALSE,"UNIT";#N/A,#N/A,FALSE,"계정"}</definedName>
    <definedName name="ㅏㅣㅏㅣ" hidden="1">{#N/A,#N/A,FALSE,"Sheet5"}</definedName>
    <definedName name="ㅏㅣㅓㅣㅓ" hidden="1">{#N/A,#N/A,FALSE,"Sheet5"}</definedName>
    <definedName name="ㅐㅐ" hidden="1">{#N/A,#N/A,FALSE,"을지 (4)";#N/A,#N/A,FALSE,"을지 (5)";#N/A,#N/A,FALSE,"을지 (6)"}</definedName>
    <definedName name="ㅐㅐㅐㅐ" hidden="1">{#N/A,#N/A,FALSE,"P.C.B"}</definedName>
    <definedName name="ㅑ" hidden="1">{#N/A,#N/A,FALSE,"Aging Summary";#N/A,#N/A,FALSE,"Ratio Analysis";#N/A,#N/A,FALSE,"Test 120 Day Accts";#N/A,#N/A,FALSE,"Tickmarks"}</definedName>
    <definedName name="ㅑ_3">#REF!</definedName>
    <definedName name="ㅑㅑㅑ" hidden="1">{#N/A,#N/A,FALSE,"초도품";#N/A,#N/A,FALSE,"초도품 (2)";#N/A,#N/A,FALSE,"초도품 (3)";#N/A,#N/A,FALSE,"초도품 (4)";#N/A,#N/A,FALSE,"초도품 (5)";#N/A,#N/A,FALSE,"초도품 (6)"}</definedName>
    <definedName name="ㅓ">#REF!</definedName>
    <definedName name="ㅓㅏ리앙" hidden="1">{#N/A,#N/A,FALSE,"UNIT";#N/A,#N/A,FALSE,"UNIT";#N/A,#N/A,FALSE,"계정"}</definedName>
    <definedName name="ㅓㅏㅇ" hidden="1">{#N/A,#N/A,FALSE,"KMC최종회의(7월) 자료"}</definedName>
    <definedName name="ㅓㅏ이ㅓㅣㅏ" hidden="1">{#N/A,#N/A,FALSE,"Sheet5"}</definedName>
    <definedName name="ㅓㅏㅗㅓㅗ" hidden="1">{#N/A,#N/A,FALSE,"Sheet5"}</definedName>
    <definedName name="ㅓㅏㅣㅑ" hidden="1">{#N/A,#N/A,FALSE,"Aging Summary";#N/A,#N/A,FALSE,"Ratio Analysis";#N/A,#N/A,FALSE,"Test 120 Day Accts";#N/A,#N/A,FALSE,"Tickmarks"}</definedName>
    <definedName name="ㅓㅏㅣㅑ_3">#REF!</definedName>
    <definedName name="ㅓㅏㅣㅓㅣㅏ" hidden="1">{#N/A,#N/A,FALSE,"Sheet5"}</definedName>
    <definedName name="ㅓㅏㅣㅓㅣㅏㅓ" hidden="1">{#N/A,#N/A,FALSE,"Sheet5"}</definedName>
    <definedName name="ㅔ" hidden="1">{#N/A,#N/A,FALSE,"UNIT";#N/A,#N/A,FALSE,"UNIT";#N/A,#N/A,FALSE,"계정"}</definedName>
    <definedName name="ㅔㅔ" hidden="1">{#N/A,#N/A,FALSE,"초도품";#N/A,#N/A,FALSE,"초도품 (2)";#N/A,#N/A,FALSE,"초도품 (3)";#N/A,#N/A,FALSE,"초도품 (4)";#N/A,#N/A,FALSE,"초도품 (5)";#N/A,#N/A,FALSE,"초도품 (6)"}</definedName>
    <definedName name="ㅔㅔㅔ" hidden="1">{#N/A,#N/A,FALSE,"손익표지";#N/A,#N/A,FALSE,"손익계산";#N/A,#N/A,FALSE,"일반관리비";#N/A,#N/A,FALSE,"영업외수익";#N/A,#N/A,FALSE,"영업외비용";#N/A,#N/A,FALSE,"매출액";#N/A,#N/A,FALSE,"요약손익";#N/A,#N/A,FALSE,"요약대차";#N/A,#N/A,FALSE,"매출채권현황";#N/A,#N/A,FALSE,"매출채권명세"}</definedName>
    <definedName name="ㅕ">#REF!</definedName>
    <definedName name="ㅕㅕㅕ" hidden="1">{#N/A,#N/A,FALSE,"을지 (4)";#N/A,#N/A,FALSE,"을지 (5)";#N/A,#N/A,FALSE,"을지 (6)"}</definedName>
    <definedName name="ㅗ">#REF!</definedName>
    <definedName name="ㅗ60">#REF!</definedName>
    <definedName name="ㅗㄴ">#REF!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ㅗ" hidden="1">{#N/A,#N/A,FALSE,"초도품";#N/A,#N/A,FALSE,"초도품 (2)";#N/A,#N/A,FALSE,"초도품 (3)";#N/A,#N/A,FALSE,"초도품 (4)";#N/A,#N/A,FALSE,"초도품 (5)";#N/A,#N/A,FALSE,"초도품 (6)"}</definedName>
    <definedName name="ㅛ">#REF!</definedName>
    <definedName name="ㅛㅛㅛ" hidden="1">{#N/A,#N/A,FALSE,"초도품";#N/A,#N/A,FALSE,"초도품 (2)";#N/A,#N/A,FALSE,"초도품 (3)";#N/A,#N/A,FALSE,"초도품 (4)";#N/A,#N/A,FALSE,"초도품 (5)";#N/A,#N/A,FALSE,"초도품 (6)"}</definedName>
    <definedName name="ㅜ">#REF!</definedName>
    <definedName name="ㅠ" hidden="1">{#N/A,#N/A,FALSE,"Aging Summary";#N/A,#N/A,FALSE,"Ratio Analysis";#N/A,#N/A,FALSE,"Test 120 Day Accts";#N/A,#N/A,FALSE,"Tickmarks"}</definedName>
    <definedName name="ㅠ_3">#REF!</definedName>
    <definedName name="ㅡ" hidden="1">{#N/A,#N/A,FALSE,"Aging Summary";#N/A,#N/A,FALSE,"Ratio Analysis";#N/A,#N/A,FALSE,"Test 120 Day Accts";#N/A,#N/A,FALSE,"Tickmarks"}</definedName>
    <definedName name="ㅡ_3">#REF!</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hidden="1">{#N/A,#N/A,FALSE,"Aging Summary";#N/A,#N/A,FALSE,"Ratio Analysis";#N/A,#N/A,FALSE,"Test 120 Day Accts";#N/A,#N/A,FALSE,"Tickmarks"}</definedName>
    <definedName name="ㅣ_3">#REF!</definedName>
    <definedName name="ㅣㅊㅇ" hidden="1">{#N/A,#N/A,FALSE,"표지&amp;목차";#N/A,#N/A,FALSE,"경영현황";#N/A,#N/A,FALSE,"매출현황";#N/A,#N/A,FALSE,"매출차이분석(양식)";#N/A,#N/A,FALSE,"손익현황";#N/A,#N/A,FALSE,"손익차이분석";#N/A,#N/A,FALSE,"제품별손익";#N/A,#N/A,FALSE,"재공재고";#N/A,#N/A,FALSE,"원가추이"}</definedName>
    <definedName name="ㅣㅏㅓㅏㅓ" hidden="1">{#N/A,#N/A,FALSE,"Sheet5"}</definedName>
    <definedName name="ㅣㅏㅣㅏㅣ" hidden="1">{#N/A,#N/A,FALSE,"Sheet5"}</definedName>
    <definedName name="ㅣㅣ" hidden="1">{#N/A,#N/A,FALSE,"을지 (4)";#N/A,#N/A,FALSE,"을지 (5)";#N/A,#N/A,FALSE,"을지 (6)"}</definedName>
    <definedName name="ㅣㅣㅣㅣ">#REF!</definedName>
    <definedName name="一般管理" hidden="1">{"'買掛金'!$J$6"}</definedName>
    <definedName name="三菱">#REF!</definedName>
    <definedName name="丸紅">#REF!</definedName>
    <definedName name="九州ｾﾙﾗ">#REF!</definedName>
    <definedName name="企業年金">#REF!</definedName>
    <definedName name="住銀ﾘｰｽ">#REF!</definedName>
    <definedName name="受取利息">#REF!</definedName>
    <definedName name="団体定期">#REF!</definedName>
    <definedName name="団体定期1">#REF!</definedName>
    <definedName name="団体定期2">#REF!</definedName>
    <definedName name="固定資産売却損">#REF!</definedName>
    <definedName name="国際警備">#REF!</definedName>
    <definedName name="土地">162</definedName>
    <definedName name="大和商工ﾘｰｽ">#REF!</definedName>
    <definedName name="専用回線">#REF!</definedName>
    <definedName name="川鉄">#REF!</definedName>
    <definedName name="差入保証金" hidden="1">{"'買掛金'!$J$6"}</definedName>
    <definedName name="携帯">#REF!</definedName>
    <definedName name="支払" hidden="1">{"'買掛金'!$J$6"}</definedName>
    <definedName name="支払手形" hidden="1">{"'買掛金'!$J$6"}</definedName>
    <definedName name="日本IBM">#REF!</definedName>
    <definedName name="日本ﾃﾚｺﾑ">#REF!</definedName>
    <definedName name="日本ﾘｰｽ">#REF!</definedName>
    <definedName name="日本信販">#REF!</definedName>
    <definedName name="日産">#REF!</definedName>
    <definedName name="日立">#REF!</definedName>
    <definedName name="昭和ﾘｰｽ">#REF!</definedName>
    <definedName name="未命名">#REF!</definedName>
    <definedName name="未払" hidden="1">{"'買掛金'!$J$6"}</definedName>
    <definedName name="未払金" hidden="1">{"'買掛金'!$J$6"}</definedName>
    <definedName name="本数">#REF!</definedName>
    <definedName name="李华">5</definedName>
    <definedName name="東京ﾘｰｽ">#REF!</definedName>
    <definedName name="水道">#REF!</definedName>
    <definedName name="現代綜合商事經由分">#REF!</definedName>
    <definedName name="短期借入金" hidden="1">{"'買掛金'!$J$6"}</definedName>
    <definedName name="立替">#REF!</definedName>
    <definedName name="納税充当">#REF!</definedName>
    <definedName name="絶費" hidden="1">{"'買掛金'!$J$6"}</definedName>
    <definedName name="繰延資産">#REF!</definedName>
    <definedName name="自動車">#REF!</definedName>
    <definedName name="興銀ﾘｰｽ">#REF!</definedName>
    <definedName name="芙蓉">#REF!</definedName>
    <definedName name="處份損益">#REF!</definedName>
    <definedName name="裏書譲渡手形" hidden="1">{"'買掛金'!$J$6"}</definedName>
    <definedName name="販売促進費他">#REF!</definedName>
    <definedName name="買掛金" hidden="1">{"'買掛金'!$J$6"}</definedName>
    <definedName name="退職給与">#REF!</definedName>
    <definedName name="長島" hidden="1">{"'買掛金'!$J$6"}</definedName>
    <definedName name="關係會社外上買入金明細書">#REF!</definedName>
    <definedName name="雑収入・雑損失">#REF!</definedName>
    <definedName name="雑費" hidden="1">{"'買掛金'!$J$6"}</definedName>
    <definedName name="電気工場">#REF!</definedName>
    <definedName name="預り保証金" hidden="1">{"'買掛金'!$J$6"}</definedName>
    <definedName name="高速通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6" i="5" l="1"/>
  <c r="J76" i="5"/>
  <c r="F76" i="5"/>
  <c r="B76" i="5"/>
  <c r="AZ63" i="5"/>
  <c r="AI61" i="5"/>
  <c r="BC60" i="5"/>
  <c r="BA60" i="5"/>
  <c r="AZ60" i="5"/>
  <c r="AM60" i="5"/>
  <c r="AS59" i="5"/>
  <c r="AS60" i="5" s="1"/>
  <c r="AR59" i="5"/>
  <c r="AR60" i="5" s="1"/>
  <c r="AQ59" i="5"/>
  <c r="AQ60" i="5" s="1"/>
  <c r="AP59" i="5"/>
  <c r="AO59" i="5"/>
  <c r="AO60" i="5" s="1"/>
  <c r="AN59" i="5"/>
  <c r="AN60" i="5" s="1"/>
  <c r="AM59" i="5"/>
  <c r="AL59" i="5"/>
  <c r="AL60" i="5" s="1"/>
  <c r="BC56" i="5"/>
  <c r="BB56" i="5"/>
  <c r="BA56" i="5"/>
  <c r="AZ56" i="5"/>
  <c r="BE52" i="5"/>
  <c r="BD52" i="5"/>
  <c r="BC52" i="5"/>
  <c r="BB52" i="5"/>
  <c r="BA52" i="5"/>
  <c r="AZ52" i="5"/>
  <c r="AY52" i="5"/>
  <c r="AX52" i="5"/>
  <c r="AW52" i="5"/>
  <c r="AV52" i="5"/>
  <c r="AU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D52" i="5"/>
  <c r="C52" i="5"/>
  <c r="B52" i="5"/>
  <c r="AX50" i="5"/>
  <c r="BA49" i="5"/>
  <c r="AZ49" i="5"/>
  <c r="AY49" i="5"/>
  <c r="AX49" i="5"/>
  <c r="AL49" i="5"/>
  <c r="AI49" i="5"/>
  <c r="BC49" i="5" s="1"/>
  <c r="AG49" i="5"/>
  <c r="AE49" i="5"/>
  <c r="BB49" i="5" s="1"/>
  <c r="AU44" i="5"/>
  <c r="BE43" i="5"/>
  <c r="BD43" i="5"/>
  <c r="BC43" i="5"/>
  <c r="BB43" i="5"/>
  <c r="BA43" i="5"/>
  <c r="AZ43" i="5"/>
  <c r="AY43" i="5"/>
  <c r="AX43" i="5"/>
  <c r="AW43" i="5"/>
  <c r="AV43" i="5"/>
  <c r="AU43" i="5"/>
  <c r="BI42" i="5"/>
  <c r="BE41" i="5"/>
  <c r="BD41" i="5"/>
  <c r="AK41" i="5"/>
  <c r="AJ41" i="5"/>
  <c r="AI41" i="5"/>
  <c r="AH41" i="5"/>
  <c r="BC41" i="5" s="1"/>
  <c r="AG41" i="5"/>
  <c r="AF41" i="5"/>
  <c r="AE41" i="5"/>
  <c r="AD41" i="5"/>
  <c r="BB41" i="5" s="1"/>
  <c r="AC41" i="5"/>
  <c r="AB41" i="5"/>
  <c r="AA41" i="5"/>
  <c r="Z41" i="5"/>
  <c r="BA41" i="5" s="1"/>
  <c r="Y41" i="5"/>
  <c r="X41" i="5"/>
  <c r="W41" i="5"/>
  <c r="V41" i="5"/>
  <c r="AZ41" i="5" s="1"/>
  <c r="U41" i="5"/>
  <c r="T41" i="5"/>
  <c r="S41" i="5"/>
  <c r="R41" i="5"/>
  <c r="AY41" i="5" s="1"/>
  <c r="P41" i="5"/>
  <c r="Q41" i="5" s="1"/>
  <c r="O41" i="5"/>
  <c r="AX41" i="5" s="1"/>
  <c r="K41" i="5"/>
  <c r="H41" i="5"/>
  <c r="I41" i="5" s="1"/>
  <c r="G41" i="5"/>
  <c r="C41" i="5"/>
  <c r="D41" i="5" s="1"/>
  <c r="E41" i="5" s="1"/>
  <c r="BW39" i="5"/>
  <c r="BV39" i="5"/>
  <c r="BU39" i="5"/>
  <c r="BT39" i="5"/>
  <c r="BS39" i="5"/>
  <c r="BQ39" i="5"/>
  <c r="BP39" i="5"/>
  <c r="BO39" i="5"/>
  <c r="BN39" i="5"/>
  <c r="BM39" i="5"/>
  <c r="BL39" i="5"/>
  <c r="BK39" i="5"/>
  <c r="BH39" i="5"/>
  <c r="BG39" i="5"/>
  <c r="AS39" i="5"/>
  <c r="AR39" i="5"/>
  <c r="AQ39" i="5"/>
  <c r="AP39" i="5"/>
  <c r="AO39" i="5"/>
  <c r="AN39" i="5"/>
  <c r="AM39" i="5"/>
  <c r="AL39" i="5"/>
  <c r="BD39" i="5" s="1"/>
  <c r="N39" i="5"/>
  <c r="J39" i="5"/>
  <c r="F39" i="5"/>
  <c r="B39" i="5"/>
  <c r="BR38" i="5"/>
  <c r="BR39" i="5" s="1"/>
  <c r="BJ38" i="5"/>
  <c r="BJ39" i="5" s="1"/>
  <c r="BI38" i="5"/>
  <c r="BI39" i="5" s="1"/>
  <c r="BE38" i="5"/>
  <c r="BD38" i="5"/>
  <c r="AZ38" i="5"/>
  <c r="AW38" i="5"/>
  <c r="AK38" i="5"/>
  <c r="AJ38" i="5"/>
  <c r="AI38" i="5"/>
  <c r="AH38" i="5"/>
  <c r="BC38" i="5" s="1"/>
  <c r="AG38" i="5"/>
  <c r="AF38" i="5"/>
  <c r="AE38" i="5"/>
  <c r="AD38" i="5"/>
  <c r="BB38" i="5" s="1"/>
  <c r="AC38" i="5"/>
  <c r="AB38" i="5"/>
  <c r="BA38" i="5" s="1"/>
  <c r="AA38" i="5"/>
  <c r="Z38" i="5"/>
  <c r="Y38" i="5"/>
  <c r="X38" i="5"/>
  <c r="W38" i="5"/>
  <c r="V38" i="5"/>
  <c r="U38" i="5"/>
  <c r="T38" i="5"/>
  <c r="S38" i="5"/>
  <c r="R38" i="5"/>
  <c r="AY38" i="5" s="1"/>
  <c r="P38" i="5"/>
  <c r="L38" i="5"/>
  <c r="M38" i="5" s="1"/>
  <c r="K38" i="5"/>
  <c r="G38" i="5"/>
  <c r="C38" i="5"/>
  <c r="BZ37" i="5"/>
  <c r="BZ39" i="5" s="1"/>
  <c r="BE37" i="5"/>
  <c r="BD37" i="5"/>
  <c r="AW37" i="5"/>
  <c r="AK37" i="5"/>
  <c r="AK59" i="5" s="1"/>
  <c r="AJ37" i="5"/>
  <c r="AJ59" i="5" s="1"/>
  <c r="AI37" i="5"/>
  <c r="AI59" i="5" s="1"/>
  <c r="AH37" i="5"/>
  <c r="AH59" i="5" s="1"/>
  <c r="AG37" i="5"/>
  <c r="AG59" i="5" s="1"/>
  <c r="AF37" i="5"/>
  <c r="AF59" i="5" s="1"/>
  <c r="AF61" i="5" s="1"/>
  <c r="AE37" i="5"/>
  <c r="AE59" i="5" s="1"/>
  <c r="AE60" i="5" s="1"/>
  <c r="AD37" i="5"/>
  <c r="BB37" i="5" s="1"/>
  <c r="AC37" i="5"/>
  <c r="AC59" i="5" s="1"/>
  <c r="AC63" i="5" s="1"/>
  <c r="AB37" i="5"/>
  <c r="AB59" i="5" s="1"/>
  <c r="AA37" i="5"/>
  <c r="AA59" i="5" s="1"/>
  <c r="Z37" i="5"/>
  <c r="Z59" i="5" s="1"/>
  <c r="BA59" i="5" s="1"/>
  <c r="BA62" i="5" s="1"/>
  <c r="Y37" i="5"/>
  <c r="Y59" i="5" s="1"/>
  <c r="X37" i="5"/>
  <c r="X59" i="5" s="1"/>
  <c r="W37" i="5"/>
  <c r="W59" i="5" s="1"/>
  <c r="V37" i="5"/>
  <c r="V59" i="5" s="1"/>
  <c r="U37" i="5"/>
  <c r="T37" i="5"/>
  <c r="S37" i="5"/>
  <c r="R37" i="5"/>
  <c r="AY37" i="5" s="1"/>
  <c r="Q37" i="5"/>
  <c r="P37" i="5"/>
  <c r="AX37" i="5" s="1"/>
  <c r="H37" i="5"/>
  <c r="I37" i="5" s="1"/>
  <c r="G37" i="5"/>
  <c r="AV37" i="5" s="1"/>
  <c r="D37" i="5"/>
  <c r="C37" i="5"/>
  <c r="BY36" i="5"/>
  <c r="BY39" i="5" s="1"/>
  <c r="BX36" i="5"/>
  <c r="BX39" i="5" s="1"/>
  <c r="BE36" i="5"/>
  <c r="BD36" i="5"/>
  <c r="AZ36" i="5"/>
  <c r="AK36" i="5"/>
  <c r="AJ36" i="5"/>
  <c r="AI36" i="5"/>
  <c r="AH36" i="5"/>
  <c r="BC36" i="5" s="1"/>
  <c r="AG36" i="5"/>
  <c r="AF36" i="5"/>
  <c r="AE36" i="5"/>
  <c r="AD36" i="5"/>
  <c r="BB36" i="5" s="1"/>
  <c r="AC36" i="5"/>
  <c r="AB36" i="5"/>
  <c r="AA36" i="5"/>
  <c r="Z36" i="5"/>
  <c r="Y36" i="5"/>
  <c r="X36" i="5"/>
  <c r="W36" i="5"/>
  <c r="V36" i="5"/>
  <c r="U36" i="5"/>
  <c r="T36" i="5"/>
  <c r="S36" i="5"/>
  <c r="R36" i="5"/>
  <c r="AY36" i="5" s="1"/>
  <c r="P36" i="5"/>
  <c r="O36" i="5"/>
  <c r="L36" i="5"/>
  <c r="M36" i="5" s="1"/>
  <c r="AW36" i="5" s="1"/>
  <c r="K36" i="5"/>
  <c r="H36" i="5"/>
  <c r="I36" i="5" s="1"/>
  <c r="G36" i="5"/>
  <c r="D36" i="5"/>
  <c r="E36" i="5" s="1"/>
  <c r="C36" i="5"/>
  <c r="AU36" i="5" s="1"/>
  <c r="BE35" i="5"/>
  <c r="BD35" i="5"/>
  <c r="AU35" i="5"/>
  <c r="AK35" i="5"/>
  <c r="AJ35" i="5"/>
  <c r="AI35" i="5"/>
  <c r="AH35" i="5"/>
  <c r="BC35" i="5" s="1"/>
  <c r="AG35" i="5"/>
  <c r="AF35" i="5"/>
  <c r="AE35" i="5"/>
  <c r="AD35" i="5"/>
  <c r="BB35" i="5" s="1"/>
  <c r="AC35" i="5"/>
  <c r="AB35" i="5"/>
  <c r="AA35" i="5"/>
  <c r="Z35" i="5"/>
  <c r="BA35" i="5" s="1"/>
  <c r="Y35" i="5"/>
  <c r="X35" i="5"/>
  <c r="W35" i="5"/>
  <c r="V35" i="5"/>
  <c r="AZ35" i="5" s="1"/>
  <c r="U35" i="5"/>
  <c r="T35" i="5"/>
  <c r="S35" i="5"/>
  <c r="R35" i="5"/>
  <c r="AY35" i="5" s="1"/>
  <c r="O35" i="5"/>
  <c r="P35" i="5" s="1"/>
  <c r="K35" i="5"/>
  <c r="K39" i="5" s="1"/>
  <c r="I35" i="5"/>
  <c r="H35" i="5"/>
  <c r="AV35" i="5" s="1"/>
  <c r="BE34" i="5"/>
  <c r="BD34" i="5"/>
  <c r="AW34" i="5"/>
  <c r="AK34" i="5"/>
  <c r="AJ34" i="5"/>
  <c r="AI34" i="5"/>
  <c r="AH34" i="5"/>
  <c r="BC34" i="5" s="1"/>
  <c r="AG34" i="5"/>
  <c r="AF34" i="5"/>
  <c r="AE34" i="5"/>
  <c r="AD34" i="5"/>
  <c r="BB34" i="5" s="1"/>
  <c r="AC34" i="5"/>
  <c r="AB34" i="5"/>
  <c r="AA34" i="5"/>
  <c r="Z34" i="5"/>
  <c r="Y34" i="5"/>
  <c r="X34" i="5"/>
  <c r="W34" i="5"/>
  <c r="V34" i="5"/>
  <c r="AZ34" i="5" s="1"/>
  <c r="U34" i="5"/>
  <c r="T34" i="5"/>
  <c r="S34" i="5"/>
  <c r="R34" i="5"/>
  <c r="AY34" i="5" s="1"/>
  <c r="O34" i="5"/>
  <c r="G34" i="5"/>
  <c r="H34" i="5" s="1"/>
  <c r="C34" i="5"/>
  <c r="D34" i="5" s="1"/>
  <c r="BE33" i="5"/>
  <c r="BD33" i="5"/>
  <c r="BA33" i="5"/>
  <c r="AZ33" i="5"/>
  <c r="AY33" i="5"/>
  <c r="AW33" i="5"/>
  <c r="AV33" i="5"/>
  <c r="AU33" i="5"/>
  <c r="AK33" i="5"/>
  <c r="AJ33" i="5"/>
  <c r="AI33" i="5"/>
  <c r="AH33" i="5"/>
  <c r="BC33" i="5" s="1"/>
  <c r="AG33" i="5"/>
  <c r="AF33" i="5"/>
  <c r="AE33" i="5"/>
  <c r="AD33" i="5"/>
  <c r="BB33" i="5" s="1"/>
  <c r="AC33" i="5"/>
  <c r="AB33" i="5"/>
  <c r="AA33" i="5"/>
  <c r="Z33" i="5"/>
  <c r="Y33" i="5"/>
  <c r="X33" i="5"/>
  <c r="W33" i="5"/>
  <c r="V33" i="5"/>
  <c r="U33" i="5"/>
  <c r="T33" i="5"/>
  <c r="S33" i="5"/>
  <c r="R33" i="5"/>
  <c r="O33" i="5"/>
  <c r="BE32" i="5"/>
  <c r="BD32" i="5"/>
  <c r="AZ32" i="5"/>
  <c r="AX32" i="5"/>
  <c r="AW32" i="5"/>
  <c r="AV32" i="5"/>
  <c r="AU32" i="5"/>
  <c r="AK32" i="5"/>
  <c r="AK39" i="5" s="1"/>
  <c r="AJ32" i="5"/>
  <c r="AJ39" i="5" s="1"/>
  <c r="AI32" i="5"/>
  <c r="AH32" i="5"/>
  <c r="AH39" i="5" s="1"/>
  <c r="AG32" i="5"/>
  <c r="AG39" i="5" s="1"/>
  <c r="AF32" i="5"/>
  <c r="AF39" i="5" s="1"/>
  <c r="AE32" i="5"/>
  <c r="AE39" i="5" s="1"/>
  <c r="AD32" i="5"/>
  <c r="BB32" i="5" s="1"/>
  <c r="AC32" i="5"/>
  <c r="AC39" i="5" s="1"/>
  <c r="AB32" i="5"/>
  <c r="AB39" i="5" s="1"/>
  <c r="AA32" i="5"/>
  <c r="AA39" i="5" s="1"/>
  <c r="Z32" i="5"/>
  <c r="BA32" i="5" s="1"/>
  <c r="Y32" i="5"/>
  <c r="Y39" i="5" s="1"/>
  <c r="X32" i="5"/>
  <c r="X39" i="5" s="1"/>
  <c r="W32" i="5"/>
  <c r="V32" i="5"/>
  <c r="V39" i="5" s="1"/>
  <c r="U32" i="5"/>
  <c r="U39" i="5" s="1"/>
  <c r="T32" i="5"/>
  <c r="T39" i="5" s="1"/>
  <c r="S32" i="5"/>
  <c r="S39" i="5" s="1"/>
  <c r="R32" i="5"/>
  <c r="BZ29" i="5"/>
  <c r="BY29" i="5"/>
  <c r="BX29" i="5"/>
  <c r="BW29" i="5"/>
  <c r="BS29" i="5"/>
  <c r="BR29" i="5"/>
  <c r="BM29" i="5"/>
  <c r="BL29" i="5"/>
  <c r="BK29" i="5"/>
  <c r="BI29" i="5"/>
  <c r="BH29" i="5"/>
  <c r="O29" i="5"/>
  <c r="N29" i="5"/>
  <c r="J29" i="5"/>
  <c r="F29" i="5"/>
  <c r="C29" i="5"/>
  <c r="B29" i="5"/>
  <c r="BV28" i="5"/>
  <c r="BV29" i="5" s="1"/>
  <c r="BU28" i="5"/>
  <c r="BU29" i="5" s="1"/>
  <c r="BT28" i="5"/>
  <c r="BT29" i="5" s="1"/>
  <c r="BG28" i="5"/>
  <c r="BG29" i="5" s="1"/>
  <c r="BE28" i="5"/>
  <c r="BD28" i="5"/>
  <c r="AZ28" i="5"/>
  <c r="AX28" i="5"/>
  <c r="AW28" i="5"/>
  <c r="AV28" i="5"/>
  <c r="AU28" i="5"/>
  <c r="AK28" i="5"/>
  <c r="AJ28" i="5"/>
  <c r="AI28" i="5"/>
  <c r="AH28" i="5"/>
  <c r="BC28" i="5" s="1"/>
  <c r="AG28" i="5"/>
  <c r="AF28" i="5"/>
  <c r="AE28" i="5"/>
  <c r="AD28" i="5"/>
  <c r="BB28" i="5" s="1"/>
  <c r="AC28" i="5"/>
  <c r="AB28" i="5"/>
  <c r="AA28" i="5"/>
  <c r="Z28" i="5"/>
  <c r="BA28" i="5" s="1"/>
  <c r="Y28" i="5"/>
  <c r="X28" i="5"/>
  <c r="W28" i="5"/>
  <c r="V28" i="5"/>
  <c r="U28" i="5"/>
  <c r="T28" i="5"/>
  <c r="S28" i="5"/>
  <c r="R28" i="5"/>
  <c r="AY28" i="5" s="1"/>
  <c r="BE27" i="5"/>
  <c r="BD27" i="5"/>
  <c r="AW27" i="5"/>
  <c r="AV27" i="5"/>
  <c r="AU27" i="5"/>
  <c r="AK27" i="5"/>
  <c r="AJ27" i="5"/>
  <c r="AI27" i="5"/>
  <c r="AH27" i="5"/>
  <c r="AG27" i="5"/>
  <c r="AF27" i="5"/>
  <c r="AE27" i="5"/>
  <c r="AD27" i="5"/>
  <c r="BB27" i="5" s="1"/>
  <c r="AC27" i="5"/>
  <c r="AB27" i="5"/>
  <c r="AA27" i="5"/>
  <c r="Z27" i="5"/>
  <c r="BA27" i="5" s="1"/>
  <c r="Y27" i="5"/>
  <c r="X27" i="5"/>
  <c r="W27" i="5"/>
  <c r="V27" i="5"/>
  <c r="U27" i="5"/>
  <c r="T27" i="5"/>
  <c r="S27" i="5"/>
  <c r="R27" i="5"/>
  <c r="AY27" i="5" s="1"/>
  <c r="P27" i="5"/>
  <c r="M27" i="5"/>
  <c r="BJ26" i="5"/>
  <c r="U26" i="5" s="1"/>
  <c r="BE26" i="5"/>
  <c r="BD26" i="5"/>
  <c r="AV26" i="5"/>
  <c r="AU26" i="5"/>
  <c r="AK26" i="5"/>
  <c r="AJ26" i="5"/>
  <c r="AI26" i="5"/>
  <c r="AH26" i="5"/>
  <c r="BC26" i="5" s="1"/>
  <c r="AG26" i="5"/>
  <c r="AF26" i="5"/>
  <c r="AE26" i="5"/>
  <c r="AD26" i="5"/>
  <c r="BB26" i="5" s="1"/>
  <c r="AC26" i="5"/>
  <c r="AB26" i="5"/>
  <c r="AA26" i="5"/>
  <c r="Z26" i="5"/>
  <c r="BA26" i="5" s="1"/>
  <c r="Y26" i="5"/>
  <c r="X26" i="5"/>
  <c r="W26" i="5"/>
  <c r="V26" i="5"/>
  <c r="AZ26" i="5" s="1"/>
  <c r="T26" i="5"/>
  <c r="S26" i="5"/>
  <c r="R26" i="5"/>
  <c r="O26" i="5"/>
  <c r="K26" i="5"/>
  <c r="BN25" i="5"/>
  <c r="BJ25" i="5"/>
  <c r="BJ29" i="5" s="1"/>
  <c r="BE25" i="5"/>
  <c r="BD25" i="5"/>
  <c r="AU25" i="5"/>
  <c r="AK25" i="5"/>
  <c r="AJ25" i="5"/>
  <c r="AI25" i="5"/>
  <c r="AH25" i="5"/>
  <c r="BC25" i="5" s="1"/>
  <c r="AG25" i="5"/>
  <c r="AF25" i="5"/>
  <c r="AE25" i="5"/>
  <c r="AD25" i="5"/>
  <c r="BB25" i="5" s="1"/>
  <c r="AC25" i="5"/>
  <c r="AB25" i="5"/>
  <c r="AA25" i="5"/>
  <c r="AA29" i="5" s="1"/>
  <c r="Z25" i="5"/>
  <c r="Y25" i="5"/>
  <c r="X25" i="5"/>
  <c r="W25" i="5"/>
  <c r="V25" i="5"/>
  <c r="AZ25" i="5" s="1"/>
  <c r="U25" i="5"/>
  <c r="T25" i="5"/>
  <c r="S25" i="5"/>
  <c r="R25" i="5"/>
  <c r="AY25" i="5" s="1"/>
  <c r="O25" i="5"/>
  <c r="K25" i="5"/>
  <c r="H25" i="5"/>
  <c r="I25" i="5" s="1"/>
  <c r="AV25" i="5" s="1"/>
  <c r="AK24" i="5"/>
  <c r="AL24" i="5" s="1"/>
  <c r="AJ24" i="5"/>
  <c r="AI24" i="5"/>
  <c r="AH24" i="5"/>
  <c r="BC24" i="5" s="1"/>
  <c r="AG24" i="5"/>
  <c r="AF24" i="5"/>
  <c r="AE24" i="5"/>
  <c r="AD24" i="5"/>
  <c r="AC24" i="5"/>
  <c r="AB24" i="5"/>
  <c r="AA24" i="5"/>
  <c r="Z24" i="5"/>
  <c r="BA24" i="5" s="1"/>
  <c r="BQ23" i="5"/>
  <c r="AC23" i="5" s="1"/>
  <c r="BP23" i="5"/>
  <c r="BP29" i="5" s="1"/>
  <c r="BO23" i="5"/>
  <c r="BO29" i="5" s="1"/>
  <c r="BN23" i="5"/>
  <c r="BN29" i="5" s="1"/>
  <c r="AQ23" i="5"/>
  <c r="AM23" i="5"/>
  <c r="AK23" i="5"/>
  <c r="AJ23" i="5"/>
  <c r="AI23" i="5"/>
  <c r="AH23" i="5"/>
  <c r="AG23" i="5"/>
  <c r="AF23" i="5"/>
  <c r="AE23" i="5"/>
  <c r="AD23" i="5"/>
  <c r="AB23" i="5"/>
  <c r="AB29" i="5" s="1"/>
  <c r="AA23" i="5"/>
  <c r="Z23" i="5"/>
  <c r="Y23" i="5"/>
  <c r="X23" i="5"/>
  <c r="W23" i="5"/>
  <c r="V23" i="5"/>
  <c r="U23" i="5"/>
  <c r="T23" i="5"/>
  <c r="S23" i="5"/>
  <c r="R23" i="5"/>
  <c r="O23" i="5"/>
  <c r="L23" i="5"/>
  <c r="K23" i="5"/>
  <c r="G23" i="5"/>
  <c r="D23" i="5"/>
  <c r="C23" i="5"/>
  <c r="BW20" i="5"/>
  <c r="BQ20" i="5"/>
  <c r="BP20" i="5"/>
  <c r="BO20" i="5"/>
  <c r="BN20" i="5"/>
  <c r="BM20" i="5"/>
  <c r="BL20" i="5"/>
  <c r="BK20" i="5"/>
  <c r="BJ20" i="5"/>
  <c r="BI20" i="5"/>
  <c r="BH20" i="5"/>
  <c r="BG20" i="5"/>
  <c r="F20" i="5"/>
  <c r="AK19" i="5"/>
  <c r="AJ19" i="5"/>
  <c r="AI19" i="5"/>
  <c r="AH19" i="5"/>
  <c r="BC19" i="5" s="1"/>
  <c r="AG19" i="5"/>
  <c r="AF19" i="5"/>
  <c r="AE19" i="5"/>
  <c r="AD19" i="5"/>
  <c r="BB19" i="5" s="1"/>
  <c r="AC19" i="5"/>
  <c r="AB19" i="5"/>
  <c r="AA19" i="5"/>
  <c r="Z19" i="5"/>
  <c r="BA19" i="5" s="1"/>
  <c r="Y19" i="5"/>
  <c r="X19" i="5"/>
  <c r="W19" i="5"/>
  <c r="V19" i="5"/>
  <c r="AZ19" i="5" s="1"/>
  <c r="U19" i="5"/>
  <c r="T19" i="5"/>
  <c r="S19" i="5"/>
  <c r="R19" i="5"/>
  <c r="AY19" i="5" s="1"/>
  <c r="P19" i="5"/>
  <c r="Q19" i="5" s="1"/>
  <c r="AX19" i="5" s="1"/>
  <c r="O19" i="5"/>
  <c r="L19" i="5"/>
  <c r="M19" i="5" s="1"/>
  <c r="K19" i="5"/>
  <c r="G19" i="5"/>
  <c r="C19" i="5"/>
  <c r="BA18" i="5"/>
  <c r="AK18" i="5"/>
  <c r="AJ18" i="5"/>
  <c r="AI18" i="5"/>
  <c r="AH18" i="5"/>
  <c r="BC18" i="5" s="1"/>
  <c r="AG18" i="5"/>
  <c r="AF18" i="5"/>
  <c r="AE18" i="5"/>
  <c r="AD18" i="5"/>
  <c r="BB18" i="5" s="1"/>
  <c r="AC18" i="5"/>
  <c r="AB18" i="5"/>
  <c r="AA18" i="5"/>
  <c r="Z18" i="5"/>
  <c r="Y18" i="5"/>
  <c r="X18" i="5"/>
  <c r="W18" i="5"/>
  <c r="V18" i="5"/>
  <c r="AZ18" i="5" s="1"/>
  <c r="U18" i="5"/>
  <c r="T18" i="5"/>
  <c r="S18" i="5"/>
  <c r="R18" i="5"/>
  <c r="AY18" i="5" s="1"/>
  <c r="P18" i="5"/>
  <c r="Q18" i="5" s="1"/>
  <c r="O18" i="5"/>
  <c r="K18" i="5"/>
  <c r="G18" i="5"/>
  <c r="D18" i="5"/>
  <c r="E18" i="5" s="1"/>
  <c r="C18" i="5"/>
  <c r="AK17" i="5"/>
  <c r="AJ17" i="5"/>
  <c r="AI17" i="5"/>
  <c r="AH17" i="5"/>
  <c r="BC17" i="5" s="1"/>
  <c r="AG17" i="5"/>
  <c r="AF17" i="5"/>
  <c r="AE17" i="5"/>
  <c r="AD17" i="5"/>
  <c r="BB17" i="5" s="1"/>
  <c r="AC17" i="5"/>
  <c r="AB17" i="5"/>
  <c r="AA17" i="5"/>
  <c r="Z17" i="5"/>
  <c r="BA17" i="5" s="1"/>
  <c r="Y17" i="5"/>
  <c r="X17" i="5"/>
  <c r="W17" i="5"/>
  <c r="V17" i="5"/>
  <c r="AZ17" i="5" s="1"/>
  <c r="U17" i="5"/>
  <c r="T17" i="5"/>
  <c r="S17" i="5"/>
  <c r="R17" i="5"/>
  <c r="AY17" i="5" s="1"/>
  <c r="N17" i="5"/>
  <c r="L17" i="5"/>
  <c r="M17" i="5" s="1"/>
  <c r="K17" i="5"/>
  <c r="J17" i="5"/>
  <c r="AW17" i="5" s="1"/>
  <c r="G17" i="5"/>
  <c r="H17" i="5" s="1"/>
  <c r="I17" i="5" s="1"/>
  <c r="F17" i="5"/>
  <c r="B17" i="5"/>
  <c r="B20" i="5" s="1"/>
  <c r="AY16" i="5"/>
  <c r="AK16" i="5"/>
  <c r="AJ16" i="5"/>
  <c r="AI16" i="5"/>
  <c r="AH16" i="5"/>
  <c r="BC16" i="5" s="1"/>
  <c r="AG16" i="5"/>
  <c r="AF16" i="5"/>
  <c r="AE16" i="5"/>
  <c r="AD16" i="5"/>
  <c r="BB16" i="5" s="1"/>
  <c r="AC16" i="5"/>
  <c r="AB16" i="5"/>
  <c r="AA16" i="5"/>
  <c r="Z16" i="5"/>
  <c r="BA16" i="5" s="1"/>
  <c r="Y16" i="5"/>
  <c r="X16" i="5"/>
  <c r="W16" i="5"/>
  <c r="V16" i="5"/>
  <c r="AZ16" i="5" s="1"/>
  <c r="U16" i="5"/>
  <c r="T16" i="5"/>
  <c r="S16" i="5"/>
  <c r="R16" i="5"/>
  <c r="P16" i="5"/>
  <c r="Q16" i="5" s="1"/>
  <c r="O16" i="5"/>
  <c r="AX16" i="5" s="1"/>
  <c r="K16" i="5"/>
  <c r="L16" i="5" s="1"/>
  <c r="M16" i="5" s="1"/>
  <c r="G16" i="5"/>
  <c r="D16" i="5"/>
  <c r="E16" i="5" s="1"/>
  <c r="C16" i="5"/>
  <c r="AU16" i="5" s="1"/>
  <c r="BB15" i="5"/>
  <c r="AK15" i="5"/>
  <c r="AJ15" i="5"/>
  <c r="AI15" i="5"/>
  <c r="AH15" i="5"/>
  <c r="BC15" i="5" s="1"/>
  <c r="AG15" i="5"/>
  <c r="AF15" i="5"/>
  <c r="AE15" i="5"/>
  <c r="AD15" i="5"/>
  <c r="AC15" i="5"/>
  <c r="AB15" i="5"/>
  <c r="AA15" i="5"/>
  <c r="Z15" i="5"/>
  <c r="Y15" i="5"/>
  <c r="X15" i="5"/>
  <c r="W15" i="5"/>
  <c r="V15" i="5"/>
  <c r="AZ15" i="5" s="1"/>
  <c r="U15" i="5"/>
  <c r="T15" i="5"/>
  <c r="S15" i="5"/>
  <c r="R15" i="5"/>
  <c r="AY15" i="5" s="1"/>
  <c r="O15" i="5"/>
  <c r="P15" i="5" s="1"/>
  <c r="Q15" i="5" s="1"/>
  <c r="K15" i="5"/>
  <c r="G15" i="5"/>
  <c r="D15" i="5"/>
  <c r="E15" i="5" s="1"/>
  <c r="C15" i="5"/>
  <c r="AU15" i="5" s="1"/>
  <c r="AK14" i="5"/>
  <c r="AJ14" i="5"/>
  <c r="AI14" i="5"/>
  <c r="AH14" i="5"/>
  <c r="BC14" i="5" s="1"/>
  <c r="AG14" i="5"/>
  <c r="AF14" i="5"/>
  <c r="AE14" i="5"/>
  <c r="AD14" i="5"/>
  <c r="AC14" i="5"/>
  <c r="AB14" i="5"/>
  <c r="AA14" i="5"/>
  <c r="Z14" i="5"/>
  <c r="BA14" i="5" s="1"/>
  <c r="Y14" i="5"/>
  <c r="X14" i="5"/>
  <c r="W14" i="5"/>
  <c r="V14" i="5"/>
  <c r="AZ14" i="5" s="1"/>
  <c r="U14" i="5"/>
  <c r="T14" i="5"/>
  <c r="S14" i="5"/>
  <c r="R14" i="5"/>
  <c r="O14" i="5"/>
  <c r="M14" i="5"/>
  <c r="L14" i="5"/>
  <c r="K14" i="5"/>
  <c r="AW14" i="5" s="1"/>
  <c r="G14" i="5"/>
  <c r="C14" i="5"/>
  <c r="D14" i="5" s="1"/>
  <c r="E14" i="5" s="1"/>
  <c r="AK13" i="5"/>
  <c r="AJ13" i="5"/>
  <c r="AI13" i="5"/>
  <c r="AH13" i="5"/>
  <c r="AG13" i="5"/>
  <c r="AF13" i="5"/>
  <c r="AE13" i="5"/>
  <c r="AD13" i="5"/>
  <c r="BB13" i="5" s="1"/>
  <c r="AC13" i="5"/>
  <c r="AB13" i="5"/>
  <c r="AA13" i="5"/>
  <c r="Z13" i="5"/>
  <c r="BA13" i="5" s="1"/>
  <c r="Y13" i="5"/>
  <c r="X13" i="5"/>
  <c r="W13" i="5"/>
  <c r="V13" i="5"/>
  <c r="U13" i="5"/>
  <c r="T13" i="5"/>
  <c r="S13" i="5"/>
  <c r="R13" i="5"/>
  <c r="AY13" i="5" s="1"/>
  <c r="Q13" i="5"/>
  <c r="P13" i="5"/>
  <c r="O13" i="5"/>
  <c r="AX13" i="5" s="1"/>
  <c r="L13" i="5"/>
  <c r="M13" i="5" s="1"/>
  <c r="K13" i="5"/>
  <c r="AW13" i="5" s="1"/>
  <c r="G13" i="5"/>
  <c r="H13" i="5" s="1"/>
  <c r="C13" i="5"/>
  <c r="AY12" i="5"/>
  <c r="AK12" i="5"/>
  <c r="AJ12" i="5"/>
  <c r="AI12" i="5"/>
  <c r="AH12" i="5"/>
  <c r="BC12" i="5" s="1"/>
  <c r="AG12" i="5"/>
  <c r="AF12" i="5"/>
  <c r="AE12" i="5"/>
  <c r="AD12" i="5"/>
  <c r="BB12" i="5" s="1"/>
  <c r="AC12" i="5"/>
  <c r="AB12" i="5"/>
  <c r="AA12" i="5"/>
  <c r="Z12" i="5"/>
  <c r="BA12" i="5" s="1"/>
  <c r="Y12" i="5"/>
  <c r="X12" i="5"/>
  <c r="W12" i="5"/>
  <c r="V12" i="5"/>
  <c r="AZ12" i="5" s="1"/>
  <c r="U12" i="5"/>
  <c r="T12" i="5"/>
  <c r="S12" i="5"/>
  <c r="R12" i="5"/>
  <c r="P12" i="5"/>
  <c r="Q12" i="5" s="1"/>
  <c r="O12" i="5"/>
  <c r="K12" i="5"/>
  <c r="L12" i="5" s="1"/>
  <c r="M12" i="5" s="1"/>
  <c r="G12" i="5"/>
  <c r="E12" i="5"/>
  <c r="D12" i="5"/>
  <c r="C12" i="5"/>
  <c r="AU12" i="5" s="1"/>
  <c r="BZ10" i="5"/>
  <c r="BZ20" i="5" s="1"/>
  <c r="BY10" i="5"/>
  <c r="BY20" i="5" s="1"/>
  <c r="BX10" i="5"/>
  <c r="BX20" i="5" s="1"/>
  <c r="BV10" i="5"/>
  <c r="AG10" i="5" s="1"/>
  <c r="BU10" i="5"/>
  <c r="BU20" i="5" s="1"/>
  <c r="BT10" i="5"/>
  <c r="BT20" i="5" s="1"/>
  <c r="BS10" i="5"/>
  <c r="BS20" i="5" s="1"/>
  <c r="BR10" i="5"/>
  <c r="BR20" i="5" s="1"/>
  <c r="BE10" i="5"/>
  <c r="BD10" i="5"/>
  <c r="AX10" i="5"/>
  <c r="AI10" i="5"/>
  <c r="AH10" i="5"/>
  <c r="AF10" i="5"/>
  <c r="AE10" i="5"/>
  <c r="AD10" i="5"/>
  <c r="BB10" i="5" s="1"/>
  <c r="AC10" i="5"/>
  <c r="AB10" i="5"/>
  <c r="AA10" i="5"/>
  <c r="Z10" i="5"/>
  <c r="Y10" i="5"/>
  <c r="X10" i="5"/>
  <c r="W10" i="5"/>
  <c r="V10" i="5"/>
  <c r="AZ10" i="5" s="1"/>
  <c r="U10" i="5"/>
  <c r="T10" i="5"/>
  <c r="S10" i="5"/>
  <c r="R10" i="5"/>
  <c r="AY10" i="5" s="1"/>
  <c r="Q10" i="5"/>
  <c r="O10" i="5"/>
  <c r="P10" i="5" s="1"/>
  <c r="L10" i="5"/>
  <c r="M10" i="5" s="1"/>
  <c r="K10" i="5"/>
  <c r="AW10" i="5" s="1"/>
  <c r="I10" i="5"/>
  <c r="H10" i="5"/>
  <c r="G10" i="5"/>
  <c r="AV10" i="5" s="1"/>
  <c r="D10" i="5"/>
  <c r="E10" i="5" s="1"/>
  <c r="C10" i="5"/>
  <c r="AU10" i="5" s="1"/>
  <c r="AK9" i="5"/>
  <c r="AJ9" i="5"/>
  <c r="AI9" i="5"/>
  <c r="AH9" i="5"/>
  <c r="BC9" i="5" s="1"/>
  <c r="AG9" i="5"/>
  <c r="AF9" i="5"/>
  <c r="AE9" i="5"/>
  <c r="AD9" i="5"/>
  <c r="BB9" i="5" s="1"/>
  <c r="AC9" i="5"/>
  <c r="AB9" i="5"/>
  <c r="AA9" i="5"/>
  <c r="Z9" i="5"/>
  <c r="BA9" i="5" s="1"/>
  <c r="Y9" i="5"/>
  <c r="X9" i="5"/>
  <c r="W9" i="5"/>
  <c r="V9" i="5"/>
  <c r="AZ9" i="5" s="1"/>
  <c r="U9" i="5"/>
  <c r="T9" i="5"/>
  <c r="S9" i="5"/>
  <c r="R9" i="5"/>
  <c r="AY9" i="5" s="1"/>
  <c r="P9" i="5"/>
  <c r="Q9" i="5" s="1"/>
  <c r="O9" i="5"/>
  <c r="AX9" i="5" s="1"/>
  <c r="M9" i="5"/>
  <c r="L9" i="5"/>
  <c r="K9" i="5"/>
  <c r="AW9" i="5" s="1"/>
  <c r="H9" i="5"/>
  <c r="I9" i="5" s="1"/>
  <c r="G9" i="5"/>
  <c r="E9" i="5"/>
  <c r="D9" i="5"/>
  <c r="C9" i="5"/>
  <c r="AU9" i="5" s="1"/>
  <c r="AK8" i="5"/>
  <c r="AJ8" i="5"/>
  <c r="AJ76" i="5" s="1"/>
  <c r="AI8" i="5"/>
  <c r="AI76" i="5" s="1"/>
  <c r="AH8" i="5"/>
  <c r="AH76" i="5" s="1"/>
  <c r="AG8" i="5"/>
  <c r="AG76" i="5" s="1"/>
  <c r="AF8" i="5"/>
  <c r="AF76" i="5" s="1"/>
  <c r="AE8" i="5"/>
  <c r="AE76" i="5" s="1"/>
  <c r="AD8" i="5"/>
  <c r="AD76" i="5" s="1"/>
  <c r="AC8" i="5"/>
  <c r="AC76" i="5" s="1"/>
  <c r="AB8" i="5"/>
  <c r="AB76" i="5" s="1"/>
  <c r="AA8" i="5"/>
  <c r="AA76" i="5" s="1"/>
  <c r="Z8" i="5"/>
  <c r="BA8" i="5" s="1"/>
  <c r="Y8" i="5"/>
  <c r="Y76" i="5" s="1"/>
  <c r="X8" i="5"/>
  <c r="X76" i="5" s="1"/>
  <c r="W8" i="5"/>
  <c r="W76" i="5" s="1"/>
  <c r="V8" i="5"/>
  <c r="V76" i="5" s="1"/>
  <c r="U8" i="5"/>
  <c r="U76" i="5" s="1"/>
  <c r="T8" i="5"/>
  <c r="T76" i="5" s="1"/>
  <c r="S8" i="5"/>
  <c r="S76" i="5" s="1"/>
  <c r="R8" i="5"/>
  <c r="R76" i="5" s="1"/>
  <c r="Q8" i="5"/>
  <c r="Q76" i="5" s="1"/>
  <c r="P8" i="5"/>
  <c r="P76" i="5" s="1"/>
  <c r="O8" i="5"/>
  <c r="O76" i="5" s="1"/>
  <c r="L8" i="5"/>
  <c r="L76" i="5" s="1"/>
  <c r="K8" i="5"/>
  <c r="K76" i="5" s="1"/>
  <c r="G8" i="5"/>
  <c r="G76" i="5" s="1"/>
  <c r="D8" i="5"/>
  <c r="D76" i="5" s="1"/>
  <c r="C8" i="5"/>
  <c r="C76" i="5" s="1"/>
  <c r="BE7" i="5"/>
  <c r="BD7" i="5"/>
  <c r="AW7" i="5"/>
  <c r="AV7" i="5"/>
  <c r="AK7" i="5"/>
  <c r="AJ7" i="5"/>
  <c r="AI7" i="5"/>
  <c r="AH7" i="5"/>
  <c r="BC7" i="5" s="1"/>
  <c r="AG7" i="5"/>
  <c r="AF7" i="5"/>
  <c r="AE7" i="5"/>
  <c r="AD7" i="5"/>
  <c r="BB7" i="5" s="1"/>
  <c r="AC7" i="5"/>
  <c r="AB7" i="5"/>
  <c r="AA7" i="5"/>
  <c r="Z7" i="5"/>
  <c r="BA7" i="5" s="1"/>
  <c r="Y7" i="5"/>
  <c r="X7" i="5"/>
  <c r="W7" i="5"/>
  <c r="V7" i="5"/>
  <c r="AZ7" i="5" s="1"/>
  <c r="U7" i="5"/>
  <c r="T7" i="5"/>
  <c r="S7" i="5"/>
  <c r="R7" i="5"/>
  <c r="AY7" i="5" s="1"/>
  <c r="O7" i="5"/>
  <c r="C7" i="5"/>
  <c r="BV6" i="5"/>
  <c r="AK6" i="5"/>
  <c r="AJ6" i="5"/>
  <c r="AI6" i="5"/>
  <c r="AH6" i="5"/>
  <c r="AH20" i="5" s="1"/>
  <c r="AG6" i="5"/>
  <c r="AF6" i="5"/>
  <c r="AF20" i="5" s="1"/>
  <c r="AF48" i="5" s="1"/>
  <c r="AF50" i="5" s="1"/>
  <c r="AE6" i="5"/>
  <c r="AE20" i="5" s="1"/>
  <c r="AD6" i="5"/>
  <c r="BB6" i="5" s="1"/>
  <c r="AC6" i="5"/>
  <c r="AB6" i="5"/>
  <c r="AB20" i="5" s="1"/>
  <c r="AA6" i="5"/>
  <c r="AA20" i="5" s="1"/>
  <c r="Z6" i="5"/>
  <c r="Z20" i="5" s="1"/>
  <c r="Y6" i="5"/>
  <c r="Y20" i="5" s="1"/>
  <c r="X6" i="5"/>
  <c r="X20" i="5" s="1"/>
  <c r="W6" i="5"/>
  <c r="V6" i="5"/>
  <c r="AZ6" i="5" s="1"/>
  <c r="U6" i="5"/>
  <c r="U20" i="5" s="1"/>
  <c r="T6" i="5"/>
  <c r="T20" i="5" s="1"/>
  <c r="S6" i="5"/>
  <c r="S20" i="5" s="1"/>
  <c r="R6" i="5"/>
  <c r="AY6" i="5" s="1"/>
  <c r="P6" i="5"/>
  <c r="O6" i="5"/>
  <c r="L6" i="5"/>
  <c r="M6" i="5" s="1"/>
  <c r="K6" i="5"/>
  <c r="AW6" i="5" s="1"/>
  <c r="G6" i="5"/>
  <c r="C6" i="5"/>
  <c r="BY4" i="5"/>
  <c r="BM4" i="5"/>
  <c r="BE4" i="5"/>
  <c r="BD4" i="5"/>
  <c r="BC4" i="5"/>
  <c r="BB4" i="5"/>
  <c r="BA4" i="5"/>
  <c r="AZ4" i="5"/>
  <c r="AY4" i="5"/>
  <c r="AX4" i="5"/>
  <c r="AW4" i="5"/>
  <c r="AV4" i="5"/>
  <c r="AU4" i="5"/>
  <c r="AS4" i="5"/>
  <c r="AR4" i="5"/>
  <c r="AQ4" i="5"/>
  <c r="AP4" i="5"/>
  <c r="AO4" i="5"/>
  <c r="AN4" i="5"/>
  <c r="AM4" i="5"/>
  <c r="AL4" i="5"/>
  <c r="AK4" i="5"/>
  <c r="BZ4" i="5" s="1"/>
  <c r="AJ4" i="5"/>
  <c r="AI4" i="5"/>
  <c r="BX4" i="5" s="1"/>
  <c r="AH4" i="5"/>
  <c r="BW4" i="5" s="1"/>
  <c r="AG4" i="5"/>
  <c r="BV4" i="5" s="1"/>
  <c r="AF4" i="5"/>
  <c r="BU4" i="5" s="1"/>
  <c r="AE4" i="5"/>
  <c r="BT4" i="5" s="1"/>
  <c r="AD4" i="5"/>
  <c r="BS4" i="5" s="1"/>
  <c r="AC4" i="5"/>
  <c r="BR4" i="5" s="1"/>
  <c r="AB4" i="5"/>
  <c r="BQ4" i="5" s="1"/>
  <c r="AA4" i="5"/>
  <c r="BP4" i="5" s="1"/>
  <c r="Z4" i="5"/>
  <c r="BO4" i="5" s="1"/>
  <c r="Y4" i="5"/>
  <c r="BN4" i="5" s="1"/>
  <c r="X4" i="5"/>
  <c r="W4" i="5"/>
  <c r="BL4" i="5" s="1"/>
  <c r="V4" i="5"/>
  <c r="BK4" i="5" s="1"/>
  <c r="U4" i="5"/>
  <c r="BJ4" i="5" s="1"/>
  <c r="T4" i="5"/>
  <c r="BI4" i="5" s="1"/>
  <c r="S4" i="5"/>
  <c r="BH4" i="5" s="1"/>
  <c r="R4" i="5"/>
  <c r="BG4" i="5" s="1"/>
  <c r="Q4" i="5"/>
  <c r="P4" i="5"/>
  <c r="O4" i="5"/>
  <c r="N4" i="5"/>
  <c r="M4" i="5"/>
  <c r="L4" i="5"/>
  <c r="K4" i="5"/>
  <c r="J4" i="5"/>
  <c r="I4" i="5"/>
  <c r="H4" i="5"/>
  <c r="G4" i="5"/>
  <c r="F4" i="5"/>
  <c r="E4" i="5"/>
  <c r="D4" i="5"/>
  <c r="C4" i="5"/>
  <c r="B4" i="5"/>
  <c r="A4" i="5"/>
  <c r="BK3" i="5"/>
  <c r="AD3" i="5"/>
  <c r="BS3" i="5" s="1"/>
  <c r="Z3" i="5"/>
  <c r="BO3" i="5" s="1"/>
  <c r="V3" i="5"/>
  <c r="R3" i="5"/>
  <c r="BG3" i="5" s="1"/>
  <c r="N3" i="5"/>
  <c r="J3" i="5"/>
  <c r="F3" i="5"/>
  <c r="B3" i="5"/>
  <c r="BB2" i="5"/>
  <c r="BA2" i="5"/>
  <c r="AZ2" i="5"/>
  <c r="AY2" i="5"/>
  <c r="AX2" i="5"/>
  <c r="AW2" i="5"/>
  <c r="AV2" i="5"/>
  <c r="AU2" i="5"/>
  <c r="AS2" i="5"/>
  <c r="AR2" i="5"/>
  <c r="AQ2" i="5"/>
  <c r="AP2" i="5"/>
  <c r="AO2" i="5"/>
  <c r="AN2" i="5"/>
  <c r="AM2" i="5"/>
  <c r="AL2" i="5"/>
  <c r="AK2" i="5"/>
  <c r="AJ2" i="5"/>
  <c r="AI2" i="5"/>
  <c r="AH2" i="5"/>
  <c r="AG2" i="5"/>
  <c r="AF2" i="5"/>
  <c r="AE2" i="5"/>
  <c r="AD2" i="5"/>
  <c r="AC2" i="5"/>
  <c r="AB2" i="5"/>
  <c r="AA2" i="5"/>
  <c r="Z2" i="5"/>
  <c r="Y2" i="5"/>
  <c r="X2" i="5"/>
  <c r="W2" i="5"/>
  <c r="V2" i="5"/>
  <c r="U2" i="5"/>
  <c r="T2" i="5"/>
  <c r="S2" i="5"/>
  <c r="R2" i="5"/>
  <c r="Q2" i="5"/>
  <c r="P2" i="5"/>
  <c r="O2" i="5"/>
  <c r="N2" i="5"/>
  <c r="A1" i="5"/>
  <c r="D86" i="4"/>
  <c r="C86" i="4"/>
  <c r="B86" i="4"/>
  <c r="D85" i="4"/>
  <c r="C85" i="4"/>
  <c r="B85" i="4"/>
  <c r="E84" i="4"/>
  <c r="D84" i="4"/>
  <c r="C84" i="4"/>
  <c r="B84" i="4"/>
  <c r="AW82" i="4"/>
  <c r="AV82" i="4"/>
  <c r="AU82" i="4"/>
  <c r="BE81" i="4"/>
  <c r="BD81" i="4"/>
  <c r="BC81" i="4"/>
  <c r="BB81" i="4"/>
  <c r="BA81" i="4"/>
  <c r="AZ81" i="4"/>
  <c r="AY81" i="4"/>
  <c r="AS81" i="4"/>
  <c r="AR81" i="4"/>
  <c r="AQ81" i="4"/>
  <c r="AP81" i="4"/>
  <c r="AO81" i="4"/>
  <c r="AN81" i="4"/>
  <c r="AM81" i="4"/>
  <c r="AL81" i="4"/>
  <c r="AK81" i="4"/>
  <c r="AJ81" i="4"/>
  <c r="AI81" i="4"/>
  <c r="AH81" i="4"/>
  <c r="AG81" i="4"/>
  <c r="AF81" i="4"/>
  <c r="AE81" i="4"/>
  <c r="AD81" i="4"/>
  <c r="AC81" i="4"/>
  <c r="AB81" i="4"/>
  <c r="AA81" i="4"/>
  <c r="Z81" i="4"/>
  <c r="Y81" i="4"/>
  <c r="X81" i="4"/>
  <c r="W81" i="4"/>
  <c r="V81" i="4"/>
  <c r="U81" i="4"/>
  <c r="Q81" i="4"/>
  <c r="P81" i="4"/>
  <c r="O81" i="4"/>
  <c r="N81" i="4"/>
  <c r="M81" i="4"/>
  <c r="L81" i="4"/>
  <c r="K81" i="4"/>
  <c r="J81" i="4"/>
  <c r="Q80" i="4"/>
  <c r="P80" i="4"/>
  <c r="O80" i="4"/>
  <c r="N80" i="4"/>
  <c r="M80" i="4"/>
  <c r="L80" i="4"/>
  <c r="K80" i="4"/>
  <c r="J80" i="4"/>
  <c r="I80" i="4"/>
  <c r="H80" i="4"/>
  <c r="G80" i="4"/>
  <c r="F80" i="4"/>
  <c r="E80" i="4"/>
  <c r="D80" i="4"/>
  <c r="C80" i="4"/>
  <c r="B80" i="4"/>
  <c r="AH79" i="4"/>
  <c r="AF79" i="4"/>
  <c r="AE79" i="4"/>
  <c r="AB79" i="4"/>
  <c r="AA79" i="4"/>
  <c r="Z79" i="4"/>
  <c r="Y79" i="4"/>
  <c r="U79" i="4"/>
  <c r="T79" i="4"/>
  <c r="S79" i="4"/>
  <c r="A76" i="4"/>
  <c r="A75" i="4"/>
  <c r="A71" i="4"/>
  <c r="A70" i="4"/>
  <c r="BE58" i="4"/>
  <c r="BD58" i="4"/>
  <c r="BC58" i="4"/>
  <c r="BB58" i="4"/>
  <c r="BA58" i="4"/>
  <c r="AZ58" i="4"/>
  <c r="AY58" i="4"/>
  <c r="AX58" i="4"/>
  <c r="AW58" i="4"/>
  <c r="AV58" i="4"/>
  <c r="AU58" i="4"/>
  <c r="AD57" i="4"/>
  <c r="Z57" i="4"/>
  <c r="V57" i="4"/>
  <c r="R57" i="4"/>
  <c r="N57" i="4"/>
  <c r="J57" i="4"/>
  <c r="F57" i="4"/>
  <c r="B57" i="4"/>
  <c r="AV51" i="4"/>
  <c r="AU51" i="4"/>
  <c r="AE48" i="4"/>
  <c r="S48" i="4"/>
  <c r="AK47" i="4"/>
  <c r="AH47" i="4"/>
  <c r="AG47" i="4"/>
  <c r="AG48" i="4" s="1"/>
  <c r="AF47" i="4"/>
  <c r="AF48" i="4" s="1"/>
  <c r="AE47" i="4"/>
  <c r="AD47" i="4"/>
  <c r="AC47" i="4"/>
  <c r="AC48" i="4" s="1"/>
  <c r="AB47" i="4"/>
  <c r="AB48" i="4" s="1"/>
  <c r="AA47" i="4"/>
  <c r="AA48" i="4" s="1"/>
  <c r="Y47" i="4"/>
  <c r="X47" i="4"/>
  <c r="W47" i="4"/>
  <c r="V47" i="4"/>
  <c r="U47" i="4"/>
  <c r="U48" i="4" s="1"/>
  <c r="T47" i="4"/>
  <c r="T48" i="4" s="1"/>
  <c r="S47" i="4"/>
  <c r="R47" i="4"/>
  <c r="R48" i="4" s="1"/>
  <c r="Q47" i="4"/>
  <c r="Q48" i="4" s="1"/>
  <c r="P47" i="4"/>
  <c r="P48" i="4" s="1"/>
  <c r="O47" i="4"/>
  <c r="O48" i="4" s="1"/>
  <c r="N47" i="4"/>
  <c r="M47" i="4"/>
  <c r="L47" i="4"/>
  <c r="K47" i="4"/>
  <c r="J47" i="4"/>
  <c r="I47" i="4"/>
  <c r="I48" i="4" s="1"/>
  <c r="H47" i="4"/>
  <c r="G47" i="4"/>
  <c r="F47" i="4"/>
  <c r="E47" i="4"/>
  <c r="AZ44" i="4"/>
  <c r="AY44" i="4"/>
  <c r="AG44" i="4"/>
  <c r="AB44" i="4"/>
  <c r="AA44" i="4"/>
  <c r="Z44" i="4"/>
  <c r="Y44" i="4"/>
  <c r="X44" i="4"/>
  <c r="W44" i="4"/>
  <c r="V44" i="4"/>
  <c r="T44" i="4"/>
  <c r="S44" i="4"/>
  <c r="R44" i="4"/>
  <c r="R45" i="4" s="1"/>
  <c r="Q44" i="4"/>
  <c r="AX44" i="4" s="1"/>
  <c r="P44" i="4"/>
  <c r="O44" i="4"/>
  <c r="N44" i="4"/>
  <c r="N45" i="4" s="1"/>
  <c r="M44" i="4"/>
  <c r="AW44" i="4" s="1"/>
  <c r="L44" i="4"/>
  <c r="K44" i="4"/>
  <c r="J44" i="4"/>
  <c r="I44" i="4"/>
  <c r="H44" i="4"/>
  <c r="G44" i="4"/>
  <c r="BC43" i="4"/>
  <c r="BB43" i="4"/>
  <c r="BA43" i="4"/>
  <c r="AZ43" i="4"/>
  <c r="AY43" i="4"/>
  <c r="AX43" i="4"/>
  <c r="AW43" i="4"/>
  <c r="AV43" i="4"/>
  <c r="AU43" i="4"/>
  <c r="BC42" i="4"/>
  <c r="BB42" i="4"/>
  <c r="BA42" i="4"/>
  <c r="AZ42" i="4"/>
  <c r="AY42" i="4"/>
  <c r="AX42" i="4"/>
  <c r="AW42" i="4"/>
  <c r="AV42" i="4"/>
  <c r="AU42" i="4"/>
  <c r="AL42" i="4"/>
  <c r="AM42" i="4" s="1"/>
  <c r="AN42" i="4" s="1"/>
  <c r="AO42" i="4" s="1"/>
  <c r="AZ41" i="4"/>
  <c r="AY41" i="4"/>
  <c r="AX41" i="4"/>
  <c r="AW41" i="4"/>
  <c r="AV41" i="4"/>
  <c r="AK41" i="4"/>
  <c r="AK44" i="4" s="1"/>
  <c r="AJ41" i="4"/>
  <c r="AJ44" i="4" s="1"/>
  <c r="AI41" i="4"/>
  <c r="AI44" i="4" s="1"/>
  <c r="AH41" i="4"/>
  <c r="AH44" i="4" s="1"/>
  <c r="AG41" i="4"/>
  <c r="BB41" i="4" s="1"/>
  <c r="AF41" i="4"/>
  <c r="AF44" i="4" s="1"/>
  <c r="AE41" i="4"/>
  <c r="AE44" i="4" s="1"/>
  <c r="AE45" i="4" s="1"/>
  <c r="AD41" i="4"/>
  <c r="AD44" i="4" s="1"/>
  <c r="AD45" i="4" s="1"/>
  <c r="AC41" i="4"/>
  <c r="BA41" i="4" s="1"/>
  <c r="G41" i="4"/>
  <c r="F41" i="4"/>
  <c r="E41" i="4"/>
  <c r="AU41" i="4" s="1"/>
  <c r="BC40" i="4"/>
  <c r="BB40" i="4"/>
  <c r="BA40" i="4"/>
  <c r="AZ40" i="4"/>
  <c r="AY40" i="4"/>
  <c r="AX40" i="4"/>
  <c r="AW40" i="4"/>
  <c r="AV40" i="4"/>
  <c r="AU40" i="4"/>
  <c r="AM40" i="4"/>
  <c r="AN40" i="4" s="1"/>
  <c r="AL40" i="4"/>
  <c r="BE39" i="4"/>
  <c r="BD39" i="4"/>
  <c r="BC39" i="4"/>
  <c r="BB39" i="4"/>
  <c r="BA39" i="4"/>
  <c r="AZ39" i="4"/>
  <c r="AY39" i="4"/>
  <c r="AX39" i="4"/>
  <c r="AW39" i="4"/>
  <c r="AV39" i="4"/>
  <c r="AU39" i="4"/>
  <c r="G39" i="4"/>
  <c r="F39" i="4"/>
  <c r="F44" i="4" s="1"/>
  <c r="E39" i="4"/>
  <c r="E44" i="4" s="1"/>
  <c r="BC35" i="4"/>
  <c r="BB35" i="4"/>
  <c r="BA35" i="4"/>
  <c r="AZ35" i="4"/>
  <c r="AY35" i="4"/>
  <c r="AX35" i="4"/>
  <c r="AW35" i="4"/>
  <c r="AV35" i="4"/>
  <c r="H35" i="4"/>
  <c r="G35" i="4"/>
  <c r="F35" i="4"/>
  <c r="E35" i="4"/>
  <c r="BC34" i="4"/>
  <c r="BB34" i="4"/>
  <c r="BA34" i="4"/>
  <c r="AZ34" i="4"/>
  <c r="AY34" i="4"/>
  <c r="AX34" i="4"/>
  <c r="AW34" i="4"/>
  <c r="AV34" i="4"/>
  <c r="AU34" i="4"/>
  <c r="AM34" i="4"/>
  <c r="AN34" i="4" s="1"/>
  <c r="AO34" i="4" s="1"/>
  <c r="AL34" i="4"/>
  <c r="BC33" i="4"/>
  <c r="BB33" i="4"/>
  <c r="BA33" i="4"/>
  <c r="AZ33" i="4"/>
  <c r="AY33" i="4"/>
  <c r="AX33" i="4"/>
  <c r="AW33" i="4"/>
  <c r="AV33" i="4"/>
  <c r="AU33" i="4"/>
  <c r="AN33" i="4"/>
  <c r="AO33" i="4" s="1"/>
  <c r="AM33" i="4"/>
  <c r="AL33" i="4"/>
  <c r="BC32" i="4"/>
  <c r="BB32" i="4"/>
  <c r="BA32" i="4"/>
  <c r="AZ32" i="4"/>
  <c r="AY32" i="4"/>
  <c r="AX32" i="4"/>
  <c r="AW32" i="4"/>
  <c r="AV32" i="4"/>
  <c r="AU32" i="4"/>
  <c r="BC29" i="4"/>
  <c r="BB29" i="4"/>
  <c r="AW29" i="4"/>
  <c r="AK29" i="4"/>
  <c r="AK36" i="4" s="1"/>
  <c r="BC36" i="4" s="1"/>
  <c r="AH29" i="4"/>
  <c r="AH36" i="4" s="1"/>
  <c r="AG29" i="4"/>
  <c r="AG36" i="4" s="1"/>
  <c r="BB36" i="4" s="1"/>
  <c r="AF29" i="4"/>
  <c r="AF36" i="4" s="1"/>
  <c r="AE29" i="4"/>
  <c r="AE36" i="4" s="1"/>
  <c r="AD29" i="4"/>
  <c r="AD36" i="4" s="1"/>
  <c r="AC29" i="4"/>
  <c r="AC36" i="4" s="1"/>
  <c r="BA36" i="4" s="1"/>
  <c r="AB29" i="4"/>
  <c r="AB36" i="4" s="1"/>
  <c r="AB45" i="4" s="1"/>
  <c r="AA29" i="4"/>
  <c r="AA36" i="4" s="1"/>
  <c r="Y29" i="4"/>
  <c r="AZ29" i="4" s="1"/>
  <c r="X29" i="4"/>
  <c r="X36" i="4" s="1"/>
  <c r="X45" i="4" s="1"/>
  <c r="W29" i="4"/>
  <c r="W36" i="4" s="1"/>
  <c r="W45" i="4" s="1"/>
  <c r="V29" i="4"/>
  <c r="V36" i="4" s="1"/>
  <c r="U29" i="4"/>
  <c r="U36" i="4" s="1"/>
  <c r="T29" i="4"/>
  <c r="T36" i="4" s="1"/>
  <c r="S29" i="4"/>
  <c r="S36" i="4" s="1"/>
  <c r="R29" i="4"/>
  <c r="R36" i="4" s="1"/>
  <c r="Q29" i="4"/>
  <c r="Q36" i="4" s="1"/>
  <c r="P29" i="4"/>
  <c r="P36" i="4" s="1"/>
  <c r="P45" i="4" s="1"/>
  <c r="O29" i="4"/>
  <c r="O36" i="4" s="1"/>
  <c r="N29" i="4"/>
  <c r="N36" i="4" s="1"/>
  <c r="M29" i="4"/>
  <c r="M36" i="4" s="1"/>
  <c r="AW36" i="4" s="1"/>
  <c r="L29" i="4"/>
  <c r="L36" i="4" s="1"/>
  <c r="L45" i="4" s="1"/>
  <c r="K29" i="4"/>
  <c r="K36" i="4" s="1"/>
  <c r="K45" i="4" s="1"/>
  <c r="J29" i="4"/>
  <c r="J36" i="4" s="1"/>
  <c r="I29" i="4"/>
  <c r="AV29" i="4" s="1"/>
  <c r="H29" i="4"/>
  <c r="H36" i="4" s="1"/>
  <c r="G29" i="4"/>
  <c r="G36" i="4" s="1"/>
  <c r="F29" i="4"/>
  <c r="F36" i="4" s="1"/>
  <c r="E29" i="4"/>
  <c r="AU29" i="4" s="1"/>
  <c r="BC28" i="4"/>
  <c r="BB28" i="4"/>
  <c r="BA28" i="4"/>
  <c r="AZ28" i="4"/>
  <c r="AY28" i="4"/>
  <c r="AX28" i="4"/>
  <c r="AW28" i="4"/>
  <c r="AV28" i="4"/>
  <c r="AU28" i="4"/>
  <c r="AN28" i="4"/>
  <c r="AO28" i="4" s="1"/>
  <c r="AM28" i="4"/>
  <c r="AL28" i="4"/>
  <c r="AI28" i="4"/>
  <c r="AI29" i="4" s="1"/>
  <c r="AI36" i="4" s="1"/>
  <c r="AI45" i="4" s="1"/>
  <c r="Z28" i="4"/>
  <c r="Z47" i="4" s="1"/>
  <c r="BC27" i="4"/>
  <c r="BB27" i="4"/>
  <c r="BA27" i="4"/>
  <c r="AZ27" i="4"/>
  <c r="AY27" i="4"/>
  <c r="AX27" i="4"/>
  <c r="AW27" i="4"/>
  <c r="AV27" i="4"/>
  <c r="AU27" i="4"/>
  <c r="BC26" i="4"/>
  <c r="BB26" i="4"/>
  <c r="BA26" i="4"/>
  <c r="AZ26" i="4"/>
  <c r="AY26" i="4"/>
  <c r="AX26" i="4"/>
  <c r="AW26" i="4"/>
  <c r="AV26" i="4"/>
  <c r="AU26" i="4"/>
  <c r="AM26" i="4"/>
  <c r="AN26" i="4" s="1"/>
  <c r="AO26" i="4" s="1"/>
  <c r="AL26" i="4"/>
  <c r="BC25" i="4"/>
  <c r="BB25" i="4"/>
  <c r="BA25" i="4"/>
  <c r="AZ25" i="4"/>
  <c r="AY25" i="4"/>
  <c r="AX25" i="4"/>
  <c r="AW25" i="4"/>
  <c r="AV25" i="4"/>
  <c r="AU25" i="4"/>
  <c r="BC24" i="4"/>
  <c r="BB24" i="4"/>
  <c r="BA24" i="4"/>
  <c r="AZ24" i="4"/>
  <c r="AY24" i="4"/>
  <c r="AX24" i="4"/>
  <c r="AW24" i="4"/>
  <c r="AV24" i="4"/>
  <c r="AU24" i="4"/>
  <c r="BE23" i="4"/>
  <c r="BD23" i="4"/>
  <c r="BC23" i="4"/>
  <c r="BB23" i="4"/>
  <c r="BA23" i="4"/>
  <c r="AZ23" i="4"/>
  <c r="AY23" i="4"/>
  <c r="AX23" i="4"/>
  <c r="AW23" i="4"/>
  <c r="AV23" i="4"/>
  <c r="AU23" i="4"/>
  <c r="BC22" i="4"/>
  <c r="BB22" i="4"/>
  <c r="BA22" i="4"/>
  <c r="AZ22" i="4"/>
  <c r="AY22" i="4"/>
  <c r="AX22" i="4"/>
  <c r="AW22" i="4"/>
  <c r="AV22" i="4"/>
  <c r="AU22" i="4"/>
  <c r="AJ19" i="4"/>
  <c r="AD19" i="4"/>
  <c r="AD54" i="4" s="1"/>
  <c r="AC19" i="4"/>
  <c r="X19" i="4"/>
  <c r="R19" i="4"/>
  <c r="R54" i="4" s="1"/>
  <c r="Q19" i="4"/>
  <c r="L19" i="4"/>
  <c r="F19" i="4"/>
  <c r="E19" i="4"/>
  <c r="BC18" i="4"/>
  <c r="BB18" i="4"/>
  <c r="BA18" i="4"/>
  <c r="AZ18" i="4"/>
  <c r="AY18" i="4"/>
  <c r="AX18" i="4"/>
  <c r="AW18" i="4"/>
  <c r="AV18" i="4"/>
  <c r="AU18" i="4"/>
  <c r="BC17" i="4"/>
  <c r="BB17" i="4"/>
  <c r="BA17" i="4"/>
  <c r="AZ17" i="4"/>
  <c r="AY17" i="4"/>
  <c r="AX17" i="4"/>
  <c r="AW17" i="4"/>
  <c r="AV17" i="4"/>
  <c r="AU17" i="4"/>
  <c r="AL17" i="4"/>
  <c r="AM17" i="4" s="1"/>
  <c r="AN17" i="4" s="1"/>
  <c r="AO17" i="4" s="1"/>
  <c r="BC16" i="4"/>
  <c r="BB16" i="4"/>
  <c r="BA16" i="4"/>
  <c r="AZ16" i="4"/>
  <c r="AY16" i="4"/>
  <c r="AX16" i="4"/>
  <c r="AW16" i="4"/>
  <c r="AV16" i="4"/>
  <c r="AU16" i="4"/>
  <c r="BC15" i="4"/>
  <c r="BB15" i="4"/>
  <c r="BA15" i="4"/>
  <c r="AZ15" i="4"/>
  <c r="AY15" i="4"/>
  <c r="AX15" i="4"/>
  <c r="AW15" i="4"/>
  <c r="AV15" i="4"/>
  <c r="AU15" i="4"/>
  <c r="AL15" i="4"/>
  <c r="AM15" i="4" s="1"/>
  <c r="AN15" i="4" s="1"/>
  <c r="AO15" i="4" s="1"/>
  <c r="BC14" i="4"/>
  <c r="BB14" i="4"/>
  <c r="BA14" i="4"/>
  <c r="AZ14" i="4"/>
  <c r="AY14" i="4"/>
  <c r="AX14" i="4"/>
  <c r="AW14" i="4"/>
  <c r="AV14" i="4"/>
  <c r="AU14" i="4"/>
  <c r="BC13" i="4"/>
  <c r="BB13" i="4"/>
  <c r="BA13" i="4"/>
  <c r="AZ13" i="4"/>
  <c r="AY13" i="4"/>
  <c r="AX13" i="4"/>
  <c r="AW13" i="4"/>
  <c r="AV13" i="4"/>
  <c r="AU13" i="4"/>
  <c r="BA11" i="4"/>
  <c r="AZ11" i="4"/>
  <c r="AU11" i="4"/>
  <c r="AK11" i="4"/>
  <c r="BC11" i="4" s="1"/>
  <c r="AJ11" i="4"/>
  <c r="AI11" i="4"/>
  <c r="AI19" i="4" s="1"/>
  <c r="AH11" i="4"/>
  <c r="AH19" i="4" s="1"/>
  <c r="AG11" i="4"/>
  <c r="AG19" i="4" s="1"/>
  <c r="AF11" i="4"/>
  <c r="AF19" i="4" s="1"/>
  <c r="AE11" i="4"/>
  <c r="AE19" i="4" s="1"/>
  <c r="AD11" i="4"/>
  <c r="AC11" i="4"/>
  <c r="AB11" i="4"/>
  <c r="AB19" i="4" s="1"/>
  <c r="AA11" i="4"/>
  <c r="AA19" i="4" s="1"/>
  <c r="Z11" i="4"/>
  <c r="Z19" i="4" s="1"/>
  <c r="Y11" i="4"/>
  <c r="Y19" i="4" s="1"/>
  <c r="X11" i="4"/>
  <c r="W11" i="4"/>
  <c r="W19" i="4" s="1"/>
  <c r="V11" i="4"/>
  <c r="V19" i="4" s="1"/>
  <c r="U11" i="4"/>
  <c r="U19" i="4" s="1"/>
  <c r="T11" i="4"/>
  <c r="T19" i="4" s="1"/>
  <c r="S11" i="4"/>
  <c r="S19" i="4" s="1"/>
  <c r="R11" i="4"/>
  <c r="Q11" i="4"/>
  <c r="AX11" i="4" s="1"/>
  <c r="P11" i="4"/>
  <c r="P19" i="4" s="1"/>
  <c r="O11" i="4"/>
  <c r="O19" i="4" s="1"/>
  <c r="N11" i="4"/>
  <c r="N19" i="4" s="1"/>
  <c r="M11" i="4"/>
  <c r="AW11" i="4" s="1"/>
  <c r="L11" i="4"/>
  <c r="K11" i="4"/>
  <c r="K19" i="4" s="1"/>
  <c r="J11" i="4"/>
  <c r="J19" i="4" s="1"/>
  <c r="I11" i="4"/>
  <c r="I19" i="4" s="1"/>
  <c r="H11" i="4"/>
  <c r="H19" i="4" s="1"/>
  <c r="G11" i="4"/>
  <c r="G19" i="4" s="1"/>
  <c r="F11" i="4"/>
  <c r="E11" i="4"/>
  <c r="BC10" i="4"/>
  <c r="BB10" i="4"/>
  <c r="BA10" i="4"/>
  <c r="AZ10" i="4"/>
  <c r="AY10" i="4"/>
  <c r="AX10" i="4"/>
  <c r="AW10" i="4"/>
  <c r="AV10" i="4"/>
  <c r="AU10" i="4"/>
  <c r="BC9" i="4"/>
  <c r="BB9" i="4"/>
  <c r="BA9" i="4"/>
  <c r="AZ9" i="4"/>
  <c r="AY9" i="4"/>
  <c r="AX9" i="4"/>
  <c r="AW9" i="4"/>
  <c r="AV9" i="4"/>
  <c r="AU9" i="4"/>
  <c r="BC8" i="4"/>
  <c r="BB8" i="4"/>
  <c r="BA8" i="4"/>
  <c r="AZ8" i="4"/>
  <c r="AY8" i="4"/>
  <c r="AX8" i="4"/>
  <c r="AW8" i="4"/>
  <c r="AV8" i="4"/>
  <c r="AU8" i="4"/>
  <c r="BC7" i="4"/>
  <c r="BB7" i="4"/>
  <c r="BA7" i="4"/>
  <c r="AZ7" i="4"/>
  <c r="AY7" i="4"/>
  <c r="AX7" i="4"/>
  <c r="AW7" i="4"/>
  <c r="AV7" i="4"/>
  <c r="AU7" i="4"/>
  <c r="AL7" i="4"/>
  <c r="AM7" i="4" s="1"/>
  <c r="AN7" i="4" s="1"/>
  <c r="AO7" i="4" s="1"/>
  <c r="BC6" i="4"/>
  <c r="BC47" i="4" s="1"/>
  <c r="BB6" i="4"/>
  <c r="BB47" i="4" s="1"/>
  <c r="BA6" i="4"/>
  <c r="BA47" i="4" s="1"/>
  <c r="BA48" i="4" s="1"/>
  <c r="AZ6" i="4"/>
  <c r="AZ47" i="4" s="1"/>
  <c r="AZ48" i="4" s="1"/>
  <c r="AY6" i="4"/>
  <c r="AY47" i="4" s="1"/>
  <c r="AX6" i="4"/>
  <c r="AX47" i="4" s="1"/>
  <c r="AX48" i="4" s="1"/>
  <c r="AW6" i="4"/>
  <c r="AW47" i="4" s="1"/>
  <c r="AV6" i="4"/>
  <c r="AU6" i="4"/>
  <c r="AU47" i="4" s="1"/>
  <c r="AU48" i="4" s="1"/>
  <c r="BE4" i="4"/>
  <c r="BD4" i="4"/>
  <c r="BC4" i="4"/>
  <c r="BB4" i="4"/>
  <c r="BA4" i="4"/>
  <c r="AZ4" i="4"/>
  <c r="AY4" i="4"/>
  <c r="AX4" i="4"/>
  <c r="AW4" i="4"/>
  <c r="AV4" i="4"/>
  <c r="AU4" i="4"/>
  <c r="AS4" i="4"/>
  <c r="AS58" i="4" s="1"/>
  <c r="AR4" i="4"/>
  <c r="AR58" i="4" s="1"/>
  <c r="AQ4" i="4"/>
  <c r="AQ58" i="4" s="1"/>
  <c r="AP4" i="4"/>
  <c r="AP58" i="4" s="1"/>
  <c r="AO4" i="4"/>
  <c r="AO58" i="4" s="1"/>
  <c r="AN4" i="4"/>
  <c r="AN58" i="4" s="1"/>
  <c r="AM4" i="4"/>
  <c r="AM58" i="4" s="1"/>
  <c r="AL4" i="4"/>
  <c r="AL58" i="4" s="1"/>
  <c r="AK4" i="4"/>
  <c r="AK58" i="4" s="1"/>
  <c r="AJ4" i="4"/>
  <c r="AJ58" i="4" s="1"/>
  <c r="AI4" i="4"/>
  <c r="AI58" i="4" s="1"/>
  <c r="AH4" i="4"/>
  <c r="AH58" i="4" s="1"/>
  <c r="AG4" i="4"/>
  <c r="AG58" i="4" s="1"/>
  <c r="AF4" i="4"/>
  <c r="AF58" i="4" s="1"/>
  <c r="AE4" i="4"/>
  <c r="AE58" i="4" s="1"/>
  <c r="AD4" i="4"/>
  <c r="AD58" i="4" s="1"/>
  <c r="AC4" i="4"/>
  <c r="AC58" i="4" s="1"/>
  <c r="AB4" i="4"/>
  <c r="AB58" i="4" s="1"/>
  <c r="AA4" i="4"/>
  <c r="AA58" i="4" s="1"/>
  <c r="Z4" i="4"/>
  <c r="Z58" i="4" s="1"/>
  <c r="Y4" i="4"/>
  <c r="Y58" i="4" s="1"/>
  <c r="X4" i="4"/>
  <c r="X58" i="4" s="1"/>
  <c r="W4" i="4"/>
  <c r="W58" i="4" s="1"/>
  <c r="V4" i="4"/>
  <c r="V58" i="4" s="1"/>
  <c r="U4" i="4"/>
  <c r="U58" i="4" s="1"/>
  <c r="T4" i="4"/>
  <c r="T58" i="4" s="1"/>
  <c r="S4" i="4"/>
  <c r="S58" i="4" s="1"/>
  <c r="R4" i="4"/>
  <c r="R58" i="4" s="1"/>
  <c r="Q4" i="4"/>
  <c r="Q58" i="4" s="1"/>
  <c r="P4" i="4"/>
  <c r="P58" i="4" s="1"/>
  <c r="O4" i="4"/>
  <c r="O58" i="4" s="1"/>
  <c r="N4" i="4"/>
  <c r="N58" i="4" s="1"/>
  <c r="M4" i="4"/>
  <c r="M58" i="4" s="1"/>
  <c r="L4" i="4"/>
  <c r="L58" i="4" s="1"/>
  <c r="K4" i="4"/>
  <c r="K58" i="4" s="1"/>
  <c r="J4" i="4"/>
  <c r="J58" i="4" s="1"/>
  <c r="I4" i="4"/>
  <c r="I58" i="4" s="1"/>
  <c r="H4" i="4"/>
  <c r="H58" i="4" s="1"/>
  <c r="G4" i="4"/>
  <c r="G58" i="4" s="1"/>
  <c r="F4" i="4"/>
  <c r="F58" i="4" s="1"/>
  <c r="E4" i="4"/>
  <c r="E58" i="4" s="1"/>
  <c r="D4" i="4"/>
  <c r="D58" i="4" s="1"/>
  <c r="C4" i="4"/>
  <c r="C58" i="4" s="1"/>
  <c r="B4" i="4"/>
  <c r="B58" i="4" s="1"/>
  <c r="A4" i="4"/>
  <c r="AD3" i="4"/>
  <c r="Z3" i="4"/>
  <c r="V3" i="4"/>
  <c r="R3" i="4"/>
  <c r="N3" i="4"/>
  <c r="J3" i="4"/>
  <c r="F3" i="4"/>
  <c r="B3" i="4"/>
  <c r="BB2" i="4"/>
  <c r="BA2" i="4"/>
  <c r="AZ2" i="4"/>
  <c r="AY2" i="4"/>
  <c r="AX2" i="4"/>
  <c r="AW2" i="4"/>
  <c r="AV2" i="4"/>
  <c r="AU2" i="4"/>
  <c r="A1" i="4"/>
  <c r="BA115" i="3"/>
  <c r="AG115" i="3"/>
  <c r="AC115" i="3"/>
  <c r="BA114" i="3"/>
  <c r="AZ114" i="3"/>
  <c r="AZ115" i="3" s="1"/>
  <c r="AY114" i="3"/>
  <c r="AY115" i="3" s="1"/>
  <c r="AX114" i="3"/>
  <c r="AX115" i="3" s="1"/>
  <c r="AW114" i="3"/>
  <c r="AW115" i="3" s="1"/>
  <c r="AV114" i="3"/>
  <c r="AG114" i="3"/>
  <c r="BB114" i="3" s="1"/>
  <c r="BB115" i="3" s="1"/>
  <c r="AZ113" i="3"/>
  <c r="AC113" i="3"/>
  <c r="BB112" i="3"/>
  <c r="BB113" i="3" s="1"/>
  <c r="BA112" i="3"/>
  <c r="BA113" i="3" s="1"/>
  <c r="AY112" i="3"/>
  <c r="AY113" i="3" s="1"/>
  <c r="AX112" i="3"/>
  <c r="AV112" i="3"/>
  <c r="AC112" i="3"/>
  <c r="AG113" i="3" s="1"/>
  <c r="Y112" i="3"/>
  <c r="AZ112" i="3" s="1"/>
  <c r="U112" i="3"/>
  <c r="Q112" i="3"/>
  <c r="M112" i="3"/>
  <c r="AW112" i="3" s="1"/>
  <c r="I112" i="3"/>
  <c r="AW111" i="3"/>
  <c r="AG111" i="3"/>
  <c r="AC111" i="3"/>
  <c r="Y111" i="3"/>
  <c r="U111" i="3"/>
  <c r="Q111" i="3"/>
  <c r="P111" i="3"/>
  <c r="O111" i="3"/>
  <c r="N111" i="3"/>
  <c r="M111" i="3"/>
  <c r="L111" i="3"/>
  <c r="K111" i="3"/>
  <c r="I111" i="3"/>
  <c r="E111" i="3"/>
  <c r="BB110" i="3"/>
  <c r="BA110" i="3"/>
  <c r="BB111" i="3" s="1"/>
  <c r="AZ110" i="3"/>
  <c r="AZ111" i="3" s="1"/>
  <c r="AY110" i="3"/>
  <c r="AY111" i="3" s="1"/>
  <c r="AX110" i="3"/>
  <c r="AX111" i="3" s="1"/>
  <c r="AW110" i="3"/>
  <c r="AV110" i="3"/>
  <c r="AV111" i="3" s="1"/>
  <c r="AU110" i="3"/>
  <c r="AU111" i="3" s="1"/>
  <c r="C105" i="3"/>
  <c r="AJ104" i="3"/>
  <c r="AI104" i="3"/>
  <c r="AH104" i="3"/>
  <c r="AF104" i="3"/>
  <c r="AE104" i="3"/>
  <c r="AB104" i="3"/>
  <c r="AA104" i="3"/>
  <c r="X104" i="3"/>
  <c r="W104" i="3"/>
  <c r="V104" i="3"/>
  <c r="T104" i="3"/>
  <c r="S104" i="3"/>
  <c r="R104" i="3"/>
  <c r="Q104" i="3"/>
  <c r="P104" i="3"/>
  <c r="O104" i="3"/>
  <c r="N104" i="3"/>
  <c r="M104" i="3"/>
  <c r="L104" i="3"/>
  <c r="K104" i="3"/>
  <c r="J104" i="3"/>
  <c r="I104" i="3"/>
  <c r="H104" i="3"/>
  <c r="G104" i="3"/>
  <c r="F104" i="3"/>
  <c r="E104" i="3"/>
  <c r="D104" i="3"/>
  <c r="C104" i="3"/>
  <c r="AX103" i="3"/>
  <c r="AJ103" i="3"/>
  <c r="AI103" i="3"/>
  <c r="AH103" i="3"/>
  <c r="AG103" i="3"/>
  <c r="AF103" i="3"/>
  <c r="AE103" i="3"/>
  <c r="AD103" i="3"/>
  <c r="AB103" i="3"/>
  <c r="AA103" i="3"/>
  <c r="Z103" i="3"/>
  <c r="X103" i="3"/>
  <c r="W103" i="3"/>
  <c r="V103" i="3"/>
  <c r="U103" i="3"/>
  <c r="T103" i="3"/>
  <c r="S103" i="3"/>
  <c r="R103" i="3"/>
  <c r="Q103" i="3"/>
  <c r="P103" i="3"/>
  <c r="O103" i="3"/>
  <c r="N103" i="3"/>
  <c r="M103" i="3"/>
  <c r="L103" i="3"/>
  <c r="K103" i="3"/>
  <c r="J103" i="3"/>
  <c r="I103" i="3"/>
  <c r="H103" i="3"/>
  <c r="G103" i="3"/>
  <c r="F103" i="3"/>
  <c r="AY102" i="3"/>
  <c r="AX102" i="3"/>
  <c r="AW102" i="3"/>
  <c r="AV102" i="3"/>
  <c r="AV103" i="3" s="1"/>
  <c r="AU102" i="3"/>
  <c r="AG102" i="3"/>
  <c r="AG104" i="3" s="1"/>
  <c r="AC102" i="3"/>
  <c r="Y102" i="3"/>
  <c r="Z104" i="3" s="1"/>
  <c r="U102" i="3"/>
  <c r="U104" i="3" s="1"/>
  <c r="C101" i="3"/>
  <c r="AJ100" i="3"/>
  <c r="AI100" i="3"/>
  <c r="AF100" i="3"/>
  <c r="AE100" i="3"/>
  <c r="AC100" i="3"/>
  <c r="AB100" i="3"/>
  <c r="AA100" i="3"/>
  <c r="X100" i="3"/>
  <c r="W100" i="3"/>
  <c r="T100" i="3"/>
  <c r="S100" i="3"/>
  <c r="R100" i="3"/>
  <c r="Q100" i="3"/>
  <c r="P100" i="3"/>
  <c r="O100" i="3"/>
  <c r="N100" i="3"/>
  <c r="M100" i="3"/>
  <c r="L100" i="3"/>
  <c r="K100" i="3"/>
  <c r="J100" i="3"/>
  <c r="I100" i="3"/>
  <c r="H100" i="3"/>
  <c r="G100" i="3"/>
  <c r="F100" i="3"/>
  <c r="E100" i="3"/>
  <c r="D100" i="3"/>
  <c r="C100" i="3"/>
  <c r="AJ99" i="3"/>
  <c r="AI99" i="3"/>
  <c r="AH99" i="3"/>
  <c r="AF99" i="3"/>
  <c r="AE99" i="3"/>
  <c r="AD99" i="3"/>
  <c r="AB99" i="3"/>
  <c r="AA99" i="3"/>
  <c r="Z99" i="3"/>
  <c r="X99" i="3"/>
  <c r="W99" i="3"/>
  <c r="V99" i="3"/>
  <c r="T99" i="3"/>
  <c r="S99" i="3"/>
  <c r="R99" i="3"/>
  <c r="Q99" i="3"/>
  <c r="P99" i="3"/>
  <c r="O99" i="3"/>
  <c r="N99" i="3"/>
  <c r="M99" i="3"/>
  <c r="L99" i="3"/>
  <c r="K99" i="3"/>
  <c r="J99" i="3"/>
  <c r="I99" i="3"/>
  <c r="H99" i="3"/>
  <c r="G99" i="3"/>
  <c r="F99" i="3"/>
  <c r="AZ98" i="3"/>
  <c r="AX98" i="3"/>
  <c r="AW98" i="3"/>
  <c r="AV98" i="3"/>
  <c r="AU98" i="3"/>
  <c r="AG98" i="3"/>
  <c r="AC98" i="3"/>
  <c r="Y98" i="3"/>
  <c r="Z100" i="3" s="1"/>
  <c r="U98" i="3"/>
  <c r="U99" i="3" s="1"/>
  <c r="C93" i="3"/>
  <c r="AJ92" i="3"/>
  <c r="AI92" i="3"/>
  <c r="AF92" i="3"/>
  <c r="AE92" i="3"/>
  <c r="AC92" i="3"/>
  <c r="AB92" i="3"/>
  <c r="AA92" i="3"/>
  <c r="Z92" i="3"/>
  <c r="X92" i="3"/>
  <c r="W92" i="3"/>
  <c r="T92" i="3"/>
  <c r="S92" i="3"/>
  <c r="R92" i="3"/>
  <c r="Q92" i="3"/>
  <c r="P92" i="3"/>
  <c r="O92" i="3"/>
  <c r="N92" i="3"/>
  <c r="M92" i="3"/>
  <c r="L92" i="3"/>
  <c r="K92" i="3"/>
  <c r="J92" i="3"/>
  <c r="I92" i="3"/>
  <c r="H92" i="3"/>
  <c r="G92" i="3"/>
  <c r="F92" i="3"/>
  <c r="E92" i="3"/>
  <c r="D92" i="3"/>
  <c r="C92" i="3"/>
  <c r="AV91" i="3"/>
  <c r="AJ91" i="3"/>
  <c r="AI91" i="3"/>
  <c r="AH91" i="3"/>
  <c r="AF91" i="3"/>
  <c r="AE91" i="3"/>
  <c r="AD91" i="3"/>
  <c r="AB91" i="3"/>
  <c r="AA91" i="3"/>
  <c r="Z91" i="3"/>
  <c r="Y91" i="3"/>
  <c r="X91" i="3"/>
  <c r="W91" i="3"/>
  <c r="V91" i="3"/>
  <c r="T91" i="3"/>
  <c r="S91" i="3"/>
  <c r="R91" i="3"/>
  <c r="Q91" i="3"/>
  <c r="P91" i="3"/>
  <c r="O91" i="3"/>
  <c r="N91" i="3"/>
  <c r="M91" i="3"/>
  <c r="L91" i="3"/>
  <c r="K91" i="3"/>
  <c r="J91" i="3"/>
  <c r="I91" i="3"/>
  <c r="H91" i="3"/>
  <c r="G91" i="3"/>
  <c r="F91" i="3"/>
  <c r="AZ90" i="3"/>
  <c r="AX90" i="3"/>
  <c r="AW90" i="3"/>
  <c r="AW91" i="3" s="1"/>
  <c r="AV90" i="3"/>
  <c r="AU90" i="3"/>
  <c r="AG90" i="3"/>
  <c r="AH92" i="3" s="1"/>
  <c r="AC90" i="3"/>
  <c r="AC91" i="3" s="1"/>
  <c r="Y90" i="3"/>
  <c r="Y92" i="3" s="1"/>
  <c r="U90" i="3"/>
  <c r="BE89" i="3"/>
  <c r="BD89" i="3"/>
  <c r="BC89" i="3"/>
  <c r="BB89" i="3"/>
  <c r="BA89" i="3"/>
  <c r="AZ89" i="3"/>
  <c r="AY89" i="3"/>
  <c r="AX89" i="3"/>
  <c r="AW89" i="3"/>
  <c r="AV89" i="3"/>
  <c r="AU89"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I89" i="3"/>
  <c r="H89" i="3"/>
  <c r="G89" i="3"/>
  <c r="F89" i="3"/>
  <c r="E89" i="3"/>
  <c r="D89" i="3"/>
  <c r="C89" i="3"/>
  <c r="B89" i="3"/>
  <c r="AD88" i="3"/>
  <c r="Z88" i="3"/>
  <c r="V88" i="3"/>
  <c r="R88" i="3"/>
  <c r="N88" i="3"/>
  <c r="J88" i="3"/>
  <c r="F88" i="3"/>
  <c r="B88" i="3"/>
  <c r="BA84" i="3"/>
  <c r="AI84" i="3"/>
  <c r="AK84" i="3" s="1"/>
  <c r="AG84" i="3"/>
  <c r="AC84" i="3"/>
  <c r="Y84" i="3"/>
  <c r="BB81" i="3"/>
  <c r="BA81" i="3"/>
  <c r="AZ81" i="3"/>
  <c r="AY81" i="3"/>
  <c r="AX81" i="3"/>
  <c r="S79" i="3"/>
  <c r="BB78" i="3"/>
  <c r="AK78" i="3"/>
  <c r="AK79" i="3" s="1"/>
  <c r="AJ78" i="3"/>
  <c r="AJ79" i="3" s="1"/>
  <c r="AF78" i="3"/>
  <c r="AE78" i="3"/>
  <c r="V78" i="3"/>
  <c r="V79" i="3" s="1"/>
  <c r="U78" i="3"/>
  <c r="U79" i="3" s="1"/>
  <c r="T78" i="3"/>
  <c r="S78" i="3"/>
  <c r="R78" i="3"/>
  <c r="R79" i="3" s="1"/>
  <c r="Q78" i="3"/>
  <c r="Q79" i="3" s="1"/>
  <c r="P78" i="3"/>
  <c r="P79" i="3" s="1"/>
  <c r="O78" i="3"/>
  <c r="O79" i="3" s="1"/>
  <c r="N78" i="3"/>
  <c r="N79" i="3" s="1"/>
  <c r="M78" i="3"/>
  <c r="M79" i="3" s="1"/>
  <c r="L78" i="3"/>
  <c r="L79" i="3" s="1"/>
  <c r="K78" i="3"/>
  <c r="K79" i="3" s="1"/>
  <c r="J78" i="3"/>
  <c r="J79" i="3" s="1"/>
  <c r="I78" i="3"/>
  <c r="H78" i="3"/>
  <c r="G78" i="3"/>
  <c r="F78" i="3"/>
  <c r="AU77" i="3"/>
  <c r="AJ77" i="3"/>
  <c r="AI77" i="3"/>
  <c r="AF77" i="3"/>
  <c r="W77" i="3"/>
  <c r="U77" i="3"/>
  <c r="T77" i="3"/>
  <c r="S77" i="3"/>
  <c r="R77" i="3"/>
  <c r="Q77" i="3"/>
  <c r="P77" i="3"/>
  <c r="O77" i="3"/>
  <c r="N77" i="3"/>
  <c r="M77" i="3"/>
  <c r="L77" i="3"/>
  <c r="K77" i="3"/>
  <c r="J77" i="3"/>
  <c r="I77" i="3"/>
  <c r="E77" i="3"/>
  <c r="AY76" i="3"/>
  <c r="AY78" i="3" s="1"/>
  <c r="AX76" i="3"/>
  <c r="AX78" i="3" s="1"/>
  <c r="AW76" i="3"/>
  <c r="AW78" i="3" s="1"/>
  <c r="AW79" i="3" s="1"/>
  <c r="AV76" i="3"/>
  <c r="AV78" i="3" s="1"/>
  <c r="AU76" i="3"/>
  <c r="AH76" i="3"/>
  <c r="AI78" i="3" s="1"/>
  <c r="AI79" i="3" s="1"/>
  <c r="AG76" i="3"/>
  <c r="BB76" i="3" s="1"/>
  <c r="BB77" i="3" s="1"/>
  <c r="AC76" i="3"/>
  <c r="BA76" i="3" s="1"/>
  <c r="X76" i="3"/>
  <c r="Y76" i="3" s="1"/>
  <c r="W76" i="3"/>
  <c r="W78" i="3" s="1"/>
  <c r="W79" i="3" s="1"/>
  <c r="V76" i="3"/>
  <c r="V77" i="3" s="1"/>
  <c r="AU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E72" i="3"/>
  <c r="AU71" i="3"/>
  <c r="AU72" i="3" s="1"/>
  <c r="F71" i="3"/>
  <c r="G71" i="3" s="1"/>
  <c r="H71" i="3" s="1"/>
  <c r="I71" i="3" s="1"/>
  <c r="BB69" i="3"/>
  <c r="BA69" i="3"/>
  <c r="AZ69" i="3"/>
  <c r="AY69" i="3"/>
  <c r="AX69" i="3"/>
  <c r="AW69" i="3"/>
  <c r="AV69" i="3"/>
  <c r="AU69" i="3"/>
  <c r="BB68" i="3"/>
  <c r="BA68" i="3"/>
  <c r="AZ68" i="3"/>
  <c r="AY68" i="3"/>
  <c r="AX68" i="3"/>
  <c r="AW68" i="3"/>
  <c r="AV68" i="3"/>
  <c r="AU68" i="3"/>
  <c r="BB67" i="3"/>
  <c r="BA67" i="3"/>
  <c r="AU67" i="3"/>
  <c r="Z67" i="3"/>
  <c r="Y67" i="3"/>
  <c r="U67" i="3"/>
  <c r="M67" i="3"/>
  <c r="I67" i="3"/>
  <c r="E67" i="3"/>
  <c r="BB66" i="3"/>
  <c r="BA66" i="3"/>
  <c r="AZ66" i="3"/>
  <c r="AZ67" i="3" s="1"/>
  <c r="AY66" i="3"/>
  <c r="AY67" i="3" s="1"/>
  <c r="AX66" i="3"/>
  <c r="AW66" i="3"/>
  <c r="AX67" i="3" s="1"/>
  <c r="AV66" i="3"/>
  <c r="AV67" i="3" s="1"/>
  <c r="AU66" i="3"/>
  <c r="BE65" i="3"/>
  <c r="BD65" i="3"/>
  <c r="BC65" i="3"/>
  <c r="BB65" i="3"/>
  <c r="BA65" i="3"/>
  <c r="AZ65" i="3"/>
  <c r="AY65" i="3"/>
  <c r="AX65" i="3"/>
  <c r="AW65" i="3"/>
  <c r="AV65" i="3"/>
  <c r="AU65"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I65" i="3"/>
  <c r="H65" i="3"/>
  <c r="G65" i="3"/>
  <c r="F65" i="3"/>
  <c r="E65" i="3"/>
  <c r="D65" i="3"/>
  <c r="C65" i="3"/>
  <c r="B65" i="3"/>
  <c r="AD64" i="3"/>
  <c r="Z64" i="3"/>
  <c r="V64" i="3"/>
  <c r="R64" i="3"/>
  <c r="N64" i="3"/>
  <c r="J64" i="3"/>
  <c r="F64" i="3"/>
  <c r="B64" i="3"/>
  <c r="AK59" i="3"/>
  <c r="AJ59" i="3"/>
  <c r="AI59" i="3"/>
  <c r="AH59" i="3"/>
  <c r="AG59" i="3"/>
  <c r="AF59" i="3"/>
  <c r="AE59" i="3"/>
  <c r="AD59" i="3"/>
  <c r="BB59" i="3" s="1"/>
  <c r="AC59" i="3"/>
  <c r="AK53" i="3"/>
  <c r="AJ53" i="3"/>
  <c r="AI53" i="3"/>
  <c r="AH53" i="3"/>
  <c r="AG53" i="3"/>
  <c r="AF53" i="3"/>
  <c r="AE53" i="3"/>
  <c r="AD53" i="3"/>
  <c r="AC53" i="3"/>
  <c r="AB53" i="3"/>
  <c r="AK52" i="3"/>
  <c r="AJ52" i="3"/>
  <c r="AI52" i="3"/>
  <c r="AH52" i="3"/>
  <c r="AG52" i="3"/>
  <c r="AF52" i="3"/>
  <c r="AC52" i="3"/>
  <c r="Q52" i="3"/>
  <c r="BB51" i="3"/>
  <c r="BB53" i="3" s="1"/>
  <c r="BA51" i="3"/>
  <c r="BA53" i="3" s="1"/>
  <c r="AW51" i="3"/>
  <c r="AA51" i="3"/>
  <c r="AB59" i="3" s="1"/>
  <c r="Z51" i="3"/>
  <c r="Z59" i="3" s="1"/>
  <c r="Y51" i="3"/>
  <c r="Y59" i="3" s="1"/>
  <c r="X51" i="3"/>
  <c r="AB52" i="3" s="1"/>
  <c r="W51" i="3"/>
  <c r="W59" i="3" s="1"/>
  <c r="V51" i="3"/>
  <c r="V59" i="3" s="1"/>
  <c r="U51" i="3"/>
  <c r="U59" i="3" s="1"/>
  <c r="T51" i="3"/>
  <c r="T59" i="3" s="1"/>
  <c r="S51" i="3"/>
  <c r="S59" i="3" s="1"/>
  <c r="R51" i="3"/>
  <c r="Q51" i="3"/>
  <c r="AX51" i="3" s="1"/>
  <c r="P51" i="3"/>
  <c r="P59" i="3" s="1"/>
  <c r="O51" i="3"/>
  <c r="O59" i="3" s="1"/>
  <c r="N51" i="3"/>
  <c r="N59" i="3" s="1"/>
  <c r="M51" i="3"/>
  <c r="M59" i="3" s="1"/>
  <c r="L51" i="3"/>
  <c r="L59" i="3" s="1"/>
  <c r="K51" i="3"/>
  <c r="K59" i="3" s="1"/>
  <c r="J51" i="3"/>
  <c r="J59" i="3" s="1"/>
  <c r="I51" i="3"/>
  <c r="AV51" i="3" s="1"/>
  <c r="AV53" i="3" s="1"/>
  <c r="H51" i="3"/>
  <c r="H59" i="3" s="1"/>
  <c r="G51" i="3"/>
  <c r="BA50" i="3"/>
  <c r="AK50" i="3"/>
  <c r="AJ50" i="3"/>
  <c r="AI50" i="3"/>
  <c r="AH50" i="3"/>
  <c r="AG50" i="3"/>
  <c r="AF50" i="3"/>
  <c r="AE50" i="3"/>
  <c r="AD50" i="3"/>
  <c r="AC50" i="3"/>
  <c r="AB50" i="3"/>
  <c r="AA50" i="3"/>
  <c r="Z50" i="3"/>
  <c r="Y50" i="3"/>
  <c r="X50" i="3"/>
  <c r="W50" i="3"/>
  <c r="V50" i="3"/>
  <c r="U50" i="3"/>
  <c r="T50" i="3"/>
  <c r="S50" i="3"/>
  <c r="R50" i="3"/>
  <c r="Q50" i="3"/>
  <c r="P50" i="3"/>
  <c r="O50" i="3"/>
  <c r="N50" i="3"/>
  <c r="M50" i="3"/>
  <c r="L50" i="3"/>
  <c r="K50" i="3"/>
  <c r="BB49" i="3"/>
  <c r="BB50" i="3" s="1"/>
  <c r="BA49" i="3"/>
  <c r="AZ49" i="3"/>
  <c r="AZ50" i="3" s="1"/>
  <c r="AY49" i="3"/>
  <c r="AX49" i="3"/>
  <c r="AX50" i="3" s="1"/>
  <c r="AW49" i="3"/>
  <c r="AW50" i="3" s="1"/>
  <c r="AV49" i="3"/>
  <c r="BC46" i="3"/>
  <c r="BB46" i="3"/>
  <c r="BA46" i="3"/>
  <c r="AZ46" i="3"/>
  <c r="AY46" i="3"/>
  <c r="BE42" i="3"/>
  <c r="BD42" i="3"/>
  <c r="BC42" i="3"/>
  <c r="BB42" i="3"/>
  <c r="BA42" i="3"/>
  <c r="AZ42" i="3"/>
  <c r="AY42" i="3"/>
  <c r="AX42" i="3"/>
  <c r="AW42" i="3"/>
  <c r="AV42" i="3"/>
  <c r="AU42" i="3"/>
  <c r="AS42" i="3"/>
  <c r="AR42" i="3"/>
  <c r="AQ42" i="3"/>
  <c r="AP42" i="3"/>
  <c r="AO42" i="3"/>
  <c r="AN42" i="3"/>
  <c r="AM42" i="3"/>
  <c r="AL42" i="3"/>
  <c r="AK42" i="3"/>
  <c r="AJ42" i="3"/>
  <c r="AI42" i="3"/>
  <c r="AH42" i="3"/>
  <c r="AG42" i="3"/>
  <c r="AF42" i="3"/>
  <c r="AE42" i="3"/>
  <c r="AD42" i="3"/>
  <c r="AC42" i="3"/>
  <c r="AB42" i="3"/>
  <c r="AA42" i="3"/>
  <c r="Z42" i="3"/>
  <c r="Y42" i="3"/>
  <c r="X42" i="3"/>
  <c r="W42" i="3"/>
  <c r="V42" i="3"/>
  <c r="U42" i="3"/>
  <c r="T42" i="3"/>
  <c r="S42" i="3"/>
  <c r="R42" i="3"/>
  <c r="Q42" i="3"/>
  <c r="P42" i="3"/>
  <c r="O42" i="3"/>
  <c r="N42" i="3"/>
  <c r="M42" i="3"/>
  <c r="L42" i="3"/>
  <c r="K42" i="3"/>
  <c r="J42" i="3"/>
  <c r="I42" i="3"/>
  <c r="H42" i="3"/>
  <c r="G42" i="3"/>
  <c r="F42" i="3"/>
  <c r="E42" i="3"/>
  <c r="D42" i="3"/>
  <c r="C42" i="3"/>
  <c r="B42" i="3"/>
  <c r="AH40" i="3"/>
  <c r="V40" i="3"/>
  <c r="J40" i="3"/>
  <c r="AX39" i="3"/>
  <c r="AK39" i="3"/>
  <c r="AJ39" i="3"/>
  <c r="AI39" i="3"/>
  <c r="AI40" i="3" s="1"/>
  <c r="AH39" i="3"/>
  <c r="AG39" i="3"/>
  <c r="AG40" i="3" s="1"/>
  <c r="AF39" i="3"/>
  <c r="AF40" i="3" s="1"/>
  <c r="AE39" i="3"/>
  <c r="AE40" i="3" s="1"/>
  <c r="AD39" i="3"/>
  <c r="AD40" i="3" s="1"/>
  <c r="AC39" i="3"/>
  <c r="AC40" i="3" s="1"/>
  <c r="AB39" i="3"/>
  <c r="AB40" i="3" s="1"/>
  <c r="AA39" i="3"/>
  <c r="AA40" i="3" s="1"/>
  <c r="Z39" i="3"/>
  <c r="Z40" i="3" s="1"/>
  <c r="BA40" i="3" s="1"/>
  <c r="Y39" i="3"/>
  <c r="X39" i="3"/>
  <c r="W39" i="3"/>
  <c r="W40" i="3" s="1"/>
  <c r="V39" i="3"/>
  <c r="U39" i="3"/>
  <c r="U40" i="3" s="1"/>
  <c r="T39" i="3"/>
  <c r="T40" i="3" s="1"/>
  <c r="S39" i="3"/>
  <c r="S40" i="3" s="1"/>
  <c r="R39" i="3"/>
  <c r="R40" i="3" s="1"/>
  <c r="Q39" i="3"/>
  <c r="Q40" i="3" s="1"/>
  <c r="P39" i="3"/>
  <c r="P40" i="3" s="1"/>
  <c r="O39" i="3"/>
  <c r="O40" i="3" s="1"/>
  <c r="N39" i="3"/>
  <c r="N40" i="3" s="1"/>
  <c r="AX40" i="3" s="1"/>
  <c r="M39" i="3"/>
  <c r="L39" i="3"/>
  <c r="K39" i="3"/>
  <c r="K40" i="3" s="1"/>
  <c r="J39" i="3"/>
  <c r="I39" i="3"/>
  <c r="I40" i="3" s="1"/>
  <c r="H39" i="3"/>
  <c r="H40" i="3" s="1"/>
  <c r="G39" i="3"/>
  <c r="G40" i="3" s="1"/>
  <c r="F39" i="3"/>
  <c r="AV39" i="3" s="1"/>
  <c r="E39" i="3"/>
  <c r="AL38" i="3"/>
  <c r="AJ38" i="3"/>
  <c r="AI38" i="3"/>
  <c r="AH38" i="3"/>
  <c r="AG38" i="3"/>
  <c r="AF38" i="3"/>
  <c r="AE38" i="3"/>
  <c r="AD38" i="3"/>
  <c r="BB38" i="3" s="1"/>
  <c r="AC38" i="3"/>
  <c r="AB38" i="3"/>
  <c r="AA38" i="3"/>
  <c r="BA38" i="3" s="1"/>
  <c r="Z38" i="3"/>
  <c r="X38" i="3"/>
  <c r="W38" i="3"/>
  <c r="V38" i="3"/>
  <c r="U38" i="3"/>
  <c r="T38" i="3"/>
  <c r="S38" i="3"/>
  <c r="R38" i="3"/>
  <c r="AY38" i="3" s="1"/>
  <c r="Q38" i="3"/>
  <c r="P38" i="3"/>
  <c r="O38" i="3"/>
  <c r="N38" i="3"/>
  <c r="L38" i="3"/>
  <c r="K38" i="3"/>
  <c r="J38" i="3"/>
  <c r="I38" i="3"/>
  <c r="H38" i="3"/>
  <c r="G38" i="3"/>
  <c r="F38" i="3"/>
  <c r="AV38" i="3" s="1"/>
  <c r="AU34" i="3"/>
  <c r="S33" i="3"/>
  <c r="S85" i="4" s="1"/>
  <c r="F33" i="3"/>
  <c r="E33" i="3"/>
  <c r="AU32" i="3"/>
  <c r="AK32" i="3"/>
  <c r="AJ32" i="3"/>
  <c r="AI32" i="3"/>
  <c r="AI86" i="4" s="1"/>
  <c r="AH32" i="3"/>
  <c r="AG32" i="3"/>
  <c r="AF32" i="3"/>
  <c r="AE32" i="3"/>
  <c r="AD32" i="3"/>
  <c r="AC32" i="3"/>
  <c r="AB32" i="3"/>
  <c r="AA32" i="3"/>
  <c r="AB31" i="3" s="1"/>
  <c r="AB33" i="3" s="1"/>
  <c r="AB85" i="4" s="1"/>
  <c r="Z32" i="3"/>
  <c r="Y32" i="3"/>
  <c r="Y33" i="3" s="1"/>
  <c r="Y85" i="4" s="1"/>
  <c r="X32" i="3"/>
  <c r="W32" i="3"/>
  <c r="W86" i="4" s="1"/>
  <c r="V32" i="3"/>
  <c r="U32" i="3"/>
  <c r="T32" i="3"/>
  <c r="S32" i="3"/>
  <c r="R32" i="3"/>
  <c r="Q32" i="3"/>
  <c r="P32" i="3"/>
  <c r="O32" i="3"/>
  <c r="P31" i="3" s="1"/>
  <c r="N32" i="3"/>
  <c r="AX32" i="3" s="1"/>
  <c r="M32" i="3"/>
  <c r="L32" i="3"/>
  <c r="K32" i="3"/>
  <c r="K86" i="4" s="1"/>
  <c r="J32" i="3"/>
  <c r="I32" i="3"/>
  <c r="H32" i="3"/>
  <c r="G32" i="3"/>
  <c r="F32" i="3"/>
  <c r="F86" i="4" s="1"/>
  <c r="E32" i="3"/>
  <c r="E86" i="4" s="1"/>
  <c r="AU31" i="3"/>
  <c r="AL31" i="3"/>
  <c r="AK31" i="3"/>
  <c r="AJ31" i="3"/>
  <c r="AI31" i="3"/>
  <c r="AE31" i="3"/>
  <c r="AD31" i="3"/>
  <c r="AC31" i="3"/>
  <c r="AA31" i="3"/>
  <c r="Z31" i="3"/>
  <c r="BA31" i="3" s="1"/>
  <c r="Y31" i="3"/>
  <c r="X31" i="3"/>
  <c r="W31" i="3"/>
  <c r="S31" i="3"/>
  <c r="R31" i="3"/>
  <c r="Q31" i="3"/>
  <c r="O31" i="3"/>
  <c r="N31" i="3"/>
  <c r="M31" i="3"/>
  <c r="L31" i="3"/>
  <c r="K31" i="3"/>
  <c r="G31" i="3"/>
  <c r="F31" i="3"/>
  <c r="AL30" i="3"/>
  <c r="Z30" i="3"/>
  <c r="N30" i="3"/>
  <c r="C30" i="3"/>
  <c r="C37" i="3" s="1"/>
  <c r="B30" i="3"/>
  <c r="BE29" i="3"/>
  <c r="BD29" i="3"/>
  <c r="BC29" i="3"/>
  <c r="BB29" i="3"/>
  <c r="BA29" i="3"/>
  <c r="AZ29" i="3"/>
  <c r="AY29" i="3"/>
  <c r="AX29" i="3"/>
  <c r="AW29" i="3"/>
  <c r="AV29" i="3"/>
  <c r="AU29" i="3"/>
  <c r="AS29" i="3"/>
  <c r="AR29" i="3"/>
  <c r="AQ29" i="3"/>
  <c r="AP29" i="3"/>
  <c r="AO29" i="3"/>
  <c r="AN29" i="3"/>
  <c r="AM29" i="3"/>
  <c r="AL29" i="3"/>
  <c r="AK29" i="3"/>
  <c r="AJ29" i="3"/>
  <c r="AI29" i="3"/>
  <c r="AH29" i="3"/>
  <c r="AG29" i="3"/>
  <c r="AF29" i="3"/>
  <c r="AE29" i="3"/>
  <c r="AD29" i="3"/>
  <c r="AC29" i="3"/>
  <c r="AB29" i="3"/>
  <c r="AA29" i="3"/>
  <c r="Z29" i="3"/>
  <c r="Y29" i="3"/>
  <c r="X29" i="3"/>
  <c r="W29" i="3"/>
  <c r="V29" i="3"/>
  <c r="U29" i="3"/>
  <c r="T29" i="3"/>
  <c r="S29" i="3"/>
  <c r="R29" i="3"/>
  <c r="Q29" i="3"/>
  <c r="P29" i="3"/>
  <c r="O29" i="3"/>
  <c r="N29" i="3"/>
  <c r="M29" i="3"/>
  <c r="L29" i="3"/>
  <c r="K29" i="3"/>
  <c r="J29" i="3"/>
  <c r="I29" i="3"/>
  <c r="H29" i="3"/>
  <c r="G29" i="3"/>
  <c r="F29" i="3"/>
  <c r="E29" i="3"/>
  <c r="D29" i="3"/>
  <c r="C29" i="3"/>
  <c r="B29" i="3"/>
  <c r="AD28" i="3"/>
  <c r="Z28" i="3"/>
  <c r="V28" i="3"/>
  <c r="R28" i="3"/>
  <c r="N28" i="3"/>
  <c r="J28" i="3"/>
  <c r="F28" i="3"/>
  <c r="B28" i="3"/>
  <c r="AA26" i="3"/>
  <c r="O26" i="3"/>
  <c r="C26" i="3"/>
  <c r="AU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F25" i="3"/>
  <c r="BE24" i="3"/>
  <c r="BD24" i="3"/>
  <c r="BC24" i="3"/>
  <c r="BB24" i="3"/>
  <c r="BA24" i="3"/>
  <c r="AZ24" i="3"/>
  <c r="AY24" i="3"/>
  <c r="AX24" i="3"/>
  <c r="AW24" i="3"/>
  <c r="AV24" i="3"/>
  <c r="AU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B24" i="3"/>
  <c r="BC23" i="3"/>
  <c r="BC25" i="3" s="1"/>
  <c r="BB23" i="3"/>
  <c r="BB25" i="3" s="1"/>
  <c r="BA23" i="3"/>
  <c r="BA25" i="3" s="1"/>
  <c r="AZ23" i="3"/>
  <c r="AZ25" i="3" s="1"/>
  <c r="AY23" i="3"/>
  <c r="AX23" i="3"/>
  <c r="AW23" i="3"/>
  <c r="AV23" i="3"/>
  <c r="AS23" i="3"/>
  <c r="AP23" i="3"/>
  <c r="AO23" i="3"/>
  <c r="AN23" i="3"/>
  <c r="AR23" i="3" s="1"/>
  <c r="AM23" i="3"/>
  <c r="AQ23" i="3" s="1"/>
  <c r="AL23" i="3"/>
  <c r="AL26" i="3" s="1"/>
  <c r="C23" i="3"/>
  <c r="AU23" i="3" s="1"/>
  <c r="AF21" i="3"/>
  <c r="T21" i="3"/>
  <c r="H21" i="3"/>
  <c r="AZ20" i="3"/>
  <c r="AM20" i="3"/>
  <c r="AK20" i="3"/>
  <c r="AJ20" i="3"/>
  <c r="AI20" i="3"/>
  <c r="AH20" i="3"/>
  <c r="AG20" i="3"/>
  <c r="AF20" i="3"/>
  <c r="AE20" i="3"/>
  <c r="AD20" i="3"/>
  <c r="AC20" i="3"/>
  <c r="AB20" i="3"/>
  <c r="AA20" i="3"/>
  <c r="Z20" i="3"/>
  <c r="Y20" i="3"/>
  <c r="X20" i="3"/>
  <c r="W20" i="3"/>
  <c r="V20" i="3"/>
  <c r="U20" i="3"/>
  <c r="T20" i="3"/>
  <c r="S20" i="3"/>
  <c r="R20" i="3"/>
  <c r="Q20" i="3"/>
  <c r="P20" i="3"/>
  <c r="O20" i="3"/>
  <c r="N20" i="3"/>
  <c r="M20" i="3"/>
  <c r="L20" i="3"/>
  <c r="K20" i="3"/>
  <c r="J20" i="3"/>
  <c r="I20" i="3"/>
  <c r="H20" i="3"/>
  <c r="F20" i="3"/>
  <c r="BE19" i="3"/>
  <c r="BD19" i="3"/>
  <c r="BC19" i="3"/>
  <c r="BB19" i="3"/>
  <c r="BA19" i="3"/>
  <c r="AZ19" i="3"/>
  <c r="AY19" i="3"/>
  <c r="AX19" i="3"/>
  <c r="AW19" i="3"/>
  <c r="AV19" i="3"/>
  <c r="AU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B19" i="3"/>
  <c r="BC18" i="3"/>
  <c r="BB18" i="3"/>
  <c r="BA18" i="3"/>
  <c r="AZ18" i="3"/>
  <c r="AY18" i="3"/>
  <c r="AY20" i="3" s="1"/>
  <c r="AX18" i="3"/>
  <c r="AX20" i="3" s="1"/>
  <c r="AW18" i="3"/>
  <c r="AV18" i="3"/>
  <c r="AL18" i="3"/>
  <c r="C18" i="3"/>
  <c r="AU18" i="3" s="1"/>
  <c r="AF16" i="3"/>
  <c r="T16" i="3"/>
  <c r="H16" i="3"/>
  <c r="AZ15" i="3"/>
  <c r="AP15" i="3"/>
  <c r="AQ15" i="3" s="1"/>
  <c r="AR15" i="3" s="1"/>
  <c r="AS15" i="3" s="1"/>
  <c r="AS13" i="3" s="1"/>
  <c r="AK15" i="3"/>
  <c r="AJ15" i="3"/>
  <c r="AI15" i="3"/>
  <c r="AH15" i="3"/>
  <c r="AG15" i="3"/>
  <c r="AF15" i="3"/>
  <c r="AE15" i="3"/>
  <c r="AD15" i="3"/>
  <c r="AC15" i="3"/>
  <c r="AB15" i="3"/>
  <c r="AA15" i="3"/>
  <c r="Z15" i="3"/>
  <c r="Y15" i="3"/>
  <c r="X15" i="3"/>
  <c r="W15" i="3"/>
  <c r="V15" i="3"/>
  <c r="U15" i="3"/>
  <c r="T15" i="3"/>
  <c r="S15" i="3"/>
  <c r="R15" i="3"/>
  <c r="Q15" i="3"/>
  <c r="P15" i="3"/>
  <c r="O15" i="3"/>
  <c r="N15" i="3"/>
  <c r="M15" i="3"/>
  <c r="L15" i="3"/>
  <c r="K15" i="3"/>
  <c r="J15" i="3"/>
  <c r="I15" i="3"/>
  <c r="H15" i="3"/>
  <c r="F15" i="3"/>
  <c r="BE14" i="3"/>
  <c r="BD14" i="3"/>
  <c r="BC14" i="3"/>
  <c r="BB14" i="3"/>
  <c r="BA14" i="3"/>
  <c r="AZ14" i="3"/>
  <c r="AY14" i="3"/>
  <c r="AX14" i="3"/>
  <c r="AW14" i="3"/>
  <c r="AV14" i="3"/>
  <c r="AU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B14" i="3"/>
  <c r="BC13" i="3"/>
  <c r="BB13" i="3"/>
  <c r="BB16" i="3" s="1"/>
  <c r="BA13" i="3"/>
  <c r="AZ13" i="3"/>
  <c r="AY13" i="3"/>
  <c r="AY15" i="3" s="1"/>
  <c r="AX13" i="3"/>
  <c r="AX15" i="3" s="1"/>
  <c r="AW13" i="3"/>
  <c r="AW15" i="3" s="1"/>
  <c r="AV13" i="3"/>
  <c r="AO13" i="3"/>
  <c r="AN13" i="3"/>
  <c r="AR13" i="3" s="1"/>
  <c r="AM13" i="3"/>
  <c r="AQ13" i="3" s="1"/>
  <c r="AL13" i="3"/>
  <c r="BD13" i="3" s="1"/>
  <c r="C13" i="3"/>
  <c r="G15" i="3" s="1"/>
  <c r="BE10" i="3"/>
  <c r="BD10" i="3"/>
  <c r="BC10" i="3"/>
  <c r="BB10" i="3"/>
  <c r="BA10" i="3"/>
  <c r="AZ10" i="3"/>
  <c r="AY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AF7" i="3"/>
  <c r="T7" i="3"/>
  <c r="H7" i="3"/>
  <c r="C7" i="3"/>
  <c r="BB5" i="3"/>
  <c r="AL5" i="3"/>
  <c r="AL7" i="3" s="1"/>
  <c r="AL35" i="3" s="1"/>
  <c r="AK5" i="3"/>
  <c r="AK30" i="3" s="1"/>
  <c r="AJ5" i="3"/>
  <c r="AJ21" i="3" s="1"/>
  <c r="AI5" i="3"/>
  <c r="AI21" i="3" s="1"/>
  <c r="AH5" i="3"/>
  <c r="AH21" i="3" s="1"/>
  <c r="AG5" i="3"/>
  <c r="AG58" i="3" s="1"/>
  <c r="AG60" i="3" s="1"/>
  <c r="AF5" i="3"/>
  <c r="AE5" i="3"/>
  <c r="AD5" i="3"/>
  <c r="AC5" i="3"/>
  <c r="AB5" i="3"/>
  <c r="AB21" i="3" s="1"/>
  <c r="AA5" i="3"/>
  <c r="AA21" i="3" s="1"/>
  <c r="Z5" i="3"/>
  <c r="Z21" i="3" s="1"/>
  <c r="Y5" i="3"/>
  <c r="Y21" i="3" s="1"/>
  <c r="X5" i="3"/>
  <c r="X21" i="3" s="1"/>
  <c r="W5" i="3"/>
  <c r="W21" i="3" s="1"/>
  <c r="V5" i="3"/>
  <c r="V21" i="3" s="1"/>
  <c r="U5" i="3"/>
  <c r="U58" i="3" s="1"/>
  <c r="U60" i="3" s="1"/>
  <c r="T5" i="3"/>
  <c r="S5" i="3"/>
  <c r="R5" i="3"/>
  <c r="Q5" i="3"/>
  <c r="P5" i="3"/>
  <c r="P21" i="3" s="1"/>
  <c r="O5" i="3"/>
  <c r="O21" i="3" s="1"/>
  <c r="N5" i="3"/>
  <c r="M5" i="3"/>
  <c r="M58" i="3" s="1"/>
  <c r="L5" i="3"/>
  <c r="L21" i="3" s="1"/>
  <c r="K5" i="3"/>
  <c r="K21" i="3" s="1"/>
  <c r="J5" i="3"/>
  <c r="J21" i="3" s="1"/>
  <c r="I5" i="3"/>
  <c r="I21" i="3" s="1"/>
  <c r="H5" i="3"/>
  <c r="G5" i="3"/>
  <c r="F5" i="3"/>
  <c r="E5" i="3"/>
  <c r="D5" i="3"/>
  <c r="D21" i="3" s="1"/>
  <c r="B5" i="3"/>
  <c r="B21" i="3" s="1"/>
  <c r="BE4" i="3"/>
  <c r="BD4" i="3"/>
  <c r="BC4" i="3"/>
  <c r="BB4" i="3"/>
  <c r="BA4" i="3"/>
  <c r="AZ4" i="3"/>
  <c r="AY4" i="3"/>
  <c r="AX4" i="3"/>
  <c r="AW4" i="3"/>
  <c r="AV4" i="3"/>
  <c r="AU4"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C4" i="3"/>
  <c r="B4" i="3"/>
  <c r="A4" i="3"/>
  <c r="AD3" i="3"/>
  <c r="Z3" i="3"/>
  <c r="V3" i="3"/>
  <c r="R3" i="3"/>
  <c r="N3" i="3"/>
  <c r="J3" i="3"/>
  <c r="F3" i="3"/>
  <c r="B3" i="3"/>
  <c r="BB2" i="3"/>
  <c r="BA2" i="3"/>
  <c r="AZ2" i="3"/>
  <c r="AY2" i="3"/>
  <c r="AX2" i="3"/>
  <c r="AS2" i="3"/>
  <c r="AR2" i="3"/>
  <c r="AQ2" i="3"/>
  <c r="AP2" i="3"/>
  <c r="AO2" i="3"/>
  <c r="AN2" i="3"/>
  <c r="AM2" i="3"/>
  <c r="AL2" i="3"/>
  <c r="AK2" i="3"/>
  <c r="AJ2" i="3"/>
  <c r="AI2" i="3"/>
  <c r="AH2" i="3"/>
  <c r="AG2" i="3"/>
  <c r="AF2" i="3"/>
  <c r="AE2" i="3"/>
  <c r="AD2" i="3"/>
  <c r="AC2" i="3"/>
  <c r="AB2" i="3"/>
  <c r="AA2" i="3"/>
  <c r="Z2" i="3"/>
  <c r="Y2" i="3"/>
  <c r="X2" i="3"/>
  <c r="W2" i="3"/>
  <c r="V2" i="3"/>
  <c r="U2" i="3"/>
  <c r="T2" i="3"/>
  <c r="S2" i="3"/>
  <c r="R2" i="3"/>
  <c r="A1" i="3"/>
  <c r="X176" i="2"/>
  <c r="AK173" i="2"/>
  <c r="AJ173" i="2"/>
  <c r="AH173" i="2"/>
  <c r="AG173" i="2"/>
  <c r="AF173" i="2"/>
  <c r="AE173" i="2"/>
  <c r="AD173" i="2"/>
  <c r="AB173" i="2"/>
  <c r="Y173" i="2"/>
  <c r="S173" i="2"/>
  <c r="G173" i="2"/>
  <c r="BC172" i="2"/>
  <c r="BB172" i="2"/>
  <c r="AY172" i="2"/>
  <c r="AS172" i="2"/>
  <c r="AR172" i="2"/>
  <c r="AQ172" i="2"/>
  <c r="AP172" i="2"/>
  <c r="BE172" i="2" s="1"/>
  <c r="AO172" i="2"/>
  <c r="AN172" i="2"/>
  <c r="AM172" i="2"/>
  <c r="AL172" i="2"/>
  <c r="BD172" i="2" s="1"/>
  <c r="AI172" i="2"/>
  <c r="AA172" i="2"/>
  <c r="AA173" i="2" s="1"/>
  <c r="Z172" i="2"/>
  <c r="Z173" i="2" s="1"/>
  <c r="X172" i="2"/>
  <c r="X173" i="2" s="1"/>
  <c r="W172" i="2"/>
  <c r="W173" i="2" s="1"/>
  <c r="V172" i="2"/>
  <c r="V173" i="2" s="1"/>
  <c r="U172" i="2"/>
  <c r="U173" i="2" s="1"/>
  <c r="T172" i="2"/>
  <c r="T173" i="2" s="1"/>
  <c r="S172" i="2"/>
  <c r="R172" i="2"/>
  <c r="R173" i="2" s="1"/>
  <c r="Q172" i="2"/>
  <c r="Q173" i="2" s="1"/>
  <c r="P172" i="2"/>
  <c r="P173" i="2" s="1"/>
  <c r="O172" i="2"/>
  <c r="O173" i="2" s="1"/>
  <c r="N172" i="2"/>
  <c r="AX172" i="2" s="1"/>
  <c r="M172" i="2"/>
  <c r="M173" i="2" s="1"/>
  <c r="L172" i="2"/>
  <c r="L173" i="2" s="1"/>
  <c r="K172" i="2"/>
  <c r="K173" i="2" s="1"/>
  <c r="J172" i="2"/>
  <c r="AW172" i="2" s="1"/>
  <c r="I172" i="2"/>
  <c r="I173" i="2" s="1"/>
  <c r="H172" i="2"/>
  <c r="H173" i="2" s="1"/>
  <c r="G172" i="2"/>
  <c r="F172" i="2"/>
  <c r="F173" i="2" s="1"/>
  <c r="E172" i="2"/>
  <c r="E173" i="2" s="1"/>
  <c r="D172" i="2"/>
  <c r="D173" i="2" s="1"/>
  <c r="C172" i="2"/>
  <c r="C173" i="2" s="1"/>
  <c r="B172" i="2"/>
  <c r="AU172" i="2" s="1"/>
  <c r="BE171" i="2"/>
  <c r="BD171" i="2"/>
  <c r="BC171" i="2"/>
  <c r="BB171" i="2"/>
  <c r="BA171" i="2"/>
  <c r="AZ171" i="2"/>
  <c r="AY171" i="2"/>
  <c r="AX171" i="2"/>
  <c r="AW171" i="2"/>
  <c r="AV171" i="2"/>
  <c r="AU171" i="2"/>
  <c r="BB170" i="2"/>
  <c r="BA170" i="2"/>
  <c r="AZ170" i="2"/>
  <c r="AY170" i="2"/>
  <c r="AX170" i="2"/>
  <c r="AW170" i="2"/>
  <c r="AV170" i="2"/>
  <c r="AU170" i="2"/>
  <c r="AL170" i="2"/>
  <c r="AM170" i="2" s="1"/>
  <c r="AI170" i="2"/>
  <c r="BC169" i="2"/>
  <c r="BB169" i="2"/>
  <c r="BA169" i="2"/>
  <c r="AZ169" i="2"/>
  <c r="AY169" i="2"/>
  <c r="AX169" i="2"/>
  <c r="AW169" i="2"/>
  <c r="AV169" i="2"/>
  <c r="AU169" i="2"/>
  <c r="AM169" i="2"/>
  <c r="AN169" i="2" s="1"/>
  <c r="AL169" i="2"/>
  <c r="AL173" i="2" s="1"/>
  <c r="AI169" i="2"/>
  <c r="BE168" i="2"/>
  <c r="BD168" i="2"/>
  <c r="BC168" i="2"/>
  <c r="AZ168" i="2"/>
  <c r="AY168" i="2"/>
  <c r="AX168" i="2"/>
  <c r="AW168" i="2"/>
  <c r="AV168" i="2"/>
  <c r="AU168" i="2"/>
  <c r="AE168" i="2"/>
  <c r="BB168" i="2" s="1"/>
  <c r="AC168" i="2"/>
  <c r="AC173" i="2" s="1"/>
  <c r="AA165" i="2"/>
  <c r="AA176" i="2" s="1"/>
  <c r="O165" i="2"/>
  <c r="C165" i="2"/>
  <c r="AU164" i="2"/>
  <c r="AK164" i="2"/>
  <c r="AK165" i="2" s="1"/>
  <c r="AK176" i="2" s="1"/>
  <c r="AJ164" i="2"/>
  <c r="AJ165" i="2" s="1"/>
  <c r="AJ176" i="2" s="1"/>
  <c r="AI164" i="2"/>
  <c r="AI165" i="2" s="1"/>
  <c r="AH164" i="2"/>
  <c r="AG164" i="2"/>
  <c r="AG165" i="2" s="1"/>
  <c r="AG176" i="2" s="1"/>
  <c r="AF164" i="2"/>
  <c r="AF165" i="2" s="1"/>
  <c r="AF176" i="2" s="1"/>
  <c r="AE164" i="2"/>
  <c r="AE165" i="2" s="1"/>
  <c r="AE176" i="2" s="1"/>
  <c r="AD164" i="2"/>
  <c r="BB164" i="2" s="1"/>
  <c r="AC164" i="2"/>
  <c r="AC165" i="2" s="1"/>
  <c r="AC176" i="2" s="1"/>
  <c r="AB164" i="2"/>
  <c r="AB165" i="2" s="1"/>
  <c r="AB176" i="2" s="1"/>
  <c r="AA164" i="2"/>
  <c r="Y164" i="2"/>
  <c r="Y165" i="2" s="1"/>
  <c r="Y176" i="2" s="1"/>
  <c r="X164" i="2"/>
  <c r="X165" i="2" s="1"/>
  <c r="W164" i="2"/>
  <c r="W165" i="2" s="1"/>
  <c r="W176" i="2" s="1"/>
  <c r="V164" i="2"/>
  <c r="U164" i="2"/>
  <c r="U165" i="2" s="1"/>
  <c r="U176" i="2" s="1"/>
  <c r="T164" i="2"/>
  <c r="T165" i="2" s="1"/>
  <c r="T176" i="2" s="1"/>
  <c r="S164" i="2"/>
  <c r="S165" i="2" s="1"/>
  <c r="S176" i="2" s="1"/>
  <c r="R164" i="2"/>
  <c r="AY164" i="2" s="1"/>
  <c r="Q164" i="2"/>
  <c r="Q165" i="2" s="1"/>
  <c r="P164" i="2"/>
  <c r="P165" i="2" s="1"/>
  <c r="O164" i="2"/>
  <c r="N164" i="2"/>
  <c r="N165" i="2" s="1"/>
  <c r="M164" i="2"/>
  <c r="M165" i="2" s="1"/>
  <c r="M176" i="2" s="1"/>
  <c r="L164" i="2"/>
  <c r="L165" i="2" s="1"/>
  <c r="K164" i="2"/>
  <c r="K165" i="2" s="1"/>
  <c r="J164" i="2"/>
  <c r="I164" i="2"/>
  <c r="I165" i="2" s="1"/>
  <c r="H164" i="2"/>
  <c r="H165" i="2" s="1"/>
  <c r="G164" i="2"/>
  <c r="G165" i="2" s="1"/>
  <c r="F164" i="2"/>
  <c r="F165" i="2" s="1"/>
  <c r="AV165" i="2" s="1"/>
  <c r="E164" i="2"/>
  <c r="E165" i="2" s="1"/>
  <c r="D164" i="2"/>
  <c r="D165" i="2" s="1"/>
  <c r="C164" i="2"/>
  <c r="B164" i="2"/>
  <c r="B165" i="2" s="1"/>
  <c r="BC163" i="2"/>
  <c r="BB163" i="2"/>
  <c r="BA163" i="2"/>
  <c r="AY163" i="2"/>
  <c r="AX163" i="2"/>
  <c r="AW163" i="2"/>
  <c r="AV163" i="2"/>
  <c r="AU163" i="2"/>
  <c r="AL163" i="2"/>
  <c r="AM163" i="2" s="1"/>
  <c r="AN163" i="2" s="1"/>
  <c r="AO163" i="2" s="1"/>
  <c r="AP163" i="2" s="1"/>
  <c r="V163" i="2"/>
  <c r="AZ163" i="2" s="1"/>
  <c r="BC162" i="2"/>
  <c r="BB162" i="2"/>
  <c r="AZ162" i="2"/>
  <c r="AY162" i="2"/>
  <c r="AX162" i="2"/>
  <c r="AW162" i="2"/>
  <c r="AV162" i="2"/>
  <c r="AU162" i="2"/>
  <c r="AM162" i="2"/>
  <c r="AN162" i="2" s="1"/>
  <c r="AO162" i="2" s="1"/>
  <c r="AP162" i="2" s="1"/>
  <c r="AL162" i="2"/>
  <c r="Z162" i="2"/>
  <c r="BA162" i="2" s="1"/>
  <c r="BC161" i="2"/>
  <c r="BB161" i="2"/>
  <c r="AZ161" i="2"/>
  <c r="AY161" i="2"/>
  <c r="AX161" i="2"/>
  <c r="AW161" i="2"/>
  <c r="AV161" i="2"/>
  <c r="AU161" i="2"/>
  <c r="AM161" i="2"/>
  <c r="AL161" i="2"/>
  <c r="AL164" i="2" s="1"/>
  <c r="Z161" i="2"/>
  <c r="BA161" i="2" s="1"/>
  <c r="BB160" i="2"/>
  <c r="AZ160" i="2"/>
  <c r="AY160" i="2"/>
  <c r="AX160" i="2"/>
  <c r="AW160" i="2"/>
  <c r="AV160" i="2"/>
  <c r="AU160" i="2"/>
  <c r="AL160" i="2"/>
  <c r="AM160" i="2" s="1"/>
  <c r="AN160" i="2" s="1"/>
  <c r="AO160" i="2" s="1"/>
  <c r="AP160" i="2" s="1"/>
  <c r="AI160" i="2"/>
  <c r="BC160" i="2" s="1"/>
  <c r="Z160" i="2"/>
  <c r="BA160" i="2" s="1"/>
  <c r="Z156" i="2"/>
  <c r="T156" i="2"/>
  <c r="AK155" i="2"/>
  <c r="AK156" i="2" s="1"/>
  <c r="AJ155" i="2"/>
  <c r="AJ156" i="2" s="1"/>
  <c r="AH155" i="2"/>
  <c r="AG155" i="2"/>
  <c r="AG156" i="2" s="1"/>
  <c r="AF155" i="2"/>
  <c r="AF156" i="2" s="1"/>
  <c r="AE155" i="2"/>
  <c r="AE156" i="2" s="1"/>
  <c r="AD155" i="2"/>
  <c r="AC155" i="2"/>
  <c r="AC156" i="2" s="1"/>
  <c r="AB155" i="2"/>
  <c r="AB156" i="2" s="1"/>
  <c r="AA155" i="2"/>
  <c r="AA156" i="2" s="1"/>
  <c r="Z155" i="2"/>
  <c r="Y155" i="2"/>
  <c r="Y156" i="2" s="1"/>
  <c r="X155" i="2"/>
  <c r="X156" i="2" s="1"/>
  <c r="W155" i="2"/>
  <c r="W156" i="2" s="1"/>
  <c r="V155" i="2"/>
  <c r="V156" i="2" s="1"/>
  <c r="U155" i="2"/>
  <c r="U156" i="2" s="1"/>
  <c r="E155" i="2"/>
  <c r="E156" i="2" s="1"/>
  <c r="D155" i="2"/>
  <c r="D156" i="2" s="1"/>
  <c r="C155" i="2"/>
  <c r="C156" i="2" s="1"/>
  <c r="B155" i="2"/>
  <c r="AU155" i="2" s="1"/>
  <c r="BC154" i="2"/>
  <c r="BB154" i="2"/>
  <c r="BA154" i="2"/>
  <c r="AZ154" i="2"/>
  <c r="AU154" i="2"/>
  <c r="AM154" i="2"/>
  <c r="AN154" i="2" s="1"/>
  <c r="AO154" i="2" s="1"/>
  <c r="AP154" i="2" s="1"/>
  <c r="AL154" i="2"/>
  <c r="BD154" i="2" s="1"/>
  <c r="AI154" i="2"/>
  <c r="G154" i="2"/>
  <c r="H154" i="2" s="1"/>
  <c r="I154" i="2" s="1"/>
  <c r="J154" i="2" s="1"/>
  <c r="F154" i="2"/>
  <c r="BB153" i="2"/>
  <c r="BA153" i="2"/>
  <c r="AZ153" i="2"/>
  <c r="AU153" i="2"/>
  <c r="AM153" i="2"/>
  <c r="AL153" i="2"/>
  <c r="AI153" i="2"/>
  <c r="BC153" i="2" s="1"/>
  <c r="H153" i="2"/>
  <c r="I153" i="2" s="1"/>
  <c r="J153" i="2" s="1"/>
  <c r="G153" i="2"/>
  <c r="F153" i="2"/>
  <c r="AV153" i="2" s="1"/>
  <c r="BB152" i="2"/>
  <c r="BA152" i="2"/>
  <c r="AZ152" i="2"/>
  <c r="AU152" i="2"/>
  <c r="AL152" i="2"/>
  <c r="AL155" i="2" s="1"/>
  <c r="AI152" i="2"/>
  <c r="F152" i="2"/>
  <c r="BC151" i="2"/>
  <c r="BB151" i="2"/>
  <c r="BA151" i="2"/>
  <c r="AZ151" i="2"/>
  <c r="AY151" i="2"/>
  <c r="AX151" i="2"/>
  <c r="AU151" i="2"/>
  <c r="AL151" i="2"/>
  <c r="AK147" i="2"/>
  <c r="AJ147" i="2"/>
  <c r="AJ175" i="2" s="1"/>
  <c r="AE147" i="2"/>
  <c r="AE175" i="2" s="1"/>
  <c r="AD147" i="2"/>
  <c r="AD175" i="2" s="1"/>
  <c r="AB147" i="2"/>
  <c r="AB175" i="2" s="1"/>
  <c r="AA147" i="2"/>
  <c r="AA175" i="2" s="1"/>
  <c r="Y147" i="2"/>
  <c r="X147" i="2"/>
  <c r="X175" i="2" s="1"/>
  <c r="S147" i="2"/>
  <c r="S175" i="2" s="1"/>
  <c r="R147" i="2"/>
  <c r="R175" i="2" s="1"/>
  <c r="P147" i="2"/>
  <c r="P175" i="2" s="1"/>
  <c r="O147" i="2"/>
  <c r="O175" i="2" s="1"/>
  <c r="M147" i="2"/>
  <c r="L147" i="2"/>
  <c r="L175" i="2" s="1"/>
  <c r="G147" i="2"/>
  <c r="G175" i="2" s="1"/>
  <c r="F147" i="2"/>
  <c r="F175" i="2" s="1"/>
  <c r="D147" i="2"/>
  <c r="D175" i="2" s="1"/>
  <c r="C147" i="2"/>
  <c r="C175" i="2" s="1"/>
  <c r="AK146" i="2"/>
  <c r="AJ146" i="2"/>
  <c r="AI146" i="2"/>
  <c r="AI147" i="2" s="1"/>
  <c r="AI148" i="2" s="1"/>
  <c r="AH146" i="2"/>
  <c r="BC146" i="2" s="1"/>
  <c r="AG146" i="2"/>
  <c r="AG147" i="2" s="1"/>
  <c r="AF146" i="2"/>
  <c r="AF147" i="2" s="1"/>
  <c r="AE146" i="2"/>
  <c r="AD146" i="2"/>
  <c r="BB146" i="2" s="1"/>
  <c r="AC146" i="2"/>
  <c r="AC147" i="2" s="1"/>
  <c r="AB146" i="2"/>
  <c r="AA146" i="2"/>
  <c r="Z146" i="2"/>
  <c r="BA146" i="2" s="1"/>
  <c r="Y146" i="2"/>
  <c r="X146" i="2"/>
  <c r="W146" i="2"/>
  <c r="W147" i="2" s="1"/>
  <c r="V146" i="2"/>
  <c r="V147" i="2" s="1"/>
  <c r="U146" i="2"/>
  <c r="U147" i="2" s="1"/>
  <c r="T146" i="2"/>
  <c r="S146" i="2"/>
  <c r="R146" i="2"/>
  <c r="Q146" i="2"/>
  <c r="Q147" i="2" s="1"/>
  <c r="P146" i="2"/>
  <c r="O146" i="2"/>
  <c r="N146" i="2"/>
  <c r="AX146" i="2" s="1"/>
  <c r="M146" i="2"/>
  <c r="L146" i="2"/>
  <c r="K146" i="2"/>
  <c r="K147" i="2" s="1"/>
  <c r="J146" i="2"/>
  <c r="J147" i="2" s="1"/>
  <c r="I146" i="2"/>
  <c r="I147" i="2" s="1"/>
  <c r="H146" i="2"/>
  <c r="G146" i="2"/>
  <c r="F146" i="2"/>
  <c r="E146" i="2"/>
  <c r="E147" i="2" s="1"/>
  <c r="D146" i="2"/>
  <c r="C146" i="2"/>
  <c r="B146" i="2"/>
  <c r="AU146" i="2" s="1"/>
  <c r="BC145" i="2"/>
  <c r="BB145" i="2"/>
  <c r="BA145" i="2"/>
  <c r="AZ145" i="2"/>
  <c r="AY145" i="2"/>
  <c r="AX145" i="2"/>
  <c r="AW145" i="2"/>
  <c r="AV145" i="2"/>
  <c r="AU145" i="2"/>
  <c r="BC144" i="2"/>
  <c r="BB144" i="2"/>
  <c r="BA144" i="2"/>
  <c r="AZ144" i="2"/>
  <c r="AY144" i="2"/>
  <c r="AX144" i="2"/>
  <c r="AW144" i="2"/>
  <c r="AV144" i="2"/>
  <c r="AU144" i="2"/>
  <c r="BC143" i="2"/>
  <c r="BB143" i="2"/>
  <c r="BA143" i="2"/>
  <c r="AZ143" i="2"/>
  <c r="AY143" i="2"/>
  <c r="AX143" i="2"/>
  <c r="AW143" i="2"/>
  <c r="AV143" i="2"/>
  <c r="AU143" i="2"/>
  <c r="BC142" i="2"/>
  <c r="BB142" i="2"/>
  <c r="BA142" i="2"/>
  <c r="AZ142" i="2"/>
  <c r="AY142" i="2"/>
  <c r="AX142" i="2"/>
  <c r="AW142" i="2"/>
  <c r="AV142" i="2"/>
  <c r="AU142" i="2"/>
  <c r="BE140" i="2"/>
  <c r="BD140" i="2"/>
  <c r="BC140" i="2"/>
  <c r="BB140" i="2"/>
  <c r="BA140" i="2"/>
  <c r="AZ140" i="2"/>
  <c r="AY140" i="2"/>
  <c r="AX140" i="2"/>
  <c r="AW140" i="2"/>
  <c r="AV140" i="2"/>
  <c r="AU140" i="2"/>
  <c r="AS140" i="2"/>
  <c r="AR140" i="2"/>
  <c r="AQ140" i="2"/>
  <c r="AP140" i="2"/>
  <c r="AO140" i="2"/>
  <c r="AN140" i="2"/>
  <c r="AM140" i="2"/>
  <c r="AL140" i="2"/>
  <c r="AK140" i="2"/>
  <c r="AJ140" i="2"/>
  <c r="AI140" i="2"/>
  <c r="AH140" i="2"/>
  <c r="AG140" i="2"/>
  <c r="AF140" i="2"/>
  <c r="AE140" i="2"/>
  <c r="AD140" i="2"/>
  <c r="AC140" i="2"/>
  <c r="AB140" i="2"/>
  <c r="AA140" i="2"/>
  <c r="Z140" i="2"/>
  <c r="Y140" i="2"/>
  <c r="X140" i="2"/>
  <c r="W140" i="2"/>
  <c r="V140" i="2"/>
  <c r="U140" i="2"/>
  <c r="T140" i="2"/>
  <c r="S140" i="2"/>
  <c r="R140" i="2"/>
  <c r="Q140" i="2"/>
  <c r="P140" i="2"/>
  <c r="O140" i="2"/>
  <c r="N140" i="2"/>
  <c r="M140" i="2"/>
  <c r="L140" i="2"/>
  <c r="K140" i="2"/>
  <c r="J140" i="2"/>
  <c r="I140" i="2"/>
  <c r="H140" i="2"/>
  <c r="G140" i="2"/>
  <c r="F140" i="2"/>
  <c r="E140" i="2"/>
  <c r="D140" i="2"/>
  <c r="C140" i="2"/>
  <c r="B140" i="2"/>
  <c r="AK136" i="2"/>
  <c r="W131" i="2"/>
  <c r="W133" i="2" s="1"/>
  <c r="BE130" i="2"/>
  <c r="BD130" i="2"/>
  <c r="BC130" i="2"/>
  <c r="BB130" i="2"/>
  <c r="BA130" i="2"/>
  <c r="AZ130" i="2"/>
  <c r="AY130" i="2"/>
  <c r="AX130" i="2"/>
  <c r="AW130" i="2"/>
  <c r="AV130" i="2"/>
  <c r="AU130" i="2"/>
  <c r="BC128" i="2"/>
  <c r="BB128" i="2"/>
  <c r="BA128" i="2"/>
  <c r="AZ128" i="2"/>
  <c r="AY128" i="2"/>
  <c r="AX128" i="2"/>
  <c r="AW128" i="2"/>
  <c r="AV128" i="2"/>
  <c r="AU128" i="2"/>
  <c r="S126" i="2"/>
  <c r="S129" i="2" s="1"/>
  <c r="S131" i="2" s="1"/>
  <c r="S133" i="2" s="1"/>
  <c r="BC125" i="2"/>
  <c r="BB125" i="2"/>
  <c r="BA125" i="2"/>
  <c r="AZ125" i="2"/>
  <c r="AY125" i="2"/>
  <c r="AX125" i="2"/>
  <c r="AW125" i="2"/>
  <c r="AV125" i="2"/>
  <c r="AU125" i="2"/>
  <c r="BC124" i="2"/>
  <c r="BB124" i="2"/>
  <c r="BA124" i="2"/>
  <c r="AZ124" i="2"/>
  <c r="AY124" i="2"/>
  <c r="BC123" i="2"/>
  <c r="BB123" i="2"/>
  <c r="AY123" i="2"/>
  <c r="AX123" i="2"/>
  <c r="AW123" i="2"/>
  <c r="AV123" i="2"/>
  <c r="AU123" i="2"/>
  <c r="Z123" i="2"/>
  <c r="BA123" i="2" s="1"/>
  <c r="Y123" i="2"/>
  <c r="AZ123" i="2" s="1"/>
  <c r="I121" i="2"/>
  <c r="I126" i="2" s="1"/>
  <c r="I129" i="2" s="1"/>
  <c r="I131" i="2" s="1"/>
  <c r="I133" i="2" s="1"/>
  <c r="AK120" i="2"/>
  <c r="AI120" i="2"/>
  <c r="AH120" i="2"/>
  <c r="AG120" i="2"/>
  <c r="AF120" i="2"/>
  <c r="AE120" i="2"/>
  <c r="AD120" i="2"/>
  <c r="BB120" i="2" s="1"/>
  <c r="AC120" i="2"/>
  <c r="AB120" i="2"/>
  <c r="BA120" i="2" s="1"/>
  <c r="AA120" i="2"/>
  <c r="Z120" i="2"/>
  <c r="Y120" i="2"/>
  <c r="X120" i="2"/>
  <c r="W120" i="2"/>
  <c r="V120" i="2"/>
  <c r="AZ120" i="2" s="1"/>
  <c r="U120" i="2"/>
  <c r="T120" i="2"/>
  <c r="S120" i="2"/>
  <c r="R120" i="2"/>
  <c r="AY120" i="2" s="1"/>
  <c r="Q120" i="2"/>
  <c r="P120" i="2"/>
  <c r="O120" i="2"/>
  <c r="N120" i="2"/>
  <c r="M120" i="2"/>
  <c r="L120" i="2"/>
  <c r="K120" i="2"/>
  <c r="J120" i="2"/>
  <c r="AW120" i="2" s="1"/>
  <c r="I120" i="2"/>
  <c r="H120" i="2"/>
  <c r="G120" i="2"/>
  <c r="F120" i="2"/>
  <c r="AV120" i="2" s="1"/>
  <c r="E120" i="2"/>
  <c r="D120" i="2"/>
  <c r="C120" i="2"/>
  <c r="B120" i="2"/>
  <c r="BB119" i="2"/>
  <c r="BA119" i="2"/>
  <c r="AZ119" i="2"/>
  <c r="AY119" i="2"/>
  <c r="AX119" i="2"/>
  <c r="AW119" i="2"/>
  <c r="AV119" i="2"/>
  <c r="AU119" i="2"/>
  <c r="AS119" i="2"/>
  <c r="AR119" i="2"/>
  <c r="AQ119" i="2"/>
  <c r="AP119" i="2"/>
  <c r="BE119" i="2" s="1"/>
  <c r="AO119" i="2"/>
  <c r="AN119" i="2"/>
  <c r="AM119" i="2"/>
  <c r="AL119" i="2"/>
  <c r="BD119" i="2" s="1"/>
  <c r="AJ119" i="2"/>
  <c r="AJ120" i="2" s="1"/>
  <c r="BC118" i="2"/>
  <c r="BB118" i="2"/>
  <c r="BA118" i="2"/>
  <c r="AZ118" i="2"/>
  <c r="AY118" i="2"/>
  <c r="AX118" i="2"/>
  <c r="AW118" i="2"/>
  <c r="AV118" i="2"/>
  <c r="AU118" i="2"/>
  <c r="BC117" i="2"/>
  <c r="BB117" i="2"/>
  <c r="BA117" i="2"/>
  <c r="AZ117" i="2"/>
  <c r="AY117" i="2"/>
  <c r="AX117" i="2"/>
  <c r="AW117" i="2"/>
  <c r="AV117" i="2"/>
  <c r="AU117" i="2"/>
  <c r="BC116" i="2"/>
  <c r="BB116" i="2"/>
  <c r="BA116" i="2"/>
  <c r="AZ116" i="2"/>
  <c r="AY116" i="2"/>
  <c r="AX116" i="2"/>
  <c r="AW116" i="2"/>
  <c r="AV116" i="2"/>
  <c r="AU116" i="2"/>
  <c r="AB113" i="2"/>
  <c r="AB121" i="2" s="1"/>
  <c r="AB126" i="2" s="1"/>
  <c r="AB129" i="2" s="1"/>
  <c r="AB131" i="2" s="1"/>
  <c r="AB133" i="2" s="1"/>
  <c r="P113" i="2"/>
  <c r="P121" i="2" s="1"/>
  <c r="P126" i="2" s="1"/>
  <c r="P129" i="2" s="1"/>
  <c r="P131" i="2" s="1"/>
  <c r="P133" i="2" s="1"/>
  <c r="D113" i="2"/>
  <c r="D121" i="2" s="1"/>
  <c r="D126" i="2" s="1"/>
  <c r="D129" i="2" s="1"/>
  <c r="D131" i="2" s="1"/>
  <c r="D133" i="2" s="1"/>
  <c r="BC112" i="2"/>
  <c r="BB112" i="2"/>
  <c r="BA112" i="2"/>
  <c r="AZ112" i="2"/>
  <c r="AY112" i="2"/>
  <c r="AX112" i="2"/>
  <c r="AW112" i="2"/>
  <c r="AV112" i="2"/>
  <c r="AU112" i="2"/>
  <c r="BC110" i="2"/>
  <c r="AL110" i="2"/>
  <c r="AK110" i="2"/>
  <c r="AK113" i="2" s="1"/>
  <c r="AK121" i="2" s="1"/>
  <c r="AK126" i="2" s="1"/>
  <c r="AK129" i="2" s="1"/>
  <c r="AK131" i="2" s="1"/>
  <c r="AK133" i="2" s="1"/>
  <c r="AJ110" i="2"/>
  <c r="AJ113" i="2" s="1"/>
  <c r="AI110" i="2"/>
  <c r="AI113" i="2" s="1"/>
  <c r="AI121" i="2" s="1"/>
  <c r="AI126" i="2" s="1"/>
  <c r="AI129" i="2" s="1"/>
  <c r="AI131" i="2" s="1"/>
  <c r="AI133" i="2" s="1"/>
  <c r="AH110" i="2"/>
  <c r="AH113" i="2" s="1"/>
  <c r="AG110" i="2"/>
  <c r="AG113" i="2" s="1"/>
  <c r="AG121" i="2" s="1"/>
  <c r="AG126" i="2" s="1"/>
  <c r="AG129" i="2" s="1"/>
  <c r="AG131" i="2" s="1"/>
  <c r="AG133" i="2" s="1"/>
  <c r="AF110" i="2"/>
  <c r="AF113" i="2" s="1"/>
  <c r="AF121" i="2" s="1"/>
  <c r="AF126" i="2" s="1"/>
  <c r="AF129" i="2" s="1"/>
  <c r="AF131" i="2" s="1"/>
  <c r="AF133" i="2" s="1"/>
  <c r="AE110" i="2"/>
  <c r="AE113" i="2" s="1"/>
  <c r="AE121" i="2" s="1"/>
  <c r="AE126" i="2" s="1"/>
  <c r="AE129" i="2" s="1"/>
  <c r="AE131" i="2" s="1"/>
  <c r="AE133" i="2" s="1"/>
  <c r="AD110" i="2"/>
  <c r="AD148" i="2" s="1"/>
  <c r="AC110" i="2"/>
  <c r="AC113" i="2" s="1"/>
  <c r="AC121" i="2" s="1"/>
  <c r="AC126" i="2" s="1"/>
  <c r="AC129" i="2" s="1"/>
  <c r="AC131" i="2" s="1"/>
  <c r="AC133" i="2" s="1"/>
  <c r="AB110" i="2"/>
  <c r="AA110" i="2"/>
  <c r="AA113" i="2" s="1"/>
  <c r="AA121" i="2" s="1"/>
  <c r="AA126" i="2" s="1"/>
  <c r="AA129" i="2" s="1"/>
  <c r="AA131" i="2" s="1"/>
  <c r="AA133" i="2" s="1"/>
  <c r="Z110" i="2"/>
  <c r="Z113" i="2" s="1"/>
  <c r="Z121" i="2" s="1"/>
  <c r="Y110" i="2"/>
  <c r="Y113" i="2" s="1"/>
  <c r="Y121" i="2" s="1"/>
  <c r="X110" i="2"/>
  <c r="X113" i="2" s="1"/>
  <c r="X121" i="2" s="1"/>
  <c r="X126" i="2" s="1"/>
  <c r="X129" i="2" s="1"/>
  <c r="X131" i="2" s="1"/>
  <c r="X133" i="2" s="1"/>
  <c r="W110" i="2"/>
  <c r="W113" i="2" s="1"/>
  <c r="W121" i="2" s="1"/>
  <c r="W126" i="2" s="1"/>
  <c r="W129" i="2" s="1"/>
  <c r="V110" i="2"/>
  <c r="AZ110" i="2" s="1"/>
  <c r="U110" i="2"/>
  <c r="U113" i="2" s="1"/>
  <c r="U121" i="2" s="1"/>
  <c r="U126" i="2" s="1"/>
  <c r="U129" i="2" s="1"/>
  <c r="U131" i="2" s="1"/>
  <c r="U133" i="2" s="1"/>
  <c r="T110" i="2"/>
  <c r="T113" i="2" s="1"/>
  <c r="T121" i="2" s="1"/>
  <c r="T126" i="2" s="1"/>
  <c r="T129" i="2" s="1"/>
  <c r="T131" i="2" s="1"/>
  <c r="T133" i="2" s="1"/>
  <c r="S110" i="2"/>
  <c r="S113" i="2" s="1"/>
  <c r="S121" i="2" s="1"/>
  <c r="R110" i="2"/>
  <c r="R148" i="2" s="1"/>
  <c r="Q110" i="2"/>
  <c r="Q113" i="2" s="1"/>
  <c r="Q121" i="2" s="1"/>
  <c r="Q126" i="2" s="1"/>
  <c r="Q129" i="2" s="1"/>
  <c r="Q131" i="2" s="1"/>
  <c r="Q133" i="2" s="1"/>
  <c r="P110" i="2"/>
  <c r="O110" i="2"/>
  <c r="O113" i="2" s="1"/>
  <c r="O121" i="2" s="1"/>
  <c r="O126" i="2" s="1"/>
  <c r="O129" i="2" s="1"/>
  <c r="O131" i="2" s="1"/>
  <c r="O133" i="2" s="1"/>
  <c r="N110" i="2"/>
  <c r="N113" i="2" s="1"/>
  <c r="M110" i="2"/>
  <c r="M113" i="2" s="1"/>
  <c r="M121" i="2" s="1"/>
  <c r="M126" i="2" s="1"/>
  <c r="M129" i="2" s="1"/>
  <c r="M131" i="2" s="1"/>
  <c r="M133" i="2" s="1"/>
  <c r="L110" i="2"/>
  <c r="L113" i="2" s="1"/>
  <c r="L121" i="2" s="1"/>
  <c r="L126" i="2" s="1"/>
  <c r="L129" i="2" s="1"/>
  <c r="L131" i="2" s="1"/>
  <c r="L133" i="2" s="1"/>
  <c r="K110" i="2"/>
  <c r="K113" i="2" s="1"/>
  <c r="K121" i="2" s="1"/>
  <c r="K126" i="2" s="1"/>
  <c r="K129" i="2" s="1"/>
  <c r="K131" i="2" s="1"/>
  <c r="K133" i="2" s="1"/>
  <c r="J110" i="2"/>
  <c r="J113" i="2" s="1"/>
  <c r="I110" i="2"/>
  <c r="I113" i="2" s="1"/>
  <c r="H110" i="2"/>
  <c r="H113" i="2" s="1"/>
  <c r="H121" i="2" s="1"/>
  <c r="H126" i="2" s="1"/>
  <c r="H129" i="2" s="1"/>
  <c r="H131" i="2" s="1"/>
  <c r="H133" i="2" s="1"/>
  <c r="G110" i="2"/>
  <c r="G113" i="2" s="1"/>
  <c r="G121" i="2" s="1"/>
  <c r="G126" i="2" s="1"/>
  <c r="G129" i="2" s="1"/>
  <c r="G131" i="2" s="1"/>
  <c r="G133" i="2" s="1"/>
  <c r="F110" i="2"/>
  <c r="F148" i="2" s="1"/>
  <c r="E110" i="2"/>
  <c r="E113" i="2" s="1"/>
  <c r="E121" i="2" s="1"/>
  <c r="E126" i="2" s="1"/>
  <c r="E129" i="2" s="1"/>
  <c r="E131" i="2" s="1"/>
  <c r="E133" i="2" s="1"/>
  <c r="D110" i="2"/>
  <c r="C110" i="2"/>
  <c r="C113" i="2" s="1"/>
  <c r="C121" i="2" s="1"/>
  <c r="C126" i="2" s="1"/>
  <c r="C129" i="2" s="1"/>
  <c r="C131" i="2" s="1"/>
  <c r="C133" i="2" s="1"/>
  <c r="B110" i="2"/>
  <c r="B113" i="2" s="1"/>
  <c r="AX109" i="2"/>
  <c r="AS109" i="2"/>
  <c r="AQ109" i="2"/>
  <c r="AP109" i="2"/>
  <c r="AO109" i="2"/>
  <c r="AN109" i="2"/>
  <c r="AM109" i="2"/>
  <c r="AL109" i="2"/>
  <c r="BD109" i="2" s="1"/>
  <c r="AK109" i="2"/>
  <c r="AJ109" i="2"/>
  <c r="AI109" i="2"/>
  <c r="AH109" i="2"/>
  <c r="BC109" i="2" s="1"/>
  <c r="AG109" i="2"/>
  <c r="AF109" i="2"/>
  <c r="AE109" i="2"/>
  <c r="AD109" i="2"/>
  <c r="BB109" i="2" s="1"/>
  <c r="AC109" i="2"/>
  <c r="AB109" i="2"/>
  <c r="AA109" i="2"/>
  <c r="Z109" i="2"/>
  <c r="BA109" i="2" s="1"/>
  <c r="Y109" i="2"/>
  <c r="X109" i="2"/>
  <c r="W109" i="2"/>
  <c r="V109" i="2"/>
  <c r="AZ109" i="2" s="1"/>
  <c r="U109" i="2"/>
  <c r="T109" i="2"/>
  <c r="S109" i="2"/>
  <c r="R109" i="2"/>
  <c r="AY109" i="2" s="1"/>
  <c r="Q109" i="2"/>
  <c r="P109" i="2"/>
  <c r="O109" i="2"/>
  <c r="N109" i="2"/>
  <c r="M109" i="2"/>
  <c r="L109" i="2"/>
  <c r="K109" i="2"/>
  <c r="J109" i="2"/>
  <c r="AW109" i="2" s="1"/>
  <c r="I109" i="2"/>
  <c r="H109" i="2"/>
  <c r="G109" i="2"/>
  <c r="F109" i="2"/>
  <c r="AV109" i="2" s="1"/>
  <c r="E109" i="2"/>
  <c r="D109" i="2"/>
  <c r="C109" i="2"/>
  <c r="B109" i="2"/>
  <c r="AU109" i="2" s="1"/>
  <c r="AL108" i="2"/>
  <c r="AK108" i="2"/>
  <c r="AJ108" i="2"/>
  <c r="AI108" i="2"/>
  <c r="AH108" i="2"/>
  <c r="BC108" i="2" s="1"/>
  <c r="AG108" i="2"/>
  <c r="AF108" i="2"/>
  <c r="AE108" i="2"/>
  <c r="AD108" i="2"/>
  <c r="AC108" i="2"/>
  <c r="AB108" i="2"/>
  <c r="AA108" i="2"/>
  <c r="Z108" i="2"/>
  <c r="BA108" i="2" s="1"/>
  <c r="Y108" i="2"/>
  <c r="X108" i="2"/>
  <c r="W108" i="2"/>
  <c r="V108" i="2"/>
  <c r="AZ108" i="2" s="1"/>
  <c r="U108" i="2"/>
  <c r="T108" i="2"/>
  <c r="S108" i="2"/>
  <c r="R108" i="2"/>
  <c r="Q108" i="2"/>
  <c r="P108" i="2"/>
  <c r="O108" i="2"/>
  <c r="N108" i="2"/>
  <c r="AX108" i="2" s="1"/>
  <c r="M108" i="2"/>
  <c r="L108" i="2"/>
  <c r="K108" i="2"/>
  <c r="J108" i="2"/>
  <c r="AW108" i="2" s="1"/>
  <c r="I108" i="2"/>
  <c r="H108" i="2"/>
  <c r="G108" i="2"/>
  <c r="F108" i="2"/>
  <c r="E108" i="2"/>
  <c r="D108" i="2"/>
  <c r="C108" i="2"/>
  <c r="B108" i="2"/>
  <c r="AU108" i="2" s="1"/>
  <c r="AZ107" i="2"/>
  <c r="AR107" i="2"/>
  <c r="AQ107" i="2"/>
  <c r="AO107" i="2"/>
  <c r="AN107" i="2"/>
  <c r="AM107" i="2"/>
  <c r="AL107" i="2"/>
  <c r="BD107" i="2" s="1"/>
  <c r="AK107" i="2"/>
  <c r="AJ107" i="2"/>
  <c r="AI107" i="2"/>
  <c r="AH107" i="2"/>
  <c r="BC107" i="2" s="1"/>
  <c r="AG107" i="2"/>
  <c r="AF107" i="2"/>
  <c r="AE107" i="2"/>
  <c r="AD107" i="2"/>
  <c r="BB107" i="2" s="1"/>
  <c r="AC107" i="2"/>
  <c r="AB107" i="2"/>
  <c r="AA107" i="2"/>
  <c r="Z107" i="2"/>
  <c r="BA107" i="2" s="1"/>
  <c r="Y107" i="2"/>
  <c r="X107" i="2"/>
  <c r="W107" i="2"/>
  <c r="V107" i="2"/>
  <c r="U107" i="2"/>
  <c r="T107" i="2"/>
  <c r="S107" i="2"/>
  <c r="R107" i="2"/>
  <c r="AY107" i="2" s="1"/>
  <c r="Q107" i="2"/>
  <c r="P107" i="2"/>
  <c r="O107" i="2"/>
  <c r="N107" i="2"/>
  <c r="AX107" i="2" s="1"/>
  <c r="M107" i="2"/>
  <c r="L107" i="2"/>
  <c r="K107" i="2"/>
  <c r="J107" i="2"/>
  <c r="AW107" i="2" s="1"/>
  <c r="I107" i="2"/>
  <c r="H107" i="2"/>
  <c r="G107" i="2"/>
  <c r="F107" i="2"/>
  <c r="AV107" i="2" s="1"/>
  <c r="E107" i="2"/>
  <c r="D107" i="2"/>
  <c r="C107" i="2"/>
  <c r="B107" i="2"/>
  <c r="AU107" i="2" s="1"/>
  <c r="AD105" i="2"/>
  <c r="Z105" i="2"/>
  <c r="V105" i="2"/>
  <c r="R105" i="2"/>
  <c r="N105" i="2"/>
  <c r="J105" i="2"/>
  <c r="F105" i="2"/>
  <c r="B105" i="2"/>
  <c r="AI103" i="2"/>
  <c r="B103" i="2"/>
  <c r="AI102" i="2"/>
  <c r="B102" i="2"/>
  <c r="BE101" i="2"/>
  <c r="BD101" i="2"/>
  <c r="BC101" i="2"/>
  <c r="BB101" i="2"/>
  <c r="BA101" i="2"/>
  <c r="AZ101" i="2"/>
  <c r="AY101" i="2"/>
  <c r="AX101" i="2"/>
  <c r="AW101" i="2"/>
  <c r="AV101" i="2"/>
  <c r="AU101" i="2"/>
  <c r="AS101" i="2"/>
  <c r="AR101" i="2"/>
  <c r="AQ101" i="2"/>
  <c r="AP101" i="2"/>
  <c r="AO101" i="2"/>
  <c r="AN101" i="2"/>
  <c r="AM101" i="2"/>
  <c r="AL101" i="2"/>
  <c r="AK101" i="2"/>
  <c r="AJ101" i="2"/>
  <c r="AI101" i="2"/>
  <c r="AH101" i="2"/>
  <c r="AG101" i="2"/>
  <c r="AF101" i="2"/>
  <c r="AE101" i="2"/>
  <c r="AD101" i="2"/>
  <c r="AC101" i="2"/>
  <c r="AB101" i="2"/>
  <c r="AA101" i="2"/>
  <c r="Z101" i="2"/>
  <c r="Y101" i="2"/>
  <c r="X101" i="2"/>
  <c r="W101" i="2"/>
  <c r="V101" i="2"/>
  <c r="U101" i="2"/>
  <c r="T101" i="2"/>
  <c r="S101" i="2"/>
  <c r="R101" i="2"/>
  <c r="Q101" i="2"/>
  <c r="P101" i="2"/>
  <c r="O101" i="2"/>
  <c r="N101" i="2"/>
  <c r="M101" i="2"/>
  <c r="L101" i="2"/>
  <c r="K101" i="2"/>
  <c r="J101" i="2"/>
  <c r="I101" i="2"/>
  <c r="H101" i="2"/>
  <c r="G101" i="2"/>
  <c r="F101" i="2"/>
  <c r="E101" i="2"/>
  <c r="D101" i="2"/>
  <c r="C101" i="2"/>
  <c r="B101" i="2"/>
  <c r="BD95" i="2"/>
  <c r="AX95" i="2"/>
  <c r="AS95" i="2"/>
  <c r="AR95" i="2"/>
  <c r="AQ95" i="2"/>
  <c r="BE95" i="2" s="1"/>
  <c r="AP95" i="2"/>
  <c r="AO95" i="2"/>
  <c r="AN95" i="2"/>
  <c r="AM95" i="2"/>
  <c r="AL95" i="2"/>
  <c r="AK95" i="2"/>
  <c r="AK91" i="2" s="1"/>
  <c r="AJ95" i="2"/>
  <c r="AI95" i="2"/>
  <c r="AH95" i="2"/>
  <c r="BC95" i="2" s="1"/>
  <c r="AG95" i="2"/>
  <c r="AF95" i="2"/>
  <c r="AE95" i="2"/>
  <c r="BB95" i="2" s="1"/>
  <c r="AD95" i="2"/>
  <c r="AC95" i="2"/>
  <c r="AB95" i="2"/>
  <c r="AA95" i="2"/>
  <c r="Z95" i="2"/>
  <c r="BA95" i="2" s="1"/>
  <c r="Y95" i="2"/>
  <c r="X95" i="2"/>
  <c r="W95" i="2"/>
  <c r="V95" i="2"/>
  <c r="AZ95" i="2" s="1"/>
  <c r="U95" i="2"/>
  <c r="T95" i="2"/>
  <c r="S95" i="2"/>
  <c r="AY95" i="2" s="1"/>
  <c r="R95" i="2"/>
  <c r="Q95" i="2"/>
  <c r="P95" i="2"/>
  <c r="O95" i="2"/>
  <c r="N95" i="2"/>
  <c r="M95" i="2"/>
  <c r="L95" i="2"/>
  <c r="K95" i="2"/>
  <c r="J95" i="2"/>
  <c r="AW95" i="2" s="1"/>
  <c r="I95" i="2"/>
  <c r="H95" i="2"/>
  <c r="G95" i="2"/>
  <c r="F95" i="2"/>
  <c r="E95" i="2"/>
  <c r="D95" i="2"/>
  <c r="C95" i="2"/>
  <c r="B95" i="2"/>
  <c r="AU95" i="2" s="1"/>
  <c r="BC94" i="2"/>
  <c r="AY94" i="2"/>
  <c r="AS94" i="2"/>
  <c r="AR94" i="2"/>
  <c r="BE94" i="2" s="1"/>
  <c r="AQ94" i="2"/>
  <c r="AP94" i="2"/>
  <c r="AO94" i="2"/>
  <c r="AN94" i="2"/>
  <c r="AM94" i="2"/>
  <c r="AL94" i="2"/>
  <c r="AK94" i="2"/>
  <c r="AJ94" i="2"/>
  <c r="AI94" i="2"/>
  <c r="AH94" i="2"/>
  <c r="AG94" i="2"/>
  <c r="AF94" i="2"/>
  <c r="AF91" i="2" s="1"/>
  <c r="AE94" i="2"/>
  <c r="AD94" i="2"/>
  <c r="BB94" i="2" s="1"/>
  <c r="AC94" i="2"/>
  <c r="AB94" i="2"/>
  <c r="AA94" i="2"/>
  <c r="Z94" i="2"/>
  <c r="Y94" i="2"/>
  <c r="X94" i="2"/>
  <c r="W94" i="2"/>
  <c r="AZ94" i="2" s="1"/>
  <c r="V94" i="2"/>
  <c r="U94" i="2"/>
  <c r="T94" i="2"/>
  <c r="T91" i="2" s="1"/>
  <c r="S94" i="2"/>
  <c r="R94" i="2"/>
  <c r="Q94" i="2"/>
  <c r="P94" i="2"/>
  <c r="O94" i="2"/>
  <c r="N94" i="2"/>
  <c r="M94" i="2"/>
  <c r="L94" i="2"/>
  <c r="K94" i="2"/>
  <c r="J94" i="2"/>
  <c r="AW94" i="2" s="1"/>
  <c r="I94" i="2"/>
  <c r="H94" i="2"/>
  <c r="H91" i="2" s="1"/>
  <c r="G94" i="2"/>
  <c r="F94" i="2"/>
  <c r="AV94" i="2" s="1"/>
  <c r="E94" i="2"/>
  <c r="D94" i="2"/>
  <c r="C94" i="2"/>
  <c r="B94" i="2"/>
  <c r="AZ93" i="2"/>
  <c r="AM93" i="2"/>
  <c r="AM91" i="2" s="1"/>
  <c r="AL93" i="2"/>
  <c r="AK93" i="2"/>
  <c r="AJ93" i="2"/>
  <c r="AI93" i="2"/>
  <c r="AH93" i="2"/>
  <c r="BC93" i="2" s="1"/>
  <c r="AG93" i="2"/>
  <c r="AG91" i="2" s="1"/>
  <c r="AF93" i="2"/>
  <c r="AE93" i="2"/>
  <c r="AD93" i="2"/>
  <c r="BB93" i="2" s="1"/>
  <c r="AC93" i="2"/>
  <c r="AB93" i="2"/>
  <c r="AA93" i="2"/>
  <c r="BA93" i="2" s="1"/>
  <c r="Z93" i="2"/>
  <c r="Y93" i="2"/>
  <c r="X93" i="2"/>
  <c r="W93" i="2"/>
  <c r="V93" i="2"/>
  <c r="U93" i="2"/>
  <c r="U91" i="2" s="1"/>
  <c r="T93" i="2"/>
  <c r="S93" i="2"/>
  <c r="R93" i="2"/>
  <c r="AY93" i="2" s="1"/>
  <c r="Q93" i="2"/>
  <c r="P93" i="2"/>
  <c r="O93" i="2"/>
  <c r="AX93" i="2" s="1"/>
  <c r="N93" i="2"/>
  <c r="M93" i="2"/>
  <c r="L93" i="2"/>
  <c r="AW93" i="2" s="1"/>
  <c r="K93" i="2"/>
  <c r="J93" i="2"/>
  <c r="I93" i="2"/>
  <c r="I91" i="2" s="1"/>
  <c r="H93" i="2"/>
  <c r="G93" i="2"/>
  <c r="F93" i="2"/>
  <c r="AV93" i="2" s="1"/>
  <c r="E93" i="2"/>
  <c r="D93" i="2"/>
  <c r="C93" i="2"/>
  <c r="C91" i="2" s="1"/>
  <c r="B93" i="2"/>
  <c r="AU93" i="2" s="1"/>
  <c r="BA92" i="2"/>
  <c r="AV92" i="2"/>
  <c r="AN92" i="2"/>
  <c r="AM92" i="2"/>
  <c r="AL92" i="2"/>
  <c r="AK92" i="2"/>
  <c r="AJ92" i="2"/>
  <c r="AI92" i="2"/>
  <c r="AH92" i="2"/>
  <c r="AH91" i="2" s="1"/>
  <c r="AG92" i="2"/>
  <c r="AF92" i="2"/>
  <c r="AE92" i="2"/>
  <c r="AE91" i="2" s="1"/>
  <c r="BB91" i="2" s="1"/>
  <c r="AD92" i="2"/>
  <c r="BB92" i="2" s="1"/>
  <c r="AC92" i="2"/>
  <c r="AB92" i="2"/>
  <c r="AB91" i="2" s="1"/>
  <c r="AA92" i="2"/>
  <c r="Z92" i="2"/>
  <c r="Y92" i="2"/>
  <c r="X92" i="2"/>
  <c r="W92" i="2"/>
  <c r="V92" i="2"/>
  <c r="AZ92" i="2" s="1"/>
  <c r="U92" i="2"/>
  <c r="T92" i="2"/>
  <c r="S92" i="2"/>
  <c r="S91" i="2" s="1"/>
  <c r="R92" i="2"/>
  <c r="AY92" i="2" s="1"/>
  <c r="Q92" i="2"/>
  <c r="P92" i="2"/>
  <c r="P91" i="2" s="1"/>
  <c r="O92" i="2"/>
  <c r="N92" i="2"/>
  <c r="M92" i="2"/>
  <c r="L92" i="2"/>
  <c r="K92" i="2"/>
  <c r="J92" i="2"/>
  <c r="J91" i="2" s="1"/>
  <c r="AW91" i="2" s="1"/>
  <c r="I92" i="2"/>
  <c r="H92" i="2"/>
  <c r="G92" i="2"/>
  <c r="F92" i="2"/>
  <c r="E92" i="2"/>
  <c r="D92" i="2"/>
  <c r="C92" i="2"/>
  <c r="B92" i="2"/>
  <c r="AJ91" i="2"/>
  <c r="AI91" i="2"/>
  <c r="AD91" i="2"/>
  <c r="AC91" i="2"/>
  <c r="Y91" i="2"/>
  <c r="X91" i="2"/>
  <c r="W91" i="2"/>
  <c r="R91" i="2"/>
  <c r="Q91" i="2"/>
  <c r="M91" i="2"/>
  <c r="L91" i="2"/>
  <c r="K91" i="2"/>
  <c r="F91" i="2"/>
  <c r="E91" i="2"/>
  <c r="BC90" i="2"/>
  <c r="AX90" i="2"/>
  <c r="AL90" i="2"/>
  <c r="AK90" i="2"/>
  <c r="AJ90" i="2"/>
  <c r="AJ88" i="2" s="1"/>
  <c r="AI90" i="2"/>
  <c r="AH90" i="2"/>
  <c r="AG90" i="2"/>
  <c r="AF90" i="2"/>
  <c r="AE90" i="2"/>
  <c r="AD90" i="2"/>
  <c r="AC90" i="2"/>
  <c r="AB90" i="2"/>
  <c r="AA90" i="2"/>
  <c r="Y90" i="2"/>
  <c r="X90" i="2"/>
  <c r="X88" i="2" s="1"/>
  <c r="W90" i="2"/>
  <c r="V90" i="2"/>
  <c r="AZ90" i="2" s="1"/>
  <c r="U90" i="2"/>
  <c r="T90" i="2"/>
  <c r="S90" i="2"/>
  <c r="R90" i="2"/>
  <c r="Q90" i="2"/>
  <c r="P90" i="2"/>
  <c r="O90" i="2"/>
  <c r="N90" i="2"/>
  <c r="M90" i="2"/>
  <c r="L90" i="2"/>
  <c r="AW90" i="2" s="1"/>
  <c r="K90" i="2"/>
  <c r="J90" i="2"/>
  <c r="I90" i="2"/>
  <c r="H90" i="2"/>
  <c r="G90" i="2"/>
  <c r="F90" i="2"/>
  <c r="E90" i="2"/>
  <c r="D90" i="2"/>
  <c r="C90" i="2"/>
  <c r="B90" i="2"/>
  <c r="AU90" i="2" s="1"/>
  <c r="BD89" i="2"/>
  <c r="AX89" i="2"/>
  <c r="AP89" i="2"/>
  <c r="AO89" i="2"/>
  <c r="AN89" i="2"/>
  <c r="AM89" i="2"/>
  <c r="AL89" i="2"/>
  <c r="AK89" i="2"/>
  <c r="AK88" i="2" s="1"/>
  <c r="AJ89" i="2"/>
  <c r="AI89" i="2"/>
  <c r="AH89" i="2"/>
  <c r="BC89" i="2" s="1"/>
  <c r="AG89" i="2"/>
  <c r="AF89" i="2"/>
  <c r="AE89" i="2"/>
  <c r="AE88" i="2" s="1"/>
  <c r="AD89" i="2"/>
  <c r="AC89" i="2"/>
  <c r="AB89" i="2"/>
  <c r="AA89" i="2"/>
  <c r="Z89" i="2"/>
  <c r="BA89" i="2" s="1"/>
  <c r="Y89" i="2"/>
  <c r="Y88" i="2" s="1"/>
  <c r="X89" i="2"/>
  <c r="W89" i="2"/>
  <c r="V89" i="2"/>
  <c r="AZ89" i="2" s="1"/>
  <c r="U89" i="2"/>
  <c r="T89" i="2"/>
  <c r="S89" i="2"/>
  <c r="S88" i="2" s="1"/>
  <c r="R89" i="2"/>
  <c r="AY89" i="2" s="1"/>
  <c r="Q89" i="2"/>
  <c r="P89" i="2"/>
  <c r="O89" i="2"/>
  <c r="N89" i="2"/>
  <c r="M89" i="2"/>
  <c r="M88" i="2" s="1"/>
  <c r="L89" i="2"/>
  <c r="K89" i="2"/>
  <c r="J89" i="2"/>
  <c r="AW89" i="2" s="1"/>
  <c r="I89" i="2"/>
  <c r="H89" i="2"/>
  <c r="G89" i="2"/>
  <c r="G88" i="2" s="1"/>
  <c r="F89" i="2"/>
  <c r="AV89" i="2" s="1"/>
  <c r="E89" i="2"/>
  <c r="D89" i="2"/>
  <c r="C89" i="2"/>
  <c r="B89" i="2"/>
  <c r="AU89" i="2" s="1"/>
  <c r="AL88" i="2"/>
  <c r="AI88" i="2"/>
  <c r="AH88" i="2"/>
  <c r="BC88" i="2" s="1"/>
  <c r="AG88" i="2"/>
  <c r="AF88" i="2"/>
  <c r="AC88" i="2"/>
  <c r="AB88" i="2"/>
  <c r="AA88" i="2"/>
  <c r="W88" i="2"/>
  <c r="V88" i="2"/>
  <c r="U88" i="2"/>
  <c r="T88" i="2"/>
  <c r="Q88" i="2"/>
  <c r="P88" i="2"/>
  <c r="O88" i="2"/>
  <c r="N88" i="2"/>
  <c r="AX88" i="2" s="1"/>
  <c r="K88" i="2"/>
  <c r="J88" i="2"/>
  <c r="I88" i="2"/>
  <c r="H88" i="2"/>
  <c r="E88" i="2"/>
  <c r="D88" i="2"/>
  <c r="C88" i="2"/>
  <c r="B88" i="2"/>
  <c r="AU88" i="2" s="1"/>
  <c r="AZ87" i="2"/>
  <c r="AL87" i="2"/>
  <c r="AK87" i="2"/>
  <c r="AJ87" i="2"/>
  <c r="AH87" i="2"/>
  <c r="AG87" i="2"/>
  <c r="AG85" i="2" s="1"/>
  <c r="AG77" i="5" s="1"/>
  <c r="AF87" i="2"/>
  <c r="AE87" i="2"/>
  <c r="AD87" i="2"/>
  <c r="BB87" i="2" s="1"/>
  <c r="AC87" i="2"/>
  <c r="AB87" i="2"/>
  <c r="AA87" i="2"/>
  <c r="AA85" i="2" s="1"/>
  <c r="AA77" i="5" s="1"/>
  <c r="Z87" i="2"/>
  <c r="BA87" i="2" s="1"/>
  <c r="Y87" i="2"/>
  <c r="X87" i="2"/>
  <c r="W87" i="2"/>
  <c r="V87" i="2"/>
  <c r="U87" i="2"/>
  <c r="U85" i="2" s="1"/>
  <c r="U77" i="5" s="1"/>
  <c r="T87" i="2"/>
  <c r="E87" i="2"/>
  <c r="D87" i="2"/>
  <c r="C87" i="2"/>
  <c r="C85" i="2" s="1"/>
  <c r="C77" i="5" s="1"/>
  <c r="B87" i="2"/>
  <c r="AU87" i="2" s="1"/>
  <c r="AU86" i="2"/>
  <c r="AL86" i="2"/>
  <c r="AK86" i="2"/>
  <c r="AJ86" i="2"/>
  <c r="AI86" i="2"/>
  <c r="AH86" i="2"/>
  <c r="AG86" i="2"/>
  <c r="AF86" i="2"/>
  <c r="AE86" i="2"/>
  <c r="BB86" i="2" s="1"/>
  <c r="AD86" i="2"/>
  <c r="AC86" i="2"/>
  <c r="AB86" i="2"/>
  <c r="AB85" i="2" s="1"/>
  <c r="AB77" i="5" s="1"/>
  <c r="AA86" i="2"/>
  <c r="Z86" i="2"/>
  <c r="Y86" i="2"/>
  <c r="X86" i="2"/>
  <c r="W86" i="2"/>
  <c r="V86" i="2"/>
  <c r="U86" i="2"/>
  <c r="T86" i="2"/>
  <c r="S86" i="2"/>
  <c r="R86" i="2"/>
  <c r="AY86" i="2" s="1"/>
  <c r="Q86" i="2"/>
  <c r="P86" i="2"/>
  <c r="O86" i="2"/>
  <c r="N86" i="2"/>
  <c r="AX86" i="2" s="1"/>
  <c r="M86" i="2"/>
  <c r="L86" i="2"/>
  <c r="K86" i="2"/>
  <c r="J86" i="2"/>
  <c r="I86" i="2"/>
  <c r="H86" i="2"/>
  <c r="G86" i="2"/>
  <c r="F86" i="2"/>
  <c r="AV86" i="2" s="1"/>
  <c r="E86" i="2"/>
  <c r="D86" i="2"/>
  <c r="D85" i="2" s="1"/>
  <c r="D77" i="5" s="1"/>
  <c r="C86" i="2"/>
  <c r="B86" i="2"/>
  <c r="BB85" i="2"/>
  <c r="AL85" i="2"/>
  <c r="AL77" i="5" s="1"/>
  <c r="AK85" i="2"/>
  <c r="AK77" i="5" s="1"/>
  <c r="AJ85" i="2"/>
  <c r="AJ77" i="5" s="1"/>
  <c r="AF85" i="2"/>
  <c r="AF77" i="5" s="1"/>
  <c r="AE85" i="2"/>
  <c r="AE77" i="5" s="1"/>
  <c r="AD85" i="2"/>
  <c r="AD77" i="5" s="1"/>
  <c r="AC85" i="2"/>
  <c r="AC77" i="5" s="1"/>
  <c r="Z85" i="2"/>
  <c r="Z77" i="5" s="1"/>
  <c r="Y85" i="2"/>
  <c r="Y77" i="5" s="1"/>
  <c r="X85" i="2"/>
  <c r="X77" i="5" s="1"/>
  <c r="W85" i="2"/>
  <c r="W77" i="5" s="1"/>
  <c r="T85" i="2"/>
  <c r="T77" i="5" s="1"/>
  <c r="E85" i="2"/>
  <c r="E77" i="5" s="1"/>
  <c r="B85" i="2"/>
  <c r="B77" i="5" s="1"/>
  <c r="AK84" i="2"/>
  <c r="AJ84" i="2"/>
  <c r="AI84" i="2"/>
  <c r="AH84" i="2"/>
  <c r="AG84" i="2"/>
  <c r="AF84" i="2"/>
  <c r="AE84" i="2"/>
  <c r="AD84" i="2"/>
  <c r="BB84" i="2" s="1"/>
  <c r="AC84" i="2"/>
  <c r="AB84" i="2"/>
  <c r="AA84" i="2"/>
  <c r="AA82" i="2" s="1"/>
  <c r="Z84" i="2"/>
  <c r="BA84" i="2" s="1"/>
  <c r="Y84" i="2"/>
  <c r="X84" i="2"/>
  <c r="W84" i="2"/>
  <c r="V84" i="2"/>
  <c r="U84" i="2"/>
  <c r="T84" i="2"/>
  <c r="S84" i="2"/>
  <c r="R84" i="2"/>
  <c r="R82" i="2" s="1"/>
  <c r="Q84" i="2"/>
  <c r="P84" i="2"/>
  <c r="O84" i="2"/>
  <c r="AX84" i="2" s="1"/>
  <c r="N84" i="2"/>
  <c r="M84" i="2"/>
  <c r="L84" i="2"/>
  <c r="L82" i="2" s="1"/>
  <c r="K84" i="2"/>
  <c r="J84" i="2"/>
  <c r="I84" i="2"/>
  <c r="H84" i="2"/>
  <c r="G84" i="2"/>
  <c r="F84" i="2"/>
  <c r="AV84" i="2" s="1"/>
  <c r="E84" i="2"/>
  <c r="D84" i="2"/>
  <c r="C84" i="2"/>
  <c r="C82" i="2" s="1"/>
  <c r="B84" i="2"/>
  <c r="AU84" i="2" s="1"/>
  <c r="AX83" i="2"/>
  <c r="AU83" i="2"/>
  <c r="AK83" i="2"/>
  <c r="AK82" i="2" s="1"/>
  <c r="AJ83" i="2"/>
  <c r="AI83" i="2"/>
  <c r="AH83" i="2"/>
  <c r="BC83" i="2" s="1"/>
  <c r="AG83" i="2"/>
  <c r="AF83" i="2"/>
  <c r="AE83" i="2"/>
  <c r="AE82" i="2" s="1"/>
  <c r="AD83" i="2"/>
  <c r="AC83" i="2"/>
  <c r="AB83" i="2"/>
  <c r="AB82" i="2" s="1"/>
  <c r="AA83" i="2"/>
  <c r="Z83" i="2"/>
  <c r="BA83" i="2" s="1"/>
  <c r="Y83" i="2"/>
  <c r="Y82" i="2" s="1"/>
  <c r="X83" i="2"/>
  <c r="W83" i="2"/>
  <c r="V83" i="2"/>
  <c r="AZ83" i="2" s="1"/>
  <c r="U83" i="2"/>
  <c r="T83" i="2"/>
  <c r="S83" i="2"/>
  <c r="R83" i="2"/>
  <c r="Q83" i="2"/>
  <c r="P83" i="2"/>
  <c r="P82" i="2" s="1"/>
  <c r="O83" i="2"/>
  <c r="N83" i="2"/>
  <c r="M83" i="2"/>
  <c r="M82" i="2" s="1"/>
  <c r="L83" i="2"/>
  <c r="K83" i="2"/>
  <c r="J83" i="2"/>
  <c r="J82" i="2" s="1"/>
  <c r="AW82" i="2" s="1"/>
  <c r="I83" i="2"/>
  <c r="H83" i="2"/>
  <c r="G83" i="2"/>
  <c r="G82" i="2" s="1"/>
  <c r="F83" i="2"/>
  <c r="E83" i="2"/>
  <c r="D83" i="2"/>
  <c r="D82" i="2" s="1"/>
  <c r="C83" i="2"/>
  <c r="B83" i="2"/>
  <c r="AI82" i="2"/>
  <c r="AG82" i="2"/>
  <c r="AF82" i="2"/>
  <c r="AC82" i="2"/>
  <c r="Z82" i="2"/>
  <c r="BA82" i="2" s="1"/>
  <c r="W82" i="2"/>
  <c r="U82" i="2"/>
  <c r="T82" i="2"/>
  <c r="Q82" i="2"/>
  <c r="N82" i="2"/>
  <c r="K82" i="2"/>
  <c r="I82" i="2"/>
  <c r="H82" i="2"/>
  <c r="E82" i="2"/>
  <c r="B82" i="2"/>
  <c r="BE81" i="2"/>
  <c r="BE106" i="2" s="1"/>
  <c r="BD81" i="2"/>
  <c r="BD106" i="2" s="1"/>
  <c r="BC81" i="2"/>
  <c r="BC106" i="2" s="1"/>
  <c r="BB81" i="2"/>
  <c r="BB106" i="2" s="1"/>
  <c r="BA81" i="2"/>
  <c r="BA106" i="2" s="1"/>
  <c r="AZ81" i="2"/>
  <c r="AZ106" i="2" s="1"/>
  <c r="AY81" i="2"/>
  <c r="AY106" i="2" s="1"/>
  <c r="AX81" i="2"/>
  <c r="AX106" i="2" s="1"/>
  <c r="AW81" i="2"/>
  <c r="AW106" i="2" s="1"/>
  <c r="AV81" i="2"/>
  <c r="AV106" i="2" s="1"/>
  <c r="AU81" i="2"/>
  <c r="AU106" i="2" s="1"/>
  <c r="AD80" i="2"/>
  <c r="Z80" i="2"/>
  <c r="V80" i="2"/>
  <c r="R80" i="2"/>
  <c r="N80" i="2"/>
  <c r="J80" i="2"/>
  <c r="F80" i="2"/>
  <c r="B80" i="2"/>
  <c r="AS73" i="2"/>
  <c r="AR73" i="2"/>
  <c r="AQ73" i="2"/>
  <c r="AP73" i="2"/>
  <c r="AS69" i="2"/>
  <c r="AR69"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B68" i="2"/>
  <c r="AA60" i="2"/>
  <c r="BE56" i="2"/>
  <c r="BE68" i="2" s="1"/>
  <c r="BD56" i="2"/>
  <c r="BD68" i="2" s="1"/>
  <c r="BC56" i="2"/>
  <c r="BC68" i="2" s="1"/>
  <c r="BB56" i="2"/>
  <c r="BB68" i="2" s="1"/>
  <c r="BA56" i="2"/>
  <c r="BA68" i="2" s="1"/>
  <c r="AZ56" i="2"/>
  <c r="AZ68" i="2" s="1"/>
  <c r="AY56" i="2"/>
  <c r="AY68" i="2" s="1"/>
  <c r="AX56" i="2"/>
  <c r="AX68" i="2" s="1"/>
  <c r="AW56" i="2"/>
  <c r="AW68" i="2" s="1"/>
  <c r="AV56" i="2"/>
  <c r="AV68" i="2" s="1"/>
  <c r="AU56" i="2"/>
  <c r="AU68" i="2" s="1"/>
  <c r="AS56" i="2"/>
  <c r="AR56" i="2"/>
  <c r="AQ56" i="2"/>
  <c r="AP56" i="2"/>
  <c r="AO56" i="2"/>
  <c r="AN56" i="2"/>
  <c r="AM56" i="2"/>
  <c r="AL56" i="2"/>
  <c r="AK56" i="2"/>
  <c r="AJ56" i="2"/>
  <c r="AI56" i="2"/>
  <c r="AH56" i="2"/>
  <c r="AG56" i="2"/>
  <c r="AF56" i="2"/>
  <c r="AE56" i="2"/>
  <c r="AD56" i="2"/>
  <c r="AC56" i="2"/>
  <c r="AB56" i="2"/>
  <c r="AA56" i="2"/>
  <c r="Z56" i="2"/>
  <c r="Y56" i="2"/>
  <c r="X56" i="2"/>
  <c r="W56" i="2"/>
  <c r="V56" i="2"/>
  <c r="U56" i="2"/>
  <c r="T56" i="2"/>
  <c r="S56" i="2"/>
  <c r="R56" i="2"/>
  <c r="Q56" i="2"/>
  <c r="P56" i="2"/>
  <c r="O56" i="2"/>
  <c r="N56" i="2"/>
  <c r="M56" i="2"/>
  <c r="L56" i="2"/>
  <c r="K56" i="2"/>
  <c r="J56" i="2"/>
  <c r="I56" i="2"/>
  <c r="H56" i="2"/>
  <c r="G56" i="2"/>
  <c r="F56" i="2"/>
  <c r="E56" i="2"/>
  <c r="D56" i="2"/>
  <c r="C56" i="2"/>
  <c r="B56" i="2"/>
  <c r="AD55" i="2"/>
  <c r="Z55" i="2"/>
  <c r="V55" i="2"/>
  <c r="R55" i="2"/>
  <c r="N55" i="2"/>
  <c r="J55" i="2"/>
  <c r="F55" i="2"/>
  <c r="B55" i="2"/>
  <c r="BC53" i="2"/>
  <c r="AZ53" i="2"/>
  <c r="AZ103" i="2" s="1"/>
  <c r="AY53" i="2"/>
  <c r="AY103" i="2" s="1"/>
  <c r="AX53" i="2"/>
  <c r="AX103" i="2" s="1"/>
  <c r="AW53" i="2"/>
  <c r="AW103" i="2" s="1"/>
  <c r="AV53" i="2"/>
  <c r="AV103" i="2" s="1"/>
  <c r="AU53" i="2"/>
  <c r="AK53" i="2"/>
  <c r="AK103" i="2" s="1"/>
  <c r="AJ53" i="2"/>
  <c r="AH53" i="2"/>
  <c r="AG53" i="2"/>
  <c r="AF53" i="2"/>
  <c r="AE53" i="2"/>
  <c r="AE103" i="2" s="1"/>
  <c r="AD53" i="2"/>
  <c r="AC53" i="2"/>
  <c r="AB53" i="2"/>
  <c r="AA53" i="2"/>
  <c r="Z53" i="2"/>
  <c r="Z103" i="2" s="1"/>
  <c r="Y53" i="2"/>
  <c r="Y103" i="2" s="1"/>
  <c r="X53" i="2"/>
  <c r="X103" i="2" s="1"/>
  <c r="W53" i="2"/>
  <c r="W103" i="2" s="1"/>
  <c r="V53" i="2"/>
  <c r="V103" i="2" s="1"/>
  <c r="U53" i="2"/>
  <c r="T53" i="2"/>
  <c r="S53" i="2"/>
  <c r="S103" i="2" s="1"/>
  <c r="R53" i="2"/>
  <c r="R103" i="2" s="1"/>
  <c r="Q53" i="2"/>
  <c r="Q103" i="2" s="1"/>
  <c r="P53" i="2"/>
  <c r="O53" i="2"/>
  <c r="N53" i="2"/>
  <c r="N103" i="2" s="1"/>
  <c r="M53" i="2"/>
  <c r="M103" i="2" s="1"/>
  <c r="L53" i="2"/>
  <c r="L103" i="2" s="1"/>
  <c r="K53" i="2"/>
  <c r="K103" i="2" s="1"/>
  <c r="J53" i="2"/>
  <c r="J103" i="2" s="1"/>
  <c r="I53" i="2"/>
  <c r="H53" i="2"/>
  <c r="G53" i="2"/>
  <c r="G103" i="2" s="1"/>
  <c r="F53" i="2"/>
  <c r="F103" i="2" s="1"/>
  <c r="E53" i="2"/>
  <c r="E103" i="2" s="1"/>
  <c r="D53" i="2"/>
  <c r="D103" i="2" s="1"/>
  <c r="C53" i="2"/>
  <c r="C103" i="2" s="1"/>
  <c r="AZ52" i="2"/>
  <c r="AZ102" i="2" s="1"/>
  <c r="AY52" i="2"/>
  <c r="AY102" i="2" s="1"/>
  <c r="AX52" i="2"/>
  <c r="AX102" i="2" s="1"/>
  <c r="AW52" i="2"/>
  <c r="AW102" i="2" s="1"/>
  <c r="AV52" i="2"/>
  <c r="AV102" i="2" s="1"/>
  <c r="AK52" i="2"/>
  <c r="AK102" i="2" s="1"/>
  <c r="AJ52" i="2"/>
  <c r="AJ102" i="2" s="1"/>
  <c r="AH52" i="2"/>
  <c r="AH102" i="2" s="1"/>
  <c r="AG52" i="2"/>
  <c r="AF52" i="2"/>
  <c r="AF102" i="2" s="1"/>
  <c r="AE52" i="2"/>
  <c r="AE102" i="2" s="1"/>
  <c r="AD52" i="2"/>
  <c r="AD102" i="2" s="1"/>
  <c r="AC52" i="2"/>
  <c r="AC102" i="2" s="1"/>
  <c r="AB52" i="2"/>
  <c r="AB102" i="2" s="1"/>
  <c r="AA52" i="2"/>
  <c r="AA102" i="2" s="1"/>
  <c r="Z52" i="2"/>
  <c r="Z102" i="2" s="1"/>
  <c r="Y52" i="2"/>
  <c r="Y102" i="2" s="1"/>
  <c r="X52" i="2"/>
  <c r="X102" i="2" s="1"/>
  <c r="W52" i="2"/>
  <c r="W102" i="2" s="1"/>
  <c r="V52" i="2"/>
  <c r="V102" i="2" s="1"/>
  <c r="U52" i="2"/>
  <c r="U102" i="2" s="1"/>
  <c r="T52" i="2"/>
  <c r="T102" i="2" s="1"/>
  <c r="S52" i="2"/>
  <c r="S102" i="2" s="1"/>
  <c r="R52" i="2"/>
  <c r="R102" i="2" s="1"/>
  <c r="Q52" i="2"/>
  <c r="Q102" i="2" s="1"/>
  <c r="P52" i="2"/>
  <c r="P102" i="2" s="1"/>
  <c r="O52" i="2"/>
  <c r="O102" i="2" s="1"/>
  <c r="N52" i="2"/>
  <c r="N102" i="2" s="1"/>
  <c r="M52" i="2"/>
  <c r="M102" i="2" s="1"/>
  <c r="L52" i="2"/>
  <c r="L102" i="2" s="1"/>
  <c r="K52" i="2"/>
  <c r="K102" i="2" s="1"/>
  <c r="J52" i="2"/>
  <c r="J102" i="2" s="1"/>
  <c r="I52" i="2"/>
  <c r="I102" i="2" s="1"/>
  <c r="H52" i="2"/>
  <c r="H102" i="2" s="1"/>
  <c r="G52" i="2"/>
  <c r="G102" i="2" s="1"/>
  <c r="F52" i="2"/>
  <c r="F102" i="2" s="1"/>
  <c r="E52" i="2"/>
  <c r="E102" i="2" s="1"/>
  <c r="D52" i="2"/>
  <c r="D102" i="2" s="1"/>
  <c r="C52" i="2"/>
  <c r="C102" i="2" s="1"/>
  <c r="BE50" i="2"/>
  <c r="BD50" i="2"/>
  <c r="BC50" i="2"/>
  <c r="BB50" i="2"/>
  <c r="BA50" i="2"/>
  <c r="AZ50" i="2"/>
  <c r="AY50" i="2"/>
  <c r="AS50" i="2"/>
  <c r="AR50" i="2"/>
  <c r="AQ50" i="2"/>
  <c r="AP50" i="2"/>
  <c r="AO50" i="2"/>
  <c r="AN50" i="2"/>
  <c r="AM50" i="2"/>
  <c r="AL50" i="2"/>
  <c r="AK50" i="2"/>
  <c r="AJ50" i="2"/>
  <c r="AI50" i="2"/>
  <c r="AH50" i="2"/>
  <c r="AG50" i="2"/>
  <c r="AF50" i="2"/>
  <c r="AE50" i="2"/>
  <c r="AD50" i="2"/>
  <c r="AC50" i="2"/>
  <c r="AB50" i="2"/>
  <c r="AA50" i="2"/>
  <c r="Z50" i="2"/>
  <c r="Y50" i="2"/>
  <c r="X50" i="2"/>
  <c r="W50" i="2"/>
  <c r="V50" i="2"/>
  <c r="U50" i="2"/>
  <c r="T50" i="2"/>
  <c r="S50" i="2"/>
  <c r="R50" i="2"/>
  <c r="Q50" i="2"/>
  <c r="P50" i="2"/>
  <c r="O50" i="2"/>
  <c r="N50" i="2"/>
  <c r="BE47" i="2"/>
  <c r="BD47" i="2"/>
  <c r="BC47" i="2"/>
  <c r="BB47" i="2"/>
  <c r="BA47" i="2"/>
  <c r="AZ47" i="2"/>
  <c r="AY47" i="2"/>
  <c r="AX47" i="2"/>
  <c r="AW47" i="2"/>
  <c r="AV47" i="2"/>
  <c r="AU47" i="2"/>
  <c r="AS47" i="2"/>
  <c r="AR47" i="2"/>
  <c r="AQ47" i="2"/>
  <c r="AP47" i="2"/>
  <c r="AO47" i="2"/>
  <c r="AN47" i="2"/>
  <c r="AM47" i="2"/>
  <c r="AL47" i="2"/>
  <c r="AK47" i="2"/>
  <c r="AJ47" i="2"/>
  <c r="AI47" i="2"/>
  <c r="AH47" i="2"/>
  <c r="AG47" i="2"/>
  <c r="AF47" i="2"/>
  <c r="AE47" i="2"/>
  <c r="AD47" i="2"/>
  <c r="AC47" i="2"/>
  <c r="AB47" i="2"/>
  <c r="AA47" i="2"/>
  <c r="Z47" i="2"/>
  <c r="Y47" i="2"/>
  <c r="X47" i="2"/>
  <c r="W47" i="2"/>
  <c r="V47" i="2"/>
  <c r="U47" i="2"/>
  <c r="T47" i="2"/>
  <c r="S47" i="2"/>
  <c r="R47" i="2"/>
  <c r="Q47" i="2"/>
  <c r="P47" i="2"/>
  <c r="O47" i="2"/>
  <c r="N47" i="2"/>
  <c r="M47" i="2"/>
  <c r="L47" i="2"/>
  <c r="K47" i="2"/>
  <c r="J47" i="2"/>
  <c r="I47" i="2"/>
  <c r="H47" i="2"/>
  <c r="G47" i="2"/>
  <c r="F47" i="2"/>
  <c r="E47" i="2"/>
  <c r="D47" i="2"/>
  <c r="C47" i="2"/>
  <c r="B47" i="2"/>
  <c r="BF43" i="2"/>
  <c r="BE43" i="2"/>
  <c r="BD43" i="2"/>
  <c r="BC43" i="2"/>
  <c r="BB43" i="2"/>
  <c r="BA43" i="2"/>
  <c r="AZ43" i="2"/>
  <c r="AY43" i="2"/>
  <c r="AS43" i="2"/>
  <c r="AR43" i="2"/>
  <c r="AQ43" i="2"/>
  <c r="AP43" i="2"/>
  <c r="AO43" i="2"/>
  <c r="AN43" i="2"/>
  <c r="AM43" i="2"/>
  <c r="AL43" i="2"/>
  <c r="AK43" i="2"/>
  <c r="AJ43" i="2"/>
  <c r="AI43" i="2"/>
  <c r="AH43" i="2"/>
  <c r="AG43" i="2"/>
  <c r="AF43" i="2"/>
  <c r="AE43" i="2"/>
  <c r="AD43" i="2"/>
  <c r="AC43" i="2"/>
  <c r="AB43" i="2"/>
  <c r="AA43" i="2"/>
  <c r="Z43" i="2"/>
  <c r="Y43" i="2"/>
  <c r="X43" i="2"/>
  <c r="W43" i="2"/>
  <c r="V43" i="2"/>
  <c r="U43" i="2"/>
  <c r="T43" i="2"/>
  <c r="S43" i="2"/>
  <c r="R43" i="2"/>
  <c r="Q43" i="2"/>
  <c r="P43" i="2"/>
  <c r="O43" i="2"/>
  <c r="N43" i="2"/>
  <c r="BE40" i="2"/>
  <c r="BD40" i="2"/>
  <c r="BC40" i="2"/>
  <c r="BB40" i="2"/>
  <c r="BA40" i="2"/>
  <c r="AZ40" i="2"/>
  <c r="AY40" i="2"/>
  <c r="AX40" i="2"/>
  <c r="AW40" i="2"/>
  <c r="AV40" i="2"/>
  <c r="AU40" i="2"/>
  <c r="AS40" i="2"/>
  <c r="AR40" i="2"/>
  <c r="AQ40" i="2"/>
  <c r="AP40" i="2"/>
  <c r="AO40" i="2"/>
  <c r="AN40" i="2"/>
  <c r="AM40" i="2"/>
  <c r="AL40" i="2"/>
  <c r="AK40" i="2"/>
  <c r="AJ40" i="2"/>
  <c r="AI40" i="2"/>
  <c r="AH40" i="2"/>
  <c r="AG40" i="2"/>
  <c r="AF40" i="2"/>
  <c r="AE40" i="2"/>
  <c r="AD40" i="2"/>
  <c r="AC40" i="2"/>
  <c r="AB40" i="2"/>
  <c r="AA40" i="2"/>
  <c r="Z40" i="2"/>
  <c r="Y40" i="2"/>
  <c r="X40" i="2"/>
  <c r="W40" i="2"/>
  <c r="V40" i="2"/>
  <c r="U40" i="2"/>
  <c r="T40" i="2"/>
  <c r="S40" i="2"/>
  <c r="R40" i="2"/>
  <c r="Q40" i="2"/>
  <c r="P40" i="2"/>
  <c r="O40" i="2"/>
  <c r="N40" i="2"/>
  <c r="M40" i="2"/>
  <c r="L40" i="2"/>
  <c r="K40" i="2"/>
  <c r="J40" i="2"/>
  <c r="I40" i="2"/>
  <c r="H40" i="2"/>
  <c r="G40" i="2"/>
  <c r="F40" i="2"/>
  <c r="E40" i="2"/>
  <c r="D40" i="2"/>
  <c r="C40" i="2"/>
  <c r="B40" i="2"/>
  <c r="AL37" i="2"/>
  <c r="AL128" i="2" s="1"/>
  <c r="AK37" i="2"/>
  <c r="AJ37" i="2"/>
  <c r="AI37" i="2"/>
  <c r="AH37" i="2"/>
  <c r="BC37" i="2" s="1"/>
  <c r="AG37" i="2"/>
  <c r="AF37" i="2"/>
  <c r="AE37" i="2"/>
  <c r="AD37" i="2"/>
  <c r="BB37" i="2" s="1"/>
  <c r="AC37" i="2"/>
  <c r="AB37" i="2"/>
  <c r="AA37" i="2"/>
  <c r="Z37" i="2"/>
  <c r="BA37" i="2" s="1"/>
  <c r="Y37" i="2"/>
  <c r="X37" i="2"/>
  <c r="W37" i="2"/>
  <c r="V37" i="2"/>
  <c r="U37" i="2"/>
  <c r="T37" i="2"/>
  <c r="S37" i="2"/>
  <c r="R37" i="2"/>
  <c r="Q37" i="2"/>
  <c r="P37" i="2"/>
  <c r="O37" i="2"/>
  <c r="N37" i="2"/>
  <c r="AX37" i="2" s="1"/>
  <c r="M37" i="2"/>
  <c r="L37" i="2"/>
  <c r="K37" i="2"/>
  <c r="J37" i="2"/>
  <c r="I37" i="2"/>
  <c r="H37" i="2"/>
  <c r="G37" i="2"/>
  <c r="F37" i="2"/>
  <c r="E37" i="2"/>
  <c r="D37" i="2"/>
  <c r="C37" i="2"/>
  <c r="B37" i="2"/>
  <c r="AU37" i="2" s="1"/>
  <c r="AU35" i="2"/>
  <c r="AK35" i="2"/>
  <c r="AL35" i="2" s="1"/>
  <c r="AJ35" i="2"/>
  <c r="AI35" i="2"/>
  <c r="AH35" i="2"/>
  <c r="BC35" i="2" s="1"/>
  <c r="AG35" i="2"/>
  <c r="AF35" i="2"/>
  <c r="AE35" i="2"/>
  <c r="AD35" i="2"/>
  <c r="BB35" i="2" s="1"/>
  <c r="AC35" i="2"/>
  <c r="AB35" i="2"/>
  <c r="BA35" i="2" s="1"/>
  <c r="AA35" i="2"/>
  <c r="Z35" i="2"/>
  <c r="Y35" i="2"/>
  <c r="X35" i="2"/>
  <c r="W35" i="2"/>
  <c r="V35" i="2"/>
  <c r="AZ35" i="2" s="1"/>
  <c r="U35" i="2"/>
  <c r="T35" i="2"/>
  <c r="S35" i="2"/>
  <c r="R35" i="2"/>
  <c r="AY35" i="2" s="1"/>
  <c r="Q35" i="2"/>
  <c r="P35" i="2"/>
  <c r="O35" i="2"/>
  <c r="N35" i="2"/>
  <c r="AX35" i="2" s="1"/>
  <c r="M35" i="2"/>
  <c r="L35" i="2"/>
  <c r="K35" i="2"/>
  <c r="J35" i="2"/>
  <c r="AW35" i="2" s="1"/>
  <c r="I35" i="2"/>
  <c r="H35" i="2"/>
  <c r="G35" i="2"/>
  <c r="F35" i="2"/>
  <c r="AV35" i="2" s="1"/>
  <c r="E35" i="2"/>
  <c r="D35" i="2"/>
  <c r="C35" i="2"/>
  <c r="B35" i="2"/>
  <c r="BB34" i="2"/>
  <c r="AK34" i="2"/>
  <c r="AJ34" i="2"/>
  <c r="AI34" i="2"/>
  <c r="AH34" i="2"/>
  <c r="AG34" i="2"/>
  <c r="AF34" i="2"/>
  <c r="AE34" i="2"/>
  <c r="AD34" i="2"/>
  <c r="AC34" i="2"/>
  <c r="AB34" i="2"/>
  <c r="AA34" i="2"/>
  <c r="Z34" i="2"/>
  <c r="BA34" i="2" s="1"/>
  <c r="Y34" i="2"/>
  <c r="X34" i="2"/>
  <c r="W34" i="2"/>
  <c r="V34" i="2"/>
  <c r="U34" i="2"/>
  <c r="T34" i="2"/>
  <c r="S34" i="2"/>
  <c r="R34" i="2"/>
  <c r="AY34" i="2" s="1"/>
  <c r="Q34" i="2"/>
  <c r="P34" i="2"/>
  <c r="O34" i="2"/>
  <c r="N34" i="2"/>
  <c r="M34" i="2"/>
  <c r="L34" i="2"/>
  <c r="K34" i="2"/>
  <c r="J34" i="2"/>
  <c r="I34" i="2"/>
  <c r="H34" i="2"/>
  <c r="G34" i="2"/>
  <c r="F34" i="2"/>
  <c r="E34" i="2"/>
  <c r="D34" i="2"/>
  <c r="C34" i="2"/>
  <c r="B34" i="2"/>
  <c r="AL33" i="2"/>
  <c r="AL123" i="2" s="1"/>
  <c r="AK33" i="2"/>
  <c r="AJ33" i="2"/>
  <c r="AI33" i="2"/>
  <c r="AH33" i="2"/>
  <c r="BC33" i="2" s="1"/>
  <c r="AG33" i="2"/>
  <c r="AF33" i="2"/>
  <c r="AE33" i="2"/>
  <c r="AD33" i="2"/>
  <c r="BB33" i="2" s="1"/>
  <c r="AC33" i="2"/>
  <c r="AB33" i="2"/>
  <c r="AA33" i="2"/>
  <c r="Z33" i="2"/>
  <c r="BA33" i="2" s="1"/>
  <c r="Y33" i="2"/>
  <c r="X33" i="2"/>
  <c r="W33" i="2"/>
  <c r="V33" i="2"/>
  <c r="AZ33" i="2" s="1"/>
  <c r="U33" i="2"/>
  <c r="T33" i="2"/>
  <c r="AY33" i="2" s="1"/>
  <c r="S33" i="2"/>
  <c r="R33" i="2"/>
  <c r="Q33" i="2"/>
  <c r="P33" i="2"/>
  <c r="O33" i="2"/>
  <c r="N33" i="2"/>
  <c r="AX33" i="2" s="1"/>
  <c r="M33" i="2"/>
  <c r="L33" i="2"/>
  <c r="K33" i="2"/>
  <c r="J33" i="2"/>
  <c r="AW33" i="2" s="1"/>
  <c r="I33" i="2"/>
  <c r="H33" i="2"/>
  <c r="G33" i="2"/>
  <c r="F33" i="2"/>
  <c r="AV33" i="2" s="1"/>
  <c r="E33" i="2"/>
  <c r="D33" i="2"/>
  <c r="C33" i="2"/>
  <c r="B33" i="2"/>
  <c r="AU33" i="2" s="1"/>
  <c r="BE29" i="2"/>
  <c r="BD29" i="2"/>
  <c r="BC29" i="2"/>
  <c r="BB29" i="2"/>
  <c r="BA29" i="2"/>
  <c r="AZ29" i="2"/>
  <c r="AY29" i="2"/>
  <c r="AS29" i="2"/>
  <c r="AR29" i="2"/>
  <c r="AQ29" i="2"/>
  <c r="AP29" i="2"/>
  <c r="AO29" i="2"/>
  <c r="AN29" i="2"/>
  <c r="AM29" i="2"/>
  <c r="AL29" i="2"/>
  <c r="AK29" i="2"/>
  <c r="AJ29" i="2"/>
  <c r="AI29" i="2"/>
  <c r="AH29" i="2"/>
  <c r="AG29" i="2"/>
  <c r="AF29" i="2"/>
  <c r="AE29" i="2"/>
  <c r="AD29" i="2"/>
  <c r="AC29" i="2"/>
  <c r="AB29" i="2"/>
  <c r="AA29" i="2"/>
  <c r="Z29" i="2"/>
  <c r="Y29" i="2"/>
  <c r="X29" i="2"/>
  <c r="W29" i="2"/>
  <c r="V29" i="2"/>
  <c r="U29" i="2"/>
  <c r="T29" i="2"/>
  <c r="S29" i="2"/>
  <c r="R29" i="2"/>
  <c r="Q29" i="2"/>
  <c r="P29" i="2"/>
  <c r="O29" i="2"/>
  <c r="N29" i="2"/>
  <c r="BE26" i="2"/>
  <c r="BD26" i="2"/>
  <c r="BC26" i="2"/>
  <c r="BB26" i="2"/>
  <c r="BA26" i="2"/>
  <c r="AZ26" i="2"/>
  <c r="AY26" i="2"/>
  <c r="AX26" i="2"/>
  <c r="AW26" i="2"/>
  <c r="AV26" i="2"/>
  <c r="AU26" i="2"/>
  <c r="AS26" i="2"/>
  <c r="AR26" i="2"/>
  <c r="AQ26" i="2"/>
  <c r="AQ76" i="2" s="1"/>
  <c r="AP26" i="2"/>
  <c r="AO26" i="2"/>
  <c r="AN26" i="2"/>
  <c r="AM26" i="2"/>
  <c r="AL26" i="2"/>
  <c r="AK26" i="2"/>
  <c r="AJ26" i="2"/>
  <c r="AI26" i="2"/>
  <c r="AH26" i="2"/>
  <c r="AG26" i="2"/>
  <c r="AF26" i="2"/>
  <c r="AE26" i="2"/>
  <c r="AE76" i="2" s="1"/>
  <c r="AD26" i="2"/>
  <c r="AC26" i="2"/>
  <c r="AB26" i="2"/>
  <c r="AA26" i="2"/>
  <c r="Z26" i="2"/>
  <c r="Y26" i="2"/>
  <c r="X26" i="2"/>
  <c r="W26" i="2"/>
  <c r="V26" i="2"/>
  <c r="U26" i="2"/>
  <c r="T26" i="2"/>
  <c r="S26" i="2"/>
  <c r="S76" i="2" s="1"/>
  <c r="R26" i="2"/>
  <c r="Q26" i="2"/>
  <c r="P26" i="2"/>
  <c r="O26" i="2"/>
  <c r="N26" i="2"/>
  <c r="M26" i="2"/>
  <c r="L26" i="2"/>
  <c r="K26" i="2"/>
  <c r="J26" i="2"/>
  <c r="I26" i="2"/>
  <c r="H26" i="2"/>
  <c r="G26" i="2"/>
  <c r="F26" i="2"/>
  <c r="E26" i="2"/>
  <c r="D26" i="2"/>
  <c r="C26" i="2"/>
  <c r="B26" i="2"/>
  <c r="AG24" i="2"/>
  <c r="AA24" i="2"/>
  <c r="U24" i="2"/>
  <c r="C24" i="2"/>
  <c r="AK23" i="2"/>
  <c r="AJ23" i="2"/>
  <c r="AI23" i="2"/>
  <c r="AH23" i="2"/>
  <c r="BC23" i="2" s="1"/>
  <c r="AG23" i="2"/>
  <c r="AF23" i="2"/>
  <c r="AE23" i="2"/>
  <c r="AD23" i="2"/>
  <c r="BB23" i="2" s="1"/>
  <c r="AC23" i="2"/>
  <c r="AB23" i="2"/>
  <c r="BA23" i="2" s="1"/>
  <c r="AA23" i="2"/>
  <c r="Z23" i="2"/>
  <c r="Y23" i="2"/>
  <c r="X23" i="2"/>
  <c r="W23" i="2"/>
  <c r="V23" i="2"/>
  <c r="U23" i="2"/>
  <c r="T23" i="2"/>
  <c r="J23" i="2"/>
  <c r="I23" i="2"/>
  <c r="H23" i="2"/>
  <c r="G23" i="2"/>
  <c r="F23" i="2"/>
  <c r="E23" i="2"/>
  <c r="D23" i="2"/>
  <c r="C23" i="2"/>
  <c r="B23" i="2"/>
  <c r="BB22" i="2"/>
  <c r="AV22" i="2"/>
  <c r="AK22" i="2"/>
  <c r="AJ22" i="2"/>
  <c r="AI22" i="2"/>
  <c r="BC22" i="2" s="1"/>
  <c r="AH22" i="2"/>
  <c r="AG22" i="2"/>
  <c r="AK61" i="2" s="1"/>
  <c r="AF22" i="2"/>
  <c r="AE22" i="2"/>
  <c r="AD22" i="2"/>
  <c r="AC22" i="2"/>
  <c r="AB22" i="2"/>
  <c r="AA22" i="2"/>
  <c r="Z22" i="2"/>
  <c r="Y22" i="2"/>
  <c r="X22" i="2"/>
  <c r="W22" i="2"/>
  <c r="V22" i="2"/>
  <c r="AZ22" i="2" s="1"/>
  <c r="U22" i="2"/>
  <c r="Y61" i="2" s="1"/>
  <c r="T22" i="2"/>
  <c r="J22" i="2"/>
  <c r="I22" i="2"/>
  <c r="H22" i="2"/>
  <c r="G22" i="2"/>
  <c r="F22" i="2"/>
  <c r="E22" i="2"/>
  <c r="D22" i="2"/>
  <c r="C22" i="2"/>
  <c r="B22" i="2"/>
  <c r="BC21" i="2"/>
  <c r="AK21" i="2"/>
  <c r="AK24" i="2" s="1"/>
  <c r="AJ21" i="2"/>
  <c r="AJ24" i="2" s="1"/>
  <c r="AI21" i="2"/>
  <c r="AI24" i="2" s="1"/>
  <c r="AH21" i="2"/>
  <c r="AH24" i="2" s="1"/>
  <c r="AG21" i="2"/>
  <c r="AF21" i="2"/>
  <c r="AE21" i="2"/>
  <c r="AD21" i="2"/>
  <c r="AC21" i="2"/>
  <c r="AC24" i="2" s="1"/>
  <c r="AB21" i="2"/>
  <c r="AB24" i="2" s="1"/>
  <c r="AA21" i="2"/>
  <c r="Z21" i="2"/>
  <c r="Z24" i="2" s="1"/>
  <c r="Y21" i="2"/>
  <c r="Y24" i="2" s="1"/>
  <c r="X21" i="2"/>
  <c r="X24" i="2" s="1"/>
  <c r="W21" i="2"/>
  <c r="W24" i="2" s="1"/>
  <c r="V21" i="2"/>
  <c r="V24" i="2" s="1"/>
  <c r="U21" i="2"/>
  <c r="T21" i="2"/>
  <c r="F21" i="2"/>
  <c r="E21" i="2"/>
  <c r="E24" i="2" s="1"/>
  <c r="D21" i="2"/>
  <c r="D24" i="2" s="1"/>
  <c r="C21" i="2"/>
  <c r="B21" i="2"/>
  <c r="B24" i="2" s="1"/>
  <c r="BE18" i="2"/>
  <c r="BD18" i="2"/>
  <c r="BD70" i="2" s="1"/>
  <c r="BC18" i="2"/>
  <c r="BB18" i="2"/>
  <c r="BA18" i="2"/>
  <c r="AZ18" i="2"/>
  <c r="AY18" i="2"/>
  <c r="AX18" i="2"/>
  <c r="AX70" i="2" s="1"/>
  <c r="AW18" i="2"/>
  <c r="AV18" i="2"/>
  <c r="AU18" i="2"/>
  <c r="AS18" i="2"/>
  <c r="AR18" i="2"/>
  <c r="AQ18" i="2"/>
  <c r="AP18" i="2"/>
  <c r="AO18" i="2"/>
  <c r="AN18" i="2"/>
  <c r="AM18" i="2"/>
  <c r="AL18" i="2"/>
  <c r="AK18" i="2"/>
  <c r="AK70" i="2" s="1"/>
  <c r="AJ18" i="2"/>
  <c r="AI18" i="2"/>
  <c r="AH18" i="2"/>
  <c r="AG18" i="2"/>
  <c r="AF18" i="2"/>
  <c r="AE18" i="2"/>
  <c r="AE70" i="2" s="1"/>
  <c r="AD18" i="2"/>
  <c r="AC18" i="2"/>
  <c r="AB18" i="2"/>
  <c r="AA18" i="2"/>
  <c r="Z18" i="2"/>
  <c r="Y18" i="2"/>
  <c r="Y70" i="2" s="1"/>
  <c r="X18" i="2"/>
  <c r="W18" i="2"/>
  <c r="V18" i="2"/>
  <c r="U18" i="2"/>
  <c r="T18" i="2"/>
  <c r="S18" i="2"/>
  <c r="R18" i="2"/>
  <c r="Q18" i="2"/>
  <c r="P18" i="2"/>
  <c r="O18" i="2"/>
  <c r="N18" i="2"/>
  <c r="M18" i="2"/>
  <c r="M70" i="2" s="1"/>
  <c r="L18" i="2"/>
  <c r="K18" i="2"/>
  <c r="J18" i="2"/>
  <c r="I18" i="2"/>
  <c r="H18" i="2"/>
  <c r="G18" i="2"/>
  <c r="F18" i="2"/>
  <c r="E18" i="2"/>
  <c r="D18" i="2"/>
  <c r="C18" i="2"/>
  <c r="B18" i="2"/>
  <c r="AF17" i="2"/>
  <c r="T17" i="2"/>
  <c r="H17" i="2"/>
  <c r="BC16" i="2"/>
  <c r="AZ16" i="2"/>
  <c r="AK16" i="2"/>
  <c r="AJ16" i="2"/>
  <c r="AI16" i="2"/>
  <c r="AH16" i="2"/>
  <c r="AG16" i="2"/>
  <c r="AF16" i="2"/>
  <c r="AE16" i="2"/>
  <c r="AD16" i="2"/>
  <c r="BB16" i="2" s="1"/>
  <c r="BC58" i="2" s="1"/>
  <c r="AC16" i="2"/>
  <c r="AB16" i="2"/>
  <c r="AA16" i="2"/>
  <c r="AE58" i="2" s="1"/>
  <c r="Z16" i="2"/>
  <c r="Y16" i="2"/>
  <c r="X16" i="2"/>
  <c r="W16" i="2"/>
  <c r="V16" i="2"/>
  <c r="U16" i="2"/>
  <c r="T16" i="2"/>
  <c r="S16" i="2"/>
  <c r="R16" i="2"/>
  <c r="Q16" i="2"/>
  <c r="P16" i="2"/>
  <c r="O16" i="2"/>
  <c r="S58" i="2" s="1"/>
  <c r="N16" i="2"/>
  <c r="AX16" i="2" s="1"/>
  <c r="M16" i="2"/>
  <c r="L16" i="2"/>
  <c r="K16" i="2"/>
  <c r="J16" i="2"/>
  <c r="I16" i="2"/>
  <c r="H16" i="2"/>
  <c r="G16" i="2"/>
  <c r="F16" i="2"/>
  <c r="E16" i="2"/>
  <c r="D16" i="2"/>
  <c r="C16" i="2"/>
  <c r="G58" i="2" s="1"/>
  <c r="B16" i="2"/>
  <c r="BD14" i="2"/>
  <c r="BC14" i="2"/>
  <c r="BB14" i="2"/>
  <c r="BA14" i="2"/>
  <c r="AZ14" i="2"/>
  <c r="AY14" i="2"/>
  <c r="AS14" i="2"/>
  <c r="AR14" i="2"/>
  <c r="AQ14" i="2"/>
  <c r="AP14" i="2"/>
  <c r="AO14" i="2"/>
  <c r="AN14" i="2"/>
  <c r="AM14" i="2"/>
  <c r="AL14" i="2"/>
  <c r="AK14" i="2"/>
  <c r="AJ14" i="2"/>
  <c r="AI14" i="2"/>
  <c r="AF14" i="2"/>
  <c r="AE14" i="2"/>
  <c r="AD14" i="2"/>
  <c r="AB14" i="2"/>
  <c r="AA14" i="2"/>
  <c r="Z14" i="2"/>
  <c r="Y14" i="2"/>
  <c r="X14" i="2"/>
  <c r="W14" i="2"/>
  <c r="V14" i="2"/>
  <c r="U14" i="2"/>
  <c r="T14" i="2"/>
  <c r="S14" i="2"/>
  <c r="R14" i="2"/>
  <c r="Q14" i="2"/>
  <c r="P14" i="2"/>
  <c r="O14" i="2"/>
  <c r="N14" i="2"/>
  <c r="BD13" i="2"/>
  <c r="BC13" i="2"/>
  <c r="BB13" i="2"/>
  <c r="BA13" i="2"/>
  <c r="AZ13" i="2"/>
  <c r="AY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BD12" i="2"/>
  <c r="BC12" i="2"/>
  <c r="BB12" i="2"/>
  <c r="BA12" i="2"/>
  <c r="AZ12" i="2"/>
  <c r="AY12" i="2"/>
  <c r="AS12" i="2"/>
  <c r="AR12" i="2"/>
  <c r="AQ12" i="2"/>
  <c r="AP12" i="2"/>
  <c r="AO12" i="2"/>
  <c r="AN12" i="2"/>
  <c r="AM12" i="2"/>
  <c r="AL12" i="2"/>
  <c r="AK12" i="2"/>
  <c r="AJ12" i="2"/>
  <c r="AI12" i="2"/>
  <c r="AF12" i="2"/>
  <c r="AE12" i="2"/>
  <c r="AD12" i="2"/>
  <c r="AB12" i="2"/>
  <c r="AA12" i="2"/>
  <c r="Z12" i="2"/>
  <c r="Y12" i="2"/>
  <c r="X12" i="2"/>
  <c r="W12" i="2"/>
  <c r="V12" i="2"/>
  <c r="U12" i="2"/>
  <c r="T12" i="2"/>
  <c r="S12" i="2"/>
  <c r="R12" i="2"/>
  <c r="Q12" i="2"/>
  <c r="P12" i="2"/>
  <c r="O12" i="2"/>
  <c r="N12" i="2"/>
  <c r="BE10" i="2"/>
  <c r="BE6" i="3" s="1"/>
  <c r="BD10" i="2"/>
  <c r="BD6" i="3" s="1"/>
  <c r="BC10" i="2"/>
  <c r="BC6" i="3" s="1"/>
  <c r="BB10" i="2"/>
  <c r="BB6" i="3" s="1"/>
  <c r="BA10" i="2"/>
  <c r="BA6" i="3" s="1"/>
  <c r="AZ10" i="2"/>
  <c r="AZ6" i="3" s="1"/>
  <c r="AY10" i="2"/>
  <c r="AY6" i="3" s="1"/>
  <c r="AX10" i="2"/>
  <c r="AX6" i="3" s="1"/>
  <c r="AW10" i="2"/>
  <c r="AV10" i="2"/>
  <c r="AU10" i="2"/>
  <c r="AS10" i="2"/>
  <c r="AS6" i="3" s="1"/>
  <c r="AR10" i="2"/>
  <c r="AR6" i="3" s="1"/>
  <c r="AQ10" i="2"/>
  <c r="AQ6" i="3" s="1"/>
  <c r="AP10" i="2"/>
  <c r="AP6" i="3" s="1"/>
  <c r="AO10" i="2"/>
  <c r="AO6" i="3" s="1"/>
  <c r="AN10" i="2"/>
  <c r="AN6" i="3" s="1"/>
  <c r="AM10" i="2"/>
  <c r="AM6" i="3" s="1"/>
  <c r="AL10" i="2"/>
  <c r="AL6" i="3" s="1"/>
  <c r="AK10" i="2"/>
  <c r="AK6" i="3" s="1"/>
  <c r="AJ10" i="2"/>
  <c r="AJ6" i="3" s="1"/>
  <c r="AI10" i="2"/>
  <c r="AI6" i="3" s="1"/>
  <c r="AH10" i="2"/>
  <c r="AH6" i="3" s="1"/>
  <c r="AG10" i="2"/>
  <c r="AG6" i="3" s="1"/>
  <c r="AF10" i="2"/>
  <c r="AE10" i="2"/>
  <c r="AD10" i="2"/>
  <c r="AD6" i="3" s="1"/>
  <c r="AC10" i="2"/>
  <c r="AC6" i="3" s="1"/>
  <c r="AB10" i="2"/>
  <c r="AB6" i="3" s="1"/>
  <c r="AA10" i="2"/>
  <c r="AA6" i="3" s="1"/>
  <c r="Z10" i="2"/>
  <c r="Z6" i="3" s="1"/>
  <c r="Y10" i="2"/>
  <c r="Y6" i="3" s="1"/>
  <c r="X10" i="2"/>
  <c r="X6" i="3" s="1"/>
  <c r="W10" i="2"/>
  <c r="W6" i="3" s="1"/>
  <c r="V10" i="2"/>
  <c r="V6" i="3" s="1"/>
  <c r="U10" i="2"/>
  <c r="U6" i="3" s="1"/>
  <c r="T10" i="2"/>
  <c r="T6" i="3" s="1"/>
  <c r="S10" i="2"/>
  <c r="S6" i="3" s="1"/>
  <c r="R10" i="2"/>
  <c r="R6" i="3" s="1"/>
  <c r="Q10" i="2"/>
  <c r="Q6" i="3" s="1"/>
  <c r="P10" i="2"/>
  <c r="P6" i="3" s="1"/>
  <c r="O10" i="2"/>
  <c r="O6" i="3" s="1"/>
  <c r="N10" i="2"/>
  <c r="N6" i="3" s="1"/>
  <c r="M10" i="2"/>
  <c r="M6" i="3" s="1"/>
  <c r="L10" i="2"/>
  <c r="L6" i="3" s="1"/>
  <c r="K10" i="2"/>
  <c r="K6" i="3" s="1"/>
  <c r="J10" i="2"/>
  <c r="J6" i="3" s="1"/>
  <c r="I10" i="2"/>
  <c r="I6" i="3" s="1"/>
  <c r="H10" i="2"/>
  <c r="H6" i="3" s="1"/>
  <c r="G10" i="2"/>
  <c r="G6" i="3" s="1"/>
  <c r="F10" i="2"/>
  <c r="F6" i="3" s="1"/>
  <c r="E10" i="2"/>
  <c r="E6" i="3" s="1"/>
  <c r="D10" i="2"/>
  <c r="D6" i="3" s="1"/>
  <c r="C10" i="2"/>
  <c r="C6" i="3" s="1"/>
  <c r="B10" i="2"/>
  <c r="B6" i="3" s="1"/>
  <c r="BB9" i="2"/>
  <c r="AL9" i="2"/>
  <c r="AK9" i="2"/>
  <c r="AK17" i="2" s="1"/>
  <c r="AJ9" i="2"/>
  <c r="AJ17" i="2" s="1"/>
  <c r="AI9" i="2"/>
  <c r="AI17" i="2" s="1"/>
  <c r="AH9" i="2"/>
  <c r="AH17" i="2" s="1"/>
  <c r="AG9" i="2"/>
  <c r="AG17" i="2" s="1"/>
  <c r="AF9" i="2"/>
  <c r="AE9" i="2"/>
  <c r="AD9" i="2"/>
  <c r="AC9" i="2"/>
  <c r="AB9" i="2"/>
  <c r="AB17" i="2" s="1"/>
  <c r="AA9" i="2"/>
  <c r="AA17" i="2" s="1"/>
  <c r="Z9" i="2"/>
  <c r="Z17" i="2" s="1"/>
  <c r="Y9" i="2"/>
  <c r="Y17" i="2" s="1"/>
  <c r="X9" i="2"/>
  <c r="X17" i="2" s="1"/>
  <c r="W9" i="2"/>
  <c r="W17" i="2" s="1"/>
  <c r="V9" i="2"/>
  <c r="V17" i="2" s="1"/>
  <c r="U9" i="2"/>
  <c r="U17" i="2" s="1"/>
  <c r="T9" i="2"/>
  <c r="S9" i="2"/>
  <c r="R9" i="2"/>
  <c r="Q9" i="2"/>
  <c r="Q17" i="2" s="1"/>
  <c r="P9" i="2"/>
  <c r="P17" i="2" s="1"/>
  <c r="O9" i="2"/>
  <c r="O17" i="2" s="1"/>
  <c r="N9" i="2"/>
  <c r="AX9" i="2" s="1"/>
  <c r="M9" i="2"/>
  <c r="M17" i="2" s="1"/>
  <c r="L9" i="2"/>
  <c r="L17" i="2" s="1"/>
  <c r="K9" i="2"/>
  <c r="K17" i="2" s="1"/>
  <c r="J9" i="2"/>
  <c r="J17" i="2" s="1"/>
  <c r="I9" i="2"/>
  <c r="I17" i="2" s="1"/>
  <c r="H9" i="2"/>
  <c r="G9" i="2"/>
  <c r="F9" i="2"/>
  <c r="E9" i="2"/>
  <c r="I57" i="2" s="1"/>
  <c r="D9" i="2"/>
  <c r="D17" i="2" s="1"/>
  <c r="C9" i="2"/>
  <c r="C17" i="2" s="1"/>
  <c r="B9" i="2"/>
  <c r="B17" i="2" s="1"/>
  <c r="BB8" i="2"/>
  <c r="AY8" i="2"/>
  <c r="AS8" i="2"/>
  <c r="AQ8" i="2"/>
  <c r="AP8" i="2"/>
  <c r="AO8" i="2"/>
  <c r="AN8" i="2"/>
  <c r="AM8" i="2"/>
  <c r="AL8" i="2"/>
  <c r="BD8" i="2" s="1"/>
  <c r="AK8" i="2"/>
  <c r="AJ8" i="2"/>
  <c r="BC8" i="2" s="1"/>
  <c r="AI8" i="2"/>
  <c r="AH8" i="2"/>
  <c r="AG8" i="2"/>
  <c r="AF8" i="2"/>
  <c r="AE8" i="2"/>
  <c r="AD8" i="2"/>
  <c r="AC8" i="2"/>
  <c r="AB8" i="2"/>
  <c r="BA8" i="2" s="1"/>
  <c r="AA8" i="2"/>
  <c r="Z8" i="2"/>
  <c r="Y8" i="2"/>
  <c r="X8" i="2"/>
  <c r="AZ8" i="2" s="1"/>
  <c r="W8" i="2"/>
  <c r="V8" i="2"/>
  <c r="U8" i="2"/>
  <c r="T8" i="2"/>
  <c r="S8" i="2"/>
  <c r="R8" i="2"/>
  <c r="Q8" i="2"/>
  <c r="P8" i="2"/>
  <c r="O8" i="2"/>
  <c r="N8" i="2"/>
  <c r="AX8" i="2" s="1"/>
  <c r="M8" i="2"/>
  <c r="L8" i="2"/>
  <c r="AW8" i="2" s="1"/>
  <c r="K8" i="2"/>
  <c r="J8" i="2"/>
  <c r="I8" i="2"/>
  <c r="H8" i="2"/>
  <c r="G8" i="2"/>
  <c r="F8" i="2"/>
  <c r="AV8" i="2" s="1"/>
  <c r="E8" i="2"/>
  <c r="D8" i="2"/>
  <c r="C8" i="2"/>
  <c r="B8" i="2"/>
  <c r="AU8" i="2" s="1"/>
  <c r="AX7" i="2"/>
  <c r="AU7" i="2"/>
  <c r="AL7" i="2"/>
  <c r="AK7" i="2"/>
  <c r="AJ7" i="2"/>
  <c r="AI7" i="2"/>
  <c r="AH7" i="2"/>
  <c r="BC7" i="2" s="1"/>
  <c r="AG7" i="2"/>
  <c r="AF7" i="2"/>
  <c r="AE7" i="2"/>
  <c r="AD7" i="2"/>
  <c r="BB7" i="2" s="1"/>
  <c r="AC7" i="2"/>
  <c r="AB7" i="2"/>
  <c r="AA7" i="2"/>
  <c r="Z7" i="2"/>
  <c r="BA7" i="2" s="1"/>
  <c r="Y7" i="2"/>
  <c r="X7" i="2"/>
  <c r="W7" i="2"/>
  <c r="V7" i="2"/>
  <c r="AZ7" i="2" s="1"/>
  <c r="U7" i="2"/>
  <c r="T7" i="2"/>
  <c r="S7" i="2"/>
  <c r="AY7" i="2" s="1"/>
  <c r="R7" i="2"/>
  <c r="Q7" i="2"/>
  <c r="P7" i="2"/>
  <c r="O7" i="2"/>
  <c r="N7" i="2"/>
  <c r="M7" i="2"/>
  <c r="L7" i="2"/>
  <c r="K7" i="2"/>
  <c r="J7" i="2"/>
  <c r="AW7" i="2" s="1"/>
  <c r="I7" i="2"/>
  <c r="H7" i="2"/>
  <c r="G7" i="2"/>
  <c r="AV7" i="2" s="1"/>
  <c r="F7" i="2"/>
  <c r="E7" i="2"/>
  <c r="D7" i="2"/>
  <c r="C7" i="2"/>
  <c r="B7" i="2"/>
  <c r="BC6" i="2"/>
  <c r="AY6" i="2"/>
  <c r="AS6" i="2"/>
  <c r="AR6" i="2"/>
  <c r="AQ6" i="2"/>
  <c r="AO6" i="2"/>
  <c r="AN6" i="2"/>
  <c r="AM6" i="2"/>
  <c r="AL6" i="2"/>
  <c r="BD6" i="2" s="1"/>
  <c r="AK6" i="2"/>
  <c r="AJ6" i="2"/>
  <c r="AI6" i="2"/>
  <c r="AH6" i="2"/>
  <c r="AG6" i="2"/>
  <c r="AF6" i="2"/>
  <c r="AE6" i="2"/>
  <c r="AD6" i="2"/>
  <c r="BB6" i="2" s="1"/>
  <c r="AC6" i="2"/>
  <c r="AB6" i="2"/>
  <c r="AA6" i="2"/>
  <c r="Z6" i="2"/>
  <c r="BA6" i="2" s="1"/>
  <c r="Y6" i="2"/>
  <c r="X6" i="2"/>
  <c r="W6" i="2"/>
  <c r="V6" i="2"/>
  <c r="AZ6" i="2" s="1"/>
  <c r="U6" i="2"/>
  <c r="T6" i="2"/>
  <c r="S6" i="2"/>
  <c r="R6" i="2"/>
  <c r="Q6" i="2"/>
  <c r="P6" i="2"/>
  <c r="O6" i="2"/>
  <c r="N6" i="2"/>
  <c r="AX6" i="2" s="1"/>
  <c r="M6" i="2"/>
  <c r="L6" i="2"/>
  <c r="K6" i="2"/>
  <c r="J6" i="2"/>
  <c r="AW6" i="2" s="1"/>
  <c r="I6" i="2"/>
  <c r="H6" i="2"/>
  <c r="G6" i="2"/>
  <c r="F6" i="2"/>
  <c r="AV6" i="2" s="1"/>
  <c r="E6" i="2"/>
  <c r="D6" i="2"/>
  <c r="C6" i="2"/>
  <c r="B6" i="2"/>
  <c r="AU6" i="2" s="1"/>
  <c r="AH3" i="2"/>
  <c r="BC2" i="2"/>
  <c r="C12" i="1"/>
  <c r="I97" i="2" l="1"/>
  <c r="M59" i="2"/>
  <c r="I69" i="2"/>
  <c r="U97" i="2"/>
  <c r="Y59" i="2"/>
  <c r="U69" i="2"/>
  <c r="U25" i="2"/>
  <c r="AG97" i="2"/>
  <c r="AK59" i="2"/>
  <c r="AG69" i="2"/>
  <c r="AG25" i="2"/>
  <c r="Y74" i="2"/>
  <c r="AC63" i="2"/>
  <c r="AK74" i="2"/>
  <c r="BB62" i="2"/>
  <c r="J97" i="2"/>
  <c r="J69" i="2"/>
  <c r="AW17" i="2"/>
  <c r="V97" i="2"/>
  <c r="Z59" i="2"/>
  <c r="V69" i="2"/>
  <c r="V25" i="2"/>
  <c r="AZ17" i="2"/>
  <c r="AH97" i="2"/>
  <c r="AH69" i="2"/>
  <c r="AL69" i="2" s="1"/>
  <c r="BC17" i="2"/>
  <c r="AH25" i="2"/>
  <c r="Z74" i="2"/>
  <c r="AD63" i="2"/>
  <c r="BA24" i="2"/>
  <c r="K97" i="2"/>
  <c r="O59" i="2"/>
  <c r="K69" i="2"/>
  <c r="W97" i="2"/>
  <c r="W69" i="2"/>
  <c r="AA59" i="2"/>
  <c r="W25" i="2"/>
  <c r="AI97" i="2"/>
  <c r="AI69" i="2"/>
  <c r="AM69" i="2" s="1"/>
  <c r="AI25" i="2"/>
  <c r="B74" i="2"/>
  <c r="AU24" i="2"/>
  <c r="BB73" i="2"/>
  <c r="BC62" i="2"/>
  <c r="P59" i="2"/>
  <c r="L97" i="2"/>
  <c r="L69" i="2"/>
  <c r="AB59" i="2"/>
  <c r="X69" i="2"/>
  <c r="X97" i="2"/>
  <c r="X25" i="2"/>
  <c r="AJ97" i="2"/>
  <c r="AJ69" i="2"/>
  <c r="AJ25" i="2"/>
  <c r="AB74" i="2"/>
  <c r="M69" i="2"/>
  <c r="M97" i="2"/>
  <c r="Q59" i="2"/>
  <c r="Y69" i="2"/>
  <c r="Y97" i="2"/>
  <c r="Y25" i="2"/>
  <c r="AK69" i="2"/>
  <c r="AK97" i="2"/>
  <c r="AK25" i="2"/>
  <c r="D74" i="2"/>
  <c r="AC74" i="2"/>
  <c r="AG63" i="2"/>
  <c r="B69" i="2"/>
  <c r="B97" i="2"/>
  <c r="B25" i="2"/>
  <c r="AY57" i="2"/>
  <c r="Z69" i="2"/>
  <c r="Z97" i="2"/>
  <c r="Z25" i="2"/>
  <c r="E74" i="2"/>
  <c r="C97" i="2"/>
  <c r="C69" i="2"/>
  <c r="C25" i="2"/>
  <c r="O97" i="2"/>
  <c r="O69" i="2"/>
  <c r="AA97" i="2"/>
  <c r="AA69" i="2"/>
  <c r="AA25" i="2"/>
  <c r="AJ74" i="2"/>
  <c r="D97" i="2"/>
  <c r="D69" i="2"/>
  <c r="H59" i="2"/>
  <c r="D25" i="2"/>
  <c r="P97" i="2"/>
  <c r="P69" i="2"/>
  <c r="T59" i="2"/>
  <c r="AB97" i="2"/>
  <c r="AB69" i="2"/>
  <c r="AF59" i="2"/>
  <c r="AB25" i="2"/>
  <c r="Q97" i="2"/>
  <c r="Q69" i="2"/>
  <c r="U59" i="2"/>
  <c r="X74" i="2"/>
  <c r="AB63" i="2"/>
  <c r="V74" i="2"/>
  <c r="Z63" i="2"/>
  <c r="AZ24" i="2"/>
  <c r="AH74" i="2"/>
  <c r="BC24" i="2"/>
  <c r="W74" i="2"/>
  <c r="AA63" i="2"/>
  <c r="AI74" i="2"/>
  <c r="T97" i="2"/>
  <c r="T69" i="2"/>
  <c r="X59" i="2"/>
  <c r="D73" i="2"/>
  <c r="H62" i="2"/>
  <c r="BC34" i="2"/>
  <c r="AL34" i="2"/>
  <c r="F67" i="5"/>
  <c r="F74" i="5" s="1"/>
  <c r="F59" i="4"/>
  <c r="J57" i="2"/>
  <c r="R67" i="5"/>
  <c r="R59" i="4"/>
  <c r="V57" i="2"/>
  <c r="AD67" i="5"/>
  <c r="AD59" i="4"/>
  <c r="AH57" i="2"/>
  <c r="BC9" i="2"/>
  <c r="D68" i="5"/>
  <c r="D60" i="4"/>
  <c r="H58" i="2"/>
  <c r="P68" i="5"/>
  <c r="P60" i="4"/>
  <c r="P67" i="4" s="1"/>
  <c r="T58" i="2"/>
  <c r="AB68" i="5"/>
  <c r="AB60" i="4"/>
  <c r="AB67" i="4" s="1"/>
  <c r="AF58" i="2"/>
  <c r="BA16" i="2"/>
  <c r="BB58" i="2" s="1"/>
  <c r="N70" i="2"/>
  <c r="Z70" i="2"/>
  <c r="AL70" i="2"/>
  <c r="AY70" i="2"/>
  <c r="AE69" i="5"/>
  <c r="AE71" i="2"/>
  <c r="AI60" i="2"/>
  <c r="X61" i="4"/>
  <c r="X72" i="2"/>
  <c r="AB61" i="2"/>
  <c r="AJ61" i="4"/>
  <c r="AJ72" i="2"/>
  <c r="AN72" i="2" s="1"/>
  <c r="AR72" i="2" s="1"/>
  <c r="E73" i="2"/>
  <c r="I62" i="2"/>
  <c r="AC73" i="2"/>
  <c r="AG62" i="2"/>
  <c r="H76" i="2"/>
  <c r="T76" i="2"/>
  <c r="AF76" i="2"/>
  <c r="AL125" i="2"/>
  <c r="AM35" i="2"/>
  <c r="H97" i="2"/>
  <c r="H69" i="2"/>
  <c r="L59" i="2"/>
  <c r="F69" i="5"/>
  <c r="F71" i="2"/>
  <c r="G67" i="5"/>
  <c r="G59" i="4"/>
  <c r="K57" i="2"/>
  <c r="S67" i="5"/>
  <c r="S59" i="4"/>
  <c r="W57" i="2"/>
  <c r="AE67" i="5"/>
  <c r="AE59" i="4"/>
  <c r="AI57" i="2"/>
  <c r="E68" i="5"/>
  <c r="E60" i="4"/>
  <c r="E67" i="4" s="1"/>
  <c r="I58" i="2"/>
  <c r="Q68" i="5"/>
  <c r="Q60" i="4"/>
  <c r="Q67" i="4" s="1"/>
  <c r="U58" i="2"/>
  <c r="AC68" i="5"/>
  <c r="AC60" i="4"/>
  <c r="AC67" i="4" s="1"/>
  <c r="AG58" i="2"/>
  <c r="O70" i="2"/>
  <c r="AA70" i="2"/>
  <c r="AM70" i="2"/>
  <c r="AZ70" i="2"/>
  <c r="T69" i="5"/>
  <c r="T71" i="2"/>
  <c r="X60" i="2"/>
  <c r="AF69" i="5"/>
  <c r="AF71" i="2"/>
  <c r="AJ60" i="2"/>
  <c r="Y61" i="4"/>
  <c r="Y72" i="2"/>
  <c r="AC61" i="2"/>
  <c r="AK61" i="4"/>
  <c r="AK72" i="2"/>
  <c r="AO72" i="2" s="1"/>
  <c r="AS72" i="2" s="1"/>
  <c r="F73" i="2"/>
  <c r="J62" i="2"/>
  <c r="AD73" i="2"/>
  <c r="AH62" i="2"/>
  <c r="I76" i="2"/>
  <c r="U76" i="2"/>
  <c r="AG76" i="2"/>
  <c r="AY37" i="2"/>
  <c r="AC61" i="5"/>
  <c r="AC103" i="2"/>
  <c r="AY76" i="2"/>
  <c r="BC57" i="2"/>
  <c r="AD69" i="5"/>
  <c r="AH60" i="2"/>
  <c r="AD71" i="2"/>
  <c r="H67" i="5"/>
  <c r="H59" i="4"/>
  <c r="L57" i="2"/>
  <c r="T67" i="5"/>
  <c r="T80" i="5" s="1"/>
  <c r="T59" i="4"/>
  <c r="X57" i="2"/>
  <c r="AF67" i="5"/>
  <c r="AF59" i="4"/>
  <c r="AJ57" i="2"/>
  <c r="F68" i="5"/>
  <c r="F60" i="4"/>
  <c r="F67" i="4" s="1"/>
  <c r="J58" i="2"/>
  <c r="R68" i="5"/>
  <c r="R60" i="4"/>
  <c r="R67" i="4" s="1"/>
  <c r="V58" i="2"/>
  <c r="AD68" i="5"/>
  <c r="AD60" i="4"/>
  <c r="AD67" i="4" s="1"/>
  <c r="AH58" i="2"/>
  <c r="P70" i="2"/>
  <c r="AB70" i="2"/>
  <c r="AN70" i="2"/>
  <c r="BA70" i="2"/>
  <c r="U69" i="5"/>
  <c r="U71" i="2"/>
  <c r="Y60" i="2"/>
  <c r="AG69" i="5"/>
  <c r="AG71" i="2"/>
  <c r="AK60" i="2"/>
  <c r="B61" i="4"/>
  <c r="B72" i="2"/>
  <c r="F61" i="2"/>
  <c r="Z61" i="4"/>
  <c r="Z72" i="2"/>
  <c r="AD61" i="2"/>
  <c r="G73" i="2"/>
  <c r="AE73" i="2"/>
  <c r="J76" i="2"/>
  <c r="V76" i="2"/>
  <c r="AG102" i="2"/>
  <c r="BB52" i="2"/>
  <c r="AG74" i="2"/>
  <c r="AK63" i="2"/>
  <c r="I67" i="5"/>
  <c r="I59" i="4"/>
  <c r="M57" i="2"/>
  <c r="U67" i="5"/>
  <c r="U59" i="4"/>
  <c r="Y57" i="2"/>
  <c r="AG67" i="5"/>
  <c r="AG59" i="4"/>
  <c r="AK57" i="2"/>
  <c r="G68" i="5"/>
  <c r="G60" i="4"/>
  <c r="G67" i="4" s="1"/>
  <c r="K58" i="2"/>
  <c r="S68" i="5"/>
  <c r="S60" i="4"/>
  <c r="S67" i="4" s="1"/>
  <c r="W58" i="2"/>
  <c r="AE68" i="5"/>
  <c r="AE60" i="4"/>
  <c r="AE67" i="4" s="1"/>
  <c r="AI58" i="2"/>
  <c r="Q70" i="2"/>
  <c r="AC70" i="2"/>
  <c r="AO70" i="2"/>
  <c r="BB70" i="2"/>
  <c r="V69" i="5"/>
  <c r="V71" i="2"/>
  <c r="Z60" i="2"/>
  <c r="AH69" i="5"/>
  <c r="AH71" i="2"/>
  <c r="AL71" i="2" s="1"/>
  <c r="AP71" i="2" s="1"/>
  <c r="AU21" i="2"/>
  <c r="C61" i="4"/>
  <c r="C72" i="2"/>
  <c r="G61" i="2"/>
  <c r="AA61" i="4"/>
  <c r="AA72" i="2"/>
  <c r="AE61" i="2"/>
  <c r="H73" i="2"/>
  <c r="T73" i="2"/>
  <c r="X62" i="2"/>
  <c r="AF73" i="2"/>
  <c r="AJ62" i="2"/>
  <c r="K76" i="2"/>
  <c r="W76" i="2"/>
  <c r="AI76" i="2"/>
  <c r="AC67" i="5"/>
  <c r="AC59" i="4"/>
  <c r="AA68" i="5"/>
  <c r="AA60" i="4"/>
  <c r="AA67" i="4" s="1"/>
  <c r="J67" i="5"/>
  <c r="J74" i="5" s="1"/>
  <c r="J59" i="4"/>
  <c r="N57" i="2"/>
  <c r="V67" i="5"/>
  <c r="V59" i="4"/>
  <c r="Z57" i="2"/>
  <c r="AH67" i="5"/>
  <c r="AH59" i="4"/>
  <c r="AL57" i="2"/>
  <c r="AU9" i="2"/>
  <c r="H68" i="5"/>
  <c r="H60" i="4"/>
  <c r="H67" i="4" s="1"/>
  <c r="L58" i="2"/>
  <c r="T68" i="5"/>
  <c r="T60" i="4"/>
  <c r="T67" i="4" s="1"/>
  <c r="X58" i="2"/>
  <c r="AF68" i="5"/>
  <c r="AF60" i="4"/>
  <c r="AF67" i="4" s="1"/>
  <c r="AJ58" i="2"/>
  <c r="R70" i="2"/>
  <c r="AD70" i="2"/>
  <c r="AP70" i="2"/>
  <c r="BC70" i="2"/>
  <c r="W69" i="5"/>
  <c r="W71" i="2"/>
  <c r="AI69" i="5"/>
  <c r="AI71" i="2"/>
  <c r="AM71" i="2" s="1"/>
  <c r="AQ71" i="2" s="1"/>
  <c r="D61" i="4"/>
  <c r="D72" i="2"/>
  <c r="H61" i="2"/>
  <c r="AB61" i="4"/>
  <c r="AB72" i="2"/>
  <c r="AF61" i="2"/>
  <c r="BA22" i="2"/>
  <c r="I73" i="2"/>
  <c r="U73" i="2"/>
  <c r="Y62" i="2"/>
  <c r="AG73" i="2"/>
  <c r="AK62" i="2"/>
  <c r="L76" i="2"/>
  <c r="X76" i="2"/>
  <c r="BC103" i="2"/>
  <c r="BC137" i="2"/>
  <c r="AF97" i="2"/>
  <c r="AF69" i="2"/>
  <c r="AJ59" i="2"/>
  <c r="AR109" i="2"/>
  <c r="BC2" i="5"/>
  <c r="BC2" i="4"/>
  <c r="BC2" i="3"/>
  <c r="K67" i="5"/>
  <c r="K59" i="4"/>
  <c r="O57" i="2"/>
  <c r="W67" i="5"/>
  <c r="W59" i="4"/>
  <c r="AA57" i="2"/>
  <c r="AI67" i="5"/>
  <c r="AI59" i="4"/>
  <c r="AV9" i="2"/>
  <c r="AV72" i="2" s="1"/>
  <c r="I68" i="5"/>
  <c r="I60" i="4"/>
  <c r="I67" i="4" s="1"/>
  <c r="M58" i="2"/>
  <c r="U68" i="5"/>
  <c r="U60" i="4"/>
  <c r="U67" i="4" s="1"/>
  <c r="Y58" i="2"/>
  <c r="AG68" i="5"/>
  <c r="AG60" i="4"/>
  <c r="AG67" i="4" s="1"/>
  <c r="AK58" i="2"/>
  <c r="N17" i="2"/>
  <c r="N59" i="2" s="1"/>
  <c r="S70" i="2"/>
  <c r="AQ70" i="2"/>
  <c r="X69" i="5"/>
  <c r="AB60" i="2"/>
  <c r="AJ69" i="5"/>
  <c r="AJ71" i="2"/>
  <c r="AN71" i="2" s="1"/>
  <c r="AR71" i="2" s="1"/>
  <c r="E61" i="4"/>
  <c r="E72" i="2"/>
  <c r="I61" i="2"/>
  <c r="AC61" i="4"/>
  <c r="AG61" i="2"/>
  <c r="AC72" i="2"/>
  <c r="BB72" i="2"/>
  <c r="BC61" i="2"/>
  <c r="Z62" i="2"/>
  <c r="V73" i="2"/>
  <c r="AH73" i="2"/>
  <c r="AL62" i="2"/>
  <c r="AU23" i="2"/>
  <c r="C74" i="2"/>
  <c r="AA74" i="2"/>
  <c r="M76" i="2"/>
  <c r="Y76" i="2"/>
  <c r="AK76" i="2"/>
  <c r="AX76" i="2"/>
  <c r="X71" i="2"/>
  <c r="AY83" i="2"/>
  <c r="S82" i="2"/>
  <c r="AY82" i="2" s="1"/>
  <c r="C68" i="5"/>
  <c r="C60" i="4"/>
  <c r="U74" i="2"/>
  <c r="Y63" i="2"/>
  <c r="BD2" i="2"/>
  <c r="L67" i="5"/>
  <c r="L59" i="4"/>
  <c r="P57" i="2"/>
  <c r="X67" i="5"/>
  <c r="X59" i="4"/>
  <c r="AB57" i="2"/>
  <c r="AJ67" i="5"/>
  <c r="AJ59" i="4"/>
  <c r="AW9" i="2"/>
  <c r="AX57" i="2" s="1"/>
  <c r="J68" i="5"/>
  <c r="J60" i="4"/>
  <c r="J67" i="4" s="1"/>
  <c r="N58" i="2"/>
  <c r="V68" i="5"/>
  <c r="V60" i="4"/>
  <c r="V67" i="4" s="1"/>
  <c r="Z58" i="2"/>
  <c r="AH68" i="5"/>
  <c r="AH60" i="4"/>
  <c r="AH67" i="4" s="1"/>
  <c r="AL67" i="4" s="1"/>
  <c r="AP67" i="4" s="1"/>
  <c r="AU16" i="2"/>
  <c r="H70" i="2"/>
  <c r="T70" i="2"/>
  <c r="AF70" i="2"/>
  <c r="AR70" i="2"/>
  <c r="BE70" i="2"/>
  <c r="Y69" i="5"/>
  <c r="Y71" i="2"/>
  <c r="AC60" i="2"/>
  <c r="AK69" i="5"/>
  <c r="AK71" i="2"/>
  <c r="AO71" i="2" s="1"/>
  <c r="AS71" i="2" s="1"/>
  <c r="F61" i="4"/>
  <c r="F72" i="2"/>
  <c r="J61" i="2"/>
  <c r="AD61" i="4"/>
  <c r="AD72" i="2"/>
  <c r="AH61" i="2"/>
  <c r="W73" i="2"/>
  <c r="AA62" i="2"/>
  <c r="AI73" i="2"/>
  <c r="AV23" i="2"/>
  <c r="N76" i="2"/>
  <c r="Z76" i="2"/>
  <c r="BC71" i="2"/>
  <c r="AR8" i="2"/>
  <c r="BE8" i="2" s="1"/>
  <c r="M67" i="5"/>
  <c r="M59" i="4"/>
  <c r="Q57" i="2"/>
  <c r="Y67" i="5"/>
  <c r="Y59" i="4"/>
  <c r="AC57" i="2"/>
  <c r="AK67" i="5"/>
  <c r="AK59" i="4"/>
  <c r="K68" i="5"/>
  <c r="K60" i="4"/>
  <c r="K67" i="4" s="1"/>
  <c r="O58" i="2"/>
  <c r="W68" i="5"/>
  <c r="W60" i="4"/>
  <c r="W67" i="4" s="1"/>
  <c r="AA58" i="2"/>
  <c r="AI68" i="5"/>
  <c r="AI60" i="4"/>
  <c r="AI67" i="4" s="1"/>
  <c r="AM67" i="4" s="1"/>
  <c r="AQ67" i="4" s="1"/>
  <c r="AV16" i="2"/>
  <c r="I70" i="2"/>
  <c r="U70" i="2"/>
  <c r="AG70" i="2"/>
  <c r="AS70" i="2"/>
  <c r="B69" i="5"/>
  <c r="B71" i="2"/>
  <c r="F60" i="2"/>
  <c r="Z69" i="5"/>
  <c r="Z71" i="2"/>
  <c r="AD60" i="2"/>
  <c r="G61" i="4"/>
  <c r="G72" i="2"/>
  <c r="AE61" i="4"/>
  <c r="AE72" i="2"/>
  <c r="AI61" i="2"/>
  <c r="X73" i="2"/>
  <c r="AB62" i="2"/>
  <c r="AJ73" i="2"/>
  <c r="O76" i="2"/>
  <c r="AA76" i="2"/>
  <c r="AM76" i="2"/>
  <c r="J73" i="2"/>
  <c r="BA58" i="2"/>
  <c r="AI61" i="4"/>
  <c r="AI72" i="2"/>
  <c r="AM72" i="2" s="1"/>
  <c r="AQ72" i="2" s="1"/>
  <c r="AG57" i="2"/>
  <c r="AH3" i="5"/>
  <c r="BW3" i="5" s="1"/>
  <c r="AH57" i="4"/>
  <c r="AH3" i="4"/>
  <c r="AH64" i="3"/>
  <c r="AH88" i="3"/>
  <c r="AH3" i="3"/>
  <c r="AH28" i="3"/>
  <c r="AH105" i="2"/>
  <c r="AH80" i="2"/>
  <c r="AH55" i="2"/>
  <c r="B67" i="5"/>
  <c r="B74" i="5" s="1"/>
  <c r="B59" i="4"/>
  <c r="F57" i="2"/>
  <c r="N67" i="5"/>
  <c r="N59" i="4"/>
  <c r="R57" i="2"/>
  <c r="Z67" i="5"/>
  <c r="Z59" i="4"/>
  <c r="AD57" i="2"/>
  <c r="AL67" i="5"/>
  <c r="AL59" i="4"/>
  <c r="AL147" i="2"/>
  <c r="AY9" i="2"/>
  <c r="L68" i="5"/>
  <c r="L60" i="4"/>
  <c r="L67" i="4" s="1"/>
  <c r="P58" i="2"/>
  <c r="X68" i="5"/>
  <c r="X60" i="4"/>
  <c r="X67" i="4" s="1"/>
  <c r="AB58" i="2"/>
  <c r="AJ68" i="5"/>
  <c r="AJ60" i="4"/>
  <c r="AJ67" i="4" s="1"/>
  <c r="AN67" i="4" s="1"/>
  <c r="AR67" i="4" s="1"/>
  <c r="AW16" i="2"/>
  <c r="AX58" i="2" s="1"/>
  <c r="E17" i="2"/>
  <c r="AU17" i="2" s="1"/>
  <c r="AC17" i="2"/>
  <c r="AC59" i="2" s="1"/>
  <c r="J70" i="2"/>
  <c r="V70" i="2"/>
  <c r="AH70" i="2"/>
  <c r="C69" i="5"/>
  <c r="C71" i="2"/>
  <c r="AA69" i="5"/>
  <c r="AE60" i="2"/>
  <c r="AA71" i="2"/>
  <c r="AZ21" i="2"/>
  <c r="H61" i="4"/>
  <c r="H72" i="2"/>
  <c r="T61" i="4"/>
  <c r="X61" i="2"/>
  <c r="T72" i="2"/>
  <c r="AF61" i="4"/>
  <c r="AJ61" i="2"/>
  <c r="AF72" i="2"/>
  <c r="AC62" i="2"/>
  <c r="Y73" i="2"/>
  <c r="AK73" i="2"/>
  <c r="F24" i="2"/>
  <c r="F63" i="2" s="1"/>
  <c r="AD24" i="2"/>
  <c r="P76" i="2"/>
  <c r="AB76" i="2"/>
  <c r="AZ34" i="2"/>
  <c r="AI62" i="2"/>
  <c r="Q67" i="5"/>
  <c r="Q59" i="4"/>
  <c r="O68" i="5"/>
  <c r="O60" i="4"/>
  <c r="O67" i="4" s="1"/>
  <c r="W61" i="4"/>
  <c r="W72" i="2"/>
  <c r="AA61" i="2"/>
  <c r="AL3" i="2"/>
  <c r="C67" i="5"/>
  <c r="C59" i="4"/>
  <c r="G57" i="2"/>
  <c r="O67" i="5"/>
  <c r="O59" i="4"/>
  <c r="S57" i="2"/>
  <c r="AA67" i="5"/>
  <c r="AA80" i="5" s="1"/>
  <c r="AA79" i="5" s="1"/>
  <c r="AA59" i="4"/>
  <c r="AE57" i="2"/>
  <c r="AZ9" i="2"/>
  <c r="BA57" i="2" s="1"/>
  <c r="M68" i="5"/>
  <c r="M60" i="4"/>
  <c r="M67" i="4" s="1"/>
  <c r="Q58" i="2"/>
  <c r="Y68" i="5"/>
  <c r="Y60" i="4"/>
  <c r="Y67" i="4" s="1"/>
  <c r="AC58" i="2"/>
  <c r="AK68" i="5"/>
  <c r="AK60" i="4"/>
  <c r="AK67" i="4" s="1"/>
  <c r="AO67" i="4" s="1"/>
  <c r="AS67" i="4" s="1"/>
  <c r="F17" i="2"/>
  <c r="F59" i="2" s="1"/>
  <c r="R17" i="2"/>
  <c r="AD17" i="2"/>
  <c r="K70" i="2"/>
  <c r="W70" i="2"/>
  <c r="AI70" i="2"/>
  <c r="D69" i="5"/>
  <c r="D71" i="2"/>
  <c r="AB69" i="5"/>
  <c r="AB71" i="2"/>
  <c r="AF60" i="2"/>
  <c r="BA21" i="2"/>
  <c r="I61" i="4"/>
  <c r="I72" i="2"/>
  <c r="U61" i="4"/>
  <c r="U72" i="2"/>
  <c r="AG61" i="4"/>
  <c r="AG72" i="2"/>
  <c r="B73" i="2"/>
  <c r="F62" i="2"/>
  <c r="Z73" i="2"/>
  <c r="AD62" i="2"/>
  <c r="AL23" i="2"/>
  <c r="AE24" i="2"/>
  <c r="Q76" i="2"/>
  <c r="E67" i="5"/>
  <c r="E59" i="4"/>
  <c r="AB73" i="2"/>
  <c r="AF62" i="2"/>
  <c r="D67" i="5"/>
  <c r="D59" i="4"/>
  <c r="H57" i="2"/>
  <c r="P67" i="5"/>
  <c r="P59" i="4"/>
  <c r="T57" i="2"/>
  <c r="AB67" i="5"/>
  <c r="AB59" i="4"/>
  <c r="AF57" i="2"/>
  <c r="BA9" i="2"/>
  <c r="B68" i="5"/>
  <c r="B60" i="4"/>
  <c r="F58" i="2"/>
  <c r="N68" i="5"/>
  <c r="N60" i="4"/>
  <c r="N67" i="4" s="1"/>
  <c r="R58" i="2"/>
  <c r="Z68" i="5"/>
  <c r="Z60" i="4"/>
  <c r="Z67" i="4" s="1"/>
  <c r="AD58" i="2"/>
  <c r="AY16" i="2"/>
  <c r="AZ58" i="2" s="1"/>
  <c r="G17" i="2"/>
  <c r="G59" i="2" s="1"/>
  <c r="S17" i="2"/>
  <c r="AE17" i="2"/>
  <c r="L70" i="2"/>
  <c r="X70" i="2"/>
  <c r="AJ70" i="2"/>
  <c r="E69" i="5"/>
  <c r="E71" i="2"/>
  <c r="AC69" i="5"/>
  <c r="AC71" i="2"/>
  <c r="AG60" i="2"/>
  <c r="BB21" i="2"/>
  <c r="J61" i="4"/>
  <c r="J72" i="2"/>
  <c r="V61" i="4"/>
  <c r="V72" i="2"/>
  <c r="Z61" i="2"/>
  <c r="AH61" i="4"/>
  <c r="AH72" i="2"/>
  <c r="AL72" i="2" s="1"/>
  <c r="AP72" i="2" s="1"/>
  <c r="AU22" i="2"/>
  <c r="C73" i="2"/>
  <c r="G62" i="2"/>
  <c r="AA73" i="2"/>
  <c r="AE62" i="2"/>
  <c r="AZ23" i="2"/>
  <c r="T24" i="2"/>
  <c r="T25" i="2" s="1"/>
  <c r="AF24" i="2"/>
  <c r="AF25" i="2" s="1"/>
  <c r="R76" i="2"/>
  <c r="AD76" i="2"/>
  <c r="U57" i="2"/>
  <c r="AL76" i="2"/>
  <c r="AD61" i="5"/>
  <c r="AD103" i="2"/>
  <c r="E80" i="5"/>
  <c r="AW86" i="2"/>
  <c r="AZ86" i="2"/>
  <c r="V85" i="2"/>
  <c r="BC86" i="2"/>
  <c r="AH85" i="2"/>
  <c r="U80" i="5"/>
  <c r="U79" i="5" s="1"/>
  <c r="AG80" i="5"/>
  <c r="AU92" i="2"/>
  <c r="D91" i="2"/>
  <c r="AZ76" i="2"/>
  <c r="AU82" i="2"/>
  <c r="AY91" i="2"/>
  <c r="AN76" i="2"/>
  <c r="BA76" i="2"/>
  <c r="AV37" i="2"/>
  <c r="H50" i="4"/>
  <c r="H103" i="2"/>
  <c r="T50" i="4"/>
  <c r="T51" i="4" s="1"/>
  <c r="T103" i="2"/>
  <c r="AF50" i="4"/>
  <c r="AF51" i="4" s="1"/>
  <c r="AF103" i="2"/>
  <c r="AA157" i="2"/>
  <c r="AC76" i="2"/>
  <c r="AO76" i="2"/>
  <c r="BB76" i="2"/>
  <c r="AW37" i="2"/>
  <c r="AL52" i="2"/>
  <c r="I50" i="4"/>
  <c r="I103" i="2"/>
  <c r="U50" i="4"/>
  <c r="U103" i="2"/>
  <c r="AG61" i="5"/>
  <c r="AG50" i="4"/>
  <c r="AG103" i="2"/>
  <c r="AP76" i="2"/>
  <c r="BC76" i="2"/>
  <c r="BA52" i="2"/>
  <c r="AH61" i="5"/>
  <c r="AH103" i="2"/>
  <c r="BD76" i="2"/>
  <c r="AJ61" i="5"/>
  <c r="AJ103" i="2"/>
  <c r="AR76" i="2"/>
  <c r="BE76" i="2"/>
  <c r="AM33" i="2"/>
  <c r="AM37" i="2"/>
  <c r="AZ37" i="2"/>
  <c r="BC52" i="2"/>
  <c r="AX82" i="2"/>
  <c r="D80" i="5"/>
  <c r="AB80" i="5"/>
  <c r="BC91" i="2"/>
  <c r="AS76" i="2"/>
  <c r="AL53" i="2"/>
  <c r="AC80" i="5"/>
  <c r="C80" i="5"/>
  <c r="BB90" i="2"/>
  <c r="AD88" i="2"/>
  <c r="BB88" i="2" s="1"/>
  <c r="AU94" i="2"/>
  <c r="B91" i="2"/>
  <c r="AU91" i="2" s="1"/>
  <c r="AX94" i="2"/>
  <c r="N91" i="2"/>
  <c r="Z91" i="2"/>
  <c r="BA94" i="2"/>
  <c r="BD94" i="2"/>
  <c r="AL91" i="2"/>
  <c r="K154" i="2"/>
  <c r="AH76" i="2"/>
  <c r="X82" i="2"/>
  <c r="AZ84" i="2"/>
  <c r="AJ82" i="2"/>
  <c r="BC84" i="2"/>
  <c r="F88" i="2"/>
  <c r="AV88" i="2" s="1"/>
  <c r="AV90" i="2"/>
  <c r="R88" i="2"/>
  <c r="AY88" i="2" s="1"/>
  <c r="AY90" i="2"/>
  <c r="O50" i="4"/>
  <c r="O103" i="2"/>
  <c r="AA50" i="4"/>
  <c r="AA103" i="2"/>
  <c r="BA53" i="2"/>
  <c r="AZ88" i="2"/>
  <c r="AJ76" i="2"/>
  <c r="P50" i="4"/>
  <c r="P103" i="2"/>
  <c r="AB50" i="4"/>
  <c r="AB103" i="2"/>
  <c r="BB53" i="2"/>
  <c r="AV83" i="2"/>
  <c r="BB83" i="2"/>
  <c r="AW84" i="2"/>
  <c r="AX92" i="2"/>
  <c r="G91" i="2"/>
  <c r="AV91" i="2" s="1"/>
  <c r="AV95" i="2"/>
  <c r="O82" i="2"/>
  <c r="AD80" i="5"/>
  <c r="AY84" i="2"/>
  <c r="AE80" i="5"/>
  <c r="BC92" i="2"/>
  <c r="BE109" i="2"/>
  <c r="AW113" i="2"/>
  <c r="J121" i="2"/>
  <c r="BC113" i="2"/>
  <c r="AH121" i="2"/>
  <c r="H147" i="2"/>
  <c r="AV146" i="2"/>
  <c r="T147" i="2"/>
  <c r="AY146" i="2"/>
  <c r="AF175" i="2"/>
  <c r="AF148" i="2"/>
  <c r="AV154" i="2"/>
  <c r="AF80" i="5"/>
  <c r="I175" i="2"/>
  <c r="I148" i="2"/>
  <c r="U175" i="2"/>
  <c r="U148" i="2"/>
  <c r="AG175" i="2"/>
  <c r="AG148" i="2"/>
  <c r="M175" i="2"/>
  <c r="M148" i="2"/>
  <c r="AK175" i="2"/>
  <c r="AL145" i="2"/>
  <c r="AL143" i="2"/>
  <c r="AK148" i="2"/>
  <c r="AL144" i="2"/>
  <c r="AL142" i="2"/>
  <c r="AQ160" i="2"/>
  <c r="F82" i="2"/>
  <c r="AV82" i="2" s="1"/>
  <c r="AD82" i="2"/>
  <c r="BB82" i="2" s="1"/>
  <c r="L88" i="2"/>
  <c r="AW88" i="2" s="1"/>
  <c r="BB89" i="2"/>
  <c r="O91" i="2"/>
  <c r="AA91" i="2"/>
  <c r="AJ121" i="2"/>
  <c r="AJ126" i="2" s="1"/>
  <c r="AJ129" i="2" s="1"/>
  <c r="AJ131" i="2" s="1"/>
  <c r="AJ133" i="2" s="1"/>
  <c r="J175" i="2"/>
  <c r="AW147" i="2"/>
  <c r="J148" i="2"/>
  <c r="V175" i="2"/>
  <c r="V148" i="2"/>
  <c r="AZ147" i="2"/>
  <c r="AZ148" i="2" s="1"/>
  <c r="AW83" i="2"/>
  <c r="AU85" i="2"/>
  <c r="Y126" i="2"/>
  <c r="Y129" i="2" s="1"/>
  <c r="Y131" i="2" s="1"/>
  <c r="Y133" i="2" s="1"/>
  <c r="K175" i="2"/>
  <c r="K148" i="2"/>
  <c r="W175" i="2"/>
  <c r="W148" i="2"/>
  <c r="K153" i="2"/>
  <c r="W80" i="5"/>
  <c r="BA86" i="2"/>
  <c r="AU113" i="2"/>
  <c r="B121" i="2"/>
  <c r="AX113" i="2"/>
  <c r="N121" i="2"/>
  <c r="Z126" i="2"/>
  <c r="BA121" i="2"/>
  <c r="F155" i="2"/>
  <c r="G152" i="2"/>
  <c r="X80" i="5"/>
  <c r="AJ80" i="5"/>
  <c r="BC120" i="2"/>
  <c r="AQ154" i="2"/>
  <c r="AR154" i="2" s="1"/>
  <c r="AS154" i="2" s="1"/>
  <c r="V157" i="2"/>
  <c r="AZ156" i="2"/>
  <c r="BC155" i="2"/>
  <c r="V82" i="2"/>
  <c r="AZ82" i="2" s="1"/>
  <c r="AH82" i="2"/>
  <c r="Y80" i="5"/>
  <c r="AK80" i="5"/>
  <c r="AW92" i="2"/>
  <c r="Z80" i="5"/>
  <c r="Z79" i="5" s="1"/>
  <c r="AL80" i="5"/>
  <c r="AL16" i="4"/>
  <c r="Y175" i="2"/>
  <c r="Y148" i="2"/>
  <c r="AV110" i="2"/>
  <c r="F113" i="2"/>
  <c r="AY110" i="2"/>
  <c r="R113" i="2"/>
  <c r="BB110" i="2"/>
  <c r="AD113" i="2"/>
  <c r="BA113" i="2"/>
  <c r="AQ163" i="2"/>
  <c r="AR163" i="2" s="1"/>
  <c r="AS163" i="2" s="1"/>
  <c r="AS107" i="2"/>
  <c r="BA85" i="2"/>
  <c r="V91" i="2"/>
  <c r="AZ91" i="2" s="1"/>
  <c r="AV108" i="2"/>
  <c r="AY108" i="2"/>
  <c r="BB108" i="2"/>
  <c r="AU120" i="2"/>
  <c r="AX120" i="2"/>
  <c r="E175" i="2"/>
  <c r="E148" i="2"/>
  <c r="Q175" i="2"/>
  <c r="Q148" i="2"/>
  <c r="AC175" i="2"/>
  <c r="AC148" i="2"/>
  <c r="B147" i="2"/>
  <c r="N147" i="2"/>
  <c r="Z147" i="2"/>
  <c r="AY147" i="2"/>
  <c r="AY148" i="2" s="1"/>
  <c r="G148" i="2"/>
  <c r="S148" i="2"/>
  <c r="AE148" i="2"/>
  <c r="W157" i="2"/>
  <c r="AJ157" i="2"/>
  <c r="AL165" i="2"/>
  <c r="BD162" i="2"/>
  <c r="BB175" i="2"/>
  <c r="BB93" i="3"/>
  <c r="BB101" i="3"/>
  <c r="BB94" i="3"/>
  <c r="BB105" i="3"/>
  <c r="N37" i="3"/>
  <c r="AI155" i="2"/>
  <c r="X157" i="2"/>
  <c r="AK157" i="2"/>
  <c r="AQ162" i="2"/>
  <c r="AR162" i="2" s="1"/>
  <c r="AS162" i="2" s="1"/>
  <c r="AI175" i="2"/>
  <c r="BC175" i="2"/>
  <c r="E101" i="3"/>
  <c r="E93" i="3"/>
  <c r="E105" i="3"/>
  <c r="E21" i="3"/>
  <c r="E16" i="3"/>
  <c r="E7" i="3"/>
  <c r="E30" i="3"/>
  <c r="E37" i="3" s="1"/>
  <c r="E26" i="3"/>
  <c r="Q101" i="3"/>
  <c r="Q93" i="3"/>
  <c r="Q58" i="3"/>
  <c r="Q105" i="3"/>
  <c r="Q21" i="3"/>
  <c r="Q16" i="3"/>
  <c r="Q7" i="3"/>
  <c r="Q30" i="3"/>
  <c r="Q26" i="3"/>
  <c r="AC58" i="3"/>
  <c r="AC60" i="3" s="1"/>
  <c r="AC105" i="3"/>
  <c r="AC21" i="3"/>
  <c r="AC16" i="3"/>
  <c r="AC7" i="3"/>
  <c r="AC30" i="3"/>
  <c r="AC26" i="3"/>
  <c r="AU20" i="3"/>
  <c r="AU21" i="3"/>
  <c r="AM18" i="3"/>
  <c r="AN20" i="3"/>
  <c r="BE23" i="3"/>
  <c r="AD83" i="3"/>
  <c r="Z37" i="3"/>
  <c r="Z34" i="3"/>
  <c r="BA30" i="3"/>
  <c r="AN153" i="2"/>
  <c r="AO153" i="2" s="1"/>
  <c r="AP153" i="2" s="1"/>
  <c r="Y157" i="2"/>
  <c r="AI176" i="2"/>
  <c r="AL37" i="3"/>
  <c r="AU110" i="2"/>
  <c r="AW146" i="2"/>
  <c r="BB147" i="2"/>
  <c r="BB148" i="2" s="1"/>
  <c r="AM152" i="2"/>
  <c r="BA155" i="2"/>
  <c r="B156" i="2"/>
  <c r="AU156" i="2" s="1"/>
  <c r="AO169" i="2"/>
  <c r="AN170" i="2"/>
  <c r="AV173" i="2"/>
  <c r="AY173" i="2"/>
  <c r="BD15" i="3"/>
  <c r="AV20" i="3"/>
  <c r="E85" i="4"/>
  <c r="AU33" i="3"/>
  <c r="BC164" i="2"/>
  <c r="AH165" i="2"/>
  <c r="BB173" i="2"/>
  <c r="AW20" i="3"/>
  <c r="AW25" i="3"/>
  <c r="AW110" i="2"/>
  <c r="V113" i="2"/>
  <c r="L148" i="2"/>
  <c r="X148" i="2"/>
  <c r="AJ148" i="2"/>
  <c r="AB157" i="2"/>
  <c r="T157" i="2"/>
  <c r="J165" i="2"/>
  <c r="AW165" i="2" s="1"/>
  <c r="AW164" i="2"/>
  <c r="V165" i="2"/>
  <c r="AZ164" i="2"/>
  <c r="AG61" i="3"/>
  <c r="AX110" i="2"/>
  <c r="BC119" i="2"/>
  <c r="AZ146" i="2"/>
  <c r="BC152" i="2"/>
  <c r="AC157" i="2"/>
  <c r="Z157" i="2"/>
  <c r="BA156" i="2"/>
  <c r="G86" i="4"/>
  <c r="G54" i="3"/>
  <c r="H31" i="3"/>
  <c r="AV32" i="3"/>
  <c r="G33" i="3"/>
  <c r="G85" i="4" s="1"/>
  <c r="S86" i="4"/>
  <c r="S54" i="3"/>
  <c r="S55" i="3" s="1"/>
  <c r="T31" i="3"/>
  <c r="AY32" i="3"/>
  <c r="AE86" i="4"/>
  <c r="AE54" i="3"/>
  <c r="AE55" i="3" s="1"/>
  <c r="AF31" i="3"/>
  <c r="BB32" i="3"/>
  <c r="AE33" i="3"/>
  <c r="AE85" i="4" s="1"/>
  <c r="AM151" i="2"/>
  <c r="BB155" i="2"/>
  <c r="AL156" i="2"/>
  <c r="AZ173" i="2"/>
  <c r="AH147" i="2"/>
  <c r="C148" i="2"/>
  <c r="O148" i="2"/>
  <c r="AA148" i="2"/>
  <c r="AE157" i="2"/>
  <c r="AZ59" i="3"/>
  <c r="BA110" i="2"/>
  <c r="AV147" i="2"/>
  <c r="AV148" i="2" s="1"/>
  <c r="D148" i="2"/>
  <c r="P148" i="2"/>
  <c r="AB148" i="2"/>
  <c r="AF157" i="2"/>
  <c r="AU165" i="2"/>
  <c r="AX165" i="2"/>
  <c r="N176" i="2"/>
  <c r="AY175" i="2"/>
  <c r="M60" i="3"/>
  <c r="AK37" i="3"/>
  <c r="BB21" i="3"/>
  <c r="AX31" i="3"/>
  <c r="U157" i="2"/>
  <c r="AG157" i="2"/>
  <c r="AZ175" i="2"/>
  <c r="BA173" i="2"/>
  <c r="AX5" i="3"/>
  <c r="B37" i="3"/>
  <c r="AU30" i="3"/>
  <c r="AV164" i="2"/>
  <c r="AZ172" i="2"/>
  <c r="F105" i="3"/>
  <c r="F93" i="3"/>
  <c r="F101" i="3"/>
  <c r="R105" i="3"/>
  <c r="R93" i="3"/>
  <c r="R58" i="3"/>
  <c r="R101" i="3"/>
  <c r="AD101" i="3"/>
  <c r="AD94" i="3"/>
  <c r="AD105" i="3"/>
  <c r="AD58" i="3"/>
  <c r="BC5" i="3"/>
  <c r="BC7" i="3" s="1"/>
  <c r="I7" i="3"/>
  <c r="U7" i="3"/>
  <c r="AG7" i="3"/>
  <c r="AU13" i="3"/>
  <c r="AV15" i="3" s="1"/>
  <c r="BA15" i="3"/>
  <c r="I16" i="3"/>
  <c r="U16" i="3"/>
  <c r="AG16" i="3"/>
  <c r="BA20" i="3"/>
  <c r="U21" i="3"/>
  <c r="AG21" i="3"/>
  <c r="AV25" i="3"/>
  <c r="D26" i="3"/>
  <c r="P26" i="3"/>
  <c r="AB26" i="3"/>
  <c r="O30" i="3"/>
  <c r="AA30" i="3"/>
  <c r="H86" i="4"/>
  <c r="H54" i="3"/>
  <c r="T86" i="4"/>
  <c r="T54" i="3"/>
  <c r="AF86" i="4"/>
  <c r="AF54" i="3"/>
  <c r="AF33" i="3"/>
  <c r="AF85" i="4" s="1"/>
  <c r="F85" i="4"/>
  <c r="T33" i="3"/>
  <c r="T85" i="4" s="1"/>
  <c r="K54" i="3"/>
  <c r="BB79" i="3"/>
  <c r="BD160" i="2"/>
  <c r="BD163" i="2"/>
  <c r="BA168" i="2"/>
  <c r="BA172" i="2"/>
  <c r="AL175" i="2"/>
  <c r="G105" i="3"/>
  <c r="G101" i="3"/>
  <c r="G93" i="3"/>
  <c r="S105" i="3"/>
  <c r="S101" i="3"/>
  <c r="S93" i="3"/>
  <c r="S58" i="3"/>
  <c r="S60" i="3" s="1"/>
  <c r="AE101" i="3"/>
  <c r="AE94" i="3"/>
  <c r="AE105" i="3"/>
  <c r="AE93" i="3"/>
  <c r="AE58" i="3"/>
  <c r="AE60" i="3" s="1"/>
  <c r="J7" i="3"/>
  <c r="V7" i="3"/>
  <c r="AH7" i="3"/>
  <c r="BB15" i="3"/>
  <c r="J16" i="3"/>
  <c r="V16" i="3"/>
  <c r="AH16" i="3"/>
  <c r="BB20" i="3"/>
  <c r="BB26" i="3"/>
  <c r="D30" i="3"/>
  <c r="D37" i="3" s="1"/>
  <c r="P30" i="3"/>
  <c r="AB30" i="3"/>
  <c r="I86" i="4"/>
  <c r="I54" i="3"/>
  <c r="AV54" i="3" s="1"/>
  <c r="U86" i="4"/>
  <c r="U54" i="3"/>
  <c r="AG86" i="4"/>
  <c r="AG54" i="3"/>
  <c r="AW39" i="3"/>
  <c r="AZ39" i="3"/>
  <c r="BC39" i="3"/>
  <c r="W54" i="3"/>
  <c r="I72" i="3"/>
  <c r="J71" i="3"/>
  <c r="AV71" i="3"/>
  <c r="BD17" i="4"/>
  <c r="AP17" i="4"/>
  <c r="AQ17" i="4" s="1"/>
  <c r="AR17" i="4" s="1"/>
  <c r="AS17" i="4" s="1"/>
  <c r="BE17" i="4" s="1"/>
  <c r="AX164" i="2"/>
  <c r="R165" i="2"/>
  <c r="AY165" i="2" s="1"/>
  <c r="AD165" i="2"/>
  <c r="J173" i="2"/>
  <c r="AW173" i="2" s="1"/>
  <c r="H105" i="3"/>
  <c r="H101" i="3"/>
  <c r="H93" i="3"/>
  <c r="H58" i="3"/>
  <c r="H60" i="3" s="1"/>
  <c r="T105" i="3"/>
  <c r="T101" i="3"/>
  <c r="T93" i="3"/>
  <c r="T58" i="3"/>
  <c r="T60" i="3" s="1"/>
  <c r="AF94" i="3"/>
  <c r="AF58" i="3"/>
  <c r="AF60" i="3" s="1"/>
  <c r="K7" i="3"/>
  <c r="W7" i="3"/>
  <c r="AI7" i="3"/>
  <c r="BC15" i="3"/>
  <c r="K16" i="3"/>
  <c r="W16" i="3"/>
  <c r="AI16" i="3"/>
  <c r="BC20" i="3"/>
  <c r="AX25" i="3"/>
  <c r="F26" i="3"/>
  <c r="R26" i="3"/>
  <c r="AD26" i="3"/>
  <c r="BC26" i="3"/>
  <c r="J86" i="4"/>
  <c r="J54" i="3"/>
  <c r="V86" i="4"/>
  <c r="V54" i="3"/>
  <c r="V55" i="3" s="1"/>
  <c r="AH86" i="4"/>
  <c r="AH54" i="3"/>
  <c r="H33" i="3"/>
  <c r="H85" i="4" s="1"/>
  <c r="V33" i="3"/>
  <c r="AW52" i="3"/>
  <c r="AW53" i="3"/>
  <c r="AI54" i="3"/>
  <c r="AD93" i="3"/>
  <c r="AX105" i="3"/>
  <c r="AD156" i="2"/>
  <c r="Z164" i="2"/>
  <c r="AI173" i="2"/>
  <c r="BC173" i="2" s="1"/>
  <c r="I105" i="3"/>
  <c r="I101" i="3"/>
  <c r="I93" i="3"/>
  <c r="I58" i="3"/>
  <c r="L7" i="3"/>
  <c r="X7" i="3"/>
  <c r="AJ7" i="3"/>
  <c r="L16" i="3"/>
  <c r="X16" i="3"/>
  <c r="AJ16" i="3"/>
  <c r="AY25" i="3"/>
  <c r="G26" i="3"/>
  <c r="S26" i="3"/>
  <c r="AE26" i="3"/>
  <c r="F30" i="3"/>
  <c r="R30" i="3"/>
  <c r="AD30" i="3"/>
  <c r="K89" i="4"/>
  <c r="K88" i="4"/>
  <c r="W89" i="4"/>
  <c r="W88" i="4"/>
  <c r="AI89" i="4"/>
  <c r="AI88" i="4"/>
  <c r="AW32" i="3"/>
  <c r="W33" i="3"/>
  <c r="W85" i="4" s="1"/>
  <c r="AZ38" i="3"/>
  <c r="M38" i="3"/>
  <c r="AW38" i="3" s="1"/>
  <c r="L40" i="3"/>
  <c r="Y38" i="3"/>
  <c r="X40" i="3"/>
  <c r="AK38" i="3"/>
  <c r="BC38" i="3" s="1"/>
  <c r="AJ40" i="3"/>
  <c r="AX52" i="3"/>
  <c r="AX53" i="3"/>
  <c r="AX79" i="3"/>
  <c r="T79" i="3"/>
  <c r="AM164" i="2"/>
  <c r="J105" i="3"/>
  <c r="J101" i="3"/>
  <c r="J93" i="3"/>
  <c r="J58" i="3"/>
  <c r="J60" i="3" s="1"/>
  <c r="V105" i="3"/>
  <c r="V101" i="3"/>
  <c r="V93" i="3"/>
  <c r="V58" i="3"/>
  <c r="V60" i="3" s="1"/>
  <c r="V94" i="3"/>
  <c r="AH105" i="3"/>
  <c r="AH93" i="3"/>
  <c r="AH58" i="3"/>
  <c r="AH60" i="3" s="1"/>
  <c r="AH101" i="3"/>
  <c r="AU5" i="3"/>
  <c r="AU7" i="3" s="1"/>
  <c r="M7" i="3"/>
  <c r="Y7" i="3"/>
  <c r="AK7" i="3"/>
  <c r="M16" i="3"/>
  <c r="Y16" i="3"/>
  <c r="AK16" i="3"/>
  <c r="AX16" i="3"/>
  <c r="G20" i="3"/>
  <c r="M21" i="3"/>
  <c r="AK21" i="3"/>
  <c r="AX21" i="3"/>
  <c r="G25" i="3"/>
  <c r="H26" i="3"/>
  <c r="T26" i="3"/>
  <c r="AF26" i="3"/>
  <c r="G30" i="3"/>
  <c r="S30" i="3"/>
  <c r="AE30" i="3"/>
  <c r="L86" i="4"/>
  <c r="L33" i="3"/>
  <c r="L85" i="4" s="1"/>
  <c r="L54" i="3"/>
  <c r="X86" i="4"/>
  <c r="X33" i="3"/>
  <c r="X85" i="4" s="1"/>
  <c r="X54" i="3"/>
  <c r="AJ86" i="4"/>
  <c r="AJ33" i="3"/>
  <c r="AJ85" i="4" s="1"/>
  <c r="AJ54" i="3"/>
  <c r="AJ55" i="3" s="1"/>
  <c r="M40" i="3"/>
  <c r="AW40" i="3" s="1"/>
  <c r="Y40" i="3"/>
  <c r="R59" i="3"/>
  <c r="AY59" i="3" s="1"/>
  <c r="AY79" i="3"/>
  <c r="AZ155" i="2"/>
  <c r="K105" i="3"/>
  <c r="K101" i="3"/>
  <c r="K93" i="3"/>
  <c r="K58" i="3"/>
  <c r="K60" i="3" s="1"/>
  <c r="W105" i="3"/>
  <c r="W101" i="3"/>
  <c r="W93" i="3"/>
  <c r="W94" i="3"/>
  <c r="W96" i="3" s="1"/>
  <c r="W58" i="3"/>
  <c r="W60" i="3" s="1"/>
  <c r="W61" i="3" s="1"/>
  <c r="AI105" i="3"/>
  <c r="AI93" i="3"/>
  <c r="AI101" i="3"/>
  <c r="AI58" i="3"/>
  <c r="AI60" i="3" s="1"/>
  <c r="AV5" i="3"/>
  <c r="AV16" i="3" s="1"/>
  <c r="B7" i="3"/>
  <c r="N7" i="3"/>
  <c r="Z7" i="3"/>
  <c r="B16" i="3"/>
  <c r="N16" i="3"/>
  <c r="Z16" i="3"/>
  <c r="AL16" i="3"/>
  <c r="N21" i="3"/>
  <c r="AL21" i="3"/>
  <c r="AY21" i="3"/>
  <c r="I26" i="3"/>
  <c r="U26" i="3"/>
  <c r="AG26" i="3"/>
  <c r="H30" i="3"/>
  <c r="T30" i="3"/>
  <c r="AF30" i="3"/>
  <c r="M86" i="4"/>
  <c r="M54" i="3"/>
  <c r="Y86" i="4"/>
  <c r="Y54" i="3"/>
  <c r="AK86" i="4"/>
  <c r="AK54" i="3"/>
  <c r="AK55" i="3" s="1"/>
  <c r="K33" i="3"/>
  <c r="K85" i="4" s="1"/>
  <c r="AC101" i="3"/>
  <c r="J55" i="4"/>
  <c r="J54" i="4"/>
  <c r="V55" i="4"/>
  <c r="AH55" i="4"/>
  <c r="AN161" i="2"/>
  <c r="B173" i="2"/>
  <c r="AU173" i="2" s="1"/>
  <c r="N173" i="2"/>
  <c r="AX173" i="2" s="1"/>
  <c r="L105" i="3"/>
  <c r="L101" i="3"/>
  <c r="L58" i="3"/>
  <c r="L60" i="3" s="1"/>
  <c r="L61" i="3" s="1"/>
  <c r="L93" i="3"/>
  <c r="X105" i="3"/>
  <c r="X101" i="3"/>
  <c r="X94" i="3"/>
  <c r="X93" i="3"/>
  <c r="X58" i="3"/>
  <c r="AJ58" i="3"/>
  <c r="AJ60" i="3" s="1"/>
  <c r="AJ94" i="3"/>
  <c r="AW5" i="3"/>
  <c r="AW7" i="3" s="1"/>
  <c r="O7" i="3"/>
  <c r="AA7" i="3"/>
  <c r="C16" i="3"/>
  <c r="O16" i="3"/>
  <c r="AA16" i="3"/>
  <c r="C21" i="3"/>
  <c r="BD23" i="3"/>
  <c r="J26" i="3"/>
  <c r="V26" i="3"/>
  <c r="AH26" i="3"/>
  <c r="I30" i="3"/>
  <c r="U30" i="3"/>
  <c r="AG30" i="3"/>
  <c r="AG85" i="3" s="1"/>
  <c r="N86" i="4"/>
  <c r="N54" i="3"/>
  <c r="N55" i="3" s="1"/>
  <c r="N33" i="3"/>
  <c r="N34" i="3" s="1"/>
  <c r="Z86" i="4"/>
  <c r="BA32" i="3"/>
  <c r="Z54" i="3"/>
  <c r="Z33" i="3"/>
  <c r="AZ32" i="3"/>
  <c r="M33" i="3"/>
  <c r="M85" i="4" s="1"/>
  <c r="AH156" i="2"/>
  <c r="BC170" i="2"/>
  <c r="AM173" i="2"/>
  <c r="M105" i="3"/>
  <c r="M101" i="3"/>
  <c r="M93" i="3"/>
  <c r="D7" i="3"/>
  <c r="P7" i="3"/>
  <c r="AB7" i="3"/>
  <c r="D16" i="3"/>
  <c r="P16" i="3"/>
  <c r="AB16" i="3"/>
  <c r="K26" i="3"/>
  <c r="W26" i="3"/>
  <c r="AI26" i="3"/>
  <c r="J30" i="3"/>
  <c r="V30" i="3"/>
  <c r="AH30" i="3"/>
  <c r="O86" i="4"/>
  <c r="O54" i="3"/>
  <c r="O55" i="3" s="1"/>
  <c r="AA86" i="4"/>
  <c r="AA54" i="3"/>
  <c r="AA55" i="3" s="1"/>
  <c r="AA33" i="3"/>
  <c r="AA85" i="4" s="1"/>
  <c r="O33" i="3"/>
  <c r="O85" i="4" s="1"/>
  <c r="AH33" i="3"/>
  <c r="AX38" i="3"/>
  <c r="AZ40" i="3"/>
  <c r="Y58" i="3"/>
  <c r="Y60" i="3" s="1"/>
  <c r="Y61" i="3" s="1"/>
  <c r="Z76" i="3"/>
  <c r="Y78" i="3"/>
  <c r="Y79" i="3" s="1"/>
  <c r="AC77" i="3"/>
  <c r="AZ76" i="3"/>
  <c r="Y77" i="3"/>
  <c r="J50" i="4"/>
  <c r="V50" i="4"/>
  <c r="AK50" i="4"/>
  <c r="AV172" i="2"/>
  <c r="N105" i="3"/>
  <c r="N101" i="3"/>
  <c r="N93" i="3"/>
  <c r="N58" i="3"/>
  <c r="N60" i="3" s="1"/>
  <c r="Z105" i="3"/>
  <c r="Z101" i="3"/>
  <c r="Z93" i="3"/>
  <c r="Z94" i="3"/>
  <c r="Z58" i="3"/>
  <c r="AY5" i="3"/>
  <c r="AY26" i="3" s="1"/>
  <c r="AP13" i="3"/>
  <c r="L26" i="3"/>
  <c r="X26" i="3"/>
  <c r="AJ26" i="3"/>
  <c r="K30" i="3"/>
  <c r="W30" i="3"/>
  <c r="AI30" i="3"/>
  <c r="P86" i="4"/>
  <c r="P54" i="3"/>
  <c r="AB86" i="4"/>
  <c r="AB54" i="3"/>
  <c r="AB55" i="3" s="1"/>
  <c r="BC32" i="3"/>
  <c r="P33" i="3"/>
  <c r="P85" i="4" s="1"/>
  <c r="AI33" i="3"/>
  <c r="AI85" i="4" s="1"/>
  <c r="AW59" i="3"/>
  <c r="AK58" i="3"/>
  <c r="AK60" i="3" s="1"/>
  <c r="AK61" i="3" s="1"/>
  <c r="B105" i="3"/>
  <c r="B101" i="3"/>
  <c r="B93" i="3"/>
  <c r="O105" i="3"/>
  <c r="O101" i="3"/>
  <c r="O93" i="3"/>
  <c r="O58" i="3"/>
  <c r="O60" i="3" s="1"/>
  <c r="O61" i="3" s="1"/>
  <c r="AA105" i="3"/>
  <c r="AA93" i="3"/>
  <c r="AA94" i="3"/>
  <c r="AA58" i="3"/>
  <c r="AA60" i="3" s="1"/>
  <c r="AA61" i="3" s="1"/>
  <c r="AZ5" i="3"/>
  <c r="AZ93" i="3" s="1"/>
  <c r="F7" i="3"/>
  <c r="R7" i="3"/>
  <c r="AD7" i="3"/>
  <c r="F16" i="3"/>
  <c r="R16" i="3"/>
  <c r="AD16" i="3"/>
  <c r="F21" i="3"/>
  <c r="R21" i="3"/>
  <c r="AD21" i="3"/>
  <c r="M26" i="3"/>
  <c r="Y26" i="3"/>
  <c r="AK26" i="3"/>
  <c r="L30" i="3"/>
  <c r="X30" i="3"/>
  <c r="AJ30" i="3"/>
  <c r="I31" i="3"/>
  <c r="I33" i="3" s="1"/>
  <c r="I85" i="4" s="1"/>
  <c r="U31" i="3"/>
  <c r="U33" i="3" s="1"/>
  <c r="U85" i="4" s="1"/>
  <c r="AG31" i="3"/>
  <c r="AG33" i="3" s="1"/>
  <c r="AG85" i="4" s="1"/>
  <c r="E89" i="4"/>
  <c r="E88" i="4"/>
  <c r="Q86" i="4"/>
  <c r="Q54" i="3"/>
  <c r="AC86" i="4"/>
  <c r="AC54" i="3"/>
  <c r="AC33" i="3"/>
  <c r="AC85" i="4" s="1"/>
  <c r="Q33" i="3"/>
  <c r="Q85" i="4" s="1"/>
  <c r="AK33" i="3"/>
  <c r="AK85" i="4" s="1"/>
  <c r="AY40" i="3"/>
  <c r="BB40" i="3"/>
  <c r="AY50" i="3"/>
  <c r="Q59" i="3"/>
  <c r="AX59" i="3" s="1"/>
  <c r="BA78" i="3"/>
  <c r="BD28" i="4"/>
  <c r="AP28" i="4"/>
  <c r="AQ28" i="4" s="1"/>
  <c r="AR28" i="4" s="1"/>
  <c r="AS28" i="4" s="1"/>
  <c r="BE28" i="4" s="1"/>
  <c r="D105" i="3"/>
  <c r="D101" i="3"/>
  <c r="D93" i="3"/>
  <c r="P105" i="3"/>
  <c r="P101" i="3"/>
  <c r="P93" i="3"/>
  <c r="P58" i="3"/>
  <c r="P60" i="3" s="1"/>
  <c r="P61" i="3" s="1"/>
  <c r="AB105" i="3"/>
  <c r="AB93" i="3"/>
  <c r="AB94" i="3"/>
  <c r="AB58" i="3"/>
  <c r="AB60" i="3" s="1"/>
  <c r="BA5" i="3"/>
  <c r="BA16" i="3" s="1"/>
  <c r="G7" i="3"/>
  <c r="S7" i="3"/>
  <c r="AE7" i="3"/>
  <c r="G16" i="3"/>
  <c r="S16" i="3"/>
  <c r="AE16" i="3"/>
  <c r="G21" i="3"/>
  <c r="S21" i="3"/>
  <c r="AE21" i="3"/>
  <c r="B26" i="3"/>
  <c r="N26" i="3"/>
  <c r="Z26" i="3"/>
  <c r="M30" i="3"/>
  <c r="Y30" i="3"/>
  <c r="J31" i="3"/>
  <c r="AW31" i="3" s="1"/>
  <c r="V31" i="3"/>
  <c r="AZ31" i="3" s="1"/>
  <c r="AH31" i="3"/>
  <c r="BC31" i="3" s="1"/>
  <c r="F89" i="4"/>
  <c r="F88" i="4"/>
  <c r="R86" i="4"/>
  <c r="R54" i="3"/>
  <c r="AD86" i="4"/>
  <c r="AD54" i="3"/>
  <c r="AD55" i="3" s="1"/>
  <c r="AD33" i="3"/>
  <c r="R33" i="3"/>
  <c r="AY39" i="3"/>
  <c r="R52" i="3"/>
  <c r="AD52" i="3"/>
  <c r="AG77" i="3"/>
  <c r="AC78" i="3"/>
  <c r="BA90" i="3"/>
  <c r="AG99" i="3"/>
  <c r="AH100" i="3"/>
  <c r="AG100" i="3"/>
  <c r="AY105" i="3"/>
  <c r="BB48" i="4"/>
  <c r="K55" i="4"/>
  <c r="K54" i="4"/>
  <c r="W55" i="4"/>
  <c r="W54" i="4"/>
  <c r="AI55" i="4"/>
  <c r="AI54" i="4"/>
  <c r="X55" i="4"/>
  <c r="X54" i="4"/>
  <c r="AO40" i="4"/>
  <c r="K50" i="4"/>
  <c r="K51" i="4" s="1"/>
  <c r="W50" i="4"/>
  <c r="AY51" i="3"/>
  <c r="S52" i="3"/>
  <c r="AE52" i="3"/>
  <c r="BB52" i="3"/>
  <c r="AH77" i="3"/>
  <c r="AD78" i="3"/>
  <c r="AU101" i="3"/>
  <c r="BC48" i="4"/>
  <c r="U45" i="4"/>
  <c r="AY45" i="4" s="1"/>
  <c r="AY36" i="4"/>
  <c r="G45" i="4"/>
  <c r="G55" i="4" s="1"/>
  <c r="S45" i="4"/>
  <c r="L50" i="4"/>
  <c r="L51" i="4" s="1"/>
  <c r="X50" i="4"/>
  <c r="B48" i="5"/>
  <c r="B42" i="5"/>
  <c r="B79" i="4"/>
  <c r="BA39" i="3"/>
  <c r="AZ51" i="3"/>
  <c r="BA52" i="3" s="1"/>
  <c r="T52" i="3"/>
  <c r="U93" i="3"/>
  <c r="BD7" i="4"/>
  <c r="AP7" i="4"/>
  <c r="AQ7" i="4" s="1"/>
  <c r="AR7" i="4" s="1"/>
  <c r="AS7" i="4" s="1"/>
  <c r="BE7" i="4" s="1"/>
  <c r="AZ19" i="4"/>
  <c r="H45" i="4"/>
  <c r="H55" i="4" s="1"/>
  <c r="T45" i="4"/>
  <c r="T55" i="4" s="1"/>
  <c r="M50" i="4"/>
  <c r="Y50" i="4"/>
  <c r="BB39" i="3"/>
  <c r="U52" i="3"/>
  <c r="I59" i="3"/>
  <c r="X77" i="3"/>
  <c r="Y93" i="3"/>
  <c r="AW113" i="3"/>
  <c r="N55" i="4"/>
  <c r="N54" i="4"/>
  <c r="BD15" i="4"/>
  <c r="AP15" i="4"/>
  <c r="AQ15" i="4" s="1"/>
  <c r="AR15" i="4" s="1"/>
  <c r="AS15" i="4" s="1"/>
  <c r="BE15" i="4" s="1"/>
  <c r="V45" i="4"/>
  <c r="V54" i="4" s="1"/>
  <c r="N50" i="4"/>
  <c r="V52" i="3"/>
  <c r="AK77" i="3"/>
  <c r="AC93" i="3"/>
  <c r="U91" i="3"/>
  <c r="AG91" i="3"/>
  <c r="AX101" i="3"/>
  <c r="O55" i="4"/>
  <c r="AF45" i="4"/>
  <c r="AF54" i="4" s="1"/>
  <c r="J45" i="4"/>
  <c r="K52" i="3"/>
  <c r="W52" i="3"/>
  <c r="AZ101" i="3"/>
  <c r="P55" i="4"/>
  <c r="P54" i="4"/>
  <c r="AB55" i="4"/>
  <c r="AB54" i="4"/>
  <c r="BD42" i="4"/>
  <c r="AP42" i="4"/>
  <c r="AQ42" i="4" s="1"/>
  <c r="AR42" i="4" s="1"/>
  <c r="AS42" i="4" s="1"/>
  <c r="BE42" i="4" s="1"/>
  <c r="L52" i="3"/>
  <c r="X52" i="3"/>
  <c r="X59" i="3"/>
  <c r="AV77" i="3"/>
  <c r="AU93" i="3"/>
  <c r="AD92" i="3"/>
  <c r="AC103" i="3"/>
  <c r="BA102" i="3"/>
  <c r="AD104" i="3"/>
  <c r="AC104" i="3"/>
  <c r="AV47" i="4"/>
  <c r="AV48" i="4" s="1"/>
  <c r="BD34" i="4"/>
  <c r="AP34" i="4"/>
  <c r="AQ34" i="4" s="1"/>
  <c r="AR34" i="4" s="1"/>
  <c r="AS34" i="4" s="1"/>
  <c r="BE34" i="4" s="1"/>
  <c r="AH45" i="4"/>
  <c r="AH54" i="4" s="1"/>
  <c r="E50" i="4"/>
  <c r="AD48" i="4"/>
  <c r="F40" i="3"/>
  <c r="AV40" i="3" s="1"/>
  <c r="M52" i="3"/>
  <c r="Y52" i="3"/>
  <c r="AW67" i="3"/>
  <c r="AB77" i="3"/>
  <c r="AW77" i="3"/>
  <c r="X78" i="3"/>
  <c r="X79" i="3" s="1"/>
  <c r="Z50" i="4"/>
  <c r="Z51" i="4" s="1"/>
  <c r="Z48" i="4"/>
  <c r="BD33" i="4"/>
  <c r="AP33" i="4"/>
  <c r="AQ33" i="4" s="1"/>
  <c r="AR33" i="4" s="1"/>
  <c r="AS33" i="4" s="1"/>
  <c r="BE33" i="4" s="1"/>
  <c r="F50" i="4"/>
  <c r="AE50" i="4"/>
  <c r="AE51" i="4" s="1"/>
  <c r="N52" i="3"/>
  <c r="Z52" i="3"/>
  <c r="AX77" i="3"/>
  <c r="AU105" i="3"/>
  <c r="G54" i="4"/>
  <c r="S55" i="4"/>
  <c r="S54" i="4"/>
  <c r="AE55" i="4"/>
  <c r="AE54" i="4"/>
  <c r="F54" i="4"/>
  <c r="AA45" i="4"/>
  <c r="AA55" i="4" s="1"/>
  <c r="G50" i="4"/>
  <c r="S50" i="4"/>
  <c r="S51" i="4" s="1"/>
  <c r="O52" i="3"/>
  <c r="AA52" i="3"/>
  <c r="AA59" i="3"/>
  <c r="BA59" i="3" s="1"/>
  <c r="AY77" i="3"/>
  <c r="AX93" i="3"/>
  <c r="U92" i="3"/>
  <c r="AG92" i="3"/>
  <c r="AX113" i="3"/>
  <c r="AY48" i="4"/>
  <c r="T54" i="4"/>
  <c r="L55" i="4"/>
  <c r="L54" i="4"/>
  <c r="Q45" i="4"/>
  <c r="AX45" i="4" s="1"/>
  <c r="AX36" i="4"/>
  <c r="AU44" i="4"/>
  <c r="E45" i="4"/>
  <c r="AU45" i="4" s="1"/>
  <c r="BC44" i="4"/>
  <c r="AK45" i="4"/>
  <c r="BC45" i="4" s="1"/>
  <c r="O45" i="4"/>
  <c r="O54" i="4" s="1"/>
  <c r="P52" i="3"/>
  <c r="AY90" i="3"/>
  <c r="AX91" i="3"/>
  <c r="V92" i="3"/>
  <c r="AV19" i="4"/>
  <c r="U55" i="4"/>
  <c r="U54" i="4"/>
  <c r="AY19" i="4"/>
  <c r="AY54" i="4" s="1"/>
  <c r="BB19" i="4"/>
  <c r="BD26" i="4"/>
  <c r="AP26" i="4"/>
  <c r="AQ26" i="4" s="1"/>
  <c r="AR26" i="4" s="1"/>
  <c r="AS26" i="4" s="1"/>
  <c r="BE26" i="4" s="1"/>
  <c r="F45" i="4"/>
  <c r="AG45" i="4"/>
  <c r="BB45" i="4" s="1"/>
  <c r="AH50" i="4"/>
  <c r="AH51" i="4" s="1"/>
  <c r="AD100" i="3"/>
  <c r="AV11" i="4"/>
  <c r="M19" i="4"/>
  <c r="AK19" i="4"/>
  <c r="AX19" i="4"/>
  <c r="AX54" i="4" s="1"/>
  <c r="AX29" i="4"/>
  <c r="Y36" i="4"/>
  <c r="AZ36" i="4" s="1"/>
  <c r="Z29" i="4"/>
  <c r="Z36" i="4" s="1"/>
  <c r="Z45" i="4" s="1"/>
  <c r="AY29" i="4"/>
  <c r="AC44" i="4"/>
  <c r="BB44" i="4"/>
  <c r="M45" i="4"/>
  <c r="AW45" i="4" s="1"/>
  <c r="Q50" i="4"/>
  <c r="AC50" i="4"/>
  <c r="AF53" i="5"/>
  <c r="AF82" i="4" s="1"/>
  <c r="AF80" i="4"/>
  <c r="Y99" i="3"/>
  <c r="AV99" i="3"/>
  <c r="U101" i="3"/>
  <c r="J48" i="4"/>
  <c r="V48" i="4"/>
  <c r="AH48" i="4"/>
  <c r="R50" i="4"/>
  <c r="R51" i="4" s="1"/>
  <c r="AD50" i="4"/>
  <c r="AD51" i="4" s="1"/>
  <c r="AC74" i="5"/>
  <c r="AC29" i="5"/>
  <c r="AM24" i="5"/>
  <c r="AW99" i="3"/>
  <c r="U100" i="3"/>
  <c r="Y103" i="3"/>
  <c r="U105" i="3"/>
  <c r="BA111" i="3"/>
  <c r="AY11" i="4"/>
  <c r="BA19" i="4"/>
  <c r="BA29" i="4"/>
  <c r="AI47" i="4"/>
  <c r="K48" i="4"/>
  <c r="W48" i="4"/>
  <c r="S74" i="5"/>
  <c r="S29" i="5"/>
  <c r="AY98" i="3"/>
  <c r="AX99" i="3"/>
  <c r="V100" i="3"/>
  <c r="AW103" i="3"/>
  <c r="E55" i="4"/>
  <c r="Q55" i="4"/>
  <c r="E36" i="4"/>
  <c r="AU36" i="4" s="1"/>
  <c r="L48" i="4"/>
  <c r="X48" i="4"/>
  <c r="F55" i="4"/>
  <c r="R55" i="4"/>
  <c r="AD55" i="4"/>
  <c r="E77" i="4"/>
  <c r="AU35" i="4"/>
  <c r="M48" i="4"/>
  <c r="Y48" i="4"/>
  <c r="AK48" i="4"/>
  <c r="X48" i="5"/>
  <c r="X50" i="5" s="1"/>
  <c r="X79" i="4"/>
  <c r="AZ39" i="5"/>
  <c r="BA98" i="3"/>
  <c r="AC99" i="3"/>
  <c r="AZ99" i="3"/>
  <c r="Y101" i="3"/>
  <c r="AZ102" i="3"/>
  <c r="AY103" i="3"/>
  <c r="BB11" i="4"/>
  <c r="F77" i="4"/>
  <c r="N48" i="4"/>
  <c r="Y100" i="3"/>
  <c r="Y105" i="3"/>
  <c r="G77" i="4"/>
  <c r="AV44" i="4"/>
  <c r="F48" i="5"/>
  <c r="F42" i="5"/>
  <c r="F79" i="4"/>
  <c r="Y104" i="3"/>
  <c r="AJ28" i="4"/>
  <c r="H77" i="4"/>
  <c r="I36" i="4"/>
  <c r="AV36" i="4" s="1"/>
  <c r="BA34" i="5"/>
  <c r="Z39" i="5"/>
  <c r="BA39" i="5" s="1"/>
  <c r="AU19" i="4"/>
  <c r="BC41" i="4"/>
  <c r="E34" i="5"/>
  <c r="D39" i="5"/>
  <c r="Y48" i="5"/>
  <c r="Y50" i="5" s="1"/>
  <c r="AV17" i="5"/>
  <c r="R20" i="5"/>
  <c r="BA25" i="5"/>
  <c r="H39" i="5"/>
  <c r="AV34" i="5"/>
  <c r="Z48" i="5"/>
  <c r="Z50" i="5" s="1"/>
  <c r="AD20" i="5"/>
  <c r="AH74" i="5"/>
  <c r="I34" i="5"/>
  <c r="AX36" i="5"/>
  <c r="Q36" i="5"/>
  <c r="AA48" i="5"/>
  <c r="AA50" i="5" s="1"/>
  <c r="AA42" i="5"/>
  <c r="BA6" i="5"/>
  <c r="BA10" i="5"/>
  <c r="V74" i="5"/>
  <c r="AZ27" i="5"/>
  <c r="BC27" i="5"/>
  <c r="AX38" i="5"/>
  <c r="Q38" i="5"/>
  <c r="AB48" i="5"/>
  <c r="AB50" i="5" s="1"/>
  <c r="AF51" i="5" s="1"/>
  <c r="AB42" i="5"/>
  <c r="BV20" i="5"/>
  <c r="Q14" i="5"/>
  <c r="AX14" i="5" s="1"/>
  <c r="Q25" i="5"/>
  <c r="P25" i="5"/>
  <c r="AX25" i="5" s="1"/>
  <c r="R39" i="5"/>
  <c r="AY39" i="5" s="1"/>
  <c r="AC20" i="5"/>
  <c r="AU7" i="5"/>
  <c r="AV9" i="5"/>
  <c r="AX12" i="5"/>
  <c r="AU13" i="5"/>
  <c r="AZ13" i="5"/>
  <c r="BC13" i="5"/>
  <c r="AY14" i="5"/>
  <c r="BB14" i="5"/>
  <c r="BA15" i="5"/>
  <c r="AU18" i="5"/>
  <c r="AU23" i="5"/>
  <c r="D74" i="5"/>
  <c r="D29" i="5"/>
  <c r="E23" i="5"/>
  <c r="BB24" i="5"/>
  <c r="BU42" i="5"/>
  <c r="AU37" i="5"/>
  <c r="E37" i="5"/>
  <c r="S48" i="5"/>
  <c r="S50" i="5" s="1"/>
  <c r="S42" i="5"/>
  <c r="AE48" i="5"/>
  <c r="AE50" i="5" s="1"/>
  <c r="AE42" i="5"/>
  <c r="I13" i="5"/>
  <c r="AV13" i="5" s="1"/>
  <c r="AW26" i="5"/>
  <c r="M26" i="5"/>
  <c r="L26" i="5"/>
  <c r="AX35" i="5"/>
  <c r="Q35" i="5"/>
  <c r="BE59" i="5"/>
  <c r="AP60" i="5"/>
  <c r="B78" i="5"/>
  <c r="B81" i="5" s="1"/>
  <c r="B79" i="5"/>
  <c r="T48" i="5"/>
  <c r="T50" i="5" s="1"/>
  <c r="AF42" i="5"/>
  <c r="U48" i="5"/>
  <c r="U50" i="5" s="1"/>
  <c r="AG20" i="5"/>
  <c r="AX18" i="5"/>
  <c r="AU19" i="5"/>
  <c r="AY26" i="5"/>
  <c r="W39" i="5"/>
  <c r="AI39" i="5"/>
  <c r="BC39" i="5" s="1"/>
  <c r="AV36" i="5"/>
  <c r="AH42" i="5"/>
  <c r="AH48" i="5"/>
  <c r="AH50" i="5" s="1"/>
  <c r="W78" i="5"/>
  <c r="W81" i="5" s="1"/>
  <c r="BB23" i="5"/>
  <c r="AX27" i="5"/>
  <c r="W20" i="5"/>
  <c r="AI20" i="5"/>
  <c r="AW19" i="5"/>
  <c r="AY23" i="5"/>
  <c r="AE74" i="5"/>
  <c r="AE29" i="5"/>
  <c r="BA36" i="5"/>
  <c r="Q6" i="5"/>
  <c r="K79" i="5"/>
  <c r="X78" i="5"/>
  <c r="X81" i="5" s="1"/>
  <c r="AJ78" i="5"/>
  <c r="AJ81" i="5" s="1"/>
  <c r="AK81" i="5" s="1"/>
  <c r="AL81" i="5" s="1"/>
  <c r="AM81" i="5" s="1"/>
  <c r="AN81" i="5" s="1"/>
  <c r="AO81" i="5" s="1"/>
  <c r="AP81" i="5" s="1"/>
  <c r="AQ81" i="5" s="1"/>
  <c r="AR81" i="5" s="1"/>
  <c r="AS81" i="5" s="1"/>
  <c r="AW8" i="5"/>
  <c r="G20" i="5"/>
  <c r="AF74" i="5"/>
  <c r="C39" i="5"/>
  <c r="O39" i="5"/>
  <c r="BG42" i="5"/>
  <c r="BV42" i="5"/>
  <c r="AX53" i="5"/>
  <c r="AX82" i="4" s="1"/>
  <c r="BC6" i="5"/>
  <c r="L79" i="5"/>
  <c r="Y78" i="5"/>
  <c r="Y81" i="5" s="1"/>
  <c r="AX8" i="5"/>
  <c r="H14" i="5"/>
  <c r="I14" i="5" s="1"/>
  <c r="AU14" i="5"/>
  <c r="G74" i="5"/>
  <c r="U74" i="5"/>
  <c r="AG74" i="5"/>
  <c r="AY32" i="5"/>
  <c r="P34" i="5"/>
  <c r="AX34" i="5" s="1"/>
  <c r="L35" i="5"/>
  <c r="L39" i="5" s="1"/>
  <c r="BZ42" i="5"/>
  <c r="BH42" i="5"/>
  <c r="BW42" i="5"/>
  <c r="D6" i="5"/>
  <c r="M8" i="5"/>
  <c r="M76" i="5" s="1"/>
  <c r="AY8" i="5"/>
  <c r="AU17" i="5"/>
  <c r="H23" i="5"/>
  <c r="R29" i="5"/>
  <c r="AD29" i="5"/>
  <c r="Q34" i="5"/>
  <c r="BK42" i="5"/>
  <c r="O79" i="5"/>
  <c r="AA78" i="5"/>
  <c r="AA81" i="5" s="1"/>
  <c r="AZ8" i="5"/>
  <c r="J20" i="5"/>
  <c r="V20" i="5"/>
  <c r="W74" i="5"/>
  <c r="AI74" i="5"/>
  <c r="P26" i="5"/>
  <c r="Q26" i="5" s="1"/>
  <c r="Q27" i="5"/>
  <c r="G29" i="5"/>
  <c r="BQ29" i="5"/>
  <c r="D38" i="5"/>
  <c r="E38" i="5" s="1"/>
  <c r="AD39" i="5"/>
  <c r="BB39" i="5" s="1"/>
  <c r="BE39" i="5"/>
  <c r="BL42" i="5"/>
  <c r="AV41" i="5"/>
  <c r="Z76" i="5"/>
  <c r="Z78" i="5" s="1"/>
  <c r="Z81" i="5" s="1"/>
  <c r="P79" i="5"/>
  <c r="AB78" i="5"/>
  <c r="AB81" i="5" s="1"/>
  <c r="H15" i="5"/>
  <c r="I15" i="5" s="1"/>
  <c r="K20" i="5"/>
  <c r="K74" i="5"/>
  <c r="X74" i="5"/>
  <c r="AJ74" i="5"/>
  <c r="T29" i="5"/>
  <c r="T42" i="5" s="1"/>
  <c r="AF29" i="5"/>
  <c r="G39" i="5"/>
  <c r="BM42" i="5"/>
  <c r="AZ61" i="5"/>
  <c r="H6" i="5"/>
  <c r="Q79" i="5"/>
  <c r="AC78" i="5"/>
  <c r="AC81" i="5" s="1"/>
  <c r="BB8" i="5"/>
  <c r="H18" i="5"/>
  <c r="I18" i="5" s="1"/>
  <c r="D19" i="5"/>
  <c r="E19" i="5" s="1"/>
  <c r="L74" i="5"/>
  <c r="Y74" i="5"/>
  <c r="AK74" i="5"/>
  <c r="U29" i="5"/>
  <c r="U42" i="5" s="1"/>
  <c r="AG29" i="5"/>
  <c r="BC32" i="5"/>
  <c r="BA63" i="5"/>
  <c r="AD63" i="5"/>
  <c r="AE63" i="5" s="1"/>
  <c r="AF63" i="5" s="1"/>
  <c r="AG63" i="5" s="1"/>
  <c r="BN42" i="5"/>
  <c r="AW41" i="5"/>
  <c r="BD49" i="5"/>
  <c r="BA61" i="5"/>
  <c r="D7" i="5"/>
  <c r="E7" i="5" s="1"/>
  <c r="C78" i="5"/>
  <c r="C81" i="5" s="1"/>
  <c r="C79" i="5"/>
  <c r="R79" i="5"/>
  <c r="AD78" i="5"/>
  <c r="AD81" i="5" s="1"/>
  <c r="BC8" i="5"/>
  <c r="AJ10" i="5"/>
  <c r="AJ20" i="5" s="1"/>
  <c r="M23" i="5"/>
  <c r="Z74" i="5"/>
  <c r="AL23" i="5"/>
  <c r="V29" i="5"/>
  <c r="AH29" i="5"/>
  <c r="H38" i="5"/>
  <c r="I38" i="5" s="1"/>
  <c r="BO42" i="5"/>
  <c r="AD59" i="5"/>
  <c r="BB59" i="5" s="1"/>
  <c r="BC61" i="5"/>
  <c r="D78" i="5"/>
  <c r="D81" i="5" s="1"/>
  <c r="D79" i="5"/>
  <c r="S79" i="5"/>
  <c r="AE78" i="5"/>
  <c r="AE81" i="5" s="1"/>
  <c r="AK10" i="5"/>
  <c r="AK20" i="5" s="1"/>
  <c r="H12" i="5"/>
  <c r="I12" i="5" s="1"/>
  <c r="D13" i="5"/>
  <c r="E13" i="5" s="1"/>
  <c r="P14" i="5"/>
  <c r="L15" i="5"/>
  <c r="M15" i="5" s="1"/>
  <c r="AX15" i="5"/>
  <c r="H16" i="5"/>
  <c r="I16" i="5" s="1"/>
  <c r="C17" i="5"/>
  <c r="D17" i="5" s="1"/>
  <c r="E17" i="5" s="1"/>
  <c r="O17" i="5"/>
  <c r="P17" i="5" s="1"/>
  <c r="N20" i="5"/>
  <c r="O74" i="5"/>
  <c r="AA74" i="5"/>
  <c r="AZ23" i="5"/>
  <c r="K29" i="5"/>
  <c r="W29" i="5"/>
  <c r="AI29" i="5"/>
  <c r="BB60" i="5"/>
  <c r="BB61" i="5" s="1"/>
  <c r="AE61" i="5"/>
  <c r="AZ37" i="5"/>
  <c r="BP42" i="5"/>
  <c r="BD60" i="5"/>
  <c r="AL61" i="5"/>
  <c r="AX6" i="5"/>
  <c r="E8" i="5"/>
  <c r="E76" i="5" s="1"/>
  <c r="T78" i="5"/>
  <c r="AF78" i="5"/>
  <c r="AF81" i="5" s="1"/>
  <c r="L18" i="5"/>
  <c r="H19" i="5"/>
  <c r="I19" i="5" s="1"/>
  <c r="P23" i="5"/>
  <c r="Q23" i="5" s="1"/>
  <c r="AB74" i="5"/>
  <c r="AN23" i="5"/>
  <c r="BA23" i="5"/>
  <c r="L29" i="5"/>
  <c r="X29" i="5"/>
  <c r="X42" i="5" s="1"/>
  <c r="AJ29" i="5"/>
  <c r="BX42" i="5"/>
  <c r="BA37" i="5"/>
  <c r="BQ42" i="5"/>
  <c r="P7" i="5"/>
  <c r="G79" i="5"/>
  <c r="U78" i="5"/>
  <c r="U81" i="5" s="1"/>
  <c r="AG78" i="5"/>
  <c r="AG81" i="5" s="1"/>
  <c r="AW12" i="5"/>
  <c r="AW16" i="5"/>
  <c r="AO23" i="5"/>
  <c r="L25" i="5"/>
  <c r="Y29" i="5"/>
  <c r="Y42" i="5" s="1"/>
  <c r="AK29" i="5"/>
  <c r="P33" i="5"/>
  <c r="P39" i="5" s="1"/>
  <c r="BY42" i="5"/>
  <c r="BJ42" i="5"/>
  <c r="BS42" i="5"/>
  <c r="H8" i="5"/>
  <c r="C74" i="5"/>
  <c r="R74" i="5"/>
  <c r="AD74" i="5"/>
  <c r="BC23" i="5"/>
  <c r="Z29" i="5"/>
  <c r="BA29" i="5" s="1"/>
  <c r="AZ59" i="5"/>
  <c r="AZ62" i="5" s="1"/>
  <c r="BC59" i="5"/>
  <c r="BC37" i="5"/>
  <c r="BR42" i="5"/>
  <c r="BT42" i="5"/>
  <c r="L41" i="5"/>
  <c r="M41" i="5" s="1"/>
  <c r="AU41" i="5"/>
  <c r="F79" i="5"/>
  <c r="AM49" i="5"/>
  <c r="AN49" i="5" s="1"/>
  <c r="AO49" i="5" s="1"/>
  <c r="AP49" i="5" s="1"/>
  <c r="BD59" i="5"/>
  <c r="AK48" i="5" l="1"/>
  <c r="AK50" i="5" s="1"/>
  <c r="AK42" i="5"/>
  <c r="AK79" i="4"/>
  <c r="AF70" i="5"/>
  <c r="AF62" i="4"/>
  <c r="AF75" i="2"/>
  <c r="AF98" i="2"/>
  <c r="AJ64" i="2"/>
  <c r="AF36" i="2"/>
  <c r="Z55" i="4"/>
  <c r="Z54" i="4"/>
  <c r="T70" i="5"/>
  <c r="T62" i="4"/>
  <c r="T75" i="2"/>
  <c r="T98" i="2"/>
  <c r="X64" i="2"/>
  <c r="T36" i="2"/>
  <c r="T31" i="2"/>
  <c r="AJ48" i="5"/>
  <c r="AJ50" i="5" s="1"/>
  <c r="AJ42" i="5"/>
  <c r="AJ79" i="4"/>
  <c r="BC20" i="5"/>
  <c r="N84" i="4"/>
  <c r="Q74" i="5"/>
  <c r="Q29" i="5"/>
  <c r="AU69" i="2"/>
  <c r="AG89" i="4"/>
  <c r="AG88" i="4"/>
  <c r="W71" i="4"/>
  <c r="W76" i="4"/>
  <c r="W73" i="4"/>
  <c r="W66" i="4"/>
  <c r="W70" i="4"/>
  <c r="W72" i="4"/>
  <c r="W75" i="4"/>
  <c r="W77" i="4"/>
  <c r="AE75" i="4"/>
  <c r="AE77" i="4"/>
  <c r="AE71" i="4"/>
  <c r="AE76" i="4"/>
  <c r="AE73" i="4"/>
  <c r="AE66" i="4"/>
  <c r="AE70" i="4"/>
  <c r="AE72" i="4"/>
  <c r="AB70" i="5"/>
  <c r="AB62" i="4"/>
  <c r="AB98" i="2"/>
  <c r="AB75" i="2"/>
  <c r="AF64" i="2"/>
  <c r="AB36" i="2"/>
  <c r="AB31" i="2"/>
  <c r="AA88" i="4"/>
  <c r="AA89" i="4"/>
  <c r="AK41" i="3"/>
  <c r="AK43" i="3" s="1"/>
  <c r="N175" i="2"/>
  <c r="N148" i="2"/>
  <c r="AX147" i="2"/>
  <c r="AX148" i="2" s="1"/>
  <c r="I6" i="5"/>
  <c r="H20" i="5"/>
  <c r="AX26" i="5"/>
  <c r="P20" i="5"/>
  <c r="I39" i="5"/>
  <c r="AV39" i="5" s="1"/>
  <c r="AJ47" i="4"/>
  <c r="AJ29" i="4"/>
  <c r="AJ36" i="4" s="1"/>
  <c r="AJ45" i="4" s="1"/>
  <c r="AN24" i="5"/>
  <c r="AM29" i="5"/>
  <c r="AF55" i="4"/>
  <c r="P55" i="3"/>
  <c r="AZ77" i="3"/>
  <c r="BA77" i="3"/>
  <c r="AZ78" i="3"/>
  <c r="AZ79" i="3" s="1"/>
  <c r="AJ95" i="3"/>
  <c r="AK88" i="4"/>
  <c r="AL88" i="4" s="1"/>
  <c r="AK89" i="4"/>
  <c r="AI61" i="3"/>
  <c r="AW60" i="3"/>
  <c r="V89" i="4"/>
  <c r="V88" i="4"/>
  <c r="U55" i="3"/>
  <c r="AY54" i="3"/>
  <c r="K55" i="3"/>
  <c r="H89" i="4"/>
  <c r="H88" i="4"/>
  <c r="AU26" i="3"/>
  <c r="S89" i="4"/>
  <c r="S88" i="4"/>
  <c r="AH176" i="2"/>
  <c r="BC165" i="2"/>
  <c r="BE25" i="3"/>
  <c r="AC61" i="3"/>
  <c r="B175" i="2"/>
  <c r="AU147" i="2"/>
  <c r="AU148" i="2" s="1"/>
  <c r="B148" i="2"/>
  <c r="B80" i="5"/>
  <c r="BE154" i="2"/>
  <c r="B126" i="2"/>
  <c r="AU121" i="2"/>
  <c r="T175" i="2"/>
  <c r="T148" i="2"/>
  <c r="AD79" i="5"/>
  <c r="P51" i="4"/>
  <c r="AH77" i="5"/>
  <c r="S97" i="2"/>
  <c r="S69" i="2"/>
  <c r="W59" i="2"/>
  <c r="BA175" i="2"/>
  <c r="BB57" i="2"/>
  <c r="E70" i="4"/>
  <c r="E72" i="4"/>
  <c r="E75" i="4"/>
  <c r="E71" i="4"/>
  <c r="E76" i="4"/>
  <c r="E73" i="4"/>
  <c r="E66" i="4"/>
  <c r="Z66" i="4"/>
  <c r="Z70" i="4"/>
  <c r="Z72" i="4"/>
  <c r="Z75" i="4"/>
  <c r="Z77" i="4"/>
  <c r="Z71" i="4"/>
  <c r="Z73" i="4"/>
  <c r="Z76" i="4"/>
  <c r="AJ70" i="5"/>
  <c r="AJ62" i="4"/>
  <c r="AJ98" i="2"/>
  <c r="AJ36" i="2"/>
  <c r="AJ31" i="2"/>
  <c r="AJ75" i="2"/>
  <c r="W70" i="5"/>
  <c r="W62" i="4"/>
  <c r="W75" i="2"/>
  <c r="W98" i="2"/>
  <c r="AA64" i="2"/>
  <c r="W36" i="2"/>
  <c r="W31" i="2"/>
  <c r="I34" i="3"/>
  <c r="I84" i="4" s="1"/>
  <c r="I37" i="3"/>
  <c r="I41" i="3" s="1"/>
  <c r="AV105" i="3"/>
  <c r="AV7" i="3"/>
  <c r="AO170" i="2"/>
  <c r="BD170" i="2" s="1"/>
  <c r="AN93" i="2"/>
  <c r="AE97" i="2"/>
  <c r="AE69" i="2"/>
  <c r="AI59" i="2"/>
  <c r="AE25" i="2"/>
  <c r="U71" i="4"/>
  <c r="U76" i="4"/>
  <c r="U73" i="4"/>
  <c r="U66" i="4"/>
  <c r="U70" i="4"/>
  <c r="U72" i="4"/>
  <c r="U75" i="4"/>
  <c r="U77" i="4"/>
  <c r="AL124" i="2"/>
  <c r="AM34" i="2"/>
  <c r="BC74" i="2"/>
  <c r="AW69" i="2"/>
  <c r="AQ49" i="5"/>
  <c r="AR49" i="5" s="1"/>
  <c r="AS49" i="5" s="1"/>
  <c r="BE49" i="5"/>
  <c r="T81" i="5"/>
  <c r="T79" i="5" s="1"/>
  <c r="BC29" i="5"/>
  <c r="K48" i="5"/>
  <c r="K42" i="5"/>
  <c r="K79" i="4"/>
  <c r="M79" i="5"/>
  <c r="AU38" i="5"/>
  <c r="M18" i="5"/>
  <c r="AW18" i="5" s="1"/>
  <c r="X51" i="5"/>
  <c r="X53" i="5"/>
  <c r="X82" i="4" s="1"/>
  <c r="X80" i="4"/>
  <c r="AG57" i="5"/>
  <c r="Q54" i="4"/>
  <c r="AY93" i="3"/>
  <c r="AY91" i="3"/>
  <c r="E54" i="4"/>
  <c r="Y45" i="4"/>
  <c r="X51" i="4"/>
  <c r="AJ37" i="3"/>
  <c r="AJ41" i="3" s="1"/>
  <c r="AJ85" i="3"/>
  <c r="AJ34" i="3"/>
  <c r="P88" i="4"/>
  <c r="P89" i="4"/>
  <c r="O88" i="4"/>
  <c r="O89" i="4"/>
  <c r="AJ61" i="3"/>
  <c r="AO161" i="2"/>
  <c r="AN164" i="2"/>
  <c r="AZ54" i="3"/>
  <c r="AZ55" i="3" s="1"/>
  <c r="Y55" i="3"/>
  <c r="AJ88" i="4"/>
  <c r="AJ89" i="4"/>
  <c r="AD85" i="3"/>
  <c r="AD34" i="3"/>
  <c r="AH83" i="3"/>
  <c r="AD37" i="3"/>
  <c r="BB30" i="3"/>
  <c r="AZ91" i="3"/>
  <c r="AV72" i="3"/>
  <c r="AV73" i="3"/>
  <c r="AV74" i="3" s="1"/>
  <c r="U89" i="4"/>
  <c r="U88" i="4"/>
  <c r="AA37" i="3"/>
  <c r="AA41" i="3" s="1"/>
  <c r="AA85" i="3"/>
  <c r="AA34" i="3"/>
  <c r="AE83" i="3"/>
  <c r="BA21" i="3"/>
  <c r="AN18" i="3"/>
  <c r="AO20" i="3"/>
  <c r="AI156" i="2"/>
  <c r="AI157" i="2" s="1"/>
  <c r="AI87" i="2"/>
  <c r="AY113" i="2"/>
  <c r="R121" i="2"/>
  <c r="BD153" i="2"/>
  <c r="BA91" i="2"/>
  <c r="BB71" i="2"/>
  <c r="BC60" i="2"/>
  <c r="G97" i="2"/>
  <c r="G69" i="2"/>
  <c r="K59" i="2"/>
  <c r="AK76" i="4"/>
  <c r="AO76" i="4" s="1"/>
  <c r="AS76" i="4" s="1"/>
  <c r="AK73" i="4"/>
  <c r="AO73" i="4" s="1"/>
  <c r="AS73" i="4" s="1"/>
  <c r="AK66" i="4"/>
  <c r="AO66" i="4" s="1"/>
  <c r="AS66" i="4" s="1"/>
  <c r="AK70" i="4"/>
  <c r="AO70" i="4" s="1"/>
  <c r="AS70" i="4" s="1"/>
  <c r="AK72" i="4"/>
  <c r="AO72" i="4" s="1"/>
  <c r="AS72" i="4" s="1"/>
  <c r="AK75" i="4"/>
  <c r="AO75" i="4" s="1"/>
  <c r="AS75" i="4" s="1"/>
  <c r="AK77" i="4"/>
  <c r="AO77" i="4" s="1"/>
  <c r="AS77" i="4" s="1"/>
  <c r="AK71" i="4"/>
  <c r="AO71" i="4" s="1"/>
  <c r="AS71" i="4" s="1"/>
  <c r="AV58" i="2"/>
  <c r="AJ76" i="4"/>
  <c r="AN76" i="4" s="1"/>
  <c r="AR76" i="4" s="1"/>
  <c r="AJ73" i="4"/>
  <c r="AN73" i="4" s="1"/>
  <c r="AR73" i="4" s="1"/>
  <c r="AJ66" i="4"/>
  <c r="AN66" i="4" s="1"/>
  <c r="AR66" i="4" s="1"/>
  <c r="AJ70" i="4"/>
  <c r="AN70" i="4" s="1"/>
  <c r="AR70" i="4" s="1"/>
  <c r="AJ72" i="4"/>
  <c r="AN72" i="4" s="1"/>
  <c r="AR72" i="4" s="1"/>
  <c r="AJ75" i="4"/>
  <c r="AN75" i="4" s="1"/>
  <c r="AR75" i="4" s="1"/>
  <c r="AJ77" i="4"/>
  <c r="AN77" i="4" s="1"/>
  <c r="AR77" i="4" s="1"/>
  <c r="AJ71" i="4"/>
  <c r="AN71" i="4" s="1"/>
  <c r="AR71" i="4" s="1"/>
  <c r="BA72" i="2"/>
  <c r="BB61" i="2"/>
  <c r="H71" i="4"/>
  <c r="H76" i="4"/>
  <c r="H73" i="4"/>
  <c r="H66" i="4"/>
  <c r="H70" i="4"/>
  <c r="H72" i="4"/>
  <c r="H75" i="4"/>
  <c r="B70" i="5"/>
  <c r="B62" i="4"/>
  <c r="B98" i="2"/>
  <c r="B75" i="2"/>
  <c r="B36" i="2"/>
  <c r="B31" i="2"/>
  <c r="AU25" i="2"/>
  <c r="AH70" i="5"/>
  <c r="AH62" i="4"/>
  <c r="AH75" i="2"/>
  <c r="AH98" i="2"/>
  <c r="AH36" i="2"/>
  <c r="AH31" i="2"/>
  <c r="BC25" i="2"/>
  <c r="AC48" i="5"/>
  <c r="AC50" i="5" s="1"/>
  <c r="AC42" i="5"/>
  <c r="AC79" i="4"/>
  <c r="AD121" i="2"/>
  <c r="BB113" i="2"/>
  <c r="AU71" i="2"/>
  <c r="E78" i="5"/>
  <c r="E81" i="5" s="1"/>
  <c r="E79" i="5"/>
  <c r="AZ29" i="5"/>
  <c r="D20" i="5"/>
  <c r="E6" i="5"/>
  <c r="AX23" i="5"/>
  <c r="AV15" i="5"/>
  <c r="AD48" i="5"/>
  <c r="AD50" i="5" s="1"/>
  <c r="AG55" i="5" s="1"/>
  <c r="AD42" i="5"/>
  <c r="BB20" i="5"/>
  <c r="AD79" i="4"/>
  <c r="Y51" i="5"/>
  <c r="Y53" i="5"/>
  <c r="Y82" i="4" s="1"/>
  <c r="Y80" i="4"/>
  <c r="AV38" i="5"/>
  <c r="C20" i="5"/>
  <c r="AI50" i="4"/>
  <c r="AI51" i="4" s="1"/>
  <c r="AI48" i="4"/>
  <c r="BB54" i="4"/>
  <c r="AW48" i="4"/>
  <c r="N51" i="4"/>
  <c r="AW101" i="3"/>
  <c r="AB83" i="3"/>
  <c r="X37" i="3"/>
  <c r="X41" i="3" s="1"/>
  <c r="X85" i="3"/>
  <c r="X34" i="3"/>
  <c r="AI37" i="3"/>
  <c r="AI41" i="3" s="1"/>
  <c r="AI85" i="3"/>
  <c r="AI34" i="3"/>
  <c r="AH37" i="3"/>
  <c r="AH85" i="3"/>
  <c r="BC30" i="3"/>
  <c r="AH34" i="3"/>
  <c r="Z85" i="4"/>
  <c r="BA33" i="3"/>
  <c r="X60" i="3"/>
  <c r="X61" i="3" s="1"/>
  <c r="Y88" i="4"/>
  <c r="Y89" i="4"/>
  <c r="X55" i="3"/>
  <c r="R34" i="3"/>
  <c r="R37" i="3"/>
  <c r="AY30" i="3"/>
  <c r="J89" i="4"/>
  <c r="J88" i="4"/>
  <c r="K71" i="3"/>
  <c r="J72" i="3"/>
  <c r="O37" i="3"/>
  <c r="O41" i="3" s="1"/>
  <c r="O34" i="3"/>
  <c r="R60" i="3"/>
  <c r="BC21" i="3"/>
  <c r="AN151" i="2"/>
  <c r="AM86" i="2"/>
  <c r="AN173" i="2"/>
  <c r="AM5" i="3"/>
  <c r="AM108" i="2"/>
  <c r="AM7" i="2"/>
  <c r="Q34" i="3"/>
  <c r="Q37" i="3"/>
  <c r="Q41" i="3" s="1"/>
  <c r="AX30" i="3"/>
  <c r="AY83" i="3" s="1"/>
  <c r="AR160" i="2"/>
  <c r="AQ89" i="2"/>
  <c r="H175" i="2"/>
  <c r="H148" i="2"/>
  <c r="AX91" i="2"/>
  <c r="V77" i="5"/>
  <c r="AZ85" i="2"/>
  <c r="AB66" i="4"/>
  <c r="AB70" i="4"/>
  <c r="AB72" i="4"/>
  <c r="AB75" i="4"/>
  <c r="AB77" i="4"/>
  <c r="AB71" i="4"/>
  <c r="AB76" i="4"/>
  <c r="AB73" i="4"/>
  <c r="AL3" i="5"/>
  <c r="AL57" i="4"/>
  <c r="AL3" i="4"/>
  <c r="AL64" i="3"/>
  <c r="AL88" i="3"/>
  <c r="AL28" i="3"/>
  <c r="AL105" i="2"/>
  <c r="AL3" i="3"/>
  <c r="AL80" i="2"/>
  <c r="AP3" i="2"/>
  <c r="AL55" i="2"/>
  <c r="AW58" i="2"/>
  <c r="AK78" i="5"/>
  <c r="AK76" i="5" s="1"/>
  <c r="K71" i="4"/>
  <c r="K76" i="4"/>
  <c r="K73" i="4"/>
  <c r="K66" i="4"/>
  <c r="K70" i="4"/>
  <c r="K72" i="4"/>
  <c r="K75" i="4"/>
  <c r="K77" i="4"/>
  <c r="AV57" i="2"/>
  <c r="I71" i="4"/>
  <c r="I76" i="4"/>
  <c r="I73" i="4"/>
  <c r="I66" i="4"/>
  <c r="I70" i="4"/>
  <c r="I72" i="4"/>
  <c r="I75" i="4"/>
  <c r="I77" i="4"/>
  <c r="S75" i="4"/>
  <c r="S77" i="4"/>
  <c r="S71" i="4"/>
  <c r="S76" i="4"/>
  <c r="S73" i="4"/>
  <c r="S66" i="4"/>
  <c r="S70" i="4"/>
  <c r="S72" i="4"/>
  <c r="AZ74" i="2"/>
  <c r="BA63" i="2"/>
  <c r="BC73" i="2"/>
  <c r="Y70" i="5"/>
  <c r="Y62" i="4"/>
  <c r="Y98" i="2"/>
  <c r="Y75" i="2"/>
  <c r="Y36" i="2"/>
  <c r="Y31" i="2"/>
  <c r="BC69" i="2"/>
  <c r="U70" i="5"/>
  <c r="U62" i="4"/>
  <c r="U75" i="2"/>
  <c r="U98" i="2"/>
  <c r="Y64" i="2"/>
  <c r="U36" i="2"/>
  <c r="U31" i="2"/>
  <c r="AS23" i="5"/>
  <c r="AL74" i="5"/>
  <c r="AL29" i="5"/>
  <c r="AP23" i="5"/>
  <c r="BD23" i="5"/>
  <c r="L20" i="5"/>
  <c r="J79" i="5"/>
  <c r="AV19" i="5"/>
  <c r="T53" i="5"/>
  <c r="T82" i="4" s="1"/>
  <c r="T80" i="4"/>
  <c r="M25" i="5"/>
  <c r="M29" i="5" s="1"/>
  <c r="AW29" i="5" s="1"/>
  <c r="AV12" i="5"/>
  <c r="AV6" i="5"/>
  <c r="AZ105" i="3"/>
  <c r="AZ103" i="3"/>
  <c r="AG54" i="4"/>
  <c r="AV93" i="3"/>
  <c r="AY52" i="3"/>
  <c r="AY53" i="3"/>
  <c r="L37" i="3"/>
  <c r="L41" i="3" s="1"/>
  <c r="L34" i="3"/>
  <c r="AA83" i="3"/>
  <c r="W37" i="3"/>
  <c r="W41" i="3" s="1"/>
  <c r="W34" i="3"/>
  <c r="N61" i="3"/>
  <c r="Z78" i="3"/>
  <c r="Z79" i="3" s="1"/>
  <c r="AD77" i="3"/>
  <c r="Z77" i="3"/>
  <c r="AA76" i="3"/>
  <c r="Z83" i="3"/>
  <c r="V37" i="3"/>
  <c r="V34" i="3"/>
  <c r="AZ30" i="3"/>
  <c r="Z55" i="3"/>
  <c r="BD25" i="3"/>
  <c r="AW54" i="3"/>
  <c r="AW55" i="3" s="1"/>
  <c r="M55" i="3"/>
  <c r="AY16" i="3"/>
  <c r="F34" i="3"/>
  <c r="F37" i="3"/>
  <c r="AV30" i="3"/>
  <c r="I60" i="3"/>
  <c r="M61" i="3" s="1"/>
  <c r="AI55" i="3"/>
  <c r="I89" i="4"/>
  <c r="I88" i="4"/>
  <c r="BA26" i="3"/>
  <c r="AX94" i="3"/>
  <c r="AX7" i="3"/>
  <c r="AV31" i="3"/>
  <c r="AX26" i="3"/>
  <c r="AZ113" i="2"/>
  <c r="V121" i="2"/>
  <c r="AP169" i="2"/>
  <c r="AO92" i="2"/>
  <c r="F121" i="2"/>
  <c r="AV113" i="2"/>
  <c r="AK79" i="5"/>
  <c r="AJ79" i="5"/>
  <c r="W79" i="5"/>
  <c r="BC121" i="2"/>
  <c r="AH126" i="2"/>
  <c r="AB79" i="5"/>
  <c r="AU72" i="2"/>
  <c r="AV61" i="2"/>
  <c r="N66" i="4"/>
  <c r="N70" i="4"/>
  <c r="N72" i="4"/>
  <c r="N75" i="4"/>
  <c r="N77" i="4"/>
  <c r="N71" i="4"/>
  <c r="N73" i="4"/>
  <c r="N76" i="4"/>
  <c r="AV73" i="2"/>
  <c r="AC70" i="4"/>
  <c r="AC72" i="4"/>
  <c r="AC75" i="4"/>
  <c r="AC77" i="4"/>
  <c r="AC71" i="4"/>
  <c r="AC76" i="4"/>
  <c r="AC73" i="4"/>
  <c r="AC66" i="4"/>
  <c r="AL22" i="2"/>
  <c r="AD72" i="4"/>
  <c r="AD75" i="4"/>
  <c r="AD77" i="4"/>
  <c r="AD71" i="4"/>
  <c r="AD76" i="4"/>
  <c r="AD73" i="4"/>
  <c r="AD66" i="4"/>
  <c r="AD70" i="4"/>
  <c r="AA70" i="5"/>
  <c r="AA62" i="4"/>
  <c r="AA98" i="2"/>
  <c r="AA75" i="2"/>
  <c r="AA31" i="2"/>
  <c r="AE64" i="2"/>
  <c r="AA36" i="2"/>
  <c r="BC72" i="2"/>
  <c r="AP69" i="2"/>
  <c r="AL16" i="2"/>
  <c r="AW97" i="2"/>
  <c r="AD95" i="3"/>
  <c r="AU8" i="5"/>
  <c r="BC10" i="5"/>
  <c r="AV16" i="5"/>
  <c r="BA20" i="5"/>
  <c r="AK55" i="4"/>
  <c r="BC19" i="4"/>
  <c r="BC54" i="4" s="1"/>
  <c r="AK54" i="4"/>
  <c r="AG55" i="4"/>
  <c r="H54" i="4"/>
  <c r="AA54" i="4"/>
  <c r="I45" i="4"/>
  <c r="AV101" i="3"/>
  <c r="W51" i="4"/>
  <c r="AC83" i="3"/>
  <c r="Y37" i="3"/>
  <c r="Y41" i="3" s="1"/>
  <c r="Y85" i="3"/>
  <c r="Y34" i="3"/>
  <c r="BA54" i="3"/>
  <c r="BA55" i="3" s="1"/>
  <c r="AC55" i="3"/>
  <c r="Y118" i="3"/>
  <c r="Y117" i="3"/>
  <c r="AZ94" i="3"/>
  <c r="Y97" i="3"/>
  <c r="Y94" i="3" s="1"/>
  <c r="Y96" i="3" s="1"/>
  <c r="AZ7" i="3"/>
  <c r="AZ26" i="3"/>
  <c r="K37" i="3"/>
  <c r="K41" i="3" s="1"/>
  <c r="K34" i="3"/>
  <c r="J37" i="3"/>
  <c r="AW30" i="3"/>
  <c r="X96" i="3"/>
  <c r="M88" i="4"/>
  <c r="M89" i="4"/>
  <c r="X88" i="4"/>
  <c r="X89" i="4"/>
  <c r="AM165" i="2"/>
  <c r="AM90" i="2"/>
  <c r="W55" i="3"/>
  <c r="AB37" i="3"/>
  <c r="AB41" i="3" s="1"/>
  <c r="AB85" i="3"/>
  <c r="AB34" i="3"/>
  <c r="AF83" i="3"/>
  <c r="AV33" i="3"/>
  <c r="AU15" i="3"/>
  <c r="AU16" i="3"/>
  <c r="AV26" i="3"/>
  <c r="AQ153" i="2"/>
  <c r="AR153" i="2" s="1"/>
  <c r="AS153" i="2" s="1"/>
  <c r="N41" i="3"/>
  <c r="X79" i="5"/>
  <c r="L153" i="2"/>
  <c r="K22" i="2"/>
  <c r="AL83" i="2"/>
  <c r="AG51" i="4"/>
  <c r="BB50" i="4"/>
  <c r="BB51" i="4" s="1"/>
  <c r="AD97" i="2"/>
  <c r="BB97" i="2" s="1"/>
  <c r="AH59" i="2"/>
  <c r="BB17" i="2"/>
  <c r="AD25" i="2"/>
  <c r="AD69" i="2"/>
  <c r="N74" i="5"/>
  <c r="N79" i="5"/>
  <c r="Y76" i="4"/>
  <c r="Y73" i="4"/>
  <c r="Y66" i="4"/>
  <c r="Y70" i="4"/>
  <c r="Y72" i="4"/>
  <c r="Y75" i="4"/>
  <c r="Y77" i="4"/>
  <c r="Y71" i="4"/>
  <c r="X76" i="4"/>
  <c r="X73" i="4"/>
  <c r="X66" i="4"/>
  <c r="X70" i="4"/>
  <c r="X72" i="4"/>
  <c r="X75" i="4"/>
  <c r="X77" i="4"/>
  <c r="X71" i="4"/>
  <c r="AH71" i="4"/>
  <c r="AL71" i="4" s="1"/>
  <c r="AP71" i="4" s="1"/>
  <c r="AH76" i="4"/>
  <c r="AL76" i="4" s="1"/>
  <c r="AP76" i="4" s="1"/>
  <c r="AH73" i="4"/>
  <c r="AL73" i="4" s="1"/>
  <c r="AP73" i="4" s="1"/>
  <c r="AH66" i="4"/>
  <c r="AL66" i="4" s="1"/>
  <c r="AP66" i="4" s="1"/>
  <c r="AH70" i="4"/>
  <c r="AL70" i="4" s="1"/>
  <c r="AP70" i="4" s="1"/>
  <c r="AH72" i="4"/>
  <c r="AL72" i="4" s="1"/>
  <c r="AP72" i="4" s="1"/>
  <c r="AH75" i="4"/>
  <c r="AL75" i="4" s="1"/>
  <c r="AP75" i="4" s="1"/>
  <c r="AH77" i="4"/>
  <c r="AL77" i="4" s="1"/>
  <c r="AP77" i="4" s="1"/>
  <c r="AM125" i="2"/>
  <c r="AN35" i="2"/>
  <c r="AE59" i="2"/>
  <c r="X70" i="5"/>
  <c r="X62" i="4"/>
  <c r="X98" i="2"/>
  <c r="AB64" i="2"/>
  <c r="X36" i="2"/>
  <c r="X31" i="2"/>
  <c r="X75" i="2"/>
  <c r="AU74" i="2"/>
  <c r="N48" i="5"/>
  <c r="N42" i="5"/>
  <c r="N79" i="4"/>
  <c r="M74" i="5"/>
  <c r="T74" i="5"/>
  <c r="E74" i="5"/>
  <c r="E29" i="5"/>
  <c r="AU29" i="5" s="1"/>
  <c r="Z42" i="5"/>
  <c r="E39" i="5"/>
  <c r="AU39" i="5" s="1"/>
  <c r="AU34" i="5"/>
  <c r="BA50" i="4"/>
  <c r="BA51" i="4" s="1"/>
  <c r="AC51" i="4"/>
  <c r="M55" i="4"/>
  <c r="M54" i="4"/>
  <c r="AW19" i="4"/>
  <c r="AW54" i="4" s="1"/>
  <c r="R85" i="4"/>
  <c r="AY33" i="3"/>
  <c r="M37" i="3"/>
  <c r="M41" i="3" s="1"/>
  <c r="M34" i="3"/>
  <c r="AC89" i="4"/>
  <c r="AC88" i="4"/>
  <c r="Z88" i="4"/>
  <c r="Z89" i="4"/>
  <c r="AF34" i="3"/>
  <c r="AJ83" i="3"/>
  <c r="AF37" i="3"/>
  <c r="AF41" i="3" s="1"/>
  <c r="AF85" i="3"/>
  <c r="L55" i="3"/>
  <c r="P37" i="3"/>
  <c r="P41" i="3" s="1"/>
  <c r="P43" i="3" s="1"/>
  <c r="P34" i="3"/>
  <c r="AE61" i="3"/>
  <c r="G89" i="4"/>
  <c r="G88" i="4"/>
  <c r="Y79" i="5"/>
  <c r="G155" i="2"/>
  <c r="H152" i="2"/>
  <c r="G21" i="2"/>
  <c r="AW148" i="2"/>
  <c r="J126" i="2"/>
  <c r="AW121" i="2"/>
  <c r="BA103" i="2"/>
  <c r="BA137" i="2"/>
  <c r="P66" i="4"/>
  <c r="P70" i="4"/>
  <c r="P72" i="4"/>
  <c r="P75" i="4"/>
  <c r="P77" i="4"/>
  <c r="P71" i="4"/>
  <c r="P76" i="4"/>
  <c r="P73" i="4"/>
  <c r="R97" i="2"/>
  <c r="AY97" i="2" s="1"/>
  <c r="R69" i="2"/>
  <c r="V59" i="2"/>
  <c r="AY17" i="2"/>
  <c r="AD74" i="2"/>
  <c r="AH63" i="2"/>
  <c r="BB24" i="2"/>
  <c r="G75" i="4"/>
  <c r="G71" i="4"/>
  <c r="G76" i="4"/>
  <c r="G73" i="4"/>
  <c r="G66" i="4"/>
  <c r="G70" i="4"/>
  <c r="G72" i="4"/>
  <c r="AL21" i="2"/>
  <c r="BC97" i="2"/>
  <c r="BA73" i="2"/>
  <c r="AB88" i="4"/>
  <c r="AB89" i="4"/>
  <c r="H76" i="5"/>
  <c r="I8" i="5"/>
  <c r="I76" i="5" s="1"/>
  <c r="Q7" i="5"/>
  <c r="AX7" i="5" s="1"/>
  <c r="AW15" i="5"/>
  <c r="M35" i="5"/>
  <c r="G48" i="5"/>
  <c r="G42" i="5"/>
  <c r="G79" i="4"/>
  <c r="AG42" i="5"/>
  <c r="AG48" i="5"/>
  <c r="AG50" i="5" s="1"/>
  <c r="AG79" i="4"/>
  <c r="AV18" i="5"/>
  <c r="Z53" i="5"/>
  <c r="Z82" i="4" s="1"/>
  <c r="BA50" i="5"/>
  <c r="Z80" i="4"/>
  <c r="AX50" i="4"/>
  <c r="Q51" i="4"/>
  <c r="AD85" i="4"/>
  <c r="BB33" i="3"/>
  <c r="AC117" i="3"/>
  <c r="BA94" i="3"/>
  <c r="AC118" i="3"/>
  <c r="BA7" i="3"/>
  <c r="AX54" i="3"/>
  <c r="Q55" i="3"/>
  <c r="AA96" i="3"/>
  <c r="AA95" i="3"/>
  <c r="N85" i="4"/>
  <c r="AX33" i="3"/>
  <c r="T34" i="3"/>
  <c r="X83" i="3"/>
  <c r="T37" i="3"/>
  <c r="T41" i="3" s="1"/>
  <c r="T43" i="3" s="1"/>
  <c r="AK40" i="3"/>
  <c r="BC40" i="3" s="1"/>
  <c r="BB31" i="3"/>
  <c r="AW26" i="3"/>
  <c r="BC16" i="3"/>
  <c r="AM155" i="2"/>
  <c r="AM156" i="2" s="1"/>
  <c r="AN152" i="2"/>
  <c r="AZ16" i="3"/>
  <c r="BC82" i="2"/>
  <c r="F156" i="2"/>
  <c r="F87" i="2"/>
  <c r="AF79" i="5"/>
  <c r="AE74" i="2"/>
  <c r="AI63" i="2"/>
  <c r="BA71" i="2"/>
  <c r="BB60" i="2"/>
  <c r="F97" i="2"/>
  <c r="AV97" i="2" s="1"/>
  <c r="F69" i="2"/>
  <c r="J59" i="2"/>
  <c r="F25" i="2"/>
  <c r="AV17" i="2"/>
  <c r="AA66" i="4"/>
  <c r="AA70" i="4"/>
  <c r="AA72" i="4"/>
  <c r="AA75" i="4"/>
  <c r="AA77" i="4"/>
  <c r="AA71" i="4"/>
  <c r="AA76" i="4"/>
  <c r="AA73" i="4"/>
  <c r="F74" i="2"/>
  <c r="AC97" i="2"/>
  <c r="AC69" i="2"/>
  <c r="AG59" i="2"/>
  <c r="AC25" i="2"/>
  <c r="AC64" i="2" s="1"/>
  <c r="AZ57" i="2"/>
  <c r="AE63" i="2"/>
  <c r="AW57" i="2"/>
  <c r="BB102" i="2"/>
  <c r="BB136" i="2"/>
  <c r="R72" i="4"/>
  <c r="R75" i="4"/>
  <c r="R77" i="4"/>
  <c r="R71" i="4"/>
  <c r="R76" i="4"/>
  <c r="R73" i="4"/>
  <c r="R66" i="4"/>
  <c r="R70" i="4"/>
  <c r="Z70" i="5"/>
  <c r="Z62" i="4"/>
  <c r="Z75" i="2"/>
  <c r="AD64" i="2"/>
  <c r="Z36" i="2"/>
  <c r="Z31" i="2"/>
  <c r="AZ69" i="2"/>
  <c r="BA59" i="2"/>
  <c r="AC79" i="3"/>
  <c r="AG79" i="3"/>
  <c r="C70" i="5"/>
  <c r="C62" i="4"/>
  <c r="C98" i="2"/>
  <c r="C75" i="2"/>
  <c r="C31" i="2"/>
  <c r="C36" i="2"/>
  <c r="AN29" i="5"/>
  <c r="AR23" i="5"/>
  <c r="BB63" i="5"/>
  <c r="AH63" i="5"/>
  <c r="AI63" i="5" s="1"/>
  <c r="AJ63" i="5" s="1"/>
  <c r="AK63" i="5" s="1"/>
  <c r="U53" i="5"/>
  <c r="U82" i="4" s="1"/>
  <c r="U80" i="4"/>
  <c r="BE60" i="5"/>
  <c r="BB99" i="3"/>
  <c r="BA101" i="3"/>
  <c r="BA99" i="3"/>
  <c r="AZ53" i="3"/>
  <c r="AZ52" i="3"/>
  <c r="BD40" i="4"/>
  <c r="AP40" i="4"/>
  <c r="AB61" i="3"/>
  <c r="Q89" i="4"/>
  <c r="Q88" i="4"/>
  <c r="AH85" i="4"/>
  <c r="BC33" i="3"/>
  <c r="H34" i="3"/>
  <c r="H84" i="4" s="1"/>
  <c r="H37" i="3"/>
  <c r="H41" i="3" s="1"/>
  <c r="L88" i="4"/>
  <c r="L89" i="4"/>
  <c r="V85" i="4"/>
  <c r="AZ33" i="3"/>
  <c r="AF61" i="3"/>
  <c r="AD176" i="2"/>
  <c r="BB165" i="2"/>
  <c r="AF55" i="3"/>
  <c r="V176" i="2"/>
  <c r="AZ165" i="2"/>
  <c r="AW21" i="3"/>
  <c r="AC85" i="3"/>
  <c r="AC34" i="3"/>
  <c r="AG83" i="3"/>
  <c r="AC37" i="3"/>
  <c r="AC41" i="3" s="1"/>
  <c r="AC43" i="3" s="1"/>
  <c r="Q60" i="3"/>
  <c r="AX60" i="3" s="1"/>
  <c r="AX61" i="3" s="1"/>
  <c r="BB7" i="3"/>
  <c r="AL146" i="2"/>
  <c r="AA51" i="4"/>
  <c r="BC102" i="2"/>
  <c r="BC136" i="2"/>
  <c r="AY50" i="4"/>
  <c r="U51" i="4"/>
  <c r="AL118" i="2"/>
  <c r="E97" i="2"/>
  <c r="AU97" i="2" s="1"/>
  <c r="E69" i="2"/>
  <c r="I59" i="2"/>
  <c r="E25" i="2"/>
  <c r="M76" i="4"/>
  <c r="M73" i="4"/>
  <c r="M66" i="4"/>
  <c r="M70" i="4"/>
  <c r="M72" i="4"/>
  <c r="M75" i="4"/>
  <c r="M77" i="4"/>
  <c r="M71" i="4"/>
  <c r="L76" i="4"/>
  <c r="L73" i="4"/>
  <c r="L66" i="4"/>
  <c r="L70" i="4"/>
  <c r="L72" i="4"/>
  <c r="L75" i="4"/>
  <c r="L77" i="4"/>
  <c r="L71" i="4"/>
  <c r="V71" i="4"/>
  <c r="V76" i="4"/>
  <c r="V73" i="4"/>
  <c r="V66" i="4"/>
  <c r="V70" i="4"/>
  <c r="V72" i="4"/>
  <c r="V75" i="4"/>
  <c r="V77" i="4"/>
  <c r="AF77" i="4"/>
  <c r="AF71" i="4"/>
  <c r="AF76" i="4"/>
  <c r="AF73" i="4"/>
  <c r="AF66" i="4"/>
  <c r="AF70" i="4"/>
  <c r="AF72" i="4"/>
  <c r="AF75" i="4"/>
  <c r="D70" i="5"/>
  <c r="D62" i="4"/>
  <c r="D98" i="2"/>
  <c r="D75" i="2"/>
  <c r="D36" i="2"/>
  <c r="D31" i="2"/>
  <c r="BA17" i="2"/>
  <c r="AY58" i="2"/>
  <c r="V70" i="5"/>
  <c r="V62" i="4"/>
  <c r="V75" i="2"/>
  <c r="V98" i="2"/>
  <c r="AZ98" i="2" s="1"/>
  <c r="Z64" i="2"/>
  <c r="V36" i="2"/>
  <c r="V31" i="2"/>
  <c r="AZ25" i="2"/>
  <c r="S53" i="5"/>
  <c r="S82" i="4" s="1"/>
  <c r="S80" i="4"/>
  <c r="BB29" i="5"/>
  <c r="AI48" i="5"/>
  <c r="AI50" i="5" s="1"/>
  <c r="AI42" i="5"/>
  <c r="BC42" i="5" s="1"/>
  <c r="AI79" i="4"/>
  <c r="Q17" i="5"/>
  <c r="AX17" i="5" s="1"/>
  <c r="AB53" i="5"/>
  <c r="AB82" i="4" s="1"/>
  <c r="AB51" i="5"/>
  <c r="AB80" i="4"/>
  <c r="AA53" i="5"/>
  <c r="AA82" i="4" s="1"/>
  <c r="AA80" i="4"/>
  <c r="AY101" i="3"/>
  <c r="AY99" i="3"/>
  <c r="BA105" i="3"/>
  <c r="BB103" i="3"/>
  <c r="BA103" i="3"/>
  <c r="AZ50" i="4"/>
  <c r="AZ51" i="4" s="1"/>
  <c r="Y51" i="4"/>
  <c r="AD89" i="4"/>
  <c r="AD88" i="4"/>
  <c r="AB95" i="3"/>
  <c r="AB96" i="3"/>
  <c r="BA79" i="3"/>
  <c r="BE13" i="3"/>
  <c r="AP107" i="2"/>
  <c r="BE107" i="2" s="1"/>
  <c r="AP6" i="2"/>
  <c r="BE6" i="2" s="1"/>
  <c r="AK51" i="4"/>
  <c r="BC50" i="4"/>
  <c r="N88" i="4"/>
  <c r="N89" i="4"/>
  <c r="AE85" i="3"/>
  <c r="AE34" i="3"/>
  <c r="AI83" i="3"/>
  <c r="AE37" i="3"/>
  <c r="AE41" i="3" s="1"/>
  <c r="AE43" i="3" s="1"/>
  <c r="V61" i="3"/>
  <c r="AZ60" i="3"/>
  <c r="AW16" i="3"/>
  <c r="Z165" i="2"/>
  <c r="BA164" i="2"/>
  <c r="Z90" i="2"/>
  <c r="AF96" i="3"/>
  <c r="AF95" i="3"/>
  <c r="AE95" i="3"/>
  <c r="AE96" i="3"/>
  <c r="AF89" i="4"/>
  <c r="AF88" i="4"/>
  <c r="AH175" i="2"/>
  <c r="BC147" i="2"/>
  <c r="BC148" i="2" s="1"/>
  <c r="AH148" i="2"/>
  <c r="AE89" i="4"/>
  <c r="AE88" i="4"/>
  <c r="Z84" i="4"/>
  <c r="Z35" i="3"/>
  <c r="BB103" i="2"/>
  <c r="BB137" i="2"/>
  <c r="L154" i="2"/>
  <c r="K23" i="2"/>
  <c r="AF74" i="2"/>
  <c r="AJ63" i="2"/>
  <c r="Q70" i="4"/>
  <c r="Q72" i="4"/>
  <c r="Q75" i="4"/>
  <c r="Q77" i="4"/>
  <c r="Q71" i="4"/>
  <c r="Q76" i="4"/>
  <c r="Q73" i="4"/>
  <c r="Q66" i="4"/>
  <c r="AZ71" i="2"/>
  <c r="BA60" i="2"/>
  <c r="N69" i="2"/>
  <c r="N97" i="2"/>
  <c r="AX97" i="2" s="1"/>
  <c r="R59" i="2"/>
  <c r="AX17" i="2"/>
  <c r="AI71" i="4"/>
  <c r="AM71" i="4" s="1"/>
  <c r="AQ71" i="4" s="1"/>
  <c r="AI76" i="4"/>
  <c r="AM76" i="4" s="1"/>
  <c r="AQ76" i="4" s="1"/>
  <c r="AI73" i="4"/>
  <c r="AM73" i="4" s="1"/>
  <c r="AQ73" i="4" s="1"/>
  <c r="AI66" i="4"/>
  <c r="AM66" i="4" s="1"/>
  <c r="AQ66" i="4" s="1"/>
  <c r="AI70" i="4"/>
  <c r="AM70" i="4" s="1"/>
  <c r="AQ70" i="4" s="1"/>
  <c r="AI72" i="4"/>
  <c r="AM72" i="4" s="1"/>
  <c r="AQ72" i="4" s="1"/>
  <c r="AI75" i="4"/>
  <c r="AM75" i="4" s="1"/>
  <c r="AQ75" i="4" s="1"/>
  <c r="AI77" i="4"/>
  <c r="AM77" i="4" s="1"/>
  <c r="AQ77" i="4" s="1"/>
  <c r="AG71" i="4"/>
  <c r="AG76" i="4"/>
  <c r="AG73" i="4"/>
  <c r="AG66" i="4"/>
  <c r="AG70" i="4"/>
  <c r="AG72" i="4"/>
  <c r="AG75" i="4"/>
  <c r="AG77" i="4"/>
  <c r="S59" i="2"/>
  <c r="AD59" i="2"/>
  <c r="AI70" i="5"/>
  <c r="AI62" i="4"/>
  <c r="AI75" i="2"/>
  <c r="AI36" i="2"/>
  <c r="BA61" i="2"/>
  <c r="B45" i="5"/>
  <c r="C44" i="5" s="1"/>
  <c r="Z95" i="3"/>
  <c r="P74" i="5"/>
  <c r="P29" i="5"/>
  <c r="AX29" i="5" s="1"/>
  <c r="AW23" i="5"/>
  <c r="V42" i="5"/>
  <c r="V48" i="5"/>
  <c r="V50" i="5" s="1"/>
  <c r="AZ20" i="5"/>
  <c r="V79" i="4"/>
  <c r="AY29" i="5"/>
  <c r="W48" i="5"/>
  <c r="W50" i="5" s="1"/>
  <c r="AA51" i="5" s="1"/>
  <c r="W42" i="5"/>
  <c r="W79" i="4"/>
  <c r="AE53" i="5"/>
  <c r="AE82" i="4" s="1"/>
  <c r="AE51" i="5"/>
  <c r="AE80" i="4"/>
  <c r="O20" i="5"/>
  <c r="AV14" i="5"/>
  <c r="AC45" i="4"/>
  <c r="BA44" i="4"/>
  <c r="M51" i="4"/>
  <c r="AW50" i="4"/>
  <c r="AW51" i="4" s="1"/>
  <c r="AW93" i="3"/>
  <c r="R55" i="3"/>
  <c r="U118" i="3"/>
  <c r="U117" i="3"/>
  <c r="AY94" i="3"/>
  <c r="AY95" i="3" s="1"/>
  <c r="AY7" i="3"/>
  <c r="V51" i="4"/>
  <c r="AH157" i="2"/>
  <c r="AG34" i="3"/>
  <c r="AK83" i="3"/>
  <c r="AG37" i="3"/>
  <c r="AG41" i="3" s="1"/>
  <c r="AG43" i="3" s="1"/>
  <c r="S34" i="3"/>
  <c r="S37" i="3"/>
  <c r="S41" i="3" s="1"/>
  <c r="S43" i="3" s="1"/>
  <c r="AD157" i="2"/>
  <c r="BB156" i="2"/>
  <c r="AH55" i="3"/>
  <c r="AV21" i="3"/>
  <c r="T61" i="3"/>
  <c r="T55" i="3"/>
  <c r="BB58" i="3"/>
  <c r="AD60" i="3"/>
  <c r="BD169" i="2"/>
  <c r="AZ21" i="3"/>
  <c r="Z85" i="3"/>
  <c r="BE162" i="2"/>
  <c r="AG94" i="3"/>
  <c r="BB95" i="3"/>
  <c r="BE163" i="2"/>
  <c r="Z129" i="2"/>
  <c r="BA126" i="2"/>
  <c r="O51" i="4"/>
  <c r="AC79" i="5"/>
  <c r="AM128" i="2"/>
  <c r="AN37" i="2"/>
  <c r="BA102" i="2"/>
  <c r="BA136" i="2"/>
  <c r="I51" i="4"/>
  <c r="T74" i="2"/>
  <c r="X63" i="2"/>
  <c r="O66" i="4"/>
  <c r="O70" i="4"/>
  <c r="O72" i="4"/>
  <c r="O75" i="4"/>
  <c r="O77" i="4"/>
  <c r="O71" i="4"/>
  <c r="O76" i="4"/>
  <c r="O73" i="4"/>
  <c r="AL35" i="4"/>
  <c r="AL18" i="4"/>
  <c r="AL8" i="4"/>
  <c r="AL14" i="4"/>
  <c r="AL9" i="4"/>
  <c r="AL24" i="4"/>
  <c r="AL17" i="5" s="1"/>
  <c r="AL27" i="4"/>
  <c r="AL10" i="4"/>
  <c r="BD2" i="5"/>
  <c r="BD2" i="4"/>
  <c r="BD2" i="3"/>
  <c r="BE2" i="2"/>
  <c r="F72" i="4"/>
  <c r="F75" i="4"/>
  <c r="F71" i="4"/>
  <c r="F76" i="4"/>
  <c r="F73" i="4"/>
  <c r="F66" i="4"/>
  <c r="F70" i="4"/>
  <c r="BA97" i="2"/>
  <c r="AZ72" i="2"/>
  <c r="AL157" i="2"/>
  <c r="AH51" i="5"/>
  <c r="AH53" i="5"/>
  <c r="AH82" i="4" s="1"/>
  <c r="AH80" i="4"/>
  <c r="Q33" i="5"/>
  <c r="Q39" i="5" s="1"/>
  <c r="AX39" i="5" s="1"/>
  <c r="J42" i="5"/>
  <c r="J48" i="5"/>
  <c r="J79" i="4"/>
  <c r="H74" i="5"/>
  <c r="H29" i="5"/>
  <c r="I23" i="5"/>
  <c r="AV23" i="5" s="1"/>
  <c r="R48" i="5"/>
  <c r="R50" i="5" s="1"/>
  <c r="R42" i="5"/>
  <c r="AY20" i="5"/>
  <c r="R79" i="4"/>
  <c r="AW105" i="3"/>
  <c r="AD79" i="3"/>
  <c r="BA93" i="3"/>
  <c r="BB91" i="3"/>
  <c r="BA91" i="3"/>
  <c r="R89" i="4"/>
  <c r="R88" i="4"/>
  <c r="Z60" i="3"/>
  <c r="BA58" i="3"/>
  <c r="J51" i="4"/>
  <c r="U34" i="3"/>
  <c r="Y83" i="3"/>
  <c r="U37" i="3"/>
  <c r="U41" i="3" s="1"/>
  <c r="J33" i="3"/>
  <c r="G34" i="3"/>
  <c r="G84" i="4" s="1"/>
  <c r="G37" i="3"/>
  <c r="G41" i="3" s="1"/>
  <c r="AH89" i="4"/>
  <c r="AH88" i="4"/>
  <c r="BB54" i="3"/>
  <c r="BB55" i="3" s="1"/>
  <c r="AG55" i="3"/>
  <c r="S61" i="3"/>
  <c r="AK85" i="3"/>
  <c r="T89" i="4"/>
  <c r="T88" i="4"/>
  <c r="AK34" i="3"/>
  <c r="AY31" i="3"/>
  <c r="Z41" i="3"/>
  <c r="BD161" i="2"/>
  <c r="Z175" i="2"/>
  <c r="Z148" i="2"/>
  <c r="BA147" i="2"/>
  <c r="BA148" i="2" s="1"/>
  <c r="AL79" i="5"/>
  <c r="N126" i="2"/>
  <c r="AX121" i="2"/>
  <c r="AE79" i="5"/>
  <c r="AB51" i="4"/>
  <c r="AL103" i="2"/>
  <c r="AL137" i="2"/>
  <c r="AM53" i="2"/>
  <c r="AM123" i="2"/>
  <c r="AN33" i="2"/>
  <c r="AL136" i="2"/>
  <c r="AL102" i="2"/>
  <c r="AM52" i="2"/>
  <c r="AG79" i="5"/>
  <c r="AZ73" i="2"/>
  <c r="BA62" i="2"/>
  <c r="AL78" i="5"/>
  <c r="AL76" i="5" s="1"/>
  <c r="AL8" i="5" s="1"/>
  <c r="AU73" i="2"/>
  <c r="AV62" i="2"/>
  <c r="J71" i="4"/>
  <c r="J76" i="4"/>
  <c r="J73" i="4"/>
  <c r="J66" i="4"/>
  <c r="J70" i="4"/>
  <c r="J72" i="4"/>
  <c r="J75" i="4"/>
  <c r="J77" i="4"/>
  <c r="T77" i="4"/>
  <c r="T71" i="4"/>
  <c r="T76" i="4"/>
  <c r="T73" i="4"/>
  <c r="T66" i="4"/>
  <c r="T70" i="4"/>
  <c r="T72" i="4"/>
  <c r="T75" i="4"/>
  <c r="AK70" i="5"/>
  <c r="AK62" i="4"/>
  <c r="AK98" i="2"/>
  <c r="AK75" i="2"/>
  <c r="AK36" i="2"/>
  <c r="AK31" i="2"/>
  <c r="AF63" i="2"/>
  <c r="AQ69" i="2"/>
  <c r="BA74" i="2"/>
  <c r="AZ97" i="2"/>
  <c r="AG70" i="5"/>
  <c r="AG62" i="4"/>
  <c r="AG75" i="2"/>
  <c r="AG98" i="2"/>
  <c r="AK64" i="2"/>
  <c r="AG36" i="2"/>
  <c r="AG31" i="2"/>
  <c r="AD61" i="3" l="1"/>
  <c r="BB60" i="3"/>
  <c r="BB61" i="3" s="1"/>
  <c r="AI51" i="5"/>
  <c r="AI53" i="5"/>
  <c r="AI82" i="4" s="1"/>
  <c r="AI80" i="4"/>
  <c r="AC84" i="4"/>
  <c r="AC35" i="3"/>
  <c r="BB74" i="2"/>
  <c r="BC63" i="2"/>
  <c r="G69" i="5"/>
  <c r="G71" i="2"/>
  <c r="G24" i="2"/>
  <c r="G60" i="2"/>
  <c r="AV45" i="4"/>
  <c r="AV54" i="4" s="1"/>
  <c r="I54" i="4"/>
  <c r="I55" i="4"/>
  <c r="AM7" i="3"/>
  <c r="AM35" i="3" s="1"/>
  <c r="AM30" i="3"/>
  <c r="AM110" i="2"/>
  <c r="AM26" i="3"/>
  <c r="AM9" i="2"/>
  <c r="AM16" i="3"/>
  <c r="AD126" i="2"/>
  <c r="BB121" i="2"/>
  <c r="AJ55" i="4"/>
  <c r="AJ54" i="4"/>
  <c r="T39" i="2"/>
  <c r="T38" i="2"/>
  <c r="BA37" i="3"/>
  <c r="AL19" i="5"/>
  <c r="BC156" i="2"/>
  <c r="AZ48" i="5"/>
  <c r="AZ79" i="4"/>
  <c r="AI39" i="2"/>
  <c r="AI38" i="2"/>
  <c r="AX69" i="2"/>
  <c r="AY59" i="2"/>
  <c r="AE84" i="4"/>
  <c r="AE35" i="3"/>
  <c r="BA69" i="2"/>
  <c r="BB59" i="2"/>
  <c r="AY51" i="4"/>
  <c r="F85" i="2"/>
  <c r="I152" i="2"/>
  <c r="AV152" i="2" s="1"/>
  <c r="H155" i="2"/>
  <c r="H21" i="2"/>
  <c r="AF84" i="4"/>
  <c r="AF35" i="3"/>
  <c r="AZ95" i="3"/>
  <c r="AZ83" i="3"/>
  <c r="AY85" i="3"/>
  <c r="AH41" i="3"/>
  <c r="BC37" i="3"/>
  <c r="AO18" i="3"/>
  <c r="AP20" i="3"/>
  <c r="AN91" i="2"/>
  <c r="B129" i="2"/>
  <c r="AU126" i="2"/>
  <c r="AJ50" i="4"/>
  <c r="AJ51" i="4" s="1"/>
  <c r="AJ48" i="4"/>
  <c r="V51" i="5"/>
  <c r="AZ50" i="5"/>
  <c r="V53" i="5"/>
  <c r="V82" i="4" s="1"/>
  <c r="V80" i="4"/>
  <c r="AL82" i="2"/>
  <c r="AM88" i="4"/>
  <c r="AL89" i="4"/>
  <c r="AK84" i="4"/>
  <c r="AK35" i="3"/>
  <c r="AL14" i="5"/>
  <c r="AZ42" i="5"/>
  <c r="D39" i="2"/>
  <c r="D38" i="2"/>
  <c r="C39" i="2"/>
  <c r="C38" i="2"/>
  <c r="AV69" i="2"/>
  <c r="AW59" i="2"/>
  <c r="AN125" i="2"/>
  <c r="AO35" i="2"/>
  <c r="BD35" i="2"/>
  <c r="AL68" i="5"/>
  <c r="AL60" i="4"/>
  <c r="AL22" i="4" s="1"/>
  <c r="AL112" i="2"/>
  <c r="AL17" i="2"/>
  <c r="AL58" i="2"/>
  <c r="W43" i="3"/>
  <c r="Y39" i="2"/>
  <c r="Y38" i="2"/>
  <c r="AO151" i="2"/>
  <c r="AN86" i="2"/>
  <c r="AN85" i="2" s="1"/>
  <c r="AN77" i="5" s="1"/>
  <c r="R84" i="4"/>
  <c r="R35" i="3"/>
  <c r="AY34" i="3"/>
  <c r="C48" i="5"/>
  <c r="C42" i="5"/>
  <c r="C79" i="4"/>
  <c r="E20" i="5"/>
  <c r="AU6" i="5"/>
  <c r="AU31" i="2"/>
  <c r="P48" i="5"/>
  <c r="P42" i="5"/>
  <c r="P79" i="4"/>
  <c r="J85" i="4"/>
  <c r="AW33" i="3"/>
  <c r="U48" i="3"/>
  <c r="U43" i="3"/>
  <c r="AM136" i="2"/>
  <c r="AM102" i="2"/>
  <c r="AN52" i="2"/>
  <c r="BA129" i="2"/>
  <c r="Z131" i="2"/>
  <c r="O48" i="5"/>
  <c r="O42" i="5"/>
  <c r="O79" i="4"/>
  <c r="BA34" i="3"/>
  <c r="BA35" i="3" s="1"/>
  <c r="AZ75" i="2"/>
  <c r="Z39" i="2"/>
  <c r="Z38" i="2"/>
  <c r="F70" i="5"/>
  <c r="F62" i="4"/>
  <c r="F75" i="2"/>
  <c r="F98" i="2"/>
  <c r="F36" i="2"/>
  <c r="AX51" i="4"/>
  <c r="M39" i="5"/>
  <c r="AW39" i="5" s="1"/>
  <c r="AW35" i="5"/>
  <c r="AL69" i="5"/>
  <c r="AL116" i="2"/>
  <c r="AL24" i="2"/>
  <c r="AL60" i="2"/>
  <c r="AY69" i="2"/>
  <c r="AZ59" i="2"/>
  <c r="BD92" i="2"/>
  <c r="BA83" i="3"/>
  <c r="AZ85" i="3"/>
  <c r="AP3" i="5"/>
  <c r="AP3" i="4"/>
  <c r="AP57" i="4"/>
  <c r="AP64" i="3"/>
  <c r="AP88" i="3"/>
  <c r="AP28" i="3"/>
  <c r="AP3" i="3"/>
  <c r="AP105" i="2"/>
  <c r="AP80" i="2"/>
  <c r="AP55" i="2"/>
  <c r="AS160" i="2"/>
  <c r="AS89" i="2" s="1"/>
  <c r="AR89" i="2"/>
  <c r="BE89" i="2" s="1"/>
  <c r="BE160" i="2"/>
  <c r="AI43" i="3"/>
  <c r="D48" i="5"/>
  <c r="D42" i="5"/>
  <c r="D79" i="4"/>
  <c r="B39" i="2"/>
  <c r="B38" i="2"/>
  <c r="AD84" i="4"/>
  <c r="AD35" i="3"/>
  <c r="BB34" i="3"/>
  <c r="AJ39" i="2"/>
  <c r="AJ38" i="2"/>
  <c r="AX33" i="5"/>
  <c r="AB39" i="2"/>
  <c r="AB38" i="2"/>
  <c r="BC48" i="5"/>
  <c r="BC79" i="4"/>
  <c r="AI84" i="4"/>
  <c r="AM34" i="3"/>
  <c r="AI35" i="3"/>
  <c r="BB63" i="2"/>
  <c r="U84" i="4"/>
  <c r="U35" i="3"/>
  <c r="AY48" i="5"/>
  <c r="AY79" i="4"/>
  <c r="AL12" i="5"/>
  <c r="BA90" i="2"/>
  <c r="Z88" i="2"/>
  <c r="BC51" i="4"/>
  <c r="AZ31" i="2"/>
  <c r="E70" i="5"/>
  <c r="E62" i="4"/>
  <c r="E75" i="2"/>
  <c r="E98" i="2"/>
  <c r="AU98" i="2" s="1"/>
  <c r="E36" i="2"/>
  <c r="AU36" i="2" s="1"/>
  <c r="AU38" i="2" s="1"/>
  <c r="E31" i="2"/>
  <c r="K61" i="4"/>
  <c r="K72" i="2"/>
  <c r="K61" i="2"/>
  <c r="AB84" i="4"/>
  <c r="AB35" i="3"/>
  <c r="J34" i="3"/>
  <c r="AP173" i="2"/>
  <c r="AQ169" i="2"/>
  <c r="AP92" i="2"/>
  <c r="V84" i="4"/>
  <c r="V35" i="3"/>
  <c r="AZ34" i="3"/>
  <c r="AZ35" i="3" s="1"/>
  <c r="L84" i="4"/>
  <c r="L35" i="3"/>
  <c r="X84" i="4"/>
  <c r="X35" i="3"/>
  <c r="AC53" i="5"/>
  <c r="AC82" i="4" s="1"/>
  <c r="AC51" i="5"/>
  <c r="AC80" i="4"/>
  <c r="F64" i="2"/>
  <c r="AA84" i="4"/>
  <c r="AA35" i="3"/>
  <c r="AJ84" i="4"/>
  <c r="AJ35" i="3"/>
  <c r="AX59" i="2"/>
  <c r="I48" i="3"/>
  <c r="AV59" i="2"/>
  <c r="Z43" i="3"/>
  <c r="BA41" i="3"/>
  <c r="AC70" i="5"/>
  <c r="AC62" i="4"/>
  <c r="AC75" i="2"/>
  <c r="AC98" i="2"/>
  <c r="AG64" i="2"/>
  <c r="AC36" i="2"/>
  <c r="AC31" i="2"/>
  <c r="BA31" i="2" s="1"/>
  <c r="G156" i="2"/>
  <c r="G87" i="2"/>
  <c r="G85" i="2" s="1"/>
  <c r="G77" i="5" s="1"/>
  <c r="N129" i="2"/>
  <c r="AX126" i="2"/>
  <c r="AY42" i="5"/>
  <c r="AL15" i="5"/>
  <c r="V39" i="2"/>
  <c r="AZ36" i="2"/>
  <c r="AZ38" i="2" s="1"/>
  <c r="V38" i="2"/>
  <c r="AL84" i="2"/>
  <c r="AN155" i="2"/>
  <c r="AN87" i="2" s="1"/>
  <c r="AO152" i="2"/>
  <c r="BD152" i="2" s="1"/>
  <c r="Z51" i="5"/>
  <c r="M84" i="4"/>
  <c r="M35" i="3"/>
  <c r="M153" i="2"/>
  <c r="L22" i="2"/>
  <c r="Y84" i="4"/>
  <c r="Y35" i="3"/>
  <c r="AZ37" i="3"/>
  <c r="V41" i="3"/>
  <c r="L43" i="3"/>
  <c r="U39" i="2"/>
  <c r="U38" i="2"/>
  <c r="Q48" i="3"/>
  <c r="Q43" i="3"/>
  <c r="AY60" i="3"/>
  <c r="AY61" i="3" s="1"/>
  <c r="R61" i="3"/>
  <c r="BC75" i="2"/>
  <c r="Q20" i="5"/>
  <c r="BA85" i="3"/>
  <c r="BA45" i="4"/>
  <c r="BA54" i="4" s="1"/>
  <c r="AC54" i="4"/>
  <c r="AC55" i="4"/>
  <c r="R53" i="5"/>
  <c r="R82" i="4" s="1"/>
  <c r="AY50" i="5"/>
  <c r="R80" i="4"/>
  <c r="BC50" i="5"/>
  <c r="AG97" i="3"/>
  <c r="AG96" i="3"/>
  <c r="Z176" i="2"/>
  <c r="BA165" i="2"/>
  <c r="AM87" i="2"/>
  <c r="BA51" i="5"/>
  <c r="BA53" i="5"/>
  <c r="BA82" i="4" s="1"/>
  <c r="BA80" i="4"/>
  <c r="J129" i="2"/>
  <c r="AW126" i="2"/>
  <c r="P84" i="4"/>
  <c r="P35" i="3"/>
  <c r="M43" i="3"/>
  <c r="M48" i="3"/>
  <c r="BA42" i="5"/>
  <c r="AC45" i="3"/>
  <c r="AC47" i="3"/>
  <c r="AB43" i="3"/>
  <c r="AC46" i="3"/>
  <c r="AW37" i="3"/>
  <c r="J41" i="3"/>
  <c r="AA39" i="2"/>
  <c r="AA38" i="2"/>
  <c r="AO173" i="2"/>
  <c r="BD173" i="2" s="1"/>
  <c r="Q84" i="4"/>
  <c r="Q35" i="3"/>
  <c r="O84" i="4"/>
  <c r="O35" i="3"/>
  <c r="X43" i="3"/>
  <c r="Y46" i="3"/>
  <c r="Y45" i="3"/>
  <c r="Y47" i="3"/>
  <c r="AA43" i="3"/>
  <c r="AJ43" i="3"/>
  <c r="AH80" i="5"/>
  <c r="AH78" i="5"/>
  <c r="AH81" i="5" s="1"/>
  <c r="AY55" i="3"/>
  <c r="H42" i="5"/>
  <c r="H48" i="5"/>
  <c r="H79" i="4"/>
  <c r="AJ51" i="5"/>
  <c r="AJ53" i="5"/>
  <c r="AJ82" i="4" s="1"/>
  <c r="AJ80" i="4"/>
  <c r="F126" i="2"/>
  <c r="AV121" i="2"/>
  <c r="R41" i="3"/>
  <c r="AY37" i="3"/>
  <c r="AU75" i="2"/>
  <c r="BB37" i="3"/>
  <c r="AD41" i="3"/>
  <c r="AG45" i="3" s="1"/>
  <c r="AP170" i="2"/>
  <c r="AO93" i="2"/>
  <c r="BD93" i="2" s="1"/>
  <c r="AN123" i="2"/>
  <c r="AO33" i="2"/>
  <c r="Z61" i="3"/>
  <c r="BA60" i="3"/>
  <c r="BA61" i="3" s="1"/>
  <c r="BE2" i="5"/>
  <c r="BE2" i="4"/>
  <c r="BE2" i="3"/>
  <c r="Z96" i="3"/>
  <c r="K73" i="2"/>
  <c r="K62" i="2"/>
  <c r="AX55" i="3"/>
  <c r="AD70" i="5"/>
  <c r="AD62" i="4"/>
  <c r="AD75" i="2"/>
  <c r="AD98" i="2"/>
  <c r="AH64" i="2"/>
  <c r="AD36" i="2"/>
  <c r="AD31" i="2"/>
  <c r="BB25" i="2"/>
  <c r="N43" i="3"/>
  <c r="AX41" i="3"/>
  <c r="K84" i="4"/>
  <c r="K35" i="3"/>
  <c r="Y43" i="3"/>
  <c r="BA48" i="5"/>
  <c r="BA79" i="4"/>
  <c r="BC126" i="2"/>
  <c r="AH129" i="2"/>
  <c r="AZ121" i="2"/>
  <c r="V126" i="2"/>
  <c r="F41" i="3"/>
  <c r="AV41" i="3" s="1"/>
  <c r="AV37" i="3"/>
  <c r="AA78" i="3"/>
  <c r="AE77" i="3"/>
  <c r="AA77" i="3"/>
  <c r="AB78" i="3"/>
  <c r="L48" i="5"/>
  <c r="L42" i="5"/>
  <c r="L79" i="4"/>
  <c r="O43" i="3"/>
  <c r="AW25" i="5"/>
  <c r="AH39" i="2"/>
  <c r="BC36" i="2"/>
  <c r="BC38" i="2" s="1"/>
  <c r="AH38" i="2"/>
  <c r="AE70" i="5"/>
  <c r="AE62" i="4"/>
  <c r="AE75" i="2"/>
  <c r="AE98" i="2"/>
  <c r="AI64" i="2"/>
  <c r="AE36" i="2"/>
  <c r="AE31" i="2"/>
  <c r="W39" i="2"/>
  <c r="W38" i="2"/>
  <c r="I20" i="5"/>
  <c r="AX34" i="3"/>
  <c r="AK51" i="5"/>
  <c r="AK53" i="5"/>
  <c r="AK82" i="4" s="1"/>
  <c r="AK80" i="4"/>
  <c r="AG84" i="4"/>
  <c r="AG35" i="3"/>
  <c r="W84" i="4"/>
  <c r="W35" i="3"/>
  <c r="I74" i="5"/>
  <c r="I29" i="5"/>
  <c r="S84" i="4"/>
  <c r="S35" i="3"/>
  <c r="M154" i="2"/>
  <c r="L23" i="2"/>
  <c r="AZ61" i="3"/>
  <c r="Q61" i="3"/>
  <c r="U61" i="3"/>
  <c r="AQ40" i="4"/>
  <c r="AV8" i="5"/>
  <c r="AF31" i="2" s="1"/>
  <c r="X39" i="2"/>
  <c r="X38" i="2"/>
  <c r="BB69" i="2"/>
  <c r="BC59" i="2"/>
  <c r="AX37" i="3"/>
  <c r="AM88" i="2"/>
  <c r="K43" i="3"/>
  <c r="F84" i="4"/>
  <c r="AV34" i="3"/>
  <c r="AV35" i="3" s="1"/>
  <c r="AL13" i="4"/>
  <c r="BB48" i="5"/>
  <c r="BB79" i="4"/>
  <c r="R126" i="2"/>
  <c r="AY121" i="2"/>
  <c r="AZ45" i="4"/>
  <c r="AZ54" i="4" s="1"/>
  <c r="Y54" i="4"/>
  <c r="Y55" i="4"/>
  <c r="AM124" i="2"/>
  <c r="AN34" i="2"/>
  <c r="AL13" i="5"/>
  <c r="BA25" i="2"/>
  <c r="T84" i="4"/>
  <c r="T35" i="3"/>
  <c r="AG39" i="2"/>
  <c r="AG38" i="2"/>
  <c r="AN128" i="2"/>
  <c r="AO37" i="2"/>
  <c r="W51" i="5"/>
  <c r="W53" i="5"/>
  <c r="W82" i="4" s="1"/>
  <c r="W80" i="4"/>
  <c r="AL63" i="5"/>
  <c r="AM63" i="5" s="1"/>
  <c r="AN63" i="5" s="1"/>
  <c r="AO63" i="5" s="1"/>
  <c r="BC63" i="5"/>
  <c r="I79" i="5"/>
  <c r="AL61" i="4"/>
  <c r="AL117" i="2"/>
  <c r="AL61" i="2"/>
  <c r="K72" i="3"/>
  <c r="L71" i="3"/>
  <c r="AH84" i="4"/>
  <c r="AH35" i="3"/>
  <c r="BC34" i="3"/>
  <c r="BC35" i="3" s="1"/>
  <c r="AL34" i="3"/>
  <c r="BB42" i="5"/>
  <c r="AN165" i="2"/>
  <c r="AN90" i="2"/>
  <c r="AN88" i="2" s="1"/>
  <c r="M20" i="5"/>
  <c r="AF39" i="2"/>
  <c r="AF38" i="2"/>
  <c r="AN5" i="3"/>
  <c r="AN21" i="3" s="1"/>
  <c r="AN108" i="2"/>
  <c r="AN7" i="2"/>
  <c r="AV29" i="5"/>
  <c r="AK39" i="2"/>
  <c r="AK38" i="2"/>
  <c r="AM103" i="2"/>
  <c r="AM137" i="2"/>
  <c r="AN53" i="2"/>
  <c r="AM61" i="5"/>
  <c r="BE15" i="3"/>
  <c r="AC94" i="3"/>
  <c r="AG95" i="3" s="1"/>
  <c r="BA95" i="3"/>
  <c r="AG51" i="5"/>
  <c r="AG53" i="5"/>
  <c r="AG82" i="4" s="1"/>
  <c r="AG80" i="4"/>
  <c r="H79" i="5"/>
  <c r="AG47" i="3"/>
  <c r="AF43" i="3"/>
  <c r="AG46" i="3"/>
  <c r="BE153" i="2"/>
  <c r="AH61" i="3"/>
  <c r="BE23" i="5"/>
  <c r="V80" i="5"/>
  <c r="V79" i="5" s="1"/>
  <c r="V78" i="5"/>
  <c r="V81" i="5" s="1"/>
  <c r="AM21" i="3"/>
  <c r="AD53" i="5"/>
  <c r="AD82" i="4" s="1"/>
  <c r="AD51" i="5"/>
  <c r="BB50" i="5"/>
  <c r="AD80" i="4"/>
  <c r="AG56" i="5"/>
  <c r="AI85" i="2"/>
  <c r="BC87" i="2"/>
  <c r="AP161" i="2"/>
  <c r="AO164" i="2"/>
  <c r="AO24" i="5"/>
  <c r="BD24" i="5"/>
  <c r="L73" i="2" l="1"/>
  <c r="L62" i="2"/>
  <c r="AV126" i="2"/>
  <c r="F129" i="2"/>
  <c r="BB51" i="5"/>
  <c r="BB53" i="5"/>
  <c r="BB82" i="4" s="1"/>
  <c r="BB80" i="4"/>
  <c r="N154" i="2"/>
  <c r="M23" i="2"/>
  <c r="AH79" i="5"/>
  <c r="G80" i="5"/>
  <c r="G78" i="5"/>
  <c r="G81" i="5" s="1"/>
  <c r="AN156" i="2"/>
  <c r="AO21" i="3"/>
  <c r="AO108" i="2"/>
  <c r="BD108" i="2" s="1"/>
  <c r="AO5" i="3"/>
  <c r="AO7" i="2"/>
  <c r="BD7" i="2" s="1"/>
  <c r="AO128" i="2"/>
  <c r="BD128" i="2" s="1"/>
  <c r="AP37" i="2"/>
  <c r="AM67" i="5"/>
  <c r="AM59" i="4"/>
  <c r="AM147" i="2"/>
  <c r="AM23" i="2"/>
  <c r="AM21" i="2"/>
  <c r="AM17" i="2"/>
  <c r="AM22" i="2"/>
  <c r="AM57" i="2"/>
  <c r="AM16" i="2"/>
  <c r="V43" i="3"/>
  <c r="AZ41" i="3"/>
  <c r="AJ71" i="5"/>
  <c r="AJ63" i="4"/>
  <c r="AJ77" i="2"/>
  <c r="AJ99" i="2"/>
  <c r="AJ100" i="2" s="1"/>
  <c r="AJ46" i="2"/>
  <c r="AL120" i="2"/>
  <c r="AN136" i="2"/>
  <c r="AN102" i="2"/>
  <c r="AO52" i="2"/>
  <c r="E48" i="5"/>
  <c r="E42" i="5"/>
  <c r="E45" i="5" s="1"/>
  <c r="E79" i="4"/>
  <c r="D71" i="5"/>
  <c r="D63" i="4"/>
  <c r="D77" i="2"/>
  <c r="D99" i="2"/>
  <c r="D100" i="2" s="1"/>
  <c r="D46" i="2"/>
  <c r="AM157" i="2"/>
  <c r="AO123" i="2"/>
  <c r="BD123" i="2" s="1"/>
  <c r="AP33" i="2"/>
  <c r="AX129" i="2"/>
  <c r="N131" i="2"/>
  <c r="AL74" i="2"/>
  <c r="AL63" i="2"/>
  <c r="Z133" i="2"/>
  <c r="BA131" i="2"/>
  <c r="BA133" i="2" s="1"/>
  <c r="F77" i="5"/>
  <c r="AG71" i="5"/>
  <c r="AG63" i="4"/>
  <c r="AG99" i="2"/>
  <c r="AG100" i="2" s="1"/>
  <c r="AG77" i="2"/>
  <c r="AK65" i="2"/>
  <c r="AG46" i="2"/>
  <c r="AY126" i="2"/>
  <c r="R129" i="2"/>
  <c r="AA79" i="3"/>
  <c r="AE79" i="3"/>
  <c r="AX43" i="3"/>
  <c r="AW23" i="2"/>
  <c r="BB35" i="3"/>
  <c r="AU20" i="5"/>
  <c r="AO125" i="2"/>
  <c r="AP35" i="2"/>
  <c r="BC41" i="3"/>
  <c r="BC43" i="3" s="1"/>
  <c r="AH43" i="3"/>
  <c r="AM37" i="3"/>
  <c r="BD33" i="2"/>
  <c r="M48" i="5"/>
  <c r="M42" i="5"/>
  <c r="M79" i="4"/>
  <c r="AW20" i="5"/>
  <c r="AN88" i="4"/>
  <c r="AM89" i="4"/>
  <c r="AP24" i="5"/>
  <c r="AO29" i="5"/>
  <c r="BD29" i="5" s="1"/>
  <c r="AQ170" i="2"/>
  <c r="AP93" i="2"/>
  <c r="AA71" i="5"/>
  <c r="AA63" i="4"/>
  <c r="AA77" i="2"/>
  <c r="AA99" i="2"/>
  <c r="AA100" i="2" s="1"/>
  <c r="AA46" i="2"/>
  <c r="Q48" i="5"/>
  <c r="Q42" i="5"/>
  <c r="Q79" i="4"/>
  <c r="AX20" i="5"/>
  <c r="AC39" i="2"/>
  <c r="AC38" i="2"/>
  <c r="AM84" i="4"/>
  <c r="AM33" i="3"/>
  <c r="AM85" i="4" s="1"/>
  <c r="BA36" i="2"/>
  <c r="BA38" i="2" s="1"/>
  <c r="BD125" i="2"/>
  <c r="AZ51" i="5"/>
  <c r="AZ53" i="5"/>
  <c r="AZ82" i="4" s="1"/>
  <c r="AZ80" i="4"/>
  <c r="BD18" i="3"/>
  <c r="AN7" i="3"/>
  <c r="AN35" i="3" s="1"/>
  <c r="AN34" i="3" s="1"/>
  <c r="AN30" i="3"/>
  <c r="AN37" i="3" s="1"/>
  <c r="AN110" i="2"/>
  <c r="AN9" i="2"/>
  <c r="AN16" i="3"/>
  <c r="AN26" i="3"/>
  <c r="AL84" i="4"/>
  <c r="AL33" i="3"/>
  <c r="X71" i="5"/>
  <c r="X63" i="4"/>
  <c r="X77" i="2"/>
  <c r="X99" i="2"/>
  <c r="X100" i="2" s="1"/>
  <c r="AB65" i="2"/>
  <c r="X46" i="2"/>
  <c r="AB66" i="2" s="1"/>
  <c r="I42" i="5"/>
  <c r="I48" i="5"/>
  <c r="I79" i="4"/>
  <c r="AH71" i="5"/>
  <c r="AH63" i="4"/>
  <c r="AH77" i="2"/>
  <c r="AH46" i="2"/>
  <c r="AH99" i="2"/>
  <c r="BC39" i="2"/>
  <c r="BB75" i="2"/>
  <c r="BC64" i="2"/>
  <c r="BB41" i="3"/>
  <c r="BB43" i="3" s="1"/>
  <c r="AD43" i="3"/>
  <c r="J43" i="3"/>
  <c r="AW41" i="3"/>
  <c r="AW43" i="3" s="1"/>
  <c r="BC51" i="5"/>
  <c r="BC53" i="5"/>
  <c r="BC82" i="4" s="1"/>
  <c r="BC80" i="4"/>
  <c r="BA88" i="2"/>
  <c r="Z98" i="2"/>
  <c r="BA98" i="2" s="1"/>
  <c r="Z71" i="5"/>
  <c r="Z63" i="4"/>
  <c r="Z77" i="2"/>
  <c r="Z99" i="2"/>
  <c r="BA39" i="2"/>
  <c r="Z46" i="2"/>
  <c r="C45" i="5"/>
  <c r="D44" i="5" s="1"/>
  <c r="Y71" i="5"/>
  <c r="Y63" i="4"/>
  <c r="Y77" i="2"/>
  <c r="Y99" i="2"/>
  <c r="Y100" i="2" s="1"/>
  <c r="AC65" i="2"/>
  <c r="Y46" i="2"/>
  <c r="T71" i="5"/>
  <c r="T63" i="4"/>
  <c r="T99" i="2"/>
  <c r="T100" i="2" s="1"/>
  <c r="T77" i="2"/>
  <c r="X65" i="2"/>
  <c r="T46" i="2"/>
  <c r="X66" i="2" s="1"/>
  <c r="AL113" i="2"/>
  <c r="AP151" i="2"/>
  <c r="AO86" i="2"/>
  <c r="AN103" i="2"/>
  <c r="AN137" i="2"/>
  <c r="AO53" i="2"/>
  <c r="BD53" i="2" s="1"/>
  <c r="AN61" i="5"/>
  <c r="BD86" i="2"/>
  <c r="BA75" i="2"/>
  <c r="BB64" i="2"/>
  <c r="AZ126" i="2"/>
  <c r="V129" i="2"/>
  <c r="BB31" i="2"/>
  <c r="J131" i="2"/>
  <c r="AW129" i="2"/>
  <c r="L61" i="4"/>
  <c r="L72" i="2"/>
  <c r="L61" i="2"/>
  <c r="V71" i="5"/>
  <c r="V63" i="4"/>
  <c r="V77" i="2"/>
  <c r="Z65" i="2"/>
  <c r="V46" i="2"/>
  <c r="AZ39" i="2"/>
  <c r="V99" i="2"/>
  <c r="AO91" i="2"/>
  <c r="BA64" i="2"/>
  <c r="AB71" i="5"/>
  <c r="AB63" i="4"/>
  <c r="AB77" i="2"/>
  <c r="AB99" i="2"/>
  <c r="AB100" i="2" s="1"/>
  <c r="AF65" i="2"/>
  <c r="AB46" i="2"/>
  <c r="I155" i="2"/>
  <c r="J152" i="2"/>
  <c r="I21" i="2"/>
  <c r="AL9" i="5"/>
  <c r="AO165" i="2"/>
  <c r="BD165" i="2" s="1"/>
  <c r="AO90" i="2"/>
  <c r="BD164" i="2"/>
  <c r="AM85" i="2"/>
  <c r="BD63" i="5"/>
  <c r="AP63" i="5"/>
  <c r="AQ63" i="5" s="1"/>
  <c r="AR63" i="5" s="1"/>
  <c r="AS63" i="5" s="1"/>
  <c r="BE63" i="5" s="1"/>
  <c r="W71" i="5"/>
  <c r="W63" i="4"/>
  <c r="W77" i="2"/>
  <c r="W99" i="2"/>
  <c r="W100" i="2" s="1"/>
  <c r="AA65" i="2"/>
  <c r="W46" i="2"/>
  <c r="AA66" i="2" s="1"/>
  <c r="BB36" i="2"/>
  <c r="BB38" i="2" s="1"/>
  <c r="AD39" i="2"/>
  <c r="AD38" i="2"/>
  <c r="AY53" i="5"/>
  <c r="AY82" i="4" s="1"/>
  <c r="AY80" i="4"/>
  <c r="N153" i="2"/>
  <c r="M22" i="2"/>
  <c r="AW153" i="2"/>
  <c r="AY35" i="3"/>
  <c r="BD91" i="2"/>
  <c r="J84" i="4"/>
  <c r="J35" i="3"/>
  <c r="AW34" i="3"/>
  <c r="AW35" i="3" s="1"/>
  <c r="N35" i="3"/>
  <c r="C71" i="5"/>
  <c r="C63" i="4"/>
  <c r="C77" i="2"/>
  <c r="C99" i="2"/>
  <c r="C100" i="2" s="1"/>
  <c r="C46" i="2"/>
  <c r="AQ161" i="2"/>
  <c r="AP164" i="2"/>
  <c r="AR40" i="4"/>
  <c r="AH131" i="2"/>
  <c r="BC129" i="2"/>
  <c r="AR169" i="2"/>
  <c r="AQ173" i="2"/>
  <c r="AQ92" i="2"/>
  <c r="B71" i="5"/>
  <c r="B63" i="4"/>
  <c r="B77" i="2"/>
  <c r="B99" i="2"/>
  <c r="F31" i="2"/>
  <c r="AL97" i="2"/>
  <c r="AL25" i="2"/>
  <c r="AL59" i="2"/>
  <c r="AW154" i="2"/>
  <c r="AO155" i="2"/>
  <c r="AO87" i="2" s="1"/>
  <c r="BD87" i="2" s="1"/>
  <c r="AP152" i="2"/>
  <c r="AL16" i="5"/>
  <c r="L72" i="3"/>
  <c r="M71" i="3"/>
  <c r="AN124" i="2"/>
  <c r="AO34" i="2"/>
  <c r="BD34" i="2"/>
  <c r="AE38" i="2"/>
  <c r="AE39" i="2"/>
  <c r="BB98" i="2"/>
  <c r="E39" i="2"/>
  <c r="E38" i="2"/>
  <c r="F39" i="2"/>
  <c r="F38" i="2"/>
  <c r="AU129" i="2"/>
  <c r="B131" i="2"/>
  <c r="AU131" i="2" s="1"/>
  <c r="AU133" i="2" s="1"/>
  <c r="H69" i="5"/>
  <c r="H71" i="2"/>
  <c r="H24" i="2"/>
  <c r="H60" i="2"/>
  <c r="BB126" i="2"/>
  <c r="AD129" i="2"/>
  <c r="BD37" i="2"/>
  <c r="AK71" i="5"/>
  <c r="AK63" i="4"/>
  <c r="AK77" i="2"/>
  <c r="AK99" i="2"/>
  <c r="AK100" i="2" s="1"/>
  <c r="AK46" i="2"/>
  <c r="D45" i="5"/>
  <c r="E44" i="5" s="1"/>
  <c r="G74" i="2"/>
  <c r="G63" i="2"/>
  <c r="G25" i="2"/>
  <c r="AB79" i="3"/>
  <c r="AF79" i="3"/>
  <c r="U71" i="5"/>
  <c r="U63" i="4"/>
  <c r="U99" i="2"/>
  <c r="U100" i="2" s="1"/>
  <c r="U77" i="2"/>
  <c r="Y65" i="2"/>
  <c r="U46" i="2"/>
  <c r="Y66" i="2" s="1"/>
  <c r="AQ20" i="3"/>
  <c r="AP18" i="3"/>
  <c r="AI77" i="5"/>
  <c r="AI31" i="2"/>
  <c r="BC31" i="2" s="1"/>
  <c r="BC85" i="2"/>
  <c r="AI98" i="2"/>
  <c r="BC98" i="2" s="1"/>
  <c r="AC95" i="3"/>
  <c r="AC97" i="3"/>
  <c r="AC96" i="3"/>
  <c r="AD96" i="3"/>
  <c r="AF71" i="5"/>
  <c r="AF63" i="4"/>
  <c r="AF99" i="2"/>
  <c r="AF100" i="2" s="1"/>
  <c r="AF77" i="2"/>
  <c r="AJ65" i="2"/>
  <c r="AF46" i="2"/>
  <c r="AJ66" i="2" s="1"/>
  <c r="AY41" i="3"/>
  <c r="AY43" i="3" s="1"/>
  <c r="R43" i="3"/>
  <c r="BA43" i="3"/>
  <c r="BD151" i="2"/>
  <c r="H156" i="2"/>
  <c r="H87" i="2"/>
  <c r="H85" i="2" s="1"/>
  <c r="H77" i="5" s="1"/>
  <c r="AV155" i="2"/>
  <c r="AI71" i="5"/>
  <c r="AI63" i="4"/>
  <c r="AI77" i="2"/>
  <c r="AI99" i="2"/>
  <c r="AI100" i="2" s="1"/>
  <c r="AI46" i="2"/>
  <c r="BD5" i="3"/>
  <c r="AV21" i="2"/>
  <c r="AV20" i="5"/>
  <c r="BD103" i="2" l="1"/>
  <c r="BD137" i="2"/>
  <c r="BD61" i="5"/>
  <c r="AV48" i="5"/>
  <c r="AV80" i="4" s="1"/>
  <c r="AV79" i="4"/>
  <c r="AR20" i="3"/>
  <c r="AQ18" i="3"/>
  <c r="AP155" i="2"/>
  <c r="AQ152" i="2"/>
  <c r="AR161" i="2"/>
  <c r="AQ164" i="2"/>
  <c r="AC71" i="5"/>
  <c r="AC63" i="4"/>
  <c r="AC77" i="2"/>
  <c r="AC99" i="2"/>
  <c r="AC100" i="2" s="1"/>
  <c r="AG65" i="2"/>
  <c r="AC46" i="2"/>
  <c r="AG66" i="2" s="1"/>
  <c r="AR170" i="2"/>
  <c r="AQ93" i="2"/>
  <c r="F80" i="5"/>
  <c r="F78" i="5"/>
  <c r="F81" i="5" s="1"/>
  <c r="AM175" i="2"/>
  <c r="AM144" i="2"/>
  <c r="AM143" i="2"/>
  <c r="AM142" i="2"/>
  <c r="AM145" i="2"/>
  <c r="AV71" i="2"/>
  <c r="AV60" i="2"/>
  <c r="H74" i="2"/>
  <c r="H63" i="2"/>
  <c r="H25" i="2"/>
  <c r="AD71" i="5"/>
  <c r="AD63" i="4"/>
  <c r="AD77" i="2"/>
  <c r="AD99" i="2"/>
  <c r="BB39" i="2"/>
  <c r="AH65" i="2"/>
  <c r="AD46" i="2"/>
  <c r="AH66" i="2" s="1"/>
  <c r="AM77" i="5"/>
  <c r="AU42" i="5"/>
  <c r="AL85" i="4"/>
  <c r="AL32" i="3"/>
  <c r="BD21" i="3"/>
  <c r="BD20" i="3"/>
  <c r="AX48" i="5"/>
  <c r="AX80" i="4" s="1"/>
  <c r="AX79" i="4"/>
  <c r="AO136" i="2"/>
  <c r="AO102" i="2"/>
  <c r="AP52" i="2"/>
  <c r="BD52" i="2"/>
  <c r="AZ43" i="3"/>
  <c r="AM35" i="4"/>
  <c r="AM18" i="4"/>
  <c r="AM8" i="4"/>
  <c r="AM14" i="4"/>
  <c r="AM9" i="4"/>
  <c r="AM24" i="4"/>
  <c r="AM17" i="5" s="1"/>
  <c r="AM27" i="4"/>
  <c r="AM19" i="5" s="1"/>
  <c r="AM10" i="4"/>
  <c r="AN157" i="2"/>
  <c r="BD7" i="3"/>
  <c r="BD16" i="3"/>
  <c r="BD26" i="3"/>
  <c r="AX35" i="3"/>
  <c r="AM78" i="5"/>
  <c r="AM13" i="4" s="1"/>
  <c r="AM74" i="5"/>
  <c r="AE71" i="5"/>
  <c r="AE63" i="4"/>
  <c r="AE99" i="2"/>
  <c r="AE100" i="2" s="1"/>
  <c r="AI65" i="2"/>
  <c r="AE46" i="2"/>
  <c r="AI66" i="2" s="1"/>
  <c r="AE77" i="2"/>
  <c r="AQ91" i="2"/>
  <c r="AO88" i="2"/>
  <c r="BD88" i="2" s="1"/>
  <c r="BD90" i="2"/>
  <c r="AO103" i="2"/>
  <c r="AO137" i="2"/>
  <c r="AP53" i="2"/>
  <c r="AO61" i="5"/>
  <c r="AY129" i="2"/>
  <c r="R131" i="2"/>
  <c r="AP108" i="2"/>
  <c r="AP7" i="2"/>
  <c r="AP5" i="3"/>
  <c r="AP165" i="2"/>
  <c r="AP90" i="2"/>
  <c r="BD155" i="2"/>
  <c r="AL70" i="5"/>
  <c r="AL62" i="4"/>
  <c r="AL98" i="2"/>
  <c r="AL75" i="2"/>
  <c r="AL36" i="2"/>
  <c r="AL31" i="2"/>
  <c r="AL64" i="2"/>
  <c r="AU100" i="2"/>
  <c r="AD65" i="2"/>
  <c r="AQ24" i="5"/>
  <c r="AP29" i="5"/>
  <c r="AM68" i="5"/>
  <c r="AM60" i="4"/>
  <c r="AM22" i="4" s="1"/>
  <c r="AM112" i="2"/>
  <c r="AM58" i="2"/>
  <c r="AP128" i="2"/>
  <c r="AQ37" i="2"/>
  <c r="AS169" i="2"/>
  <c r="AR173" i="2"/>
  <c r="AR92" i="2"/>
  <c r="AP91" i="2"/>
  <c r="BA77" i="2"/>
  <c r="BB65" i="2"/>
  <c r="BA46" i="2"/>
  <c r="AP125" i="2"/>
  <c r="AQ35" i="2"/>
  <c r="AK66" i="2"/>
  <c r="M73" i="2"/>
  <c r="M62" i="2"/>
  <c r="AX42" i="5"/>
  <c r="E71" i="5"/>
  <c r="E63" i="4"/>
  <c r="E77" i="2"/>
  <c r="E99" i="2"/>
  <c r="E100" i="2" s="1"/>
  <c r="E46" i="2"/>
  <c r="AU46" i="2" s="1"/>
  <c r="AO124" i="2"/>
  <c r="AP34" i="2"/>
  <c r="AL41" i="4"/>
  <c r="V100" i="2"/>
  <c r="AZ99" i="2"/>
  <c r="AZ100" i="2" s="1"/>
  <c r="J133" i="2"/>
  <c r="AW131" i="2"/>
  <c r="AW133" i="2" s="1"/>
  <c r="AO85" i="2"/>
  <c r="AO77" i="5" s="1"/>
  <c r="Z100" i="2"/>
  <c r="BA99" i="2"/>
  <c r="BA100" i="2" s="1"/>
  <c r="AE65" i="2"/>
  <c r="AN89" i="4"/>
  <c r="AO88" i="4"/>
  <c r="O154" i="2"/>
  <c r="N23" i="2"/>
  <c r="BD124" i="2"/>
  <c r="I69" i="5"/>
  <c r="I71" i="2"/>
  <c r="I24" i="2"/>
  <c r="I60" i="2"/>
  <c r="AZ77" i="2"/>
  <c r="BA65" i="2"/>
  <c r="AZ46" i="2"/>
  <c r="AP156" i="2"/>
  <c r="AQ151" i="2"/>
  <c r="AP86" i="2"/>
  <c r="AN67" i="5"/>
  <c r="AN59" i="4"/>
  <c r="AN147" i="2"/>
  <c r="AN175" i="2" s="1"/>
  <c r="AN21" i="2"/>
  <c r="AN22" i="2"/>
  <c r="AN23" i="2"/>
  <c r="AN16" i="2"/>
  <c r="AN17" i="2" s="1"/>
  <c r="AN57" i="2"/>
  <c r="AW48" i="5"/>
  <c r="AW80" i="4" s="1"/>
  <c r="AW79" i="4"/>
  <c r="AU48" i="5"/>
  <c r="AU80" i="4" s="1"/>
  <c r="AU79" i="4"/>
  <c r="N133" i="2"/>
  <c r="AX131" i="2"/>
  <c r="AX133" i="2" s="1"/>
  <c r="AM61" i="4"/>
  <c r="AM117" i="2"/>
  <c r="AM61" i="2"/>
  <c r="AV87" i="2"/>
  <c r="AV42" i="5"/>
  <c r="F44" i="5"/>
  <c r="F45" i="5" s="1"/>
  <c r="G44" i="5" s="1"/>
  <c r="G45" i="5" s="1"/>
  <c r="H44" i="5" s="1"/>
  <c r="H45" i="5" s="1"/>
  <c r="I44" i="5" s="1"/>
  <c r="I45" i="5" s="1"/>
  <c r="J44" i="5" s="1"/>
  <c r="J45" i="5" s="1"/>
  <c r="K44" i="5" s="1"/>
  <c r="K45" i="5" s="1"/>
  <c r="L44" i="5" s="1"/>
  <c r="L45" i="5" s="1"/>
  <c r="M44" i="5" s="1"/>
  <c r="M45" i="5" s="1"/>
  <c r="N44" i="5" s="1"/>
  <c r="N45" i="5" s="1"/>
  <c r="O44" i="5" s="1"/>
  <c r="O45" i="5" s="1"/>
  <c r="P44" i="5" s="1"/>
  <c r="P45" i="5" s="1"/>
  <c r="Q44" i="5" s="1"/>
  <c r="Q45" i="5" s="1"/>
  <c r="R44" i="5" s="1"/>
  <c r="R45" i="5" s="1"/>
  <c r="S44" i="5" s="1"/>
  <c r="S45" i="5" s="1"/>
  <c r="T44" i="5" s="1"/>
  <c r="T45" i="5" s="1"/>
  <c r="U44" i="5" s="1"/>
  <c r="U45" i="5" s="1"/>
  <c r="V44" i="5" s="1"/>
  <c r="V45" i="5" s="1"/>
  <c r="W44" i="5" s="1"/>
  <c r="W45" i="5" s="1"/>
  <c r="X44" i="5" s="1"/>
  <c r="X45" i="5" s="1"/>
  <c r="Y44" i="5" s="1"/>
  <c r="Y45" i="5" s="1"/>
  <c r="Z44" i="5" s="1"/>
  <c r="Z45" i="5" s="1"/>
  <c r="AA44" i="5" s="1"/>
  <c r="AA45" i="5" s="1"/>
  <c r="AB44" i="5" s="1"/>
  <c r="AB45" i="5" s="1"/>
  <c r="AC44" i="5" s="1"/>
  <c r="AC45" i="5" s="1"/>
  <c r="AD44" i="5" s="1"/>
  <c r="AD45" i="5" s="1"/>
  <c r="AE44" i="5" s="1"/>
  <c r="AE45" i="5" s="1"/>
  <c r="AF44" i="5" s="1"/>
  <c r="AF45" i="5" s="1"/>
  <c r="AG44" i="5" s="1"/>
  <c r="AG45" i="5" s="1"/>
  <c r="AH44" i="5" s="1"/>
  <c r="AH45" i="5" s="1"/>
  <c r="AI44" i="5" s="1"/>
  <c r="AI45" i="5" s="1"/>
  <c r="AJ44" i="5" s="1"/>
  <c r="AJ45" i="5" s="1"/>
  <c r="AK44" i="5" s="1"/>
  <c r="AK45" i="5" s="1"/>
  <c r="AL44" i="5" s="1"/>
  <c r="AU45" i="5"/>
  <c r="AV44" i="5" s="1"/>
  <c r="F71" i="5"/>
  <c r="F63" i="4"/>
  <c r="F77" i="2"/>
  <c r="F99" i="2"/>
  <c r="F46" i="2"/>
  <c r="AW71" i="3"/>
  <c r="M72" i="3"/>
  <c r="N71" i="3"/>
  <c r="BC131" i="2"/>
  <c r="BC133" i="2" s="1"/>
  <c r="AH133" i="2"/>
  <c r="M61" i="4"/>
  <c r="M72" i="2"/>
  <c r="M61" i="2"/>
  <c r="K152" i="2"/>
  <c r="J155" i="2"/>
  <c r="J21" i="2"/>
  <c r="Z66" i="2"/>
  <c r="V131" i="2"/>
  <c r="AZ129" i="2"/>
  <c r="AO156" i="2"/>
  <c r="AM59" i="2"/>
  <c r="AW22" i="2"/>
  <c r="G70" i="5"/>
  <c r="G62" i="4"/>
  <c r="G75" i="2"/>
  <c r="G98" i="2"/>
  <c r="G36" i="2"/>
  <c r="G31" i="2"/>
  <c r="G64" i="2"/>
  <c r="F65" i="2"/>
  <c r="O153" i="2"/>
  <c r="N22" i="2"/>
  <c r="I156" i="2"/>
  <c r="AV156" i="2" s="1"/>
  <c r="I87" i="2"/>
  <c r="I85" i="2" s="1"/>
  <c r="AL121" i="2"/>
  <c r="BC77" i="2"/>
  <c r="BC46" i="2"/>
  <c r="AP123" i="2"/>
  <c r="AQ33" i="2"/>
  <c r="AM69" i="5"/>
  <c r="AM116" i="2"/>
  <c r="AM24" i="2"/>
  <c r="AM25" i="2" s="1"/>
  <c r="AM60" i="2"/>
  <c r="AO7" i="3"/>
  <c r="AO35" i="3" s="1"/>
  <c r="AO34" i="3" s="1"/>
  <c r="AO30" i="3"/>
  <c r="AO110" i="2"/>
  <c r="BD110" i="2" s="1"/>
  <c r="AO9" i="2"/>
  <c r="AO16" i="3"/>
  <c r="AO26" i="3"/>
  <c r="AW42" i="5"/>
  <c r="H80" i="5"/>
  <c r="H78" i="5"/>
  <c r="H81" i="5" s="1"/>
  <c r="AI80" i="5"/>
  <c r="AI78" i="5"/>
  <c r="AI81" i="5" s="1"/>
  <c r="AV24" i="2"/>
  <c r="AD131" i="2"/>
  <c r="BB129" i="2"/>
  <c r="AU39" i="2"/>
  <c r="AS40" i="4"/>
  <c r="AF66" i="2"/>
  <c r="BC99" i="2"/>
  <c r="BC100" i="2" s="1"/>
  <c r="AH100" i="2"/>
  <c r="AN84" i="4"/>
  <c r="AN33" i="3"/>
  <c r="AN85" i="4" s="1"/>
  <c r="AW73" i="2"/>
  <c r="AW62" i="2"/>
  <c r="AM118" i="2"/>
  <c r="AM62" i="2"/>
  <c r="F131" i="2"/>
  <c r="AV129" i="2"/>
  <c r="AN59" i="2" l="1"/>
  <c r="AM70" i="5"/>
  <c r="AM62" i="4"/>
  <c r="AM75" i="2"/>
  <c r="AM31" i="2"/>
  <c r="AM36" i="2"/>
  <c r="AM64" i="2"/>
  <c r="AP103" i="2"/>
  <c r="AP137" i="2"/>
  <c r="AQ53" i="2"/>
  <c r="AP61" i="5"/>
  <c r="L152" i="2"/>
  <c r="K155" i="2"/>
  <c r="K21" i="2"/>
  <c r="F66" i="2"/>
  <c r="AN62" i="2"/>
  <c r="P154" i="2"/>
  <c r="O23" i="2"/>
  <c r="AP7" i="3"/>
  <c r="AP35" i="3" s="1"/>
  <c r="AP34" i="3" s="1"/>
  <c r="AP30" i="3"/>
  <c r="AP110" i="2"/>
  <c r="AP9" i="2"/>
  <c r="AP157" i="2" s="1"/>
  <c r="AP26" i="3"/>
  <c r="AP16" i="3"/>
  <c r="AN13" i="4"/>
  <c r="AM14" i="5"/>
  <c r="BB77" i="2"/>
  <c r="BB46" i="2"/>
  <c r="BC66" i="2" s="1"/>
  <c r="BC65" i="2"/>
  <c r="AN145" i="2"/>
  <c r="AO145" i="2" s="1"/>
  <c r="BD145" i="2"/>
  <c r="AR151" i="2"/>
  <c r="AQ86" i="2"/>
  <c r="AU77" i="2"/>
  <c r="AO37" i="3"/>
  <c r="BD30" i="3"/>
  <c r="BB131" i="2"/>
  <c r="BB133" i="2" s="1"/>
  <c r="AD133" i="2"/>
  <c r="AO84" i="4"/>
  <c r="AO33" i="3"/>
  <c r="AO85" i="4" s="1"/>
  <c r="BD34" i="3"/>
  <c r="BD35" i="3" s="1"/>
  <c r="AN61" i="4"/>
  <c r="AN61" i="2"/>
  <c r="BA66" i="2"/>
  <c r="AM113" i="2"/>
  <c r="BB99" i="2"/>
  <c r="BB100" i="2" s="1"/>
  <c r="AD100" i="2"/>
  <c r="AN142" i="2"/>
  <c r="AM83" i="2"/>
  <c r="AO67" i="5"/>
  <c r="AO59" i="4"/>
  <c r="AO147" i="2"/>
  <c r="AO175" i="2" s="1"/>
  <c r="AO21" i="2"/>
  <c r="BD21" i="2" s="1"/>
  <c r="AO17" i="2"/>
  <c r="BD17" i="2" s="1"/>
  <c r="AO22" i="2"/>
  <c r="AO16" i="2"/>
  <c r="AO23" i="2"/>
  <c r="AO57" i="2"/>
  <c r="AV74" i="2"/>
  <c r="AV63" i="2"/>
  <c r="F100" i="2"/>
  <c r="AM16" i="5"/>
  <c r="AL39" i="2"/>
  <c r="AL38" i="2"/>
  <c r="AM12" i="5"/>
  <c r="BD147" i="2"/>
  <c r="BD148" i="2" s="1"/>
  <c r="AW72" i="3"/>
  <c r="AW73" i="3"/>
  <c r="AW74" i="3" s="1"/>
  <c r="AN69" i="5"/>
  <c r="AN24" i="2"/>
  <c r="AN60" i="2"/>
  <c r="AO89" i="4"/>
  <c r="AP88" i="4"/>
  <c r="AM15" i="5"/>
  <c r="AN143" i="2"/>
  <c r="AN116" i="2" s="1"/>
  <c r="AM146" i="2"/>
  <c r="AU99" i="2"/>
  <c r="AI79" i="5"/>
  <c r="AM74" i="2"/>
  <c r="AM63" i="2"/>
  <c r="G39" i="2"/>
  <c r="G38" i="2"/>
  <c r="AP124" i="2"/>
  <c r="AQ34" i="2"/>
  <c r="AS92" i="2"/>
  <c r="AS91" i="2" s="1"/>
  <c r="BE169" i="2"/>
  <c r="AP21" i="3"/>
  <c r="AL86" i="4"/>
  <c r="AM31" i="3"/>
  <c r="AN144" i="2"/>
  <c r="AO144" i="2" s="1"/>
  <c r="BD144" i="2"/>
  <c r="AQ165" i="2"/>
  <c r="AQ90" i="2"/>
  <c r="AQ88" i="2" s="1"/>
  <c r="AL126" i="2"/>
  <c r="AO157" i="2"/>
  <c r="I74" i="2"/>
  <c r="I25" i="2"/>
  <c r="I63" i="2"/>
  <c r="AY131" i="2"/>
  <c r="AY133" i="2" s="1"/>
  <c r="R133" i="2"/>
  <c r="BD33" i="3"/>
  <c r="H70" i="5"/>
  <c r="H62" i="4"/>
  <c r="H75" i="2"/>
  <c r="H98" i="2"/>
  <c r="H36" i="2"/>
  <c r="H31" i="2"/>
  <c r="H64" i="2"/>
  <c r="AR164" i="2"/>
  <c r="AS161" i="2"/>
  <c r="AS164" i="2" s="1"/>
  <c r="BD9" i="2"/>
  <c r="BE40" i="4"/>
  <c r="AM120" i="2"/>
  <c r="I77" i="5"/>
  <c r="AV85" i="2"/>
  <c r="AN14" i="4"/>
  <c r="AN9" i="4"/>
  <c r="AN14" i="5" s="1"/>
  <c r="AN24" i="4"/>
  <c r="AN17" i="5" s="1"/>
  <c r="AN27" i="4"/>
  <c r="AN10" i="4"/>
  <c r="AN13" i="5" s="1"/>
  <c r="AN18" i="4"/>
  <c r="AN35" i="4"/>
  <c r="AN8" i="4"/>
  <c r="AN12" i="5" s="1"/>
  <c r="AQ125" i="2"/>
  <c r="AR35" i="2"/>
  <c r="BD102" i="2"/>
  <c r="BD136" i="2"/>
  <c r="AQ155" i="2"/>
  <c r="AQ87" i="2" s="1"/>
  <c r="AR152" i="2"/>
  <c r="BB66" i="2"/>
  <c r="N73" i="2"/>
  <c r="N62" i="2"/>
  <c r="V133" i="2"/>
  <c r="AZ131" i="2"/>
  <c r="AZ133" i="2" s="1"/>
  <c r="AN78" i="5"/>
  <c r="AN76" i="5" s="1"/>
  <c r="AN8" i="5" s="1"/>
  <c r="AN74" i="5"/>
  <c r="AN80" i="5"/>
  <c r="AN79" i="5" s="1"/>
  <c r="AR24" i="5"/>
  <c r="AQ29" i="5"/>
  <c r="BD156" i="2"/>
  <c r="AP136" i="2"/>
  <c r="AP102" i="2"/>
  <c r="AQ52" i="2"/>
  <c r="P153" i="2"/>
  <c r="O22" i="2"/>
  <c r="AS20" i="3"/>
  <c r="AS18" i="3" s="1"/>
  <c r="AR18" i="3"/>
  <c r="AW72" i="2"/>
  <c r="AW61" i="2"/>
  <c r="AN68" i="5"/>
  <c r="AN60" i="4"/>
  <c r="AN22" i="4" s="1"/>
  <c r="AN112" i="2"/>
  <c r="AN113" i="2" s="1"/>
  <c r="AN58" i="2"/>
  <c r="F133" i="2"/>
  <c r="AV131" i="2"/>
  <c r="AV133" i="2" s="1"/>
  <c r="BD23" i="2"/>
  <c r="N61" i="4"/>
  <c r="N72" i="2"/>
  <c r="N61" i="2"/>
  <c r="N72" i="3"/>
  <c r="O71" i="3"/>
  <c r="AC66" i="2"/>
  <c r="AQ128" i="2"/>
  <c r="AR37" i="2"/>
  <c r="AD66" i="2"/>
  <c r="BD85" i="2"/>
  <c r="AP87" i="2"/>
  <c r="J156" i="2"/>
  <c r="J87" i="2"/>
  <c r="AQ123" i="2"/>
  <c r="AR33" i="2"/>
  <c r="J69" i="5"/>
  <c r="J71" i="2"/>
  <c r="J24" i="2"/>
  <c r="J60" i="2"/>
  <c r="AV45" i="5"/>
  <c r="AW44" i="5" s="1"/>
  <c r="AW45" i="5" s="1"/>
  <c r="AX44" i="5" s="1"/>
  <c r="AX45" i="5" s="1"/>
  <c r="AY44" i="5" s="1"/>
  <c r="AY45" i="5" s="1"/>
  <c r="AZ44" i="5" s="1"/>
  <c r="AZ45" i="5" s="1"/>
  <c r="BA44" i="5" s="1"/>
  <c r="BA45" i="5" s="1"/>
  <c r="BB44" i="5" s="1"/>
  <c r="BB45" i="5" s="1"/>
  <c r="BC44" i="5" s="1"/>
  <c r="BC45" i="5" s="1"/>
  <c r="BD44" i="5" s="1"/>
  <c r="AE66" i="2"/>
  <c r="AP88" i="2"/>
  <c r="AM13" i="5"/>
  <c r="AM80" i="5"/>
  <c r="AM79" i="5" s="1"/>
  <c r="AM76" i="5"/>
  <c r="AM8" i="5" s="1"/>
  <c r="AM16" i="4"/>
  <c r="AN16" i="4" s="1"/>
  <c r="AO16" i="4" s="1"/>
  <c r="AS170" i="2"/>
  <c r="AS93" i="2" s="1"/>
  <c r="AR93" i="2"/>
  <c r="BE93" i="2" s="1"/>
  <c r="AQ108" i="2"/>
  <c r="AQ7" i="2"/>
  <c r="AQ5" i="3"/>
  <c r="BD69" i="2" l="1"/>
  <c r="BD59" i="2"/>
  <c r="BD71" i="2"/>
  <c r="BD60" i="2"/>
  <c r="BD37" i="3"/>
  <c r="Q154" i="2"/>
  <c r="P23" i="2"/>
  <c r="J74" i="2"/>
  <c r="J25" i="2"/>
  <c r="J63" i="2"/>
  <c r="AL129" i="2"/>
  <c r="AS173" i="2"/>
  <c r="BE173" i="2" s="1"/>
  <c r="AN74" i="2"/>
  <c r="AN63" i="2"/>
  <c r="AL71" i="5"/>
  <c r="AL63" i="4"/>
  <c r="AL77" i="2"/>
  <c r="AL99" i="2"/>
  <c r="AL46" i="2"/>
  <c r="AL65" i="2"/>
  <c r="AQ137" i="2"/>
  <c r="AQ103" i="2"/>
  <c r="AR53" i="2"/>
  <c r="AQ61" i="5"/>
  <c r="AO78" i="5"/>
  <c r="AO76" i="5" s="1"/>
  <c r="AO8" i="5" s="1"/>
  <c r="AO74" i="5"/>
  <c r="AN19" i="5"/>
  <c r="BD57" i="2"/>
  <c r="BD175" i="2"/>
  <c r="AO142" i="2"/>
  <c r="AN83" i="2"/>
  <c r="AN117" i="2"/>
  <c r="BE92" i="2"/>
  <c r="AS24" i="5"/>
  <c r="AS29" i="5" s="1"/>
  <c r="AR29" i="5"/>
  <c r="BE29" i="5" s="1"/>
  <c r="AR155" i="2"/>
  <c r="AS152" i="2"/>
  <c r="AS155" i="2" s="1"/>
  <c r="AS87" i="2" s="1"/>
  <c r="BE161" i="2"/>
  <c r="AQ124" i="2"/>
  <c r="AR34" i="2"/>
  <c r="AR91" i="2"/>
  <c r="BE91" i="2" s="1"/>
  <c r="AO118" i="2"/>
  <c r="AO62" i="2"/>
  <c r="AQ85" i="2"/>
  <c r="AQ77" i="5" s="1"/>
  <c r="AQ21" i="3"/>
  <c r="AR128" i="2"/>
  <c r="AS37" i="2"/>
  <c r="BE37" i="2"/>
  <c r="BD73" i="2"/>
  <c r="BD62" i="2"/>
  <c r="AR108" i="2"/>
  <c r="AR7" i="2"/>
  <c r="BE7" i="2" s="1"/>
  <c r="AR5" i="3"/>
  <c r="AR21" i="3" s="1"/>
  <c r="BE18" i="3"/>
  <c r="AO14" i="5"/>
  <c r="BD14" i="5" s="1"/>
  <c r="AS165" i="2"/>
  <c r="AS90" i="2"/>
  <c r="AS88" i="2" s="1"/>
  <c r="AM84" i="2"/>
  <c r="AR156" i="2"/>
  <c r="AS151" i="2"/>
  <c r="AR86" i="2"/>
  <c r="AP67" i="5"/>
  <c r="AP59" i="4"/>
  <c r="AP147" i="2"/>
  <c r="AP17" i="2"/>
  <c r="AP22" i="2"/>
  <c r="AP21" i="2"/>
  <c r="AP23" i="2"/>
  <c r="AP57" i="2"/>
  <c r="AP16" i="2"/>
  <c r="AN118" i="2"/>
  <c r="BD118" i="2" s="1"/>
  <c r="BE170" i="2"/>
  <c r="AS21" i="3"/>
  <c r="AS108" i="2"/>
  <c r="BE108" i="2" s="1"/>
  <c r="AS7" i="2"/>
  <c r="AS5" i="3"/>
  <c r="AR165" i="2"/>
  <c r="BE165" i="2" s="1"/>
  <c r="AR90" i="2"/>
  <c r="BE164" i="2"/>
  <c r="AN146" i="2"/>
  <c r="AN84" i="2" s="1"/>
  <c r="AO143" i="2"/>
  <c r="AO68" i="5"/>
  <c r="AO60" i="4"/>
  <c r="AO22" i="4" s="1"/>
  <c r="AO112" i="2"/>
  <c r="AO113" i="2" s="1"/>
  <c r="AO121" i="2" s="1"/>
  <c r="AO126" i="2" s="1"/>
  <c r="AO129" i="2" s="1"/>
  <c r="AO131" i="2" s="1"/>
  <c r="AO133" i="2" s="1"/>
  <c r="AO58" i="2"/>
  <c r="BD16" i="2"/>
  <c r="AQ156" i="2"/>
  <c r="AR123" i="2"/>
  <c r="AS33" i="2"/>
  <c r="AS123" i="2" s="1"/>
  <c r="O61" i="4"/>
  <c r="O72" i="2"/>
  <c r="O61" i="2"/>
  <c r="AM32" i="3"/>
  <c r="AO61" i="4"/>
  <c r="AO117" i="2"/>
  <c r="AO61" i="2"/>
  <c r="BD22" i="2"/>
  <c r="AQ7" i="3"/>
  <c r="AQ35" i="3" s="1"/>
  <c r="AQ34" i="3" s="1"/>
  <c r="AQ30" i="3"/>
  <c r="AQ37" i="3" s="1"/>
  <c r="AQ110" i="2"/>
  <c r="AQ9" i="2"/>
  <c r="AQ16" i="3"/>
  <c r="AQ26" i="3"/>
  <c r="AM82" i="2"/>
  <c r="AM97" i="2"/>
  <c r="AO80" i="5"/>
  <c r="AO79" i="5" s="1"/>
  <c r="Q153" i="2"/>
  <c r="P22" i="2"/>
  <c r="AR125" i="2"/>
  <c r="BE125" i="2" s="1"/>
  <c r="AS35" i="2"/>
  <c r="AS125" i="2" s="1"/>
  <c r="BE35" i="2"/>
  <c r="G71" i="5"/>
  <c r="G63" i="4"/>
  <c r="G99" i="2"/>
  <c r="G46" i="2"/>
  <c r="G77" i="2"/>
  <c r="G65" i="2"/>
  <c r="AN15" i="5"/>
  <c r="AO25" i="2"/>
  <c r="AO59" i="2"/>
  <c r="AM121" i="2"/>
  <c r="AP145" i="2"/>
  <c r="AP37" i="3"/>
  <c r="K69" i="5"/>
  <c r="K71" i="2"/>
  <c r="K24" i="2"/>
  <c r="K60" i="2"/>
  <c r="BE33" i="2"/>
  <c r="AO13" i="4"/>
  <c r="BD16" i="4"/>
  <c r="AP85" i="2"/>
  <c r="J85" i="2"/>
  <c r="BE152" i="2"/>
  <c r="I80" i="5"/>
  <c r="I78" i="5"/>
  <c r="I81" i="5" s="1"/>
  <c r="H39" i="2"/>
  <c r="H38" i="2"/>
  <c r="I70" i="5"/>
  <c r="I62" i="4"/>
  <c r="I75" i="2"/>
  <c r="I98" i="2"/>
  <c r="AV98" i="2" s="1"/>
  <c r="I36" i="2"/>
  <c r="I31" i="2"/>
  <c r="AV31" i="2" s="1"/>
  <c r="I64" i="2"/>
  <c r="AV25" i="2"/>
  <c r="AL25" i="4"/>
  <c r="AL32" i="4"/>
  <c r="BD24" i="2"/>
  <c r="AO69" i="5"/>
  <c r="AO116" i="2"/>
  <c r="AO120" i="2" s="1"/>
  <c r="AO24" i="2"/>
  <c r="AO60" i="2"/>
  <c r="BD112" i="2"/>
  <c r="AP84" i="4"/>
  <c r="AP33" i="3"/>
  <c r="K156" i="2"/>
  <c r="K157" i="2" s="1"/>
  <c r="K87" i="2"/>
  <c r="K85" i="2" s="1"/>
  <c r="K77" i="5" s="1"/>
  <c r="AN25" i="2"/>
  <c r="BD8" i="5"/>
  <c r="O72" i="3"/>
  <c r="P71" i="3"/>
  <c r="AQ136" i="2"/>
  <c r="AQ102" i="2"/>
  <c r="AR52" i="2"/>
  <c r="AP89" i="4"/>
  <c r="AQ88" i="4"/>
  <c r="M152" i="2"/>
  <c r="L155" i="2"/>
  <c r="L21" i="2"/>
  <c r="AW152" i="2"/>
  <c r="J157" i="2"/>
  <c r="AN16" i="5"/>
  <c r="AO12" i="5"/>
  <c r="BD12" i="5" s="1"/>
  <c r="AO14" i="4"/>
  <c r="BD14" i="4" s="1"/>
  <c r="AO9" i="4"/>
  <c r="AO24" i="4"/>
  <c r="AO27" i="4"/>
  <c r="AO10" i="4"/>
  <c r="AO13" i="5" s="1"/>
  <c r="BD13" i="5" s="1"/>
  <c r="AO35" i="4"/>
  <c r="BD35" i="4" s="1"/>
  <c r="AO18" i="4"/>
  <c r="AO15" i="5" s="1"/>
  <c r="AO8" i="4"/>
  <c r="AX154" i="2"/>
  <c r="O73" i="2"/>
  <c r="O62" i="2"/>
  <c r="AM39" i="2"/>
  <c r="AM38" i="2"/>
  <c r="BD15" i="5" l="1"/>
  <c r="BD13" i="4"/>
  <c r="AM86" i="4"/>
  <c r="AN31" i="3"/>
  <c r="AP59" i="2"/>
  <c r="J70" i="5"/>
  <c r="J62" i="4"/>
  <c r="J75" i="2"/>
  <c r="J98" i="2"/>
  <c r="J36" i="2"/>
  <c r="J31" i="2"/>
  <c r="J64" i="2"/>
  <c r="AO19" i="5"/>
  <c r="BD19" i="5" s="1"/>
  <c r="BD27" i="4"/>
  <c r="L69" i="5"/>
  <c r="L71" i="2"/>
  <c r="L24" i="2"/>
  <c r="L60" i="2"/>
  <c r="AN70" i="5"/>
  <c r="AN62" i="4"/>
  <c r="AN75" i="2"/>
  <c r="AN36" i="2"/>
  <c r="AN31" i="2"/>
  <c r="AN64" i="2"/>
  <c r="BD25" i="2"/>
  <c r="AO70" i="5"/>
  <c r="AO62" i="4"/>
  <c r="AO75" i="2"/>
  <c r="AO36" i="2"/>
  <c r="AO31" i="2"/>
  <c r="AO64" i="2"/>
  <c r="AQ67" i="5"/>
  <c r="AQ59" i="4"/>
  <c r="AQ147" i="2"/>
  <c r="AQ175" i="2" s="1"/>
  <c r="AQ22" i="2"/>
  <c r="AQ23" i="2"/>
  <c r="AQ21" i="2"/>
  <c r="AQ16" i="2"/>
  <c r="AQ57" i="2"/>
  <c r="AP175" i="2"/>
  <c r="BE20" i="3"/>
  <c r="K80" i="5"/>
  <c r="K78" i="5"/>
  <c r="K81" i="5" s="1"/>
  <c r="AP14" i="4"/>
  <c r="AP9" i="4"/>
  <c r="AP24" i="4"/>
  <c r="AP17" i="5" s="1"/>
  <c r="AP27" i="4"/>
  <c r="AP19" i="5" s="1"/>
  <c r="AP10" i="4"/>
  <c r="AP35" i="4"/>
  <c r="AP18" i="4"/>
  <c r="AP8" i="4"/>
  <c r="AP12" i="5" s="1"/>
  <c r="AP14" i="5"/>
  <c r="BD9" i="4"/>
  <c r="N152" i="2"/>
  <c r="M155" i="2"/>
  <c r="M21" i="2"/>
  <c r="AW21" i="2" s="1"/>
  <c r="H71" i="5"/>
  <c r="H63" i="4"/>
  <c r="H99" i="2"/>
  <c r="H100" i="2" s="1"/>
  <c r="H77" i="2"/>
  <c r="H46" i="2"/>
  <c r="H65" i="2"/>
  <c r="K74" i="2"/>
  <c r="K25" i="2"/>
  <c r="K63" i="2"/>
  <c r="AP78" i="5"/>
  <c r="AP13" i="4" s="1"/>
  <c r="AP74" i="5"/>
  <c r="AP85" i="4"/>
  <c r="AQ84" i="4"/>
  <c r="AQ33" i="3"/>
  <c r="AQ85" i="4" s="1"/>
  <c r="AO146" i="2"/>
  <c r="AP143" i="2"/>
  <c r="AP116" i="2" s="1"/>
  <c r="BD143" i="2"/>
  <c r="BE24" i="5"/>
  <c r="BD117" i="2"/>
  <c r="AR103" i="2"/>
  <c r="AR137" i="2"/>
  <c r="AS53" i="2"/>
  <c r="BE53" i="2" s="1"/>
  <c r="AR61" i="5"/>
  <c r="P73" i="2"/>
  <c r="T62" i="2"/>
  <c r="P62" i="2"/>
  <c r="AV75" i="2"/>
  <c r="AV64" i="2"/>
  <c r="P61" i="4"/>
  <c r="P72" i="2"/>
  <c r="T61" i="2"/>
  <c r="P61" i="2"/>
  <c r="AX22" i="2"/>
  <c r="BD72" i="2"/>
  <c r="BD61" i="2"/>
  <c r="AS156" i="2"/>
  <c r="AS86" i="2"/>
  <c r="AS85" i="2" s="1"/>
  <c r="AS77" i="5" s="1"/>
  <c r="BE151" i="2"/>
  <c r="AN82" i="2"/>
  <c r="AN9" i="5" s="1"/>
  <c r="AN97" i="2"/>
  <c r="R154" i="2"/>
  <c r="Q23" i="2"/>
  <c r="AP13" i="5"/>
  <c r="BD10" i="4"/>
  <c r="AR30" i="3"/>
  <c r="AR7" i="3"/>
  <c r="AR35" i="3" s="1"/>
  <c r="AR34" i="3" s="1"/>
  <c r="AR110" i="2"/>
  <c r="BE110" i="2" s="1"/>
  <c r="AR16" i="3"/>
  <c r="AR9" i="2"/>
  <c r="AR26" i="3"/>
  <c r="AL18" i="5"/>
  <c r="AL39" i="3"/>
  <c r="AL29" i="4"/>
  <c r="AL36" i="4" s="1"/>
  <c r="AR136" i="2"/>
  <c r="AR102" i="2"/>
  <c r="AS52" i="2"/>
  <c r="BE52" i="2"/>
  <c r="R153" i="2"/>
  <c r="Q22" i="2"/>
  <c r="AX153" i="2"/>
  <c r="BE123" i="2"/>
  <c r="AP144" i="2"/>
  <c r="AP68" i="5"/>
  <c r="AP60" i="4"/>
  <c r="AP22" i="4" s="1"/>
  <c r="AP112" i="2"/>
  <c r="AP58" i="2"/>
  <c r="AR157" i="2"/>
  <c r="AP142" i="2"/>
  <c r="AO83" i="2"/>
  <c r="BD142" i="2"/>
  <c r="AO16" i="5"/>
  <c r="BD16" i="5" s="1"/>
  <c r="BD22" i="4"/>
  <c r="J77" i="5"/>
  <c r="AR124" i="2"/>
  <c r="BE124" i="2" s="1"/>
  <c r="AS34" i="2"/>
  <c r="AS124" i="2" s="1"/>
  <c r="L156" i="2"/>
  <c r="L157" i="2" s="1"/>
  <c r="L87" i="2"/>
  <c r="L85" i="2" s="1"/>
  <c r="L77" i="5" s="1"/>
  <c r="AW155" i="2"/>
  <c r="AM71" i="5"/>
  <c r="AM63" i="4"/>
  <c r="AM77" i="2"/>
  <c r="AM99" i="2"/>
  <c r="AM46" i="2"/>
  <c r="AM65" i="2"/>
  <c r="I39" i="2"/>
  <c r="I38" i="2"/>
  <c r="AV36" i="2"/>
  <c r="AV38" i="2" s="1"/>
  <c r="AR88" i="2"/>
  <c r="BE88" i="2" s="1"/>
  <c r="BE90" i="2"/>
  <c r="AP118" i="2"/>
  <c r="AP62" i="2"/>
  <c r="AL131" i="2"/>
  <c r="BE5" i="3"/>
  <c r="BD74" i="2"/>
  <c r="BD63" i="2"/>
  <c r="BD8" i="4"/>
  <c r="AO74" i="2"/>
  <c r="AO63" i="2"/>
  <c r="AP77" i="5"/>
  <c r="AQ145" i="2"/>
  <c r="G66" i="2"/>
  <c r="AQ157" i="2"/>
  <c r="BE156" i="2"/>
  <c r="AL66" i="2"/>
  <c r="BD116" i="2"/>
  <c r="AO17" i="5"/>
  <c r="BD17" i="5" s="1"/>
  <c r="BD24" i="4"/>
  <c r="AQ80" i="5"/>
  <c r="AQ79" i="5" s="1"/>
  <c r="AQ89" i="4"/>
  <c r="AR88" i="4"/>
  <c r="AP15" i="5"/>
  <c r="BD18" i="4"/>
  <c r="P72" i="3"/>
  <c r="Q71" i="3"/>
  <c r="BD113" i="2"/>
  <c r="AM9" i="5"/>
  <c r="AM98" i="2"/>
  <c r="BD58" i="2"/>
  <c r="AS30" i="3"/>
  <c r="AS37" i="3" s="1"/>
  <c r="AS7" i="3"/>
  <c r="AS35" i="3" s="1"/>
  <c r="AS34" i="3" s="1"/>
  <c r="BE34" i="3" s="1"/>
  <c r="BE35" i="3" s="1"/>
  <c r="AS110" i="2"/>
  <c r="AS9" i="2"/>
  <c r="BE9" i="2" s="1"/>
  <c r="AS16" i="3"/>
  <c r="AS26" i="3"/>
  <c r="AP69" i="5"/>
  <c r="AP24" i="2"/>
  <c r="AP60" i="2"/>
  <c r="AS128" i="2"/>
  <c r="BE128" i="2" s="1"/>
  <c r="AN120" i="2"/>
  <c r="AM126" i="2"/>
  <c r="G100" i="2"/>
  <c r="AP61" i="4"/>
  <c r="AP117" i="2"/>
  <c r="AP61" i="2"/>
  <c r="AR87" i="2"/>
  <c r="BE87" i="2" s="1"/>
  <c r="BE155" i="2"/>
  <c r="AL6" i="5"/>
  <c r="AL43" i="4"/>
  <c r="AL100" i="2"/>
  <c r="BE34" i="2"/>
  <c r="BE57" i="2" l="1"/>
  <c r="BE175" i="2"/>
  <c r="AW71" i="2"/>
  <c r="AW60" i="2"/>
  <c r="AP120" i="2"/>
  <c r="BE137" i="2"/>
  <c r="BE103" i="2"/>
  <c r="BE61" i="5"/>
  <c r="BD97" i="2"/>
  <c r="AR37" i="3"/>
  <c r="BE30" i="3"/>
  <c r="H66" i="2"/>
  <c r="AO39" i="2"/>
  <c r="AO38" i="2"/>
  <c r="AN98" i="2"/>
  <c r="Q72" i="3"/>
  <c r="R71" i="3"/>
  <c r="AX71" i="3"/>
  <c r="I71" i="5"/>
  <c r="I63" i="4"/>
  <c r="I99" i="2"/>
  <c r="I77" i="2"/>
  <c r="I46" i="2"/>
  <c r="I65" i="2"/>
  <c r="AP113" i="2"/>
  <c r="Q73" i="2"/>
  <c r="U62" i="2"/>
  <c r="Q62" i="2"/>
  <c r="L80" i="5"/>
  <c r="L78" i="5"/>
  <c r="L81" i="5" s="1"/>
  <c r="AP76" i="5"/>
  <c r="AP8" i="5" s="1"/>
  <c r="AP80" i="5"/>
  <c r="AP79" i="5" s="1"/>
  <c r="AP16" i="4"/>
  <c r="AQ16" i="4" s="1"/>
  <c r="AS102" i="2"/>
  <c r="AS136" i="2"/>
  <c r="AX72" i="2"/>
  <c r="AX61" i="2"/>
  <c r="AO84" i="2"/>
  <c r="BD84" i="2" s="1"/>
  <c r="BD146" i="2"/>
  <c r="AP16" i="5"/>
  <c r="AY154" i="2"/>
  <c r="S154" i="2"/>
  <c r="S23" i="2" s="1"/>
  <c r="R23" i="2"/>
  <c r="AS103" i="2"/>
  <c r="AS137" i="2"/>
  <c r="AS61" i="5"/>
  <c r="AQ68" i="5"/>
  <c r="AQ60" i="4"/>
  <c r="AQ22" i="4" s="1"/>
  <c r="AQ58" i="2"/>
  <c r="J39" i="2"/>
  <c r="J38" i="2"/>
  <c r="AN32" i="3"/>
  <c r="AM43" i="4"/>
  <c r="AL44" i="4"/>
  <c r="AL45" i="4" s="1"/>
  <c r="AM66" i="2"/>
  <c r="J80" i="5"/>
  <c r="J78" i="5"/>
  <c r="J81" i="5" s="1"/>
  <c r="AL40" i="3"/>
  <c r="AM38" i="3"/>
  <c r="AQ69" i="5"/>
  <c r="AQ116" i="2"/>
  <c r="AQ24" i="2"/>
  <c r="AQ60" i="2"/>
  <c r="AM25" i="4"/>
  <c r="AM32" i="4"/>
  <c r="AM41" i="4"/>
  <c r="BE144" i="2"/>
  <c r="AQ144" i="2"/>
  <c r="AR144" i="2" s="1"/>
  <c r="AS144" i="2" s="1"/>
  <c r="AQ118" i="2"/>
  <c r="AQ62" i="2"/>
  <c r="AP74" i="2"/>
  <c r="AP63" i="2"/>
  <c r="AR89" i="4"/>
  <c r="AS88" i="4"/>
  <c r="AS89" i="4" s="1"/>
  <c r="AM6" i="5"/>
  <c r="AM100" i="2"/>
  <c r="AQ61" i="4"/>
  <c r="AQ61" i="2"/>
  <c r="L74" i="2"/>
  <c r="L25" i="2"/>
  <c r="L63" i="2"/>
  <c r="AL20" i="5"/>
  <c r="AN121" i="2"/>
  <c r="BD120" i="2"/>
  <c r="AR67" i="5"/>
  <c r="AR59" i="4"/>
  <c r="AR147" i="2"/>
  <c r="AR22" i="2"/>
  <c r="AR16" i="2"/>
  <c r="AR23" i="2"/>
  <c r="AR21" i="2"/>
  <c r="AR57" i="2"/>
  <c r="AS80" i="5"/>
  <c r="AS79" i="5" s="1"/>
  <c r="BE86" i="2"/>
  <c r="M69" i="5"/>
  <c r="M71" i="2"/>
  <c r="M24" i="2"/>
  <c r="M60" i="2"/>
  <c r="AQ17" i="2"/>
  <c r="BD75" i="2"/>
  <c r="BD64" i="2"/>
  <c r="AP146" i="2"/>
  <c r="AQ143" i="2"/>
  <c r="Q61" i="4"/>
  <c r="U61" i="2"/>
  <c r="Q72" i="2"/>
  <c r="Q61" i="2"/>
  <c r="AS157" i="2"/>
  <c r="AR85" i="2"/>
  <c r="M156" i="2"/>
  <c r="M157" i="2" s="1"/>
  <c r="M87" i="2"/>
  <c r="M85" i="2" s="1"/>
  <c r="M77" i="5" s="1"/>
  <c r="BE102" i="2"/>
  <c r="BE136" i="2"/>
  <c r="AP25" i="2"/>
  <c r="AL133" i="2"/>
  <c r="AS67" i="5"/>
  <c r="AS59" i="4"/>
  <c r="AS147" i="2"/>
  <c r="AS175" i="2" s="1"/>
  <c r="AS22" i="2"/>
  <c r="AS16" i="2"/>
  <c r="AS23" i="2"/>
  <c r="AS21" i="2"/>
  <c r="AS17" i="2"/>
  <c r="AS57" i="2"/>
  <c r="AS84" i="4"/>
  <c r="AS33" i="3"/>
  <c r="AS85" i="4" s="1"/>
  <c r="AR145" i="2"/>
  <c r="AO82" i="2"/>
  <c r="BD83" i="2"/>
  <c r="AO97" i="2"/>
  <c r="S153" i="2"/>
  <c r="S22" i="2" s="1"/>
  <c r="AY153" i="2"/>
  <c r="R22" i="2"/>
  <c r="AX23" i="2"/>
  <c r="K70" i="5"/>
  <c r="K62" i="4"/>
  <c r="K75" i="2"/>
  <c r="K98" i="2"/>
  <c r="K36" i="2"/>
  <c r="K31" i="2"/>
  <c r="K64" i="2"/>
  <c r="O152" i="2"/>
  <c r="N155" i="2"/>
  <c r="N21" i="2"/>
  <c r="AQ14" i="4"/>
  <c r="AQ14" i="5" s="1"/>
  <c r="AQ9" i="4"/>
  <c r="AQ24" i="4"/>
  <c r="AQ17" i="5" s="1"/>
  <c r="AQ27" i="4"/>
  <c r="AQ19" i="5" s="1"/>
  <c r="AQ10" i="4"/>
  <c r="AQ35" i="4"/>
  <c r="AQ18" i="4"/>
  <c r="AQ15" i="5" s="1"/>
  <c r="AQ8" i="4"/>
  <c r="BD31" i="2"/>
  <c r="AW24" i="2"/>
  <c r="AQ12" i="5"/>
  <c r="AM129" i="2"/>
  <c r="BE7" i="3"/>
  <c r="BE26" i="3"/>
  <c r="BE16" i="3"/>
  <c r="AQ142" i="2"/>
  <c r="AP83" i="2"/>
  <c r="AV39" i="2"/>
  <c r="AR84" i="4"/>
  <c r="AR33" i="3"/>
  <c r="BE21" i="3"/>
  <c r="AQ78" i="5"/>
  <c r="AQ76" i="5" s="1"/>
  <c r="AQ8" i="5" s="1"/>
  <c r="AQ74" i="5"/>
  <c r="AN39" i="2"/>
  <c r="AN38" i="2"/>
  <c r="BD36" i="2"/>
  <c r="BD38" i="2" s="1"/>
  <c r="AX73" i="2" l="1"/>
  <c r="AY62" i="2"/>
  <c r="AX62" i="2"/>
  <c r="AP84" i="2"/>
  <c r="AN126" i="2"/>
  <c r="BD121" i="2"/>
  <c r="AP121" i="2"/>
  <c r="M80" i="5"/>
  <c r="M78" i="5"/>
  <c r="M81" i="5" s="1"/>
  <c r="AN86" i="4"/>
  <c r="AO31" i="3"/>
  <c r="R73" i="2"/>
  <c r="V62" i="2"/>
  <c r="AY23" i="2"/>
  <c r="R62" i="2"/>
  <c r="AV77" i="2"/>
  <c r="AV46" i="2"/>
  <c r="AV65" i="2"/>
  <c r="AW74" i="2"/>
  <c r="AW63" i="2"/>
  <c r="N156" i="2"/>
  <c r="N87" i="2"/>
  <c r="R61" i="4"/>
  <c r="R72" i="2"/>
  <c r="V61" i="2"/>
  <c r="AY22" i="2"/>
  <c r="R61" i="2"/>
  <c r="AS62" i="2"/>
  <c r="AR69" i="5"/>
  <c r="AR24" i="2"/>
  <c r="AR60" i="2"/>
  <c r="BE21" i="2"/>
  <c r="AL48" i="5"/>
  <c r="AL50" i="5" s="1"/>
  <c r="AL42" i="5"/>
  <c r="AL79" i="4"/>
  <c r="S73" i="2"/>
  <c r="W62" i="2"/>
  <c r="S62" i="2"/>
  <c r="I66" i="2"/>
  <c r="AO71" i="5"/>
  <c r="AO63" i="4"/>
  <c r="AO77" i="2"/>
  <c r="AO99" i="2"/>
  <c r="AO46" i="2"/>
  <c r="AO65" i="2"/>
  <c r="AR77" i="5"/>
  <c r="AR16" i="4" s="1"/>
  <c r="AS16" i="4" s="1"/>
  <c r="BE16" i="4" s="1"/>
  <c r="BE85" i="2"/>
  <c r="AW87" i="2"/>
  <c r="J71" i="5"/>
  <c r="J63" i="4"/>
  <c r="J77" i="2"/>
  <c r="J46" i="2"/>
  <c r="J99" i="2"/>
  <c r="J65" i="2"/>
  <c r="S61" i="4"/>
  <c r="S72" i="2"/>
  <c r="W61" i="2"/>
  <c r="S61" i="2"/>
  <c r="AS61" i="4"/>
  <c r="AS117" i="2"/>
  <c r="AS61" i="2"/>
  <c r="AR68" i="5"/>
  <c r="AR60" i="4"/>
  <c r="AR22" i="4" s="1"/>
  <c r="AR112" i="2"/>
  <c r="AR113" i="2" s="1"/>
  <c r="AR58" i="2"/>
  <c r="BE16" i="2"/>
  <c r="BE58" i="2" s="1"/>
  <c r="AL41" i="3"/>
  <c r="AR85" i="4"/>
  <c r="BE33" i="3"/>
  <c r="AP82" i="2"/>
  <c r="AP97" i="2"/>
  <c r="AR118" i="2"/>
  <c r="AR62" i="2"/>
  <c r="BE23" i="2"/>
  <c r="AR142" i="2"/>
  <c r="AQ83" i="2"/>
  <c r="AR61" i="4"/>
  <c r="AR117" i="2"/>
  <c r="AR61" i="2"/>
  <c r="BE22" i="2"/>
  <c r="L70" i="5"/>
  <c r="L62" i="4"/>
  <c r="L98" i="2"/>
  <c r="L36" i="2"/>
  <c r="L31" i="2"/>
  <c r="L75" i="2"/>
  <c r="L64" i="2"/>
  <c r="AN41" i="4"/>
  <c r="AM44" i="4"/>
  <c r="I100" i="2"/>
  <c r="AV100" i="2" s="1"/>
  <c r="AV99" i="2"/>
  <c r="AQ13" i="4"/>
  <c r="N69" i="5"/>
  <c r="N71" i="2"/>
  <c r="N24" i="2"/>
  <c r="N60" i="2"/>
  <c r="AS68" i="5"/>
  <c r="AS60" i="4"/>
  <c r="AS22" i="4" s="1"/>
  <c r="AS58" i="2"/>
  <c r="AQ25" i="2"/>
  <c r="AQ59" i="2"/>
  <c r="K39" i="2"/>
  <c r="K38" i="2"/>
  <c r="AS24" i="4"/>
  <c r="AS27" i="4"/>
  <c r="AS10" i="4"/>
  <c r="BE10" i="4" s="1"/>
  <c r="AS35" i="4"/>
  <c r="BE35" i="4" s="1"/>
  <c r="AS18" i="4"/>
  <c r="BE18" i="4" s="1"/>
  <c r="AS8" i="4"/>
  <c r="BE8" i="4" s="1"/>
  <c r="AS14" i="4"/>
  <c r="BE14" i="4" s="1"/>
  <c r="AS9" i="4"/>
  <c r="BE9" i="4" s="1"/>
  <c r="M74" i="2"/>
  <c r="M25" i="2"/>
  <c r="M63" i="2"/>
  <c r="AR17" i="2"/>
  <c r="AQ112" i="2"/>
  <c r="AW85" i="2"/>
  <c r="AM20" i="5"/>
  <c r="P152" i="2"/>
  <c r="O155" i="2"/>
  <c r="O21" i="2"/>
  <c r="AR13" i="5"/>
  <c r="AO9" i="5"/>
  <c r="BD9" i="5" s="1"/>
  <c r="BD82" i="2"/>
  <c r="AO98" i="2"/>
  <c r="BD98" i="2" s="1"/>
  <c r="AS78" i="5"/>
  <c r="AS76" i="5" s="1"/>
  <c r="AS8" i="5" s="1"/>
  <c r="AS74" i="5"/>
  <c r="AR175" i="2"/>
  <c r="BE147" i="2"/>
  <c r="BE148" i="2" s="1"/>
  <c r="AQ16" i="5"/>
  <c r="AM131" i="2"/>
  <c r="AS69" i="5"/>
  <c r="AS24" i="2"/>
  <c r="AS60" i="2"/>
  <c r="AN71" i="5"/>
  <c r="AN63" i="4"/>
  <c r="AN77" i="2"/>
  <c r="AN99" i="2"/>
  <c r="AN43" i="4" s="1"/>
  <c r="AO43" i="4" s="1"/>
  <c r="AN46" i="2"/>
  <c r="AN65" i="2"/>
  <c r="BD39" i="2"/>
  <c r="AS145" i="2"/>
  <c r="AS118" i="2" s="1"/>
  <c r="AR9" i="4"/>
  <c r="AR24" i="4"/>
  <c r="AR17" i="5" s="1"/>
  <c r="AR27" i="4"/>
  <c r="AR10" i="4"/>
  <c r="AS13" i="5" s="1"/>
  <c r="AR35" i="4"/>
  <c r="AR18" i="4"/>
  <c r="AS15" i="5" s="1"/>
  <c r="AR8" i="4"/>
  <c r="AS12" i="5" s="1"/>
  <c r="AR14" i="4"/>
  <c r="AX72" i="3"/>
  <c r="AX73" i="3"/>
  <c r="AX74" i="3" s="1"/>
  <c r="BE37" i="3"/>
  <c r="AW156" i="2"/>
  <c r="AR78" i="5"/>
  <c r="AR74" i="5"/>
  <c r="AQ117" i="2"/>
  <c r="BE117" i="2" s="1"/>
  <c r="AM18" i="5"/>
  <c r="AM39" i="3"/>
  <c r="AM29" i="4"/>
  <c r="AM36" i="4" s="1"/>
  <c r="AQ13" i="5"/>
  <c r="BE13" i="5" s="1"/>
  <c r="R72" i="3"/>
  <c r="S71" i="3"/>
  <c r="AQ74" i="2"/>
  <c r="AQ63" i="2"/>
  <c r="AS25" i="2"/>
  <c r="AS59" i="2"/>
  <c r="AR14" i="5"/>
  <c r="AP70" i="5"/>
  <c r="AP62" i="4"/>
  <c r="AP75" i="2"/>
  <c r="AP98" i="2"/>
  <c r="AP36" i="2"/>
  <c r="AP31" i="2"/>
  <c r="AP64" i="2"/>
  <c r="AQ146" i="2"/>
  <c r="AQ84" i="2" s="1"/>
  <c r="AR143" i="2"/>
  <c r="AR116" i="2" s="1"/>
  <c r="AW25" i="2"/>
  <c r="BD43" i="4" l="1"/>
  <c r="AR120" i="2"/>
  <c r="BE17" i="5"/>
  <c r="BE16" i="5"/>
  <c r="BE14" i="5"/>
  <c r="AW31" i="2"/>
  <c r="S72" i="3"/>
  <c r="T71" i="3"/>
  <c r="AQ113" i="2"/>
  <c r="AS19" i="5"/>
  <c r="BE27" i="4"/>
  <c r="AO41" i="4"/>
  <c r="AN44" i="4"/>
  <c r="N157" i="2"/>
  <c r="AS17" i="5"/>
  <c r="BE24" i="4"/>
  <c r="AR15" i="5"/>
  <c r="BE15" i="5" s="1"/>
  <c r="AR74" i="2"/>
  <c r="AR63" i="2"/>
  <c r="AM40" i="3"/>
  <c r="AN38" i="3"/>
  <c r="AS70" i="5"/>
  <c r="AS62" i="4"/>
  <c r="AS75" i="2"/>
  <c r="AS36" i="2"/>
  <c r="AS31" i="2"/>
  <c r="AS64" i="2"/>
  <c r="AR19" i="5"/>
  <c r="BE19" i="5" s="1"/>
  <c r="N74" i="2"/>
  <c r="N25" i="2"/>
  <c r="N63" i="2"/>
  <c r="AQ82" i="2"/>
  <c r="AQ9" i="5" s="1"/>
  <c r="AL43" i="3"/>
  <c r="AO32" i="3"/>
  <c r="BD31" i="3"/>
  <c r="M70" i="5"/>
  <c r="M62" i="4"/>
  <c r="M98" i="2"/>
  <c r="AW98" i="2" s="1"/>
  <c r="M75" i="2"/>
  <c r="M36" i="2"/>
  <c r="M31" i="2"/>
  <c r="M64" i="2"/>
  <c r="K71" i="5"/>
  <c r="K63" i="4"/>
  <c r="K77" i="2"/>
  <c r="K99" i="2"/>
  <c r="K100" i="2" s="1"/>
  <c r="K46" i="2"/>
  <c r="K65" i="2"/>
  <c r="AS142" i="2"/>
  <c r="AR83" i="2"/>
  <c r="AR82" i="2" s="1"/>
  <c r="AR9" i="5" s="1"/>
  <c r="AN32" i="4"/>
  <c r="AN25" i="4"/>
  <c r="AW75" i="2"/>
  <c r="AW64" i="2"/>
  <c r="AR25" i="2"/>
  <c r="AR59" i="2"/>
  <c r="AS143" i="2"/>
  <c r="AR146" i="2"/>
  <c r="AR84" i="2" s="1"/>
  <c r="BE143" i="2"/>
  <c r="AS14" i="5"/>
  <c r="AS74" i="2"/>
  <c r="AS63" i="2"/>
  <c r="BE142" i="2"/>
  <c r="L39" i="2"/>
  <c r="L38" i="2"/>
  <c r="BE73" i="2"/>
  <c r="BE62" i="2"/>
  <c r="AR12" i="5"/>
  <c r="BE12" i="5" s="1"/>
  <c r="BE145" i="2"/>
  <c r="BE17" i="2"/>
  <c r="AR76" i="5"/>
  <c r="AR8" i="5" s="1"/>
  <c r="BE8" i="5" s="1"/>
  <c r="AR80" i="5"/>
  <c r="AR79" i="5" s="1"/>
  <c r="BE24" i="2"/>
  <c r="BE118" i="2"/>
  <c r="AR121" i="2"/>
  <c r="AR126" i="2" s="1"/>
  <c r="AR129" i="2" s="1"/>
  <c r="AR131" i="2" s="1"/>
  <c r="AR133" i="2" s="1"/>
  <c r="AQ70" i="5"/>
  <c r="AQ62" i="4"/>
  <c r="AQ75" i="2"/>
  <c r="AQ36" i="2"/>
  <c r="AQ31" i="2"/>
  <c r="AQ64" i="2"/>
  <c r="AR13" i="4"/>
  <c r="AS13" i="4" s="1"/>
  <c r="BE13" i="4" s="1"/>
  <c r="AR16" i="5"/>
  <c r="J100" i="2"/>
  <c r="AO66" i="2"/>
  <c r="AY72" i="2"/>
  <c r="AZ61" i="2"/>
  <c r="AY61" i="2"/>
  <c r="AV66" i="2"/>
  <c r="AP126" i="2"/>
  <c r="AM133" i="2"/>
  <c r="O156" i="2"/>
  <c r="O157" i="2" s="1"/>
  <c r="O87" i="2"/>
  <c r="O85" i="2" s="1"/>
  <c r="O77" i="5" s="1"/>
  <c r="AQ97" i="2"/>
  <c r="AQ120" i="2"/>
  <c r="AP39" i="2"/>
  <c r="AP38" i="2"/>
  <c r="BD46" i="2"/>
  <c r="BD77" i="2"/>
  <c r="BD65" i="2"/>
  <c r="O69" i="5"/>
  <c r="O71" i="2"/>
  <c r="O24" i="2"/>
  <c r="O60" i="2"/>
  <c r="AN66" i="2"/>
  <c r="Q152" i="2"/>
  <c r="P155" i="2"/>
  <c r="P21" i="2"/>
  <c r="AX152" i="2"/>
  <c r="BE72" i="2"/>
  <c r="BE61" i="2"/>
  <c r="AP9" i="5"/>
  <c r="J66" i="2"/>
  <c r="AO6" i="5"/>
  <c r="AO100" i="2"/>
  <c r="AL45" i="5"/>
  <c r="AM44" i="5" s="1"/>
  <c r="AL6" i="4"/>
  <c r="AL53" i="5"/>
  <c r="AL82" i="4" s="1"/>
  <c r="AL51" i="5"/>
  <c r="AL80" i="4"/>
  <c r="AY73" i="2"/>
  <c r="AZ62" i="2"/>
  <c r="AN129" i="2"/>
  <c r="BD126" i="2"/>
  <c r="AM48" i="5"/>
  <c r="AM50" i="5" s="1"/>
  <c r="AM42" i="5"/>
  <c r="AM45" i="5" s="1"/>
  <c r="AN44" i="5" s="1"/>
  <c r="AM79" i="4"/>
  <c r="AN6" i="5"/>
  <c r="AN100" i="2"/>
  <c r="BD99" i="2"/>
  <c r="BD100" i="2" s="1"/>
  <c r="AS16" i="5"/>
  <c r="BE22" i="4"/>
  <c r="AM45" i="4"/>
  <c r="BE71" i="2"/>
  <c r="BE60" i="2"/>
  <c r="N85" i="2"/>
  <c r="Q155" i="2" l="1"/>
  <c r="R152" i="2"/>
  <c r="Q21" i="2"/>
  <c r="BD66" i="2"/>
  <c r="BE74" i="2"/>
  <c r="BE63" i="2"/>
  <c r="AN18" i="5"/>
  <c r="AN20" i="5" s="1"/>
  <c r="AN39" i="3"/>
  <c r="AN29" i="4"/>
  <c r="AN36" i="4" s="1"/>
  <c r="L71" i="5"/>
  <c r="L63" i="4"/>
  <c r="L77" i="2"/>
  <c r="L99" i="2"/>
  <c r="L46" i="2"/>
  <c r="L65" i="2"/>
  <c r="AP71" i="5"/>
  <c r="AP63" i="4"/>
  <c r="AP77" i="2"/>
  <c r="AP99" i="2"/>
  <c r="AP46" i="2"/>
  <c r="AP66" i="2" s="1"/>
  <c r="AP65" i="2"/>
  <c r="BD41" i="4"/>
  <c r="AP41" i="4"/>
  <c r="AO44" i="4"/>
  <c r="BD6" i="5"/>
  <c r="AM41" i="3"/>
  <c r="P69" i="5"/>
  <c r="P71" i="2"/>
  <c r="T60" i="2"/>
  <c r="P24" i="2"/>
  <c r="P60" i="2"/>
  <c r="AN131" i="2"/>
  <c r="BD129" i="2"/>
  <c r="BE69" i="2"/>
  <c r="BE59" i="2"/>
  <c r="AS83" i="2"/>
  <c r="AS112" i="2"/>
  <c r="N77" i="5"/>
  <c r="P156" i="2"/>
  <c r="P157" i="2" s="1"/>
  <c r="P87" i="2"/>
  <c r="O74" i="2"/>
  <c r="O25" i="2"/>
  <c r="O63" i="2"/>
  <c r="AQ39" i="2"/>
  <c r="AQ38" i="2"/>
  <c r="AS146" i="2"/>
  <c r="AS116" i="2"/>
  <c r="K66" i="2"/>
  <c r="AX155" i="2"/>
  <c r="N70" i="5"/>
  <c r="N62" i="4"/>
  <c r="N98" i="2"/>
  <c r="N75" i="2"/>
  <c r="N36" i="2"/>
  <c r="N31" i="2"/>
  <c r="N64" i="2"/>
  <c r="AQ98" i="2"/>
  <c r="AQ121" i="2"/>
  <c r="AM6" i="4"/>
  <c r="AL47" i="4"/>
  <c r="AL11" i="4"/>
  <c r="AL19" i="4" s="1"/>
  <c r="AN45" i="4"/>
  <c r="AR70" i="5"/>
  <c r="AR62" i="4"/>
  <c r="AR75" i="2"/>
  <c r="AR98" i="2"/>
  <c r="AR36" i="2"/>
  <c r="AR31" i="2"/>
  <c r="BE31" i="2" s="1"/>
  <c r="AR64" i="2"/>
  <c r="BE25" i="2"/>
  <c r="T72" i="3"/>
  <c r="U71" i="3"/>
  <c r="AM53" i="5"/>
  <c r="AM82" i="4" s="1"/>
  <c r="AM51" i="5"/>
  <c r="AM80" i="4"/>
  <c r="AP129" i="2"/>
  <c r="M39" i="2"/>
  <c r="AW39" i="2" s="1"/>
  <c r="M38" i="2"/>
  <c r="O80" i="5"/>
  <c r="O78" i="5"/>
  <c r="O81" i="5" s="1"/>
  <c r="AW36" i="2"/>
  <c r="AW38" i="2" s="1"/>
  <c r="AR97" i="2"/>
  <c r="AO86" i="4"/>
  <c r="AP31" i="3"/>
  <c r="BD32" i="3"/>
  <c r="AS39" i="2"/>
  <c r="AS38" i="2"/>
  <c r="AN48" i="5" l="1"/>
  <c r="AN50" i="5" s="1"/>
  <c r="AN42" i="5"/>
  <c r="AN79" i="4"/>
  <c r="AW77" i="2"/>
  <c r="AW46" i="2"/>
  <c r="AW65" i="2"/>
  <c r="AP131" i="2"/>
  <c r="AS71" i="5"/>
  <c r="AS63" i="4"/>
  <c r="AS77" i="2"/>
  <c r="AS46" i="2"/>
  <c r="AS66" i="2" s="1"/>
  <c r="AS65" i="2"/>
  <c r="AM43" i="3"/>
  <c r="AS97" i="2"/>
  <c r="BE83" i="2"/>
  <c r="AP32" i="3"/>
  <c r="AL55" i="4"/>
  <c r="AL54" i="4"/>
  <c r="AQ71" i="5"/>
  <c r="AQ63" i="4"/>
  <c r="AQ99" i="2"/>
  <c r="AQ46" i="2"/>
  <c r="AQ66" i="2" s="1"/>
  <c r="AQ77" i="2"/>
  <c r="AQ65" i="2"/>
  <c r="AO25" i="4"/>
  <c r="AO32" i="4"/>
  <c r="BD32" i="4" s="1"/>
  <c r="AL50" i="4"/>
  <c r="AL51" i="4" s="1"/>
  <c r="AL48" i="4"/>
  <c r="O70" i="5"/>
  <c r="O62" i="4"/>
  <c r="O98" i="2"/>
  <c r="O75" i="2"/>
  <c r="O31" i="2"/>
  <c r="O36" i="2"/>
  <c r="O64" i="2"/>
  <c r="BD44" i="4"/>
  <c r="U72" i="3"/>
  <c r="V71" i="3"/>
  <c r="AY71" i="3"/>
  <c r="BE97" i="2"/>
  <c r="AN6" i="4"/>
  <c r="AM47" i="4"/>
  <c r="AM11" i="4"/>
  <c r="AM19" i="4" s="1"/>
  <c r="AQ41" i="4"/>
  <c r="L66" i="2"/>
  <c r="BE75" i="2"/>
  <c r="BE64" i="2"/>
  <c r="AN133" i="2"/>
  <c r="BD131" i="2"/>
  <c r="BD133" i="2" s="1"/>
  <c r="Q69" i="5"/>
  <c r="Q71" i="2"/>
  <c r="U60" i="2"/>
  <c r="Q24" i="2"/>
  <c r="Q60" i="2"/>
  <c r="AQ126" i="2"/>
  <c r="L100" i="2"/>
  <c r="R155" i="2"/>
  <c r="AY152" i="2"/>
  <c r="S152" i="2"/>
  <c r="R21" i="2"/>
  <c r="N39" i="2"/>
  <c r="N38" i="2"/>
  <c r="P85" i="2"/>
  <c r="P74" i="2"/>
  <c r="T63" i="2"/>
  <c r="P25" i="2"/>
  <c r="P63" i="2"/>
  <c r="Q156" i="2"/>
  <c r="Q157" i="2" s="1"/>
  <c r="Q87" i="2"/>
  <c r="Q85" i="2" s="1"/>
  <c r="Q77" i="5" s="1"/>
  <c r="AN40" i="3"/>
  <c r="AO38" i="3"/>
  <c r="BD38" i="3" s="1"/>
  <c r="AR39" i="2"/>
  <c r="AR38" i="2"/>
  <c r="BE36" i="2"/>
  <c r="BE38" i="2" s="1"/>
  <c r="BE39" i="2"/>
  <c r="AX156" i="2"/>
  <c r="AS120" i="2"/>
  <c r="BE120" i="2" s="1"/>
  <c r="BE116" i="2"/>
  <c r="AX21" i="2"/>
  <c r="AS113" i="2"/>
  <c r="BE112" i="2"/>
  <c r="M71" i="5"/>
  <c r="M63" i="4"/>
  <c r="M77" i="2"/>
  <c r="M99" i="2"/>
  <c r="M100" i="2" s="1"/>
  <c r="M46" i="2"/>
  <c r="M65" i="2"/>
  <c r="AS84" i="2"/>
  <c r="BE84" i="2" s="1"/>
  <c r="BE146" i="2"/>
  <c r="N80" i="5"/>
  <c r="N78" i="5"/>
  <c r="N81" i="5" s="1"/>
  <c r="AP6" i="5"/>
  <c r="AP100" i="2"/>
  <c r="AP43" i="4"/>
  <c r="AX24" i="2"/>
  <c r="P70" i="5" l="1"/>
  <c r="P62" i="4"/>
  <c r="P98" i="2"/>
  <c r="P75" i="2"/>
  <c r="T64" i="2"/>
  <c r="P36" i="2"/>
  <c r="P31" i="2"/>
  <c r="P64" i="2"/>
  <c r="M66" i="2"/>
  <c r="AW99" i="2"/>
  <c r="AW100" i="2" s="1"/>
  <c r="AX74" i="2"/>
  <c r="AX63" i="2"/>
  <c r="BE77" i="2"/>
  <c r="BE46" i="2"/>
  <c r="BE66" i="2" s="1"/>
  <c r="BE65" i="2"/>
  <c r="AP86" i="4"/>
  <c r="AQ31" i="3"/>
  <c r="AQ43" i="4"/>
  <c r="AR43" i="4" s="1"/>
  <c r="AX87" i="2"/>
  <c r="AP133" i="2"/>
  <c r="P77" i="5"/>
  <c r="AX85" i="2"/>
  <c r="AQ129" i="2"/>
  <c r="AP44" i="4"/>
  <c r="AO18" i="5"/>
  <c r="BD25" i="4"/>
  <c r="AO39" i="3"/>
  <c r="AO29" i="4"/>
  <c r="R156" i="2"/>
  <c r="R87" i="2"/>
  <c r="AR71" i="5"/>
  <c r="AR63" i="4"/>
  <c r="AR99" i="2"/>
  <c r="AR77" i="2"/>
  <c r="AR46" i="2"/>
  <c r="AR66" i="2" s="1"/>
  <c r="AR65" i="2"/>
  <c r="AR41" i="4"/>
  <c r="O39" i="2"/>
  <c r="O38" i="2"/>
  <c r="AS82" i="2"/>
  <c r="Q74" i="2"/>
  <c r="U63" i="2"/>
  <c r="Q25" i="2"/>
  <c r="Q63" i="2"/>
  <c r="AM55" i="4"/>
  <c r="AM54" i="4"/>
  <c r="AW66" i="2"/>
  <c r="N71" i="5"/>
  <c r="N63" i="4"/>
  <c r="N77" i="2"/>
  <c r="N99" i="2"/>
  <c r="N46" i="2"/>
  <c r="N65" i="2"/>
  <c r="AM48" i="4"/>
  <c r="AM50" i="4"/>
  <c r="AM51" i="4" s="1"/>
  <c r="AS121" i="2"/>
  <c r="BE113" i="2"/>
  <c r="Q80" i="5"/>
  <c r="Q78" i="5"/>
  <c r="Q81" i="5" s="1"/>
  <c r="AN41" i="3"/>
  <c r="AN47" i="4"/>
  <c r="AN11" i="4"/>
  <c r="AN19" i="4" s="1"/>
  <c r="AQ6" i="5"/>
  <c r="AQ100" i="2"/>
  <c r="R69" i="5"/>
  <c r="R71" i="2"/>
  <c r="V60" i="2"/>
  <c r="R24" i="2"/>
  <c r="AY21" i="2"/>
  <c r="R60" i="2"/>
  <c r="AX71" i="2"/>
  <c r="AX60" i="2"/>
  <c r="S155" i="2"/>
  <c r="AY155" i="2" s="1"/>
  <c r="S21" i="2"/>
  <c r="AY72" i="3"/>
  <c r="AY73" i="3"/>
  <c r="AY74" i="3" s="1"/>
  <c r="AN45" i="5"/>
  <c r="AO44" i="5" s="1"/>
  <c r="AX25" i="2"/>
  <c r="W71" i="3"/>
  <c r="V72" i="3"/>
  <c r="AN53" i="5"/>
  <c r="AN82" i="4" s="1"/>
  <c r="AN51" i="5"/>
  <c r="AN80" i="4"/>
  <c r="AY71" i="2" l="1"/>
  <c r="AZ60" i="2"/>
  <c r="AS9" i="5"/>
  <c r="BE9" i="5" s="1"/>
  <c r="AS98" i="2"/>
  <c r="BE98" i="2" s="1"/>
  <c r="BE82" i="2"/>
  <c r="AS99" i="2"/>
  <c r="R157" i="2"/>
  <c r="AX75" i="2"/>
  <c r="AX64" i="2"/>
  <c r="R74" i="2"/>
  <c r="V63" i="2"/>
  <c r="R25" i="2"/>
  <c r="R63" i="2"/>
  <c r="O71" i="5"/>
  <c r="O63" i="4"/>
  <c r="O77" i="2"/>
  <c r="O99" i="2"/>
  <c r="O100" i="2" s="1"/>
  <c r="O46" i="2"/>
  <c r="O65" i="2"/>
  <c r="BD29" i="4"/>
  <c r="AO36" i="4"/>
  <c r="AY87" i="2"/>
  <c r="R85" i="2"/>
  <c r="AS126" i="2"/>
  <c r="BE121" i="2"/>
  <c r="AQ44" i="4"/>
  <c r="AO40" i="3"/>
  <c r="AP38" i="3"/>
  <c r="BD39" i="3"/>
  <c r="AQ32" i="3"/>
  <c r="AS41" i="4"/>
  <c r="AR44" i="4"/>
  <c r="AO20" i="5"/>
  <c r="BD18" i="5"/>
  <c r="AP25" i="4"/>
  <c r="AP32" i="4"/>
  <c r="P39" i="2"/>
  <c r="P38" i="2"/>
  <c r="S156" i="2"/>
  <c r="S157" i="2" s="1"/>
  <c r="S87" i="2"/>
  <c r="S85" i="2" s="1"/>
  <c r="S77" i="5" s="1"/>
  <c r="AN55" i="4"/>
  <c r="AN54" i="4"/>
  <c r="N66" i="2"/>
  <c r="Q70" i="5"/>
  <c r="Q62" i="4"/>
  <c r="Q75" i="2"/>
  <c r="Q98" i="2"/>
  <c r="U64" i="2"/>
  <c r="Q36" i="2"/>
  <c r="Q31" i="2"/>
  <c r="AX31" i="2" s="1"/>
  <c r="Q64" i="2"/>
  <c r="AN43" i="3"/>
  <c r="W72" i="3"/>
  <c r="X71" i="3"/>
  <c r="AN48" i="4"/>
  <c r="AN50" i="4"/>
  <c r="AN51" i="4" s="1"/>
  <c r="AR6" i="5"/>
  <c r="AR100" i="2"/>
  <c r="BE99" i="2"/>
  <c r="BE100" i="2" s="1"/>
  <c r="AQ131" i="2"/>
  <c r="AX98" i="2"/>
  <c r="S69" i="5"/>
  <c r="S71" i="2"/>
  <c r="W60" i="2"/>
  <c r="S24" i="2"/>
  <c r="S60" i="2"/>
  <c r="AY60" i="2"/>
  <c r="N100" i="2"/>
  <c r="P80" i="5"/>
  <c r="P78" i="5"/>
  <c r="P81" i="5" s="1"/>
  <c r="AQ133" i="2" l="1"/>
  <c r="AQ86" i="4"/>
  <c r="AR31" i="3"/>
  <c r="Q39" i="2"/>
  <c r="Q38" i="2"/>
  <c r="AX36" i="2"/>
  <c r="AX38" i="2" s="1"/>
  <c r="O66" i="2"/>
  <c r="P71" i="5"/>
  <c r="P63" i="4"/>
  <c r="P77" i="2"/>
  <c r="P99" i="2"/>
  <c r="T65" i="2"/>
  <c r="P46" i="2"/>
  <c r="P65" i="2"/>
  <c r="AO41" i="3"/>
  <c r="BD40" i="3"/>
  <c r="AY156" i="2"/>
  <c r="AP18" i="5"/>
  <c r="AP39" i="3"/>
  <c r="AP29" i="4"/>
  <c r="AP36" i="4" s="1"/>
  <c r="AP45" i="4" s="1"/>
  <c r="AS6" i="5"/>
  <c r="AS100" i="2"/>
  <c r="W63" i="2"/>
  <c r="S74" i="2"/>
  <c r="S25" i="2"/>
  <c r="S63" i="2"/>
  <c r="X72" i="3"/>
  <c r="Y71" i="3"/>
  <c r="AS129" i="2"/>
  <c r="BE126" i="2"/>
  <c r="AO48" i="5"/>
  <c r="AO50" i="5" s="1"/>
  <c r="AO42" i="5"/>
  <c r="AO79" i="4"/>
  <c r="BD20" i="5"/>
  <c r="R77" i="5"/>
  <c r="AY85" i="2"/>
  <c r="R70" i="5"/>
  <c r="R62" i="4"/>
  <c r="R75" i="2"/>
  <c r="R98" i="2"/>
  <c r="V64" i="2"/>
  <c r="R36" i="2"/>
  <c r="R31" i="2"/>
  <c r="AY25" i="2"/>
  <c r="R64" i="2"/>
  <c r="AS43" i="4"/>
  <c r="BE43" i="4" s="1"/>
  <c r="AY24" i="2"/>
  <c r="S80" i="5"/>
  <c r="S78" i="5"/>
  <c r="S81" i="5" s="1"/>
  <c r="BE41" i="4"/>
  <c r="AS44" i="4"/>
  <c r="BD36" i="4"/>
  <c r="AO45" i="4"/>
  <c r="BD45" i="4" s="1"/>
  <c r="AZ71" i="3" l="1"/>
  <c r="Y72" i="3"/>
  <c r="Z71" i="3"/>
  <c r="AO43" i="3"/>
  <c r="BD41" i="3"/>
  <c r="BD43" i="3" s="1"/>
  <c r="BE44" i="4"/>
  <c r="S70" i="5"/>
  <c r="S62" i="4"/>
  <c r="S75" i="2"/>
  <c r="S98" i="2"/>
  <c r="AY98" i="2" s="1"/>
  <c r="W64" i="2"/>
  <c r="S36" i="2"/>
  <c r="S31" i="2"/>
  <c r="S64" i="2"/>
  <c r="AY74" i="2"/>
  <c r="AZ63" i="2"/>
  <c r="AY63" i="2"/>
  <c r="T66" i="2"/>
  <c r="P66" i="2"/>
  <c r="R80" i="5"/>
  <c r="R78" i="5"/>
  <c r="R81" i="5" s="1"/>
  <c r="Q71" i="5"/>
  <c r="Q63" i="4"/>
  <c r="Q77" i="2"/>
  <c r="Q99" i="2"/>
  <c r="Q100" i="2" s="1"/>
  <c r="U65" i="2"/>
  <c r="Q46" i="2"/>
  <c r="Q65" i="2"/>
  <c r="AX39" i="2"/>
  <c r="P100" i="2"/>
  <c r="AX99" i="2"/>
  <c r="AX100" i="2" s="1"/>
  <c r="AS131" i="2"/>
  <c r="BE129" i="2"/>
  <c r="BD48" i="5"/>
  <c r="BD79" i="4"/>
  <c r="AR32" i="3"/>
  <c r="AY75" i="2"/>
  <c r="AZ64" i="2"/>
  <c r="AY64" i="2"/>
  <c r="AO45" i="5"/>
  <c r="AP44" i="5" s="1"/>
  <c r="AO6" i="4"/>
  <c r="BD42" i="5"/>
  <c r="BD45" i="5" s="1"/>
  <c r="BE44" i="5" s="1"/>
  <c r="AQ25" i="4"/>
  <c r="AQ32" i="4"/>
  <c r="AY31" i="2"/>
  <c r="AO53" i="5"/>
  <c r="AO82" i="4" s="1"/>
  <c r="AO51" i="5"/>
  <c r="AO80" i="4"/>
  <c r="BD50" i="5"/>
  <c r="AP40" i="3"/>
  <c r="AQ38" i="3"/>
  <c r="AY36" i="2"/>
  <c r="AY38" i="2" s="1"/>
  <c r="R39" i="2"/>
  <c r="R38" i="2"/>
  <c r="AP20" i="5"/>
  <c r="BE6" i="5"/>
  <c r="AS133" i="2" l="1"/>
  <c r="BE131" i="2"/>
  <c r="BE133" i="2" s="1"/>
  <c r="AQ18" i="5"/>
  <c r="AQ39" i="3"/>
  <c r="AQ29" i="4"/>
  <c r="AQ36" i="4" s="1"/>
  <c r="AQ45" i="4" s="1"/>
  <c r="R71" i="5"/>
  <c r="R63" i="4"/>
  <c r="R77" i="2"/>
  <c r="R99" i="2"/>
  <c r="V65" i="2"/>
  <c r="R46" i="2"/>
  <c r="R65" i="2"/>
  <c r="AO47" i="4"/>
  <c r="AO11" i="4"/>
  <c r="BD6" i="4"/>
  <c r="AX77" i="2"/>
  <c r="AX46" i="2"/>
  <c r="AX65" i="2"/>
  <c r="AP41" i="3"/>
  <c r="BD53" i="5"/>
  <c r="BD82" i="4" s="1"/>
  <c r="BD51" i="5"/>
  <c r="BD80" i="4"/>
  <c r="U66" i="2"/>
  <c r="Q66" i="2"/>
  <c r="Z72" i="3"/>
  <c r="AA71" i="3"/>
  <c r="AR86" i="4"/>
  <c r="AS31" i="3"/>
  <c r="S38" i="2"/>
  <c r="S39" i="2"/>
  <c r="AY39" i="2" s="1"/>
  <c r="AZ72" i="3"/>
  <c r="AZ73" i="3"/>
  <c r="AZ74" i="3" s="1"/>
  <c r="AP48" i="5"/>
  <c r="AP50" i="5" s="1"/>
  <c r="AP42" i="5"/>
  <c r="AP6" i="4" s="1"/>
  <c r="AP79" i="4"/>
  <c r="AP47" i="4" l="1"/>
  <c r="AP11" i="4"/>
  <c r="AP19" i="4" s="1"/>
  <c r="AY77" i="2"/>
  <c r="AZ65" i="2"/>
  <c r="AY46" i="2"/>
  <c r="AZ66" i="2" s="1"/>
  <c r="AY65" i="2"/>
  <c r="R100" i="2"/>
  <c r="V66" i="2"/>
  <c r="R66" i="2"/>
  <c r="AS32" i="3"/>
  <c r="BE31" i="3"/>
  <c r="AX66" i="2"/>
  <c r="AR25" i="4"/>
  <c r="AR32" i="4"/>
  <c r="AA72" i="3"/>
  <c r="AB71" i="3"/>
  <c r="S71" i="5"/>
  <c r="S63" i="4"/>
  <c r="S99" i="2"/>
  <c r="S100" i="2" s="1"/>
  <c r="W65" i="2"/>
  <c r="S46" i="2"/>
  <c r="S77" i="2"/>
  <c r="S65" i="2"/>
  <c r="AP45" i="5"/>
  <c r="AQ44" i="5" s="1"/>
  <c r="AQ40" i="3"/>
  <c r="AR38" i="3"/>
  <c r="AP53" i="5"/>
  <c r="AP82" i="4" s="1"/>
  <c r="AP51" i="5"/>
  <c r="AP80" i="4"/>
  <c r="BD11" i="4"/>
  <c r="AO19" i="4"/>
  <c r="AQ20" i="5"/>
  <c r="AO48" i="4"/>
  <c r="AO50" i="4"/>
  <c r="BD47" i="4"/>
  <c r="BD48" i="4" s="1"/>
  <c r="AP43" i="3"/>
  <c r="W66" i="2" l="1"/>
  <c r="S66" i="2"/>
  <c r="AS86" i="4"/>
  <c r="BE32" i="3"/>
  <c r="AY99" i="2"/>
  <c r="AY100" i="2" s="1"/>
  <c r="AB72" i="3"/>
  <c r="AC71" i="3"/>
  <c r="AQ41" i="3"/>
  <c r="AR18" i="5"/>
  <c r="AR39" i="3"/>
  <c r="AR29" i="4"/>
  <c r="AR36" i="4" s="1"/>
  <c r="AR45" i="4" s="1"/>
  <c r="BD50" i="4"/>
  <c r="BD51" i="4" s="1"/>
  <c r="AO51" i="4"/>
  <c r="AQ48" i="5"/>
  <c r="AQ50" i="5" s="1"/>
  <c r="AQ42" i="5"/>
  <c r="AQ79" i="4"/>
  <c r="AY66" i="2"/>
  <c r="AP55" i="4"/>
  <c r="AP54" i="4"/>
  <c r="AO55" i="4"/>
  <c r="BD19" i="4"/>
  <c r="BD54" i="4" s="1"/>
  <c r="AO54" i="4"/>
  <c r="AP48" i="4"/>
  <c r="AP50" i="4"/>
  <c r="AP51" i="4" s="1"/>
  <c r="AR20" i="5" l="1"/>
  <c r="AQ43" i="3"/>
  <c r="BA71" i="3"/>
  <c r="AC72" i="3"/>
  <c r="AD71" i="3"/>
  <c r="AR40" i="3"/>
  <c r="AS38" i="3"/>
  <c r="BE38" i="3" s="1"/>
  <c r="AQ45" i="5"/>
  <c r="AR44" i="5" s="1"/>
  <c r="AQ6" i="4"/>
  <c r="AQ53" i="5"/>
  <c r="AQ82" i="4" s="1"/>
  <c r="AQ51" i="5"/>
  <c r="AQ80" i="4"/>
  <c r="AS25" i="4"/>
  <c r="AS32" i="4"/>
  <c r="BE32" i="4" s="1"/>
  <c r="AR41" i="3" l="1"/>
  <c r="AD72" i="3"/>
  <c r="AE71" i="3"/>
  <c r="AS18" i="5"/>
  <c r="BE25" i="4"/>
  <c r="AS39" i="3"/>
  <c r="AS29" i="4"/>
  <c r="BA72" i="3"/>
  <c r="BA73" i="3"/>
  <c r="BA74" i="3" s="1"/>
  <c r="AQ11" i="4"/>
  <c r="AQ19" i="4" s="1"/>
  <c r="AR6" i="4"/>
  <c r="AQ47" i="4"/>
  <c r="AR42" i="5"/>
  <c r="AR48" i="5"/>
  <c r="AR50" i="5" s="1"/>
  <c r="AR79" i="4"/>
  <c r="AS36" i="4" l="1"/>
  <c r="BE29" i="4"/>
  <c r="AS40" i="3"/>
  <c r="BE39" i="3"/>
  <c r="AQ55" i="4"/>
  <c r="AQ54" i="4"/>
  <c r="AR11" i="4"/>
  <c r="AR19" i="4" s="1"/>
  <c r="AR47" i="4"/>
  <c r="AS20" i="5"/>
  <c r="BE18" i="5"/>
  <c r="AE72" i="3"/>
  <c r="AF71" i="3"/>
  <c r="AR53" i="5"/>
  <c r="AR82" i="4" s="1"/>
  <c r="AR51" i="5"/>
  <c r="AR80" i="4"/>
  <c r="AR45" i="5"/>
  <c r="AS44" i="5" s="1"/>
  <c r="AQ50" i="4"/>
  <c r="AQ51" i="4" s="1"/>
  <c r="AQ48" i="4"/>
  <c r="AR43" i="3"/>
  <c r="AS42" i="5" l="1"/>
  <c r="AS48" i="5"/>
  <c r="AS50" i="5" s="1"/>
  <c r="AS79" i="4"/>
  <c r="BE20" i="5"/>
  <c r="AR50" i="4"/>
  <c r="AR51" i="4" s="1"/>
  <c r="AR48" i="4"/>
  <c r="AR54" i="4"/>
  <c r="AR55" i="4"/>
  <c r="AS41" i="3"/>
  <c r="BE40" i="3"/>
  <c r="AF72" i="3"/>
  <c r="AG71" i="3"/>
  <c r="BE36" i="4"/>
  <c r="AS45" i="4"/>
  <c r="BE45" i="4" s="1"/>
  <c r="AG72" i="3" l="1"/>
  <c r="AH71" i="3"/>
  <c r="BB71" i="3"/>
  <c r="BE48" i="5"/>
  <c r="BE79" i="4"/>
  <c r="AS43" i="3"/>
  <c r="BE41" i="3"/>
  <c r="BE43" i="3" s="1"/>
  <c r="AS51" i="5"/>
  <c r="AS53" i="5"/>
  <c r="AS82" i="4" s="1"/>
  <c r="AS80" i="4"/>
  <c r="BE50" i="5"/>
  <c r="AS45" i="5"/>
  <c r="BE42" i="5"/>
  <c r="BE45" i="5" s="1"/>
  <c r="AS6" i="4"/>
  <c r="BE53" i="5" l="1"/>
  <c r="BE82" i="4" s="1"/>
  <c r="BE51" i="5"/>
  <c r="BE80" i="4"/>
  <c r="BB72" i="3"/>
  <c r="BB73" i="3"/>
  <c r="BB74" i="3" s="1"/>
  <c r="AS11" i="4"/>
  <c r="AS47" i="4"/>
  <c r="BE6" i="4"/>
  <c r="AI71" i="3"/>
  <c r="AH72" i="3"/>
  <c r="AS50" i="4" l="1"/>
  <c r="AS48" i="4"/>
  <c r="BE47" i="4"/>
  <c r="BE48" i="4" s="1"/>
  <c r="BE11" i="4"/>
  <c r="AS19" i="4"/>
  <c r="AI72" i="3"/>
  <c r="AJ71" i="3"/>
  <c r="AJ72" i="3" l="1"/>
  <c r="AK71" i="3"/>
  <c r="AK72" i="3" s="1"/>
  <c r="AS54" i="4"/>
  <c r="AS55" i="4"/>
  <c r="BE19" i="4"/>
  <c r="BE54" i="4" s="1"/>
  <c r="AS51" i="4"/>
  <c r="BE50" i="4"/>
  <c r="BE5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Srinivasaraghavan, Vinod</author>
    <author>Donati, Justin [WELLS FARGO SEC RES CONS]</author>
    <author>Nowinski, Andrew</author>
    <author>Schwarz, Stefan A.</author>
    <author>Srinivasraghavan, Vinod</author>
    <author>tc={D86D23D4-F67A-447C-80EA-D1AE80CF228F}</author>
    <author>tc={0F9C1A64-9A02-4D2F-BEC9-93D8E8854901}</author>
    <author>tc={AAFB2272-2D2D-4CD0-BBC1-53E392E2B9CF}</author>
    <author>tc={DB960324-0C9D-419A-A355-57E9586C753A}</author>
    <author>tc={0DFE9202-3871-466A-BC9F-998A201635D1}</author>
    <author>tc={1E339741-907A-405C-B0DA-BF081B6BFB5B}</author>
    <author>tc={F2833F34-5E6D-4E9F-9DDD-397EAC0E51D0}</author>
    <author>tc={3DE43A29-AC2F-4DEC-8707-9C268DE7E58B}</author>
    <author>tc={3083AE7E-4755-48F1-B033-4B271D53B62B}</author>
    <author>tc={986704E4-D5E0-4C4D-BE51-37A1C820DA58}</author>
    <author>tc={29E4F848-A61E-4666-832E-B9203BDD7A2A}</author>
    <author>tc={BF784C76-A9EB-4843-AD30-B82655326A46}</author>
    <author>tc={ABCA9D2C-DC0C-4DBB-B03D-BBEF1C81BBB5}</author>
    <author>tc={44488B96-F0C0-4124-8B4D-9B71A97F7668}</author>
    <author>tc={E3C61257-460B-4486-A2F4-CFDC303B3D2C}</author>
  </authors>
  <commentList>
    <comment ref="AH13" authorId="0" shapeId="0" xr:uid="{B7B3D260-4587-406E-8F14-171ED70CD119}">
      <text>
        <r>
          <rPr>
            <b/>
            <sz val="9"/>
            <color indexed="81"/>
            <rFont val="Tahoma"/>
            <family val="2"/>
          </rPr>
          <t>Srinivasaraghavan, Vinod:</t>
        </r>
        <r>
          <rPr>
            <sz val="9"/>
            <color indexed="81"/>
            <rFont val="Tahoma"/>
            <family val="2"/>
          </rPr>
          <t xml:space="preserve">
232-234 ex Vulcan</t>
        </r>
      </text>
    </comment>
    <comment ref="AY13" authorId="1" shapeId="0" xr:uid="{E45401BC-49D2-46BF-9DEF-9B0CF02A207F}">
      <text>
        <r>
          <rPr>
            <b/>
            <sz val="9"/>
            <color indexed="81"/>
            <rFont val="Tahoma"/>
            <family val="2"/>
          </rPr>
          <t xml:space="preserve">Donati, Justin 
</t>
        </r>
        <r>
          <rPr>
            <sz val="9"/>
            <color indexed="81"/>
            <rFont val="Tahoma"/>
            <family val="2"/>
          </rPr>
          <t>3Q21: $535.1 - 537.1MM
2Q21: $528.0 - 531.0MM
1Q21: $520.0 - 524.0MM
4Q20: $510.0 - 515.0MM</t>
        </r>
      </text>
    </comment>
    <comment ref="AZ13" authorId="2" shapeId="0" xr:uid="{78CC3FCA-E710-4F4D-854E-7B04CC7F2D19}">
      <text>
        <r>
          <rPr>
            <b/>
            <sz val="9"/>
            <color indexed="81"/>
            <rFont val="Tahoma"/>
            <family val="2"/>
          </rPr>
          <t>Nowinski, Andrew:</t>
        </r>
        <r>
          <rPr>
            <sz val="9"/>
            <color indexed="81"/>
            <rFont val="Tahoma"/>
            <family val="2"/>
          </rPr>
          <t xml:space="preserve">
3Q22: $678.6 - 680.6MM
2Q22: $673.0 - 679.0MM
1Q22: $673.0 - 679.0MM
4Q21: $662.0 - 670.0MM</t>
        </r>
      </text>
    </comment>
    <comment ref="BA13" authorId="2" shapeId="0" xr:uid="{530C511B-BF10-4F7A-9F9C-609C2A099E75}">
      <text>
        <r>
          <rPr>
            <b/>
            <sz val="9"/>
            <color indexed="81"/>
            <rFont val="Tahoma"/>
            <family val="2"/>
          </rPr>
          <t>Nowinski, Andrew:</t>
        </r>
        <r>
          <rPr>
            <sz val="9"/>
            <color indexed="81"/>
            <rFont val="Tahoma"/>
            <family val="2"/>
          </rPr>
          <t xml:space="preserve">
3Q23:
2Q23: 783-791
1Q23: 775-785
4Q22: 800-810
12/15/21 (Analyst Day): 20%+ CAGR through 2025</t>
        </r>
      </text>
    </comment>
    <comment ref="BB13" authorId="2" shapeId="0" xr:uid="{894C86F1-7272-4056-ADA6-2A60C10C9CC5}">
      <text>
        <r>
          <rPr>
            <b/>
            <sz val="9"/>
            <color indexed="81"/>
            <rFont val="Tahoma"/>
            <family val="2"/>
          </rPr>
          <t>Nowinski, Andrew:</t>
        </r>
        <r>
          <rPr>
            <sz val="9"/>
            <color indexed="81"/>
            <rFont val="Tahoma"/>
            <family val="2"/>
          </rPr>
          <t xml:space="preserve">
12/15/21 (Analyst Day): 20%+ CAGR through 2025</t>
        </r>
      </text>
    </comment>
    <comment ref="BC13" authorId="2" shapeId="0" xr:uid="{72A87CA6-68AF-4C34-BC06-907EECC9CBAB}">
      <text>
        <r>
          <rPr>
            <b/>
            <sz val="9"/>
            <color indexed="81"/>
            <rFont val="Tahoma"/>
            <family val="2"/>
          </rPr>
          <t>Nowinski, Andrew:</t>
        </r>
        <r>
          <rPr>
            <sz val="9"/>
            <color indexed="81"/>
            <rFont val="Tahoma"/>
            <family val="2"/>
          </rPr>
          <t xml:space="preserve">
1Q25: $970-$980
4Q24: 971-976 (standalone TENB)
3Q24: growth will approach implied TCV growth in FY25
12/15/21 (Analyst Day): 20%+ CAGR through 2025</t>
        </r>
      </text>
    </comment>
    <comment ref="BE13" authorId="2" shapeId="0" xr:uid="{EEEC4909-9533-4886-80D9-41B230010030}">
      <text>
        <r>
          <rPr>
            <b/>
            <sz val="9"/>
            <color indexed="81"/>
            <rFont val="Tahoma"/>
            <family val="2"/>
          </rPr>
          <t>Nowinski, Andrew:</t>
        </r>
        <r>
          <rPr>
            <sz val="9"/>
            <color indexed="81"/>
            <rFont val="Tahoma"/>
            <family val="2"/>
          </rPr>
          <t xml:space="preserve">
12/15/21 (Analyst Day): 20%+ CAGR through 2025</t>
        </r>
      </text>
    </comment>
    <comment ref="BC21" authorId="0" shapeId="0" xr:uid="{CBC52BB1-5394-4AA8-B60B-C22A136F9043}">
      <text>
        <r>
          <rPr>
            <b/>
            <sz val="9"/>
            <color indexed="81"/>
            <rFont val="Tahoma"/>
            <family val="2"/>
          </rPr>
          <t>Srinivasaraghavan, Vinod:</t>
        </r>
        <r>
          <rPr>
            <sz val="9"/>
            <color indexed="81"/>
            <rFont val="Tahoma"/>
            <family val="2"/>
          </rPr>
          <t xml:space="preserve">
4Q24: S&amp;M investments frontloaded</t>
        </r>
      </text>
    </comment>
    <comment ref="BC22" authorId="0" shapeId="0" xr:uid="{58CD5FFC-A9FA-42BB-8DD0-E761279E30AB}">
      <text>
        <r>
          <rPr>
            <b/>
            <sz val="9"/>
            <color indexed="81"/>
            <rFont val="Tahoma"/>
            <family val="2"/>
          </rPr>
          <t>Srinivasaraghavan, Vinod:</t>
        </r>
        <r>
          <rPr>
            <sz val="9"/>
            <color indexed="81"/>
            <rFont val="Tahoma"/>
            <family val="2"/>
          </rPr>
          <t xml:space="preserve">
4Q24: R&amp;D investments frontloaded</t>
        </r>
      </text>
    </comment>
    <comment ref="AC24" authorId="2" shapeId="0" xr:uid="{0A55EED1-0291-4DDC-A9F2-055A1C4FE664}">
      <text>
        <r>
          <rPr>
            <b/>
            <sz val="9"/>
            <color indexed="81"/>
            <rFont val="Tahoma"/>
            <family val="2"/>
          </rPr>
          <t>Nowinski, Andrew:</t>
        </r>
        <r>
          <rPr>
            <sz val="9"/>
            <color indexed="81"/>
            <rFont val="Tahoma"/>
            <family val="2"/>
          </rPr>
          <t xml:space="preserve">
3Q23: acquisition of Ermetic increases opex by $4-6</t>
        </r>
      </text>
    </comment>
    <comment ref="AH29" authorId="0" shapeId="0" xr:uid="{F762F387-F8B7-4C34-B98F-1780E38E94B5}">
      <text>
        <r>
          <rPr>
            <b/>
            <sz val="9"/>
            <color indexed="81"/>
            <rFont val="Tahoma"/>
            <family val="2"/>
          </rPr>
          <t>Srinivasaraghavan, Vinod:</t>
        </r>
        <r>
          <rPr>
            <sz val="9"/>
            <color indexed="81"/>
            <rFont val="Tahoma"/>
            <family val="2"/>
          </rPr>
          <t xml:space="preserve">
2/7/25: 42-44 ex Vulcan, revised to 40-42</t>
        </r>
      </text>
    </comment>
    <comment ref="AY29" authorId="1" shapeId="0" xr:uid="{54C2157C-043B-4B4A-B9FB-4EC5530509F7}">
      <text>
        <r>
          <rPr>
            <b/>
            <sz val="9"/>
            <color indexed="81"/>
            <rFont val="Tahoma"/>
            <family val="2"/>
          </rPr>
          <t xml:space="preserve">Donati, Justin 
</t>
        </r>
        <r>
          <rPr>
            <sz val="9"/>
            <color indexed="81"/>
            <rFont val="Tahoma"/>
            <family val="2"/>
          </rPr>
          <t>3Q21: $46.1 - 47.1MM
2Q21: $40.0 - 44.0MM
1Q21: $34.0 - 38.0MM
4Q20: $40.0 - 45.0MM</t>
        </r>
      </text>
    </comment>
    <comment ref="AZ29" authorId="1" shapeId="0" xr:uid="{A9BAABD8-7D0F-46A2-8134-46E02CE140E3}">
      <text>
        <r>
          <rPr>
            <b/>
            <sz val="9"/>
            <color indexed="81"/>
            <rFont val="Tahoma"/>
            <family val="2"/>
          </rPr>
          <t xml:space="preserve">Donati, Justin </t>
        </r>
        <r>
          <rPr>
            <sz val="9"/>
            <color indexed="81"/>
            <rFont val="Tahoma"/>
            <family val="2"/>
          </rPr>
          <t xml:space="preserve">
3Q22: $62.7 - 63.7MM
2Q22: $45.0 - 49.0MM
1Q22: $44.0 - 48.0MM
4Q21: $40.0 - 45.0MM</t>
        </r>
      </text>
    </comment>
    <comment ref="BA29" authorId="3" shapeId="0" xr:uid="{A2E59A86-C566-472C-9214-1D3EF5E92982}">
      <text>
        <r>
          <rPr>
            <b/>
            <sz val="9"/>
            <color indexed="81"/>
            <rFont val="Tahoma"/>
            <family val="2"/>
          </rPr>
          <t>Schwarz, Stefan A.:</t>
        </r>
        <r>
          <rPr>
            <sz val="9"/>
            <color indexed="81"/>
            <rFont val="Tahoma"/>
            <family val="2"/>
          </rPr>
          <t xml:space="preserve">
3Q23: 107.9-108.9
2Q23: 96-100 
1Q23: 90-95
4Q22: 86-91</t>
        </r>
      </text>
    </comment>
    <comment ref="BB29" authorId="2" shapeId="0" xr:uid="{8DC094F7-0199-487B-AAE6-68934C159E6D}">
      <text>
        <r>
          <rPr>
            <b/>
            <sz val="9"/>
            <color indexed="81"/>
            <rFont val="Tahoma"/>
            <family val="2"/>
          </rPr>
          <t>Nowinski, Andrew:</t>
        </r>
        <r>
          <rPr>
            <sz val="9"/>
            <color indexed="81"/>
            <rFont val="Tahoma"/>
            <family val="2"/>
          </rPr>
          <t xml:space="preserve">
3Q24: 171.8-173.8
2Q24: 167-171
1Q24: 158-163
4Q23: 152-160
3Q23: Ermetic acquisition to lower by $5-10</t>
        </r>
      </text>
    </comment>
    <comment ref="BC29" authorId="0" shapeId="0" xr:uid="{74B4CC23-005B-4649-9640-FAE28D4079FD}">
      <text>
        <r>
          <rPr>
            <b/>
            <sz val="9"/>
            <color indexed="81"/>
            <rFont val="Tahoma"/>
            <family val="2"/>
          </rPr>
          <t>Srinivasaraghavan, Vinod:</t>
        </r>
        <r>
          <rPr>
            <sz val="9"/>
            <color indexed="81"/>
            <rFont val="Tahoma"/>
            <family val="2"/>
          </rPr>
          <t xml:space="preserve">
4/29/25: $205-$215
2/7/25: revised to 205-215 after Vulcan closed
4Q24: 213-223 (does not incl. $11-$13M add'l opex from Vulcan). OM% increases through the year</t>
        </r>
      </text>
    </comment>
    <comment ref="V33" authorId="1" shapeId="0" xr:uid="{A103C26B-9C2C-4681-A67C-7C110D5FAA26}">
      <text>
        <r>
          <rPr>
            <b/>
            <sz val="9"/>
            <color indexed="81"/>
            <rFont val="Tahoma"/>
            <family val="2"/>
          </rPr>
          <t xml:space="preserve">Donati, Justin 
</t>
        </r>
        <r>
          <rPr>
            <sz val="9"/>
            <color indexed="81"/>
            <rFont val="Tahoma"/>
            <family val="2"/>
          </rPr>
          <t>4Q21: $3.5MM</t>
        </r>
      </text>
    </comment>
    <comment ref="W33" authorId="1" shapeId="0" xr:uid="{CE6760D8-2E1D-4F96-ACEB-8988B78B573C}">
      <text>
        <r>
          <rPr>
            <b/>
            <sz val="9"/>
            <color indexed="81"/>
            <rFont val="Tahoma"/>
            <family val="2"/>
          </rPr>
          <t xml:space="preserve">Donati, Justin 
</t>
        </r>
        <r>
          <rPr>
            <sz val="9"/>
            <color indexed="81"/>
            <rFont val="Tahoma"/>
            <family val="2"/>
          </rPr>
          <t>1Q22: $3.5MM</t>
        </r>
      </text>
    </comment>
    <comment ref="X33" authorId="1" shapeId="0" xr:uid="{CA2A1A83-9471-4A8E-B9E0-3D62D27E417E}">
      <text>
        <r>
          <rPr>
            <b/>
            <sz val="9"/>
            <color indexed="81"/>
            <rFont val="Tahoma"/>
            <family val="2"/>
          </rPr>
          <t xml:space="preserve">Donati, Justin 
</t>
        </r>
        <r>
          <rPr>
            <sz val="9"/>
            <color indexed="81"/>
            <rFont val="Tahoma"/>
            <family val="2"/>
          </rPr>
          <t>2Q22: $5</t>
        </r>
      </text>
    </comment>
    <comment ref="Y33" authorId="1" shapeId="0" xr:uid="{736D56E6-6178-4A67-B052-542FB40A7895}">
      <text>
        <r>
          <rPr>
            <b/>
            <sz val="9"/>
            <color indexed="81"/>
            <rFont val="Tahoma"/>
            <family val="2"/>
          </rPr>
          <t xml:space="preserve">Donati, Justin 
</t>
        </r>
        <r>
          <rPr>
            <sz val="9"/>
            <color indexed="81"/>
            <rFont val="Tahoma"/>
            <family val="2"/>
          </rPr>
          <t>3Q22: $6.8MM</t>
        </r>
      </text>
    </comment>
    <comment ref="Z33" authorId="1" shapeId="0" xr:uid="{779C8F49-EAA1-44BD-9028-99FA0E29D74F}">
      <text>
        <r>
          <rPr>
            <b/>
            <sz val="9"/>
            <color indexed="81"/>
            <rFont val="Tahoma"/>
            <family val="2"/>
          </rPr>
          <t xml:space="preserve">Donati, Justin 
</t>
        </r>
        <r>
          <rPr>
            <sz val="9"/>
            <color indexed="81"/>
            <rFont val="Tahoma"/>
            <family val="2"/>
          </rPr>
          <t>4Q22: $7.5MM</t>
        </r>
      </text>
    </comment>
    <comment ref="AA33" authorId="3" shapeId="0" xr:uid="{208860A2-8A2B-4836-B476-C6B4141D37E0}">
      <text>
        <r>
          <rPr>
            <b/>
            <sz val="9"/>
            <color indexed="81"/>
            <rFont val="Tahoma"/>
            <family val="2"/>
          </rPr>
          <t>Schwarz, Stefan A.:</t>
        </r>
        <r>
          <rPr>
            <sz val="9"/>
            <color indexed="81"/>
            <rFont val="Tahoma"/>
            <family val="2"/>
          </rPr>
          <t xml:space="preserve">
1Q23: $7.7 of int exp, $5.2 of int inc = $(2.5)</t>
        </r>
      </text>
    </comment>
    <comment ref="AB33" authorId="3" shapeId="0" xr:uid="{2E4E0E0D-D9A1-4F33-96A7-7122FC8D8DB6}">
      <text>
        <r>
          <rPr>
            <b/>
            <sz val="9"/>
            <color indexed="81"/>
            <rFont val="Tahoma"/>
            <family val="2"/>
          </rPr>
          <t>Schwarz, Stefan A.:</t>
        </r>
        <r>
          <rPr>
            <sz val="9"/>
            <color indexed="81"/>
            <rFont val="Tahoma"/>
            <family val="2"/>
          </rPr>
          <t xml:space="preserve">
2Q23: 6.5</t>
        </r>
      </text>
    </comment>
    <comment ref="AC33" authorId="3" shapeId="0" xr:uid="{48298A2F-B490-4EBC-809F-82EF64BDA89A}">
      <text>
        <r>
          <rPr>
            <b/>
            <sz val="9"/>
            <color indexed="81"/>
            <rFont val="Tahoma"/>
            <family val="2"/>
          </rPr>
          <t>Schwarz, Stefan A.:</t>
        </r>
        <r>
          <rPr>
            <sz val="9"/>
            <color indexed="81"/>
            <rFont val="Tahoma"/>
            <family val="2"/>
          </rPr>
          <t xml:space="preserve">
3Q23: 4.9</t>
        </r>
      </text>
    </comment>
    <comment ref="AD33" authorId="3" shapeId="0" xr:uid="{90EA6BCF-C4D2-4C82-91CF-F6895311DC27}">
      <text>
        <r>
          <rPr>
            <b/>
            <sz val="9"/>
            <color indexed="81"/>
            <rFont val="Tahoma"/>
            <family val="2"/>
          </rPr>
          <t>Schwarz, Stefan A.:</t>
        </r>
        <r>
          <rPr>
            <sz val="9"/>
            <color indexed="81"/>
            <rFont val="Tahoma"/>
            <family val="2"/>
          </rPr>
          <t xml:space="preserve">
4Q23: 5.2</t>
        </r>
      </text>
    </comment>
    <comment ref="AE33" authorId="3" shapeId="0" xr:uid="{A52A0C62-4B26-4028-A4A1-684E3B687F55}">
      <text>
        <r>
          <rPr>
            <b/>
            <sz val="9"/>
            <color indexed="81"/>
            <rFont val="Tahoma"/>
            <family val="2"/>
          </rPr>
          <t>Schwarz, Stefan A.:</t>
        </r>
        <r>
          <rPr>
            <sz val="9"/>
            <color indexed="81"/>
            <rFont val="Tahoma"/>
            <family val="2"/>
          </rPr>
          <t xml:space="preserve">
1Q24: 5.9</t>
        </r>
      </text>
    </comment>
    <comment ref="AF33" authorId="3" shapeId="0" xr:uid="{37AA1C37-7255-4BE3-AA2C-A77FF2F26BC3}">
      <text>
        <r>
          <rPr>
            <b/>
            <sz val="9"/>
            <color indexed="81"/>
            <rFont val="Tahoma"/>
            <family val="2"/>
          </rPr>
          <t>Schwarz, Stefan A.:</t>
        </r>
        <r>
          <rPr>
            <sz val="9"/>
            <color indexed="81"/>
            <rFont val="Tahoma"/>
            <family val="2"/>
          </rPr>
          <t xml:space="preserve">
2Q24: 5.7</t>
        </r>
      </text>
    </comment>
    <comment ref="AG33" authorId="4" shapeId="0" xr:uid="{27D71D8E-CD3A-4767-838D-D49CCF7DB3E5}">
      <text>
        <r>
          <rPr>
            <b/>
            <sz val="9"/>
            <color indexed="81"/>
            <rFont val="Tahoma"/>
            <family val="2"/>
          </rPr>
          <t>Srinivasraghavan, Vinod:</t>
        </r>
        <r>
          <rPr>
            <sz val="9"/>
            <color indexed="81"/>
            <rFont val="Tahoma"/>
            <family val="2"/>
          </rPr>
          <t xml:space="preserve">
$6</t>
        </r>
      </text>
    </comment>
    <comment ref="AH33" authorId="0" shapeId="0" xr:uid="{BFFAB60B-A3B9-4228-8E8E-9345A7359129}">
      <text>
        <r>
          <rPr>
            <b/>
            <sz val="9"/>
            <color indexed="81"/>
            <rFont val="Tahoma"/>
            <family val="2"/>
          </rPr>
          <t>Srinivasaraghavan, Vinod:</t>
        </r>
        <r>
          <rPr>
            <sz val="9"/>
            <color indexed="81"/>
            <rFont val="Tahoma"/>
            <family val="2"/>
          </rPr>
          <t xml:space="preserve">
4Q24: 5.2 initially, revised to $3.8 after Vulcan closed</t>
        </r>
      </text>
    </comment>
    <comment ref="AI33" authorId="0" shapeId="0" xr:uid="{3AF0B23E-C9B1-4916-BBBD-5A65A4A6DEF3}">
      <text>
        <r>
          <rPr>
            <b/>
            <sz val="9"/>
            <color indexed="81"/>
            <rFont val="Tahoma"/>
            <family val="2"/>
          </rPr>
          <t>Srinivasaraghavan, Vinod:</t>
        </r>
        <r>
          <rPr>
            <sz val="9"/>
            <color indexed="81"/>
            <rFont val="Tahoma"/>
            <family val="2"/>
          </rPr>
          <t xml:space="preserve">
1Q25: $4.0</t>
        </r>
      </text>
    </comment>
    <comment ref="AK33" authorId="5" shapeId="0" xr:uid="{D86D23D4-F67A-447C-80EA-D1AE80CF228F}">
      <text>
        <t>[Threaded comment]
Your version of Excel allows you to read this threaded comment; however, any edits to it will get removed if the file is opened in a newer version of Excel. Learn more: https://go.microsoft.com/fwlink/?linkid=870924
Comment:
    7</t>
      </text>
    </comment>
    <comment ref="AL33" authorId="6" shapeId="0" xr:uid="{0F9C1A64-9A02-4D2F-BEC9-93D8E8854901}">
      <text>
        <t>[Threaded comment]
Your version of Excel allows you to read this threaded comment; however, any edits to it will get removed if the file is opened in a newer version of Excel. Learn more: https://go.microsoft.com/fwlink/?linkid=870924
Comment:
    2.9</t>
      </text>
    </comment>
    <comment ref="AZ33" authorId="1" shapeId="0" xr:uid="{0C90ADC5-D7B4-4B1A-A88E-8C3BE71E6C8B}">
      <text>
        <r>
          <rPr>
            <b/>
            <sz val="9"/>
            <color indexed="81"/>
            <rFont val="Tahoma"/>
            <family val="2"/>
          </rPr>
          <t xml:space="preserve">Donati, Justin 
</t>
        </r>
        <r>
          <rPr>
            <sz val="9"/>
            <color indexed="81"/>
            <rFont val="Tahoma"/>
            <family val="2"/>
          </rPr>
          <t>3Q22: $19.0MM</t>
        </r>
        <r>
          <rPr>
            <b/>
            <sz val="9"/>
            <color indexed="81"/>
            <rFont val="Tahoma"/>
            <family val="2"/>
          </rPr>
          <t xml:space="preserve">
</t>
        </r>
        <r>
          <rPr>
            <sz val="9"/>
            <color indexed="81"/>
            <rFont val="Tahoma"/>
            <family val="2"/>
          </rPr>
          <t>2Q22: $17.9MM</t>
        </r>
        <r>
          <rPr>
            <b/>
            <sz val="9"/>
            <color indexed="81"/>
            <rFont val="Tahoma"/>
            <family val="2"/>
          </rPr>
          <t xml:space="preserve">
</t>
        </r>
        <r>
          <rPr>
            <sz val="9"/>
            <color indexed="81"/>
            <rFont val="Tahoma"/>
            <family val="2"/>
          </rPr>
          <t xml:space="preserve">1Q22: $15.7MM
4Q21: $14.0MM
</t>
        </r>
      </text>
    </comment>
    <comment ref="BA33" authorId="3" shapeId="0" xr:uid="{37FFE685-BB78-42AB-9782-9BC9C6124A04}">
      <text>
        <r>
          <rPr>
            <b/>
            <sz val="9"/>
            <color indexed="81"/>
            <rFont val="Tahoma"/>
            <family val="2"/>
          </rPr>
          <t>Schwarz, Stefan A.:</t>
        </r>
        <r>
          <rPr>
            <sz val="9"/>
            <color indexed="81"/>
            <rFont val="Tahoma"/>
            <family val="2"/>
          </rPr>
          <t xml:space="preserve">
3Q23: 24.2
2Q23: 25
1Q23: 20.8</t>
        </r>
      </text>
    </comment>
    <comment ref="BB33" authorId="3" shapeId="0" xr:uid="{2767AF79-D2DB-4DFB-8E19-A6852843B9D7}">
      <text>
        <r>
          <rPr>
            <b/>
            <sz val="9"/>
            <color indexed="81"/>
            <rFont val="Tahoma"/>
            <family val="2"/>
          </rPr>
          <t>Schwarz, Stefan A.:</t>
        </r>
        <r>
          <rPr>
            <sz val="9"/>
            <color indexed="81"/>
            <rFont val="Tahoma"/>
            <family val="2"/>
          </rPr>
          <t xml:space="preserve">
3Q24: 23.5
2Q24: 23.5
1Q24: 24.2
4Q23: 21.7</t>
        </r>
      </text>
    </comment>
    <comment ref="BC33" authorId="0" shapeId="0" xr:uid="{EB16EE7B-C39D-456C-B4D8-7090DEDE267E}">
      <text>
        <r>
          <rPr>
            <b/>
            <sz val="9"/>
            <color indexed="81"/>
            <rFont val="Tahoma"/>
            <family val="2"/>
          </rPr>
          <t>Srinivasaraghavan, Vinod:</t>
        </r>
        <r>
          <rPr>
            <sz val="9"/>
            <color indexed="81"/>
            <rFont val="Tahoma"/>
            <family val="2"/>
          </rPr>
          <t xml:space="preserve">
4/29/25: $16.8
2/7/25: revised to 15.3 after Vulcan closed
4Q24: 21</t>
        </r>
      </text>
    </comment>
    <comment ref="BD33" authorId="7" shapeId="0" xr:uid="{AAFB2272-2D2D-4CD0-BBC1-53E392E2B9CF}">
      <text>
        <t>[Threaded comment]
Your version of Excel allows you to read this threaded comment; however, any edits to it will get removed if the file is opened in a newer version of Excel. Learn more: https://go.microsoft.com/fwlink/?linkid=870924
Comment:
    10.4</t>
      </text>
    </comment>
    <comment ref="AB34" authorId="3" shapeId="0" xr:uid="{44447AA6-AC91-4D70-A140-74888C01AB76}">
      <text>
        <r>
          <rPr>
            <b/>
            <sz val="9"/>
            <color indexed="81"/>
            <rFont val="Tahoma"/>
            <family val="2"/>
          </rPr>
          <t>Schwarz, Stefan A.:</t>
        </r>
        <r>
          <rPr>
            <sz val="9"/>
            <color indexed="81"/>
            <rFont val="Tahoma"/>
            <family val="2"/>
          </rPr>
          <t xml:space="preserve">
2Q23: -8.1</t>
        </r>
      </text>
    </comment>
    <comment ref="AC34" authorId="3" shapeId="0" xr:uid="{2B33331F-179E-4370-BD39-9B2E7F217B2D}">
      <text>
        <r>
          <rPr>
            <b/>
            <sz val="9"/>
            <color indexed="81"/>
            <rFont val="Tahoma"/>
            <family val="2"/>
          </rPr>
          <t>Schwarz, Stefan A.:</t>
        </r>
        <r>
          <rPr>
            <sz val="9"/>
            <color indexed="81"/>
            <rFont val="Tahoma"/>
            <family val="2"/>
          </rPr>
          <t xml:space="preserve">
3Q23: -8.3
</t>
        </r>
      </text>
    </comment>
    <comment ref="AD34" authorId="3" shapeId="0" xr:uid="{9F585BF0-3DB9-42A9-BB6E-2993E7140CD6}">
      <text>
        <r>
          <rPr>
            <b/>
            <sz val="9"/>
            <color indexed="81"/>
            <rFont val="Tahoma"/>
            <family val="2"/>
          </rPr>
          <t>Schwarz, Stefan A.:</t>
        </r>
        <r>
          <rPr>
            <sz val="9"/>
            <color indexed="81"/>
            <rFont val="Tahoma"/>
            <family val="2"/>
          </rPr>
          <t xml:space="preserve">
4Q23: -8.2</t>
        </r>
      </text>
    </comment>
    <comment ref="AE34" authorId="3" shapeId="0" xr:uid="{3A21F4AA-75F0-4625-B2E7-60769666C1FB}">
      <text>
        <r>
          <rPr>
            <b/>
            <sz val="9"/>
            <color indexed="81"/>
            <rFont val="Tahoma"/>
            <family val="2"/>
          </rPr>
          <t>Schwarz, Stefan A.:</t>
        </r>
        <r>
          <rPr>
            <sz val="9"/>
            <color indexed="81"/>
            <rFont val="Tahoma"/>
            <family val="2"/>
          </rPr>
          <t xml:space="preserve">
1Q24: -8.2</t>
        </r>
      </text>
    </comment>
    <comment ref="AF34" authorId="3" shapeId="0" xr:uid="{B21DAE0B-958A-4DD1-B6A1-E6E3D3798F22}">
      <text>
        <r>
          <rPr>
            <b/>
            <sz val="9"/>
            <color indexed="81"/>
            <rFont val="Tahoma"/>
            <family val="2"/>
          </rPr>
          <t>Schwarz, Stefan A.:</t>
        </r>
        <r>
          <rPr>
            <sz val="9"/>
            <color indexed="81"/>
            <rFont val="Tahoma"/>
            <family val="2"/>
          </rPr>
          <t xml:space="preserve">
2Q24: -8.3</t>
        </r>
      </text>
    </comment>
    <comment ref="AG34" authorId="4" shapeId="0" xr:uid="{74F96978-5939-4F7B-AB35-2C4117ED9D63}">
      <text>
        <r>
          <rPr>
            <b/>
            <sz val="9"/>
            <color indexed="81"/>
            <rFont val="Tahoma"/>
            <family val="2"/>
          </rPr>
          <t>Srinivasraghavan, Vinod:</t>
        </r>
        <r>
          <rPr>
            <sz val="9"/>
            <color indexed="81"/>
            <rFont val="Tahoma"/>
            <family val="2"/>
          </rPr>
          <t xml:space="preserve">
$7.8</t>
        </r>
      </text>
    </comment>
    <comment ref="AH34" authorId="0" shapeId="0" xr:uid="{08BD8251-1EE7-41CB-8EFA-CE9FA90379B0}">
      <text>
        <r>
          <rPr>
            <b/>
            <sz val="9"/>
            <color indexed="81"/>
            <rFont val="Tahoma"/>
            <family val="2"/>
          </rPr>
          <t>Srinivasaraghavan, Vinod:</t>
        </r>
        <r>
          <rPr>
            <sz val="9"/>
            <color indexed="81"/>
            <rFont val="Tahoma"/>
            <family val="2"/>
          </rPr>
          <t xml:space="preserve">
4Q24: -7.0 (reiterated after Vulcan closed)</t>
        </r>
      </text>
    </comment>
    <comment ref="AI34" authorId="0" shapeId="0" xr:uid="{DA327AC8-7226-40C8-83F8-BCB76070FCA0}">
      <text>
        <r>
          <rPr>
            <b/>
            <sz val="9"/>
            <color indexed="81"/>
            <rFont val="Tahoma"/>
            <family val="2"/>
          </rPr>
          <t>Srinivasaraghavan, Vinod:</t>
        </r>
        <r>
          <rPr>
            <sz val="9"/>
            <color indexed="81"/>
            <rFont val="Tahoma"/>
            <family val="2"/>
          </rPr>
          <t xml:space="preserve">
1Q25: -$7.1</t>
        </r>
      </text>
    </comment>
    <comment ref="AK34" authorId="8" shapeId="0" xr:uid="{DB960324-0C9D-419A-A355-57E9586C753A}">
      <text>
        <t>[Threaded comment]
Your version of Excel allows you to read this threaded comment; however, any edits to it will get removed if the file is opened in a newer version of Excel. Learn more: https://go.microsoft.com/fwlink/?linkid=870924
Comment:
    3.2</t>
      </text>
    </comment>
    <comment ref="AL34" authorId="9" shapeId="0" xr:uid="{0DFE9202-3871-466A-BC9F-998A201635D1}">
      <text>
        <t>[Threaded comment]
Your version of Excel allows you to read this threaded comment; however, any edits to it will get removed if the file is opened in a newer version of Excel. Learn more: https://go.microsoft.com/fwlink/?linkid=870924
Comment:
    6.4</t>
      </text>
    </comment>
    <comment ref="BA34" authorId="3" shapeId="0" xr:uid="{D37E13A8-7A70-4218-A883-D1181EFF7172}">
      <text>
        <r>
          <rPr>
            <b/>
            <sz val="9"/>
            <color indexed="81"/>
            <rFont val="Tahoma"/>
            <family val="2"/>
          </rPr>
          <t>Schwarz, Stefan A.:</t>
        </r>
        <r>
          <rPr>
            <sz val="9"/>
            <color indexed="81"/>
            <rFont val="Tahoma"/>
            <family val="2"/>
          </rPr>
          <t xml:space="preserve">
3Q23: 31.5
2Q23: 31.5</t>
        </r>
      </text>
    </comment>
    <comment ref="BB34" authorId="3" shapeId="0" xr:uid="{1ECF67F7-7691-4BCA-86CC-C15C6124AFF3}">
      <text>
        <r>
          <rPr>
            <b/>
            <sz val="9"/>
            <color indexed="81"/>
            <rFont val="Tahoma"/>
            <family val="2"/>
          </rPr>
          <t>Schwarz, Stefan A.:</t>
        </r>
        <r>
          <rPr>
            <sz val="9"/>
            <color indexed="81"/>
            <rFont val="Tahoma"/>
            <family val="2"/>
          </rPr>
          <t xml:space="preserve">
3Q24: -32.1
2Q24: -32.7
1Q24: -32.8
4Q23: -32.2</t>
        </r>
      </text>
    </comment>
    <comment ref="BC34" authorId="0" shapeId="0" xr:uid="{05EDDCF5-AA2E-4348-A031-1B8C97CE80EA}">
      <text>
        <r>
          <rPr>
            <b/>
            <sz val="9"/>
            <color indexed="81"/>
            <rFont val="Tahoma"/>
            <family val="2"/>
          </rPr>
          <t>Srinivasaraghavan, Vinod:</t>
        </r>
        <r>
          <rPr>
            <sz val="9"/>
            <color indexed="81"/>
            <rFont val="Tahoma"/>
            <family val="2"/>
          </rPr>
          <t xml:space="preserve">
4/29/25: -$28.4
2/7/25: 28.3 (incl Vulcan)
4Q24: -28.3</t>
        </r>
      </text>
    </comment>
    <comment ref="BD34" authorId="10" shapeId="0" xr:uid="{1E339741-907A-405C-B0DA-BF081B6BFB5B}">
      <text>
        <t>[Threaded comment]
Your version of Excel allows you to read this threaded comment; however, any edits to it will get removed if the file is opened in a newer version of Excel. Learn more: https://go.microsoft.com/fwlink/?linkid=870924
Comment:
    25.9</t>
      </text>
    </comment>
    <comment ref="H35" authorId="1" shapeId="0" xr:uid="{AA28933D-7F23-480E-A2D1-C20CCF511506}">
      <text>
        <r>
          <rPr>
            <b/>
            <sz val="9"/>
            <color indexed="81"/>
            <rFont val="Tahoma"/>
            <family val="2"/>
          </rPr>
          <t>Donati, Justin [WELLS FARGO SEC RES CONS]:</t>
        </r>
        <r>
          <rPr>
            <sz val="9"/>
            <color indexed="81"/>
            <rFont val="Tahoma"/>
            <family val="2"/>
          </rPr>
          <t xml:space="preserve">
Intra-entity IP transfer, net of tax
</t>
        </r>
      </text>
    </comment>
    <comment ref="I35" authorId="1" shapeId="0" xr:uid="{F0F37BA4-31FF-453D-8E75-AB289E7D6355}">
      <text>
        <r>
          <rPr>
            <b/>
            <sz val="9"/>
            <color indexed="81"/>
            <rFont val="Tahoma"/>
            <family val="2"/>
          </rPr>
          <t>Donati, Justin [WELLS FARGO SEC RES CONS]:</t>
        </r>
        <r>
          <rPr>
            <sz val="9"/>
            <color indexed="81"/>
            <rFont val="Tahoma"/>
            <family val="2"/>
          </rPr>
          <t xml:space="preserve">
Intra-entity IP transfer, net of tax</t>
        </r>
      </text>
    </comment>
    <comment ref="V37" authorId="1" shapeId="0" xr:uid="{36FE9F29-4381-471A-8B64-A01E5774A683}">
      <text>
        <r>
          <rPr>
            <b/>
            <sz val="9"/>
            <color indexed="81"/>
            <rFont val="Tahoma"/>
            <family val="2"/>
          </rPr>
          <t xml:space="preserve">Donati, Justin </t>
        </r>
        <r>
          <rPr>
            <sz val="9"/>
            <color indexed="81"/>
            <rFont val="Tahoma"/>
            <family val="2"/>
          </rPr>
          <t xml:space="preserve">
4Q21: $1.3MM</t>
        </r>
      </text>
    </comment>
    <comment ref="W37" authorId="1" shapeId="0" xr:uid="{46A762AC-1844-4AB2-9AB8-9BBEAFCF2651}">
      <text>
        <r>
          <rPr>
            <b/>
            <sz val="9"/>
            <color indexed="81"/>
            <rFont val="Tahoma"/>
            <family val="2"/>
          </rPr>
          <t xml:space="preserve">Donati, Justin 
</t>
        </r>
        <r>
          <rPr>
            <sz val="9"/>
            <color indexed="81"/>
            <rFont val="Tahoma"/>
            <family val="2"/>
          </rPr>
          <t>1Q22: 1.6MM</t>
        </r>
      </text>
    </comment>
    <comment ref="X37" authorId="1" shapeId="0" xr:uid="{5A14EC9F-317B-4587-BEEA-1BB3293E2871}">
      <text>
        <r>
          <rPr>
            <b/>
            <sz val="9"/>
            <color indexed="81"/>
            <rFont val="Tahoma"/>
            <family val="2"/>
          </rPr>
          <t xml:space="preserve">Donati, Justin 
</t>
        </r>
        <r>
          <rPr>
            <sz val="9"/>
            <color indexed="81"/>
            <rFont val="Tahoma"/>
            <family val="2"/>
          </rPr>
          <t>2Q22: $2.3</t>
        </r>
      </text>
    </comment>
    <comment ref="Y37" authorId="1" shapeId="0" xr:uid="{1680A0D6-1125-4CB3-A7B2-83CBCE14CD34}">
      <text>
        <r>
          <rPr>
            <b/>
            <sz val="9"/>
            <color indexed="81"/>
            <rFont val="Tahoma"/>
            <family val="2"/>
          </rPr>
          <t xml:space="preserve">Donati, Justin 
</t>
        </r>
        <r>
          <rPr>
            <sz val="9"/>
            <color indexed="81"/>
            <rFont val="Tahoma"/>
            <family val="2"/>
          </rPr>
          <t>3Q22: $2.8MM</t>
        </r>
      </text>
    </comment>
    <comment ref="Z37" authorId="1" shapeId="0" xr:uid="{5231276F-B928-48B0-A8EE-AE1C2A69F696}">
      <text>
        <r>
          <rPr>
            <b/>
            <sz val="9"/>
            <color indexed="81"/>
            <rFont val="Tahoma"/>
            <family val="2"/>
          </rPr>
          <t xml:space="preserve">Donati, Justin 
</t>
        </r>
        <r>
          <rPr>
            <sz val="9"/>
            <color indexed="81"/>
            <rFont val="Tahoma"/>
            <family val="2"/>
          </rPr>
          <t>4Q22: $2.1MM</t>
        </r>
      </text>
    </comment>
    <comment ref="AA37" authorId="3" shapeId="0" xr:uid="{38B71035-3A19-4E90-B84D-1543D3F75857}">
      <text>
        <r>
          <rPr>
            <b/>
            <sz val="9"/>
            <color indexed="81"/>
            <rFont val="Tahoma"/>
            <family val="2"/>
          </rPr>
          <t>Schwarz, Stefan A.:</t>
        </r>
        <r>
          <rPr>
            <sz val="9"/>
            <color indexed="81"/>
            <rFont val="Tahoma"/>
            <family val="2"/>
          </rPr>
          <t xml:space="preserve">
1Q23: 2.4</t>
        </r>
      </text>
    </comment>
    <comment ref="AB37" authorId="3" shapeId="0" xr:uid="{051BF32D-7BC4-48DF-A35B-35D3AB33410E}">
      <text>
        <r>
          <rPr>
            <b/>
            <sz val="9"/>
            <color indexed="81"/>
            <rFont val="Tahoma"/>
            <family val="2"/>
          </rPr>
          <t>Schwarz, Stefan A.:</t>
        </r>
        <r>
          <rPr>
            <sz val="9"/>
            <color indexed="81"/>
            <rFont val="Tahoma"/>
            <family val="2"/>
          </rPr>
          <t xml:space="preserve">
2Q23: 2.4</t>
        </r>
      </text>
    </comment>
    <comment ref="AC37" authorId="3" shapeId="0" xr:uid="{5B3BB854-EA03-4658-BFAB-AC2F48866522}">
      <text>
        <r>
          <rPr>
            <b/>
            <sz val="9"/>
            <color indexed="81"/>
            <rFont val="Tahoma"/>
            <family val="2"/>
          </rPr>
          <t>Schwarz, Stefan A.:</t>
        </r>
        <r>
          <rPr>
            <sz val="9"/>
            <color indexed="81"/>
            <rFont val="Tahoma"/>
            <family val="2"/>
          </rPr>
          <t xml:space="preserve">
3Q23: 3.0</t>
        </r>
      </text>
    </comment>
    <comment ref="AD37" authorId="3" shapeId="0" xr:uid="{9531835E-4E2F-4D25-89B7-605793CA2CF4}">
      <text>
        <r>
          <rPr>
            <b/>
            <sz val="9"/>
            <color indexed="81"/>
            <rFont val="Tahoma"/>
            <family val="2"/>
          </rPr>
          <t>Schwarz, Stefan A.:</t>
        </r>
        <r>
          <rPr>
            <sz val="9"/>
            <color indexed="81"/>
            <rFont val="Tahoma"/>
            <family val="2"/>
          </rPr>
          <t xml:space="preserve">
4Q23: 3.9</t>
        </r>
      </text>
    </comment>
    <comment ref="AE37" authorId="3" shapeId="0" xr:uid="{CD423327-AF0A-4239-9281-048DB257CB51}">
      <text>
        <r>
          <rPr>
            <b/>
            <sz val="9"/>
            <color indexed="81"/>
            <rFont val="Tahoma"/>
            <family val="2"/>
          </rPr>
          <t>Schwarz, Stefan A.:</t>
        </r>
        <r>
          <rPr>
            <sz val="9"/>
            <color indexed="81"/>
            <rFont val="Tahoma"/>
            <family val="2"/>
          </rPr>
          <t xml:space="preserve">
1Q24: 3.1</t>
        </r>
      </text>
    </comment>
    <comment ref="AF37" authorId="3" shapeId="0" xr:uid="{DF72C1E3-BD29-44FA-BE27-14A37BB6CFD4}">
      <text>
        <r>
          <rPr>
            <b/>
            <sz val="9"/>
            <color indexed="81"/>
            <rFont val="Tahoma"/>
            <family val="2"/>
          </rPr>
          <t>Schwarz, Stefan A.:</t>
        </r>
        <r>
          <rPr>
            <sz val="9"/>
            <color indexed="81"/>
            <rFont val="Tahoma"/>
            <family val="2"/>
          </rPr>
          <t xml:space="preserve">
2Q24: 3.8</t>
        </r>
      </text>
    </comment>
    <comment ref="AG37" authorId="4" shapeId="0" xr:uid="{B164483D-C112-43E1-8164-67422B29B5DA}">
      <text>
        <r>
          <rPr>
            <b/>
            <sz val="9"/>
            <color indexed="81"/>
            <rFont val="Tahoma"/>
            <family val="2"/>
          </rPr>
          <t>Srinivasraghavan, Vinod:</t>
        </r>
        <r>
          <rPr>
            <sz val="9"/>
            <color indexed="81"/>
            <rFont val="Tahoma"/>
            <family val="2"/>
          </rPr>
          <t xml:space="preserve">
$3.1</t>
        </r>
      </text>
    </comment>
    <comment ref="AH37" authorId="0" shapeId="0" xr:uid="{C4C73D0F-A1CA-49C1-A634-8BDF81591AE2}">
      <text>
        <r>
          <rPr>
            <b/>
            <sz val="9"/>
            <color indexed="81"/>
            <rFont val="Tahoma"/>
            <family val="2"/>
          </rPr>
          <t>Srinivasaraghavan, Vinod:</t>
        </r>
        <r>
          <rPr>
            <sz val="9"/>
            <color indexed="81"/>
            <rFont val="Tahoma"/>
            <family val="2"/>
          </rPr>
          <t xml:space="preserve">
4Q24: 3.6 (reiterated after Vulcan closed)</t>
        </r>
      </text>
    </comment>
    <comment ref="AI37" authorId="0" shapeId="0" xr:uid="{226B133A-AD82-4DD1-ADC5-8A827ED32CE8}">
      <text>
        <r>
          <rPr>
            <b/>
            <sz val="9"/>
            <color indexed="81"/>
            <rFont val="Tahoma"/>
            <family val="2"/>
          </rPr>
          <t>Srinivasaraghavan, Vinod:</t>
        </r>
        <r>
          <rPr>
            <sz val="9"/>
            <color indexed="81"/>
            <rFont val="Tahoma"/>
            <family val="2"/>
          </rPr>
          <t xml:space="preserve">
1Q25: $3.2</t>
        </r>
      </text>
    </comment>
    <comment ref="AK37" authorId="11" shapeId="0" xr:uid="{F2833F34-5E6D-4E9F-9DDD-397EAC0E51D0}">
      <text>
        <t>[Threaded comment]
Your version of Excel allows you to read this threaded comment; however, any edits to it will get removed if the file is opened in a newer version of Excel. Learn more: https://go.microsoft.com/fwlink/?linkid=870924
Comment:
    3.4</t>
      </text>
    </comment>
    <comment ref="AL37" authorId="12" shapeId="0" xr:uid="{3DE43A29-AC2F-4DEC-8707-9C268DE7E58B}">
      <text>
        <t>[Threaded comment]
Your version of Excel allows you to read this threaded comment; however, any edits to it will get removed if the file is opened in a newer version of Excel. Learn more: https://go.microsoft.com/fwlink/?linkid=870924
Comment:
    3.1</t>
      </text>
    </comment>
    <comment ref="AZ37" authorId="1" shapeId="0" xr:uid="{A3D4E916-C3A0-48F6-A34C-57A2E8701CE6}">
      <text>
        <r>
          <rPr>
            <b/>
            <sz val="9"/>
            <color indexed="81"/>
            <rFont val="Tahoma"/>
            <family val="2"/>
          </rPr>
          <t xml:space="preserve">Donati, Justin
</t>
        </r>
        <r>
          <rPr>
            <sz val="9"/>
            <color indexed="81"/>
            <rFont val="Tahoma"/>
            <family val="2"/>
          </rPr>
          <t>3Q22: $6.0MM
2Q22: $7.6MM</t>
        </r>
        <r>
          <rPr>
            <b/>
            <sz val="9"/>
            <color indexed="81"/>
            <rFont val="Tahoma"/>
            <family val="2"/>
          </rPr>
          <t xml:space="preserve">
</t>
        </r>
        <r>
          <rPr>
            <sz val="9"/>
            <color indexed="81"/>
            <rFont val="Tahoma"/>
            <family val="2"/>
          </rPr>
          <t>1Q22: $8.0MM</t>
        </r>
        <r>
          <rPr>
            <b/>
            <sz val="9"/>
            <color indexed="81"/>
            <rFont val="Tahoma"/>
            <family val="2"/>
          </rPr>
          <t xml:space="preserve">
</t>
        </r>
        <r>
          <rPr>
            <sz val="9"/>
            <color indexed="81"/>
            <rFont val="Tahoma"/>
            <family val="2"/>
          </rPr>
          <t>4Q21: $8.0MM</t>
        </r>
      </text>
    </comment>
    <comment ref="BA37" authorId="3" shapeId="0" xr:uid="{5D2DCFCC-2CD4-451F-9B31-18E1E9CF8D21}">
      <text>
        <r>
          <rPr>
            <b/>
            <sz val="9"/>
            <color indexed="81"/>
            <rFont val="Tahoma"/>
            <family val="2"/>
          </rPr>
          <t>Schwarz, Stefan A.:</t>
        </r>
        <r>
          <rPr>
            <sz val="9"/>
            <color indexed="81"/>
            <rFont val="Tahoma"/>
            <family val="2"/>
          </rPr>
          <t xml:space="preserve">
3Q23: 9.1
2Q23: 8.6
1Q23: 9.9
4Q22: 9.3</t>
        </r>
      </text>
    </comment>
    <comment ref="BB37" authorId="3" shapeId="0" xr:uid="{1D5C5ABF-B1D5-44FD-A62B-F3EB92856E19}">
      <text>
        <r>
          <rPr>
            <b/>
            <sz val="9"/>
            <color indexed="81"/>
            <rFont val="Tahoma"/>
            <family val="2"/>
          </rPr>
          <t>Schwarz, Stefan A.:</t>
        </r>
        <r>
          <rPr>
            <sz val="9"/>
            <color indexed="81"/>
            <rFont val="Tahoma"/>
            <family val="2"/>
          </rPr>
          <t xml:space="preserve">
3Q24: 12.3
2Q24: 12.8
1Q24: 12.3
4Q23: 10.6</t>
        </r>
      </text>
    </comment>
    <comment ref="BC37" authorId="0" shapeId="0" xr:uid="{D5C1CA36-5C2B-4E59-B9B2-740B750E5085}">
      <text>
        <r>
          <rPr>
            <b/>
            <sz val="9"/>
            <color indexed="81"/>
            <rFont val="Tahoma"/>
            <family val="2"/>
          </rPr>
          <t xml:space="preserve">Srinivasaraghavan, Vinod:
</t>
        </r>
        <r>
          <rPr>
            <sz val="9"/>
            <color indexed="81"/>
            <rFont val="Tahoma"/>
            <family val="2"/>
          </rPr>
          <t>2Q25:12.8
4/29/25: $13.1
2/7/25: 13.4 (incl Vulcan)
4Q24: 13.4</t>
        </r>
      </text>
    </comment>
    <comment ref="BD37" authorId="13" shapeId="0" xr:uid="{3083AE7E-4755-48F1-B033-4B271D53B62B}">
      <text>
        <t>[Threaded comment]
Your version of Excel allows you to read this threaded comment; however, any edits to it will get removed if the file is opened in a newer version of Excel. Learn more: https://go.microsoft.com/fwlink/?linkid=870924
Comment:
    13.3</t>
      </text>
    </comment>
    <comment ref="AH43" authorId="0" shapeId="0" xr:uid="{92C967DD-777A-4FE1-9006-D66383664F46}">
      <text>
        <r>
          <rPr>
            <b/>
            <sz val="9"/>
            <color indexed="81"/>
            <rFont val="Tahoma"/>
            <family val="2"/>
          </rPr>
          <t>Srinivasaraghavan, Vinod:</t>
        </r>
        <r>
          <rPr>
            <sz val="9"/>
            <color indexed="81"/>
            <rFont val="Tahoma"/>
            <family val="2"/>
          </rPr>
          <t xml:space="preserve">
2/7/25: 35-37 ex Vulcan revised to 32-34</t>
        </r>
      </text>
    </comment>
    <comment ref="AY43" authorId="1" shapeId="0" xr:uid="{D8E07E8A-3441-4BDC-84CD-7B5DBE9D7FCF}">
      <text>
        <r>
          <rPr>
            <b/>
            <sz val="9"/>
            <color indexed="81"/>
            <rFont val="Tahoma"/>
            <family val="2"/>
          </rPr>
          <t xml:space="preserve">Donati, Justin 
</t>
        </r>
        <r>
          <rPr>
            <sz val="9"/>
            <color indexed="81"/>
            <rFont val="Tahoma"/>
            <family val="2"/>
          </rPr>
          <t>3Q21: $35.0 - 36.0MM
2Q21: $29.0 - 33.0MM
1Q21: $28.0 - 32.0MM
4Q20: $30.0 - 35.0MM</t>
        </r>
      </text>
    </comment>
    <comment ref="AZ43" authorId="1" shapeId="0" xr:uid="{FDFF0C23-4EA4-4180-96E0-5712E0CC3910}">
      <text>
        <r>
          <rPr>
            <b/>
            <sz val="9"/>
            <color indexed="81"/>
            <rFont val="Tahoma"/>
            <family val="2"/>
          </rPr>
          <t xml:space="preserve">Donati, Justin </t>
        </r>
        <r>
          <rPr>
            <sz val="9"/>
            <color indexed="81"/>
            <rFont val="Tahoma"/>
            <family val="2"/>
          </rPr>
          <t xml:space="preserve">
3Q22: $37.6 - 38.6MM
2Q22: $19.7 - 23.7MM
1Q22: $19.5 - 23.5MM
4Q21: $18.2 - 23.2MM</t>
        </r>
      </text>
    </comment>
    <comment ref="BA43" authorId="3" shapeId="0" xr:uid="{7B1CC044-5243-4567-A726-266B21C58BFA}">
      <text>
        <r>
          <rPr>
            <b/>
            <sz val="9"/>
            <color indexed="81"/>
            <rFont val="Tahoma"/>
            <family val="2"/>
          </rPr>
          <t>Schwarz, Stefan A.:</t>
        </r>
        <r>
          <rPr>
            <sz val="9"/>
            <color indexed="81"/>
            <rFont val="Tahoma"/>
            <family val="2"/>
          </rPr>
          <t xml:space="preserve">
3Q23: 83-84
2Q23: 79-83
1Q23: 69-74
4Q22: 63-68</t>
        </r>
      </text>
    </comment>
    <comment ref="BB43" authorId="3" shapeId="0" xr:uid="{B7FDE612-3903-4D03-B89B-BE9F6D17A0B2}">
      <text>
        <r>
          <rPr>
            <b/>
            <sz val="9"/>
            <color indexed="81"/>
            <rFont val="Tahoma"/>
            <family val="2"/>
          </rPr>
          <t>Schwarz, Stefan A.:</t>
        </r>
        <r>
          <rPr>
            <sz val="9"/>
            <color indexed="81"/>
            <rFont val="Tahoma"/>
            <family val="2"/>
          </rPr>
          <t xml:space="preserve">
3Q24: 149.9-151.9
2Q24: 143-147
1Q24: 135-140
4Q23: 129-137 </t>
        </r>
      </text>
    </comment>
    <comment ref="BC43" authorId="0" shapeId="0" xr:uid="{388056DD-A8DC-4A88-AC05-A3B77C7D89D5}">
      <text>
        <r>
          <rPr>
            <b/>
            <sz val="9"/>
            <color indexed="81"/>
            <rFont val="Tahoma"/>
            <family val="2"/>
          </rPr>
          <t>Srinivasaraghavan, Vinod:</t>
        </r>
        <r>
          <rPr>
            <sz val="9"/>
            <color indexed="81"/>
            <rFont val="Tahoma"/>
            <family val="2"/>
          </rPr>
          <t xml:space="preserve">
3Q25: 185-189
2Q25:179-189
4/29/25: $178-$188
2/7/25: revised to 175-185 after Vulcan closed
4Q24: 189-199 (standalone TENB)</t>
        </r>
      </text>
    </comment>
    <comment ref="AH50" authorId="0" shapeId="0" xr:uid="{6459E8A2-68BE-4604-8E31-30C67C3A113D}">
      <text>
        <r>
          <rPr>
            <b/>
            <sz val="9"/>
            <color indexed="81"/>
            <rFont val="Tahoma"/>
            <family val="2"/>
          </rPr>
          <t>Srinivasaraghavan, Vinod:</t>
        </r>
        <r>
          <rPr>
            <sz val="9"/>
            <color indexed="81"/>
            <rFont val="Tahoma"/>
            <family val="2"/>
          </rPr>
          <t xml:space="preserve">
2/7/25: $0.28-$0.30 initial guide, revised to $0.26-$0.27</t>
        </r>
      </text>
    </comment>
    <comment ref="AZ50" authorId="1" shapeId="0" xr:uid="{DFDE134A-D739-406E-AD03-10F0684ABE63}">
      <text>
        <r>
          <rPr>
            <b/>
            <sz val="9"/>
            <color indexed="81"/>
            <rFont val="Tahoma"/>
            <family val="2"/>
          </rPr>
          <t xml:space="preserve">Donati, Justin </t>
        </r>
        <r>
          <rPr>
            <sz val="9"/>
            <color indexed="81"/>
            <rFont val="Tahoma"/>
            <family val="2"/>
          </rPr>
          <t xml:space="preserve">
3Q22: $0.32 - $0.33
2Q22: $0.17 - $0.20
1Q22: $0.16 - $0.20
4Q21: $0.15 - $0.19</t>
        </r>
      </text>
    </comment>
    <comment ref="BA50" authorId="3" shapeId="0" xr:uid="{E970142B-84BC-4383-8B58-FF2E45D9F28F}">
      <text>
        <r>
          <rPr>
            <b/>
            <sz val="9"/>
            <color indexed="81"/>
            <rFont val="Tahoma"/>
            <family val="2"/>
          </rPr>
          <t>Schwarz, Stefan A.:</t>
        </r>
        <r>
          <rPr>
            <sz val="9"/>
            <color indexed="81"/>
            <rFont val="Tahoma"/>
            <family val="2"/>
          </rPr>
          <t xml:space="preserve">
3Q23: 0.68-0.69
9/7 (Ermetic acqn): Ermetic acquisition lowered by 6-8c
2Q23: 0.65-0.69
1Q23: 0.57-0.61
4Q22: 0.52-0.56</t>
        </r>
      </text>
    </comment>
    <comment ref="BB50" authorId="3" shapeId="0" xr:uid="{140002A3-451F-4348-B5AB-C6E3A411CF82}">
      <text>
        <r>
          <rPr>
            <b/>
            <sz val="9"/>
            <color indexed="81"/>
            <rFont val="Tahoma"/>
            <family val="2"/>
          </rPr>
          <t>Schwarz, Stefan A.:</t>
        </r>
        <r>
          <rPr>
            <sz val="9"/>
            <color indexed="81"/>
            <rFont val="Tahoma"/>
            <family val="2"/>
          </rPr>
          <t xml:space="preserve">
3Q24: 1.21-1.23
2Q24: 1.16-1.19
1Q24: 1.08-1.12 
4Q23: 1.03-1.10</t>
        </r>
      </text>
    </comment>
    <comment ref="BC50" authorId="0" shapeId="0" xr:uid="{BF1659AE-CD15-4114-B1BC-57A52EA8B459}">
      <text>
        <r>
          <rPr>
            <b/>
            <sz val="9"/>
            <color indexed="81"/>
            <rFont val="Tahoma"/>
            <family val="2"/>
          </rPr>
          <t>Srinivasaraghavan, Vinod:</t>
        </r>
        <r>
          <rPr>
            <sz val="9"/>
            <color indexed="81"/>
            <rFont val="Tahoma"/>
            <family val="2"/>
          </rPr>
          <t xml:space="preserve">
3Q25: 1.51-1.54
2Q25:$1.45-1.53
4/29/25: $1.44-$1.52
2/7/25: revised to $1.41-$1.49 after Vulcan closed
4Q24: $1.52-$1.60 (standalone TENB)
</t>
        </r>
      </text>
    </comment>
    <comment ref="Z52" authorId="2" shapeId="0" xr:uid="{A6EDE91A-6C29-4D9F-94C1-58C7C6368C76}">
      <text>
        <r>
          <rPr>
            <b/>
            <sz val="9"/>
            <color indexed="81"/>
            <rFont val="Tahoma"/>
            <family val="2"/>
          </rPr>
          <t>Nowinski, Andrew:</t>
        </r>
        <r>
          <rPr>
            <sz val="9"/>
            <color indexed="81"/>
            <rFont val="Tahoma"/>
            <family val="2"/>
          </rPr>
          <t xml:space="preserve">
4Q22: 114</t>
        </r>
      </text>
    </comment>
    <comment ref="AA52" authorId="3" shapeId="0" xr:uid="{1ACA45C9-8927-4C30-88A7-EB7BD150FFF9}">
      <text>
        <r>
          <rPr>
            <b/>
            <sz val="9"/>
            <color indexed="81"/>
            <rFont val="Tahoma"/>
            <family val="2"/>
          </rPr>
          <t>Schwarz, Stefan A.:</t>
        </r>
        <r>
          <rPr>
            <sz val="9"/>
            <color indexed="81"/>
            <rFont val="Tahoma"/>
            <family val="2"/>
          </rPr>
          <t xml:space="preserve">
1Q23: 115.5</t>
        </r>
      </text>
    </comment>
    <comment ref="AB52" authorId="3" shapeId="0" xr:uid="{C1B48883-B061-4359-84B0-232F91271F4A}">
      <text>
        <r>
          <rPr>
            <b/>
            <sz val="9"/>
            <color indexed="81"/>
            <rFont val="Tahoma"/>
            <family val="2"/>
          </rPr>
          <t>Schwarz, Stefan A.:</t>
        </r>
        <r>
          <rPr>
            <sz val="9"/>
            <color indexed="81"/>
            <rFont val="Tahoma"/>
            <family val="2"/>
          </rPr>
          <t xml:space="preserve">
2Q23: 116</t>
        </r>
      </text>
    </comment>
    <comment ref="AC52" authorId="2" shapeId="0" xr:uid="{D6D00D42-4235-4A3A-9D55-2973BEFDF5FE}">
      <text>
        <r>
          <rPr>
            <b/>
            <sz val="9"/>
            <color indexed="81"/>
            <rFont val="Tahoma"/>
            <family val="2"/>
          </rPr>
          <t>Nowinski, Andrew:</t>
        </r>
        <r>
          <rPr>
            <sz val="9"/>
            <color indexed="81"/>
            <rFont val="Tahoma"/>
            <family val="2"/>
          </rPr>
          <t xml:space="preserve">
3Q23: 117</t>
        </r>
      </text>
    </comment>
    <comment ref="AD52" authorId="3" shapeId="0" xr:uid="{553CD0E8-8A7E-4A9F-A830-DEB2F62E292E}">
      <text>
        <r>
          <rPr>
            <b/>
            <sz val="9"/>
            <color indexed="81"/>
            <rFont val="Tahoma"/>
            <family val="2"/>
          </rPr>
          <t>Schwarz, Stefan A.:</t>
        </r>
        <r>
          <rPr>
            <sz val="9"/>
            <color indexed="81"/>
            <rFont val="Tahoma"/>
            <family val="2"/>
          </rPr>
          <t xml:space="preserve">
4Q23: 117.5</t>
        </r>
      </text>
    </comment>
    <comment ref="AE52" authorId="3" shapeId="0" xr:uid="{23F370FD-E7BB-4397-B4FD-B0D5A3DCC5DB}">
      <text>
        <r>
          <rPr>
            <b/>
            <sz val="9"/>
            <color indexed="81"/>
            <rFont val="Tahoma"/>
            <family val="2"/>
          </rPr>
          <t>Schwarz, Stefan A.:</t>
        </r>
        <r>
          <rPr>
            <sz val="9"/>
            <color indexed="81"/>
            <rFont val="Tahoma"/>
            <family val="2"/>
          </rPr>
          <t xml:space="preserve">
1Q24:</t>
        </r>
      </text>
    </comment>
    <comment ref="AF52" authorId="3" shapeId="0" xr:uid="{4A9459C6-4613-44A3-AB6C-F9D2D6575811}">
      <text>
        <r>
          <rPr>
            <b/>
            <sz val="9"/>
            <color indexed="81"/>
            <rFont val="Tahoma"/>
            <family val="2"/>
          </rPr>
          <t>Schwarz, Stefan A.:</t>
        </r>
        <r>
          <rPr>
            <sz val="9"/>
            <color indexed="81"/>
            <rFont val="Tahoma"/>
            <family val="2"/>
          </rPr>
          <t xml:space="preserve">
2Q24: 119</t>
        </r>
      </text>
    </comment>
    <comment ref="AG52" authorId="4" shapeId="0" xr:uid="{8D44603E-0760-4E13-A15B-F276EAF04B0C}">
      <text>
        <r>
          <rPr>
            <b/>
            <sz val="9"/>
            <color indexed="81"/>
            <rFont val="Tahoma"/>
            <family val="2"/>
          </rPr>
          <t>Srinivasraghavan, Vinod:</t>
        </r>
        <r>
          <rPr>
            <sz val="9"/>
            <color indexed="81"/>
            <rFont val="Tahoma"/>
            <family val="2"/>
          </rPr>
          <t xml:space="preserve">
120</t>
        </r>
      </text>
    </comment>
    <comment ref="AH52" authorId="0" shapeId="0" xr:uid="{1EA613D2-4E7A-4644-9DF8-B4044D6FB90B}">
      <text>
        <r>
          <rPr>
            <b/>
            <sz val="9"/>
            <color indexed="81"/>
            <rFont val="Tahoma"/>
            <family val="2"/>
          </rPr>
          <t>Srinivasaraghavan, Vinod:</t>
        </r>
        <r>
          <rPr>
            <sz val="9"/>
            <color indexed="81"/>
            <rFont val="Tahoma"/>
            <family val="2"/>
          </rPr>
          <t xml:space="preserve">
120.5</t>
        </r>
      </text>
    </comment>
    <comment ref="AI52" authorId="0" shapeId="0" xr:uid="{BED3FE8A-DA9B-4564-B0BA-AAD2E1815F0E}">
      <text>
        <r>
          <rPr>
            <b/>
            <sz val="9"/>
            <color indexed="81"/>
            <rFont val="Tahoma"/>
            <family val="2"/>
          </rPr>
          <t>Srinivasaraghavan, Vinod:</t>
        </r>
        <r>
          <rPr>
            <sz val="9"/>
            <color indexed="81"/>
            <rFont val="Tahoma"/>
            <family val="2"/>
          </rPr>
          <t xml:space="preserve">
1Q25: 121.5</t>
        </r>
      </text>
    </comment>
    <comment ref="BA52" authorId="2" shapeId="0" xr:uid="{6521AE2A-FCA8-46ED-ABD1-6083E777721E}">
      <text>
        <r>
          <rPr>
            <b/>
            <sz val="9"/>
            <color indexed="81"/>
            <rFont val="Tahoma"/>
            <family val="2"/>
          </rPr>
          <t>Nowinski, Andrew:</t>
        </r>
        <r>
          <rPr>
            <sz val="9"/>
            <color indexed="81"/>
            <rFont val="Tahoma"/>
            <family val="2"/>
          </rPr>
          <t xml:space="preserve">
3Q23: 115.5
2Q23: 115.5
1Q23: 116
4Q22: 115.5</t>
        </r>
      </text>
    </comment>
    <comment ref="BB52" authorId="3" shapeId="0" xr:uid="{8669C11F-6442-4F94-A6E1-E8BBA37338E9}">
      <text>
        <r>
          <rPr>
            <b/>
            <sz val="9"/>
            <color indexed="81"/>
            <rFont val="Tahoma"/>
            <family val="2"/>
          </rPr>
          <t>Schwarz, Stefan A.:</t>
        </r>
        <r>
          <rPr>
            <sz val="9"/>
            <color indexed="81"/>
            <rFont val="Tahoma"/>
            <family val="2"/>
          </rPr>
          <t xml:space="preserve">
2Q24: 119
4Q23: 119
</t>
        </r>
      </text>
    </comment>
    <comment ref="BC52" authorId="0" shapeId="0" xr:uid="{9EFAA6F6-878C-4878-A6C8-5D009266EF11}">
      <text>
        <r>
          <rPr>
            <b/>
            <sz val="9"/>
            <color indexed="81"/>
            <rFont val="Tahoma"/>
            <family val="2"/>
          </rPr>
          <t>Srinivasaraghavan, Vinod:</t>
        </r>
        <r>
          <rPr>
            <sz val="9"/>
            <color indexed="81"/>
            <rFont val="Tahoma"/>
            <family val="2"/>
          </rPr>
          <t xml:space="preserve">
1Q25: 121
4Q24: 121</t>
        </r>
      </text>
    </comment>
    <comment ref="V53" authorId="1" shapeId="0" xr:uid="{2C01D5CA-DC3D-46D5-8E7D-E6041AC84702}">
      <text>
        <r>
          <rPr>
            <b/>
            <sz val="9"/>
            <color indexed="81"/>
            <rFont val="Tahoma"/>
            <family val="2"/>
          </rPr>
          <t xml:space="preserve">Donati, Justin 
</t>
        </r>
        <r>
          <rPr>
            <sz val="9"/>
            <color indexed="81"/>
            <rFont val="Tahoma"/>
            <family val="2"/>
          </rPr>
          <t xml:space="preserve">4Q21: 117.5MM
</t>
        </r>
      </text>
    </comment>
    <comment ref="W53" authorId="1" shapeId="0" xr:uid="{313BBB91-D39B-4EA9-A583-D800145CF65E}">
      <text>
        <r>
          <rPr>
            <b/>
            <sz val="9"/>
            <color indexed="81"/>
            <rFont val="Tahoma"/>
            <family val="2"/>
          </rPr>
          <t xml:space="preserve">Donati, Justin 
</t>
        </r>
        <r>
          <rPr>
            <sz val="9"/>
            <color indexed="81"/>
            <rFont val="Tahoma"/>
            <family val="2"/>
          </rPr>
          <t xml:space="preserve">1Q22: 119.5MM
</t>
        </r>
      </text>
    </comment>
    <comment ref="X53" authorId="1" shapeId="0" xr:uid="{5F6F312C-8B5D-4813-B3BC-DFD8980B9251}">
      <text>
        <r>
          <rPr>
            <b/>
            <sz val="9"/>
            <color indexed="81"/>
            <rFont val="Tahoma"/>
            <family val="2"/>
          </rPr>
          <t xml:space="preserve">Donati, Justin 
</t>
        </r>
        <r>
          <rPr>
            <sz val="9"/>
            <color indexed="81"/>
            <rFont val="Tahoma"/>
            <family val="2"/>
          </rPr>
          <t>2Q22: 119.5MM</t>
        </r>
      </text>
    </comment>
    <comment ref="Y53" authorId="1" shapeId="0" xr:uid="{9322673D-3FE6-4698-B3F0-2A6062E05BBC}">
      <text>
        <r>
          <rPr>
            <b/>
            <sz val="9"/>
            <color indexed="81"/>
            <rFont val="Tahoma"/>
            <family val="2"/>
          </rPr>
          <t xml:space="preserve">Donati, Justin 
</t>
        </r>
        <r>
          <rPr>
            <sz val="9"/>
            <color indexed="81"/>
            <rFont val="Tahoma"/>
            <family val="2"/>
          </rPr>
          <t>3Q22: 118.5MM</t>
        </r>
      </text>
    </comment>
    <comment ref="Z53" authorId="1" shapeId="0" xr:uid="{0F055A07-C242-47E6-86C4-30D0737ADA2E}">
      <text>
        <r>
          <rPr>
            <b/>
            <sz val="9"/>
            <color indexed="81"/>
            <rFont val="Tahoma"/>
            <family val="2"/>
          </rPr>
          <t xml:space="preserve">Donati, Justin 
</t>
        </r>
        <r>
          <rPr>
            <sz val="9"/>
            <color indexed="81"/>
            <rFont val="Tahoma"/>
            <family val="2"/>
          </rPr>
          <t>4Q22: 120.0</t>
        </r>
      </text>
    </comment>
    <comment ref="AA53" authorId="3" shapeId="0" xr:uid="{7AD86B2B-7978-4CDE-9B5C-2194BBDCBC99}">
      <text>
        <r>
          <rPr>
            <b/>
            <sz val="9"/>
            <color indexed="81"/>
            <rFont val="Tahoma"/>
            <family val="2"/>
          </rPr>
          <t>Schwarz, Stefan A.:</t>
        </r>
        <r>
          <rPr>
            <sz val="9"/>
            <color indexed="81"/>
            <rFont val="Tahoma"/>
            <family val="2"/>
          </rPr>
          <t xml:space="preserve">
1Q23: 120.5</t>
        </r>
      </text>
    </comment>
    <comment ref="AB53" authorId="3" shapeId="0" xr:uid="{A5A8AF38-4ADE-447D-B620-AB25F94DC5C6}">
      <text>
        <r>
          <rPr>
            <b/>
            <sz val="9"/>
            <color indexed="81"/>
            <rFont val="Tahoma"/>
            <family val="2"/>
          </rPr>
          <t>Schwarz, Stefan A.:</t>
        </r>
        <r>
          <rPr>
            <sz val="9"/>
            <color indexed="81"/>
            <rFont val="Tahoma"/>
            <family val="2"/>
          </rPr>
          <t xml:space="preserve">
2Q23: 122.5</t>
        </r>
      </text>
    </comment>
    <comment ref="AC53" authorId="2" shapeId="0" xr:uid="{5EE6857A-4A8D-4C40-B5A1-4FB1BF1814A8}">
      <text>
        <r>
          <rPr>
            <b/>
            <sz val="9"/>
            <color indexed="81"/>
            <rFont val="Tahoma"/>
            <family val="2"/>
          </rPr>
          <t>Nowinski, Andrew:</t>
        </r>
        <r>
          <rPr>
            <sz val="9"/>
            <color indexed="81"/>
            <rFont val="Tahoma"/>
            <family val="2"/>
          </rPr>
          <t xml:space="preserve">
3Q23: 123.5 (Ermetic acquisition added 1.4 shares)</t>
        </r>
      </text>
    </comment>
    <comment ref="AD53" authorId="3" shapeId="0" xr:uid="{7AF65760-8179-4557-8273-7FD69667D480}">
      <text>
        <r>
          <rPr>
            <b/>
            <sz val="9"/>
            <color indexed="81"/>
            <rFont val="Tahoma"/>
            <family val="2"/>
          </rPr>
          <t>Schwarz, Stefan A.:</t>
        </r>
        <r>
          <rPr>
            <sz val="9"/>
            <color indexed="81"/>
            <rFont val="Tahoma"/>
            <family val="2"/>
          </rPr>
          <t xml:space="preserve">
4Q23: 123</t>
        </r>
      </text>
    </comment>
    <comment ref="AE53" authorId="3" shapeId="0" xr:uid="{F4EFAF9C-AE9F-4B68-80DE-B5BE8ED5E673}">
      <text>
        <r>
          <rPr>
            <b/>
            <sz val="9"/>
            <color indexed="81"/>
            <rFont val="Tahoma"/>
            <family val="2"/>
          </rPr>
          <t>Schwarz, Stefan A.:</t>
        </r>
        <r>
          <rPr>
            <sz val="9"/>
            <color indexed="81"/>
            <rFont val="Tahoma"/>
            <family val="2"/>
          </rPr>
          <t xml:space="preserve">
1Q24: 124.5</t>
        </r>
      </text>
    </comment>
    <comment ref="AF53" authorId="3" shapeId="0" xr:uid="{48865336-F3DC-4105-8C85-9F8F72F1DBDB}">
      <text>
        <r>
          <rPr>
            <b/>
            <sz val="9"/>
            <color indexed="81"/>
            <rFont val="Tahoma"/>
            <family val="2"/>
          </rPr>
          <t>Schwarz, Stefan A.:</t>
        </r>
        <r>
          <rPr>
            <sz val="9"/>
            <color indexed="81"/>
            <rFont val="Tahoma"/>
            <family val="2"/>
          </rPr>
          <t xml:space="preserve">
2Q24: 123</t>
        </r>
      </text>
    </comment>
    <comment ref="AG53" authorId="4" shapeId="0" xr:uid="{7B8C7601-4120-4564-AE65-2A3CF30543FD}">
      <text>
        <r>
          <rPr>
            <b/>
            <sz val="9"/>
            <color indexed="81"/>
            <rFont val="Tahoma"/>
            <family val="2"/>
          </rPr>
          <t>Srinivasraghavan, Vinod:</t>
        </r>
        <r>
          <rPr>
            <sz val="9"/>
            <color indexed="81"/>
            <rFont val="Tahoma"/>
            <family val="2"/>
          </rPr>
          <t xml:space="preserve">
125.5</t>
        </r>
      </text>
    </comment>
    <comment ref="AH53" authorId="0" shapeId="0" xr:uid="{1428FC19-E617-4149-81D7-33552D674DFB}">
      <text>
        <r>
          <rPr>
            <b/>
            <sz val="9"/>
            <color indexed="81"/>
            <rFont val="Tahoma"/>
            <family val="2"/>
          </rPr>
          <t>Srinivasaraghavan, Vinod:</t>
        </r>
        <r>
          <rPr>
            <sz val="9"/>
            <color indexed="81"/>
            <rFont val="Tahoma"/>
            <family val="2"/>
          </rPr>
          <t xml:space="preserve">
124 (reiterated after Vulcan closed)</t>
        </r>
      </text>
    </comment>
    <comment ref="AI53" authorId="0" shapeId="0" xr:uid="{C86EB4C2-988D-4C74-A1F0-1B47C8AAAAC2}">
      <text>
        <r>
          <rPr>
            <b/>
            <sz val="9"/>
            <color indexed="81"/>
            <rFont val="Tahoma"/>
            <family val="2"/>
          </rPr>
          <t>Srinivasaraghavan, Vinod:</t>
        </r>
        <r>
          <rPr>
            <sz val="9"/>
            <color indexed="81"/>
            <rFont val="Tahoma"/>
            <family val="2"/>
          </rPr>
          <t xml:space="preserve">
1Q25: 123</t>
        </r>
      </text>
    </comment>
    <comment ref="AJ53" authorId="14" shapeId="0" xr:uid="{986704E4-D5E0-4C4D-BE51-37A1C820DA58}">
      <text>
        <t>[Threaded comment]
Your version of Excel allows you to read this threaded comment; however, any edits to it will get removed if the file is opened in a newer version of Excel. Learn more: https://go.microsoft.com/fwlink/?linkid=870924
Comment:
    123</t>
      </text>
    </comment>
    <comment ref="AK53" authorId="15" shapeId="0" xr:uid="{29E4F848-A61E-4666-832E-B9203BDD7A2A}">
      <text>
        <t>[Threaded comment]
Your version of Excel allows you to read this threaded comment; however, any edits to it will get removed if the file is opened in a newer version of Excel. Learn more: https://go.microsoft.com/fwlink/?linkid=870924
Comment:
    121.5</t>
      </text>
    </comment>
    <comment ref="AL53" authorId="16" shapeId="0" xr:uid="{BF784C76-A9EB-4843-AD30-B82655326A46}">
      <text>
        <t>[Threaded comment]
Your version of Excel allows you to read this threaded comment; however, any edits to it will get removed if the file is opened in a newer version of Excel. Learn more: https://go.microsoft.com/fwlink/?linkid=870924
Comment:
    118</t>
      </text>
    </comment>
    <comment ref="AV53" authorId="1" shapeId="0" xr:uid="{EE9D0D2E-1EA6-4F13-AFED-132033655F09}">
      <text>
        <r>
          <rPr>
            <b/>
            <sz val="9"/>
            <color indexed="81"/>
            <rFont val="Tahoma"/>
            <family val="2"/>
          </rPr>
          <t>Donati, Justin [WELLS FARGO SEC RES CONS]:</t>
        </r>
        <r>
          <rPr>
            <sz val="9"/>
            <color indexed="81"/>
            <rFont val="Tahoma"/>
            <family val="2"/>
          </rPr>
          <t xml:space="preserve">
Pro-forma share count to reflect the assumed conversion of convertible redeemable preferred stock as of the beginning of the period</t>
        </r>
      </text>
    </comment>
    <comment ref="AZ53" authorId="1" shapeId="0" xr:uid="{FC89CC6B-445F-481F-AABF-2A0DC843B90B}">
      <text>
        <r>
          <rPr>
            <b/>
            <sz val="9"/>
            <color indexed="81"/>
            <rFont val="Tahoma"/>
            <family val="2"/>
          </rPr>
          <t xml:space="preserve">Donati, Justin 
</t>
        </r>
        <r>
          <rPr>
            <sz val="9"/>
            <color indexed="81"/>
            <rFont val="Tahoma"/>
            <family val="2"/>
          </rPr>
          <t>3Q22: 118.0MM
2Q22: 119.0MM
1Q22: 119.5MM</t>
        </r>
        <r>
          <rPr>
            <b/>
            <sz val="9"/>
            <color indexed="81"/>
            <rFont val="Tahoma"/>
            <family val="2"/>
          </rPr>
          <t xml:space="preserve">
</t>
        </r>
        <r>
          <rPr>
            <sz val="9"/>
            <color indexed="81"/>
            <rFont val="Tahoma"/>
            <family val="2"/>
          </rPr>
          <t>4Q21: 119.5MM</t>
        </r>
      </text>
    </comment>
    <comment ref="BA53" authorId="3" shapeId="0" xr:uid="{5ED3FB29-B593-40F6-BBA0-E4F5822B471D}">
      <text>
        <r>
          <rPr>
            <b/>
            <sz val="9"/>
            <color indexed="81"/>
            <rFont val="Tahoma"/>
            <family val="2"/>
          </rPr>
          <t>Schwarz, Stefan A.:</t>
        </r>
        <r>
          <rPr>
            <sz val="9"/>
            <color indexed="81"/>
            <rFont val="Tahoma"/>
            <family val="2"/>
          </rPr>
          <t xml:space="preserve">
3Q23: 121.0
2Q23: 121.0 
1Q23: 121.5
4Q22: 122.0</t>
        </r>
      </text>
    </comment>
    <comment ref="BB53" authorId="3" shapeId="0" xr:uid="{7C771C8C-C699-48BC-8F6A-60C5C538D18A}">
      <text>
        <r>
          <rPr>
            <b/>
            <sz val="9"/>
            <color indexed="81"/>
            <rFont val="Tahoma"/>
            <family val="2"/>
          </rPr>
          <t>Schwarz, Stefan A.:</t>
        </r>
        <r>
          <rPr>
            <sz val="9"/>
            <color indexed="81"/>
            <rFont val="Tahoma"/>
            <family val="2"/>
          </rPr>
          <t xml:space="preserve">
3Q24: 123.5
2Q24: 123.5
1Q24: 125
4Q23: 125</t>
        </r>
      </text>
    </comment>
    <comment ref="BC53" authorId="0" shapeId="0" xr:uid="{2B107994-542F-4DD8-A725-8E5FC9E015EB}">
      <text>
        <r>
          <rPr>
            <b/>
            <sz val="9"/>
            <color indexed="81"/>
            <rFont val="Tahoma"/>
            <family val="2"/>
          </rPr>
          <t xml:space="preserve">Srinivasaraghavan, Vinod:
</t>
        </r>
        <r>
          <rPr>
            <sz val="9"/>
            <color indexed="81"/>
            <rFont val="Tahoma"/>
            <family val="2"/>
          </rPr>
          <t>3Q25: 122.5</t>
        </r>
        <r>
          <rPr>
            <b/>
            <sz val="9"/>
            <color indexed="81"/>
            <rFont val="Tahoma"/>
            <family val="2"/>
          </rPr>
          <t xml:space="preserve">
</t>
        </r>
        <r>
          <rPr>
            <sz val="9"/>
            <color indexed="81"/>
            <rFont val="Tahoma"/>
            <family val="2"/>
          </rPr>
          <t>2Q25:123.5
4/29/25: 123.5
2/7/25: 124.5 (incl Vulcan)
4Q24: 124.5</t>
        </r>
      </text>
    </comment>
    <comment ref="BD53" authorId="17" shapeId="0" xr:uid="{ABCA9D2C-DC0C-4DBB-B03D-BBEF1C81BBB5}">
      <text>
        <t>[Threaded comment]
Your version of Excel allows you to read this threaded comment; however, any edits to it will get removed if the file is opened in a newer version of Excel. Learn more: https://go.microsoft.com/fwlink/?linkid=870924
Comment:
    118</t>
      </text>
    </comment>
    <comment ref="AB69" authorId="2" shapeId="0" xr:uid="{5398F4D7-D097-4AE6-AD2B-F43A0102F5B5}">
      <text>
        <r>
          <rPr>
            <b/>
            <sz val="9"/>
            <color indexed="81"/>
            <rFont val="Tahoma"/>
            <family val="2"/>
          </rPr>
          <t>Nowinski, Andrew:</t>
        </r>
        <r>
          <rPr>
            <sz val="9"/>
            <color indexed="81"/>
            <rFont val="Tahoma"/>
            <family val="2"/>
          </rPr>
          <t xml:space="preserve">
2Q23: modestly lower in 2H</t>
        </r>
      </text>
    </comment>
    <comment ref="AC69" authorId="2" shapeId="0" xr:uid="{C7D9B261-0AE3-43DA-B82A-FF30D33A041B}">
      <text>
        <r>
          <rPr>
            <b/>
            <sz val="9"/>
            <color indexed="81"/>
            <rFont val="Tahoma"/>
            <family val="2"/>
          </rPr>
          <t>Nowinski, Andrew:</t>
        </r>
        <r>
          <rPr>
            <sz val="9"/>
            <color indexed="81"/>
            <rFont val="Tahoma"/>
            <family val="2"/>
          </rPr>
          <t xml:space="preserve">
2Q23: modestly lower in 2H</t>
        </r>
      </text>
    </comment>
    <comment ref="AJ69" authorId="18" shapeId="0" xr:uid="{44488B96-F0C0-4124-8B4D-9B71A97F7668}">
      <text>
        <t>[Threaded comment]
Your version of Excel allows you to read this threaded comment; however, any edits to it will get removed if the file is opened in a newer version of Excel. Learn more: https://go.microsoft.com/fwlink/?linkid=870924
Comment:
    Flat to modestly lower</t>
      </text>
    </comment>
    <comment ref="AZ69" authorId="1" shapeId="0" xr:uid="{0320DF90-BB8B-4B8F-B3B0-FB77E5911686}">
      <text>
        <r>
          <rPr>
            <b/>
            <sz val="9"/>
            <color indexed="81"/>
            <rFont val="Tahoma"/>
            <family val="2"/>
          </rPr>
          <t xml:space="preserve">Donati, Justin 
</t>
        </r>
        <r>
          <rPr>
            <sz val="9"/>
            <color indexed="81"/>
            <rFont val="Tahoma"/>
            <family val="2"/>
          </rPr>
          <t>2Q22: acquisitions having a modest impact on GM in 2H</t>
        </r>
        <r>
          <rPr>
            <b/>
            <sz val="9"/>
            <color indexed="81"/>
            <rFont val="Tahoma"/>
            <family val="2"/>
          </rPr>
          <t xml:space="preserve">
</t>
        </r>
        <r>
          <rPr>
            <sz val="9"/>
            <color indexed="81"/>
            <rFont val="Tahoma"/>
            <family val="2"/>
          </rPr>
          <t>Mgmt is expecting GM's to track in line relative to 4Q21 or modestly lower to the tune of about 100 bps earlier in 2022 given 1) higher public cloud cost related to scaling Accurics infrastructure along with 2) investments in a broader set of advanced analytics across the attack surface. Mgmt still sees long-term GM's in the high 70% to low 80% range</t>
        </r>
      </text>
    </comment>
    <comment ref="BA69" authorId="1" shapeId="0" xr:uid="{23794DCB-6346-4F85-B020-ECF234498ABE}">
      <text>
        <r>
          <rPr>
            <b/>
            <sz val="9"/>
            <color indexed="81"/>
            <rFont val="Tahoma"/>
            <family val="2"/>
          </rPr>
          <t xml:space="preserve">Donati, Justin 
</t>
        </r>
        <r>
          <rPr>
            <sz val="9"/>
            <color indexed="81"/>
            <rFont val="Tahoma"/>
            <family val="2"/>
          </rPr>
          <t>4Q22: High 70's for FY23 with GM improving thoughout the yr</t>
        </r>
      </text>
    </comment>
    <comment ref="BB69" authorId="3" shapeId="0" xr:uid="{7916B97B-1461-4CAA-90E9-3E5DC73FDA11}">
      <text>
        <r>
          <rPr>
            <b/>
            <sz val="9"/>
            <color indexed="81"/>
            <rFont val="Tahoma"/>
            <family val="2"/>
          </rPr>
          <t>Schwarz, Stefan A.:</t>
        </r>
        <r>
          <rPr>
            <sz val="9"/>
            <color indexed="81"/>
            <rFont val="Tahoma"/>
            <family val="2"/>
          </rPr>
          <t xml:space="preserve">
4Q23: high 70s to low 80s</t>
        </r>
      </text>
    </comment>
    <comment ref="BC70" authorId="0" shapeId="0" xr:uid="{728A2ED3-5E36-4E9E-8336-55214E1E3E2F}">
      <text>
        <r>
          <rPr>
            <b/>
            <sz val="9"/>
            <color indexed="81"/>
            <rFont val="Tahoma"/>
            <family val="2"/>
          </rPr>
          <t>Srinivasaraghavan, Vinod:</t>
        </r>
        <r>
          <rPr>
            <sz val="9"/>
            <color indexed="81"/>
            <rFont val="Tahoma"/>
            <family val="2"/>
          </rPr>
          <t xml:space="preserve">
4Q24: high 70% to low 80%</t>
        </r>
      </text>
    </comment>
    <comment ref="AJ71" authorId="19" shapeId="0" xr:uid="{E3C61257-460B-4486-A2F4-CFDC303B3D2C}">
      <text>
        <t xml:space="preserve">[Threaded comment]
Your version of Excel allows you to read this threaded comment; however, any edits to it will get removed if the file is opened in a newer version of Excel. Learn more: https://go.microsoft.com/fwlink/?linkid=870924
Comment:
    Looking ahead, we expect sales and marketing as a percent of revenue to trend somewhat lower, reflecting higher levels of sales productivity and greater efficiency in our go to market organization </t>
      </text>
    </comment>
    <comment ref="AZ71" authorId="1" shapeId="0" xr:uid="{91D3CDFB-72CB-417F-9105-02F225BDD2D4}">
      <text>
        <r>
          <rPr>
            <b/>
            <sz val="9"/>
            <color indexed="81"/>
            <rFont val="Tahoma"/>
            <family val="2"/>
          </rPr>
          <t xml:space="preserve">Donati, Justin </t>
        </r>
        <r>
          <rPr>
            <sz val="9"/>
            <color indexed="81"/>
            <rFont val="Tahoma"/>
            <family val="2"/>
          </rPr>
          <t xml:space="preserve">
S&amp;M as a percent of revenue was 44% in 2021 and is expected to remain at or near this percentage in 2022</t>
        </r>
      </text>
    </comment>
    <comment ref="BB71" authorId="3" shapeId="0" xr:uid="{6FA26640-F175-49AA-AB8A-A6648D549DF1}">
      <text>
        <r>
          <rPr>
            <b/>
            <sz val="9"/>
            <color indexed="81"/>
            <rFont val="Tahoma"/>
            <family val="2"/>
          </rPr>
          <t>Schwarz, Stefan A.:</t>
        </r>
        <r>
          <rPr>
            <sz val="9"/>
            <color indexed="81"/>
            <rFont val="Tahoma"/>
            <family val="2"/>
          </rPr>
          <t xml:space="preserve">
4Q23: 400bps improvement in S&amp;M as a % of revenue</t>
        </r>
      </text>
    </comment>
    <comment ref="AZ72" authorId="1" shapeId="0" xr:uid="{704565E9-0407-4388-A779-0176EEC8102E}">
      <text>
        <r>
          <rPr>
            <b/>
            <sz val="9"/>
            <color indexed="81"/>
            <rFont val="Tahoma"/>
            <family val="2"/>
          </rPr>
          <t xml:space="preserve">Donati, Justin </t>
        </r>
        <r>
          <rPr>
            <sz val="9"/>
            <color indexed="81"/>
            <rFont val="Tahoma"/>
            <family val="2"/>
          </rPr>
          <t xml:space="preserve">
R&amp;D as a percentage of revenue was 18% in 2021 and is expected to increase modestly in 2022, given increased investment in cloud security, attack path analysis attributed to the symptom acquisition and a broader set of predictive analytics and platform capabilities.
</t>
        </r>
      </text>
    </comment>
    <comment ref="BB72" authorId="2" shapeId="0" xr:uid="{9BC09583-25F3-4421-B094-EEE0CC6A11A2}">
      <text>
        <r>
          <rPr>
            <b/>
            <sz val="9"/>
            <color indexed="81"/>
            <rFont val="Tahoma"/>
            <family val="2"/>
          </rPr>
          <t>Nowinski, Andrew:</t>
        </r>
        <r>
          <rPr>
            <sz val="9"/>
            <color indexed="81"/>
            <rFont val="Tahoma"/>
            <family val="2"/>
          </rPr>
          <t xml:space="preserve">
4Q23: R&amp;D will be higher as a % of revenue</t>
        </r>
      </text>
    </comment>
    <comment ref="AZ73" authorId="1" shapeId="0" xr:uid="{D087D501-6BC8-4C25-9FF3-5FE061C3C42F}">
      <text>
        <r>
          <rPr>
            <b/>
            <sz val="9"/>
            <color indexed="81"/>
            <rFont val="Tahoma"/>
            <family val="2"/>
          </rPr>
          <t xml:space="preserve">Donati, Justin 
</t>
        </r>
        <r>
          <rPr>
            <sz val="9"/>
            <color indexed="81"/>
            <rFont val="Tahoma"/>
            <family val="2"/>
          </rPr>
          <t>Management expects G&amp;A expense as a percentage of revenue to remain flat in 2022.</t>
        </r>
      </text>
    </comment>
    <comment ref="BB73" authorId="2" shapeId="0" xr:uid="{AEE7A245-A424-4126-8917-EA1768BC9FB4}">
      <text>
        <r>
          <rPr>
            <b/>
            <sz val="9"/>
            <color indexed="81"/>
            <rFont val="Tahoma"/>
            <family val="2"/>
          </rPr>
          <t>Nowinski, Andrew:</t>
        </r>
        <r>
          <rPr>
            <sz val="9"/>
            <color indexed="81"/>
            <rFont val="Tahoma"/>
            <family val="2"/>
          </rPr>
          <t xml:space="preserve">
4Q23: G&amp;A will be flat at a % of revenue to 2023</t>
        </r>
      </text>
    </comment>
    <comment ref="BB75" authorId="3" shapeId="0" xr:uid="{81EE406A-C320-4FDD-9A25-3E7E8E1A3117}">
      <text>
        <r>
          <rPr>
            <b/>
            <sz val="9"/>
            <color indexed="81"/>
            <rFont val="Tahoma"/>
            <family val="2"/>
          </rPr>
          <t>Schwarz, Stefan A.:</t>
        </r>
        <r>
          <rPr>
            <sz val="9"/>
            <color indexed="81"/>
            <rFont val="Tahoma"/>
            <family val="2"/>
          </rPr>
          <t xml:space="preserve">
4Q23: 17-18%
same seasonal spending patterns as in prior years with incremental investmetns more weighted to 1H, resulting in higher 2H OM</t>
        </r>
      </text>
    </comment>
    <comment ref="AB121" authorId="3" shapeId="0" xr:uid="{34BF99B1-1300-4769-9F30-3490B135ABFE}">
      <text>
        <r>
          <rPr>
            <b/>
            <sz val="9"/>
            <color indexed="81"/>
            <rFont val="Tahoma"/>
            <family val="2"/>
          </rPr>
          <t>Schwarz, Stefan A.:</t>
        </r>
        <r>
          <rPr>
            <sz val="9"/>
            <color indexed="81"/>
            <rFont val="Tahoma"/>
            <family val="2"/>
          </rPr>
          <t xml:space="preserve">
2Q23: (14.1) - (13.1)</t>
        </r>
      </text>
    </comment>
    <comment ref="AC121" authorId="3" shapeId="0" xr:uid="{16D0780F-9F45-4D32-8112-B352F88E871A}">
      <text>
        <r>
          <rPr>
            <b/>
            <sz val="9"/>
            <color indexed="81"/>
            <rFont val="Tahoma"/>
            <family val="2"/>
          </rPr>
          <t>Schwarz, Stefan A.:</t>
        </r>
        <r>
          <rPr>
            <sz val="9"/>
            <color indexed="81"/>
            <rFont val="Tahoma"/>
            <family val="2"/>
          </rPr>
          <t xml:space="preserve">
3Q23: (27.2)-(26.2) </t>
        </r>
      </text>
    </comment>
    <comment ref="AD121" authorId="3" shapeId="0" xr:uid="{070E049A-1DE0-4F01-AC1B-976CD0E9B2CA}">
      <text>
        <r>
          <rPr>
            <b/>
            <sz val="9"/>
            <color indexed="81"/>
            <rFont val="Tahoma"/>
            <family val="2"/>
          </rPr>
          <t>Schwarz, Stefan A.:</t>
        </r>
        <r>
          <rPr>
            <sz val="9"/>
            <color indexed="81"/>
            <rFont val="Tahoma"/>
            <family val="2"/>
          </rPr>
          <t xml:space="preserve">
4Q23: (27.7)-(23.7)</t>
        </r>
      </text>
    </comment>
    <comment ref="AE121" authorId="3" shapeId="0" xr:uid="{E9B8BC7F-FA56-42C0-B894-FFABD62F9312}">
      <text>
        <r>
          <rPr>
            <b/>
            <sz val="9"/>
            <color indexed="81"/>
            <rFont val="Tahoma"/>
            <family val="2"/>
          </rPr>
          <t>Schwarz, Stefan A.:</t>
        </r>
        <r>
          <rPr>
            <sz val="9"/>
            <color indexed="81"/>
            <rFont val="Tahoma"/>
            <family val="2"/>
          </rPr>
          <t xml:space="preserve">
1Q24: (19.1) - (17.1)</t>
        </r>
      </text>
    </comment>
    <comment ref="AF121" authorId="3" shapeId="0" xr:uid="{3A36D04D-5DC5-4F46-AD24-4DF24A58912D}">
      <text>
        <r>
          <rPr>
            <b/>
            <sz val="9"/>
            <color indexed="81"/>
            <rFont val="Tahoma"/>
            <family val="2"/>
          </rPr>
          <t>Schwarz, Stefan A.:</t>
        </r>
        <r>
          <rPr>
            <sz val="9"/>
            <color indexed="81"/>
            <rFont val="Tahoma"/>
            <family val="2"/>
          </rPr>
          <t xml:space="preserve">
2Q24: (5.6) - (3.6)</t>
        </r>
      </text>
    </comment>
    <comment ref="AG121" authorId="4" shapeId="0" xr:uid="{B4CDDFCB-9B8C-4CF9-80DE-B8B4299F9D08}">
      <text>
        <r>
          <rPr>
            <b/>
            <sz val="9"/>
            <color indexed="81"/>
            <rFont val="Tahoma"/>
            <family val="2"/>
          </rPr>
          <t>Srinivasraghavan, Vinod:</t>
        </r>
        <r>
          <rPr>
            <sz val="9"/>
            <color indexed="81"/>
            <rFont val="Tahoma"/>
            <family val="2"/>
          </rPr>
          <t xml:space="preserve">
0.6 to 2.6</t>
        </r>
      </text>
    </comment>
    <comment ref="AH121" authorId="0" shapeId="0" xr:uid="{10464B84-7538-4179-B0F8-ABA0337572FD}">
      <text>
        <r>
          <rPr>
            <b/>
            <sz val="9"/>
            <color indexed="81"/>
            <rFont val="Tahoma"/>
            <family val="2"/>
          </rPr>
          <t>Srinivasaraghavan, Vinod:</t>
        </r>
        <r>
          <rPr>
            <sz val="9"/>
            <color indexed="81"/>
            <rFont val="Tahoma"/>
            <family val="2"/>
          </rPr>
          <t xml:space="preserve">
(18.0) - (16.0)</t>
        </r>
      </text>
    </comment>
    <comment ref="BA121" authorId="3" shapeId="0" xr:uid="{218EEE09-526F-40CB-A130-B10537A9DAF8}">
      <text>
        <r>
          <rPr>
            <b/>
            <sz val="9"/>
            <color indexed="81"/>
            <rFont val="Tahoma"/>
            <family val="2"/>
          </rPr>
          <t>Schwarz, Stefan A.:</t>
        </r>
        <r>
          <rPr>
            <sz val="9"/>
            <color indexed="81"/>
            <rFont val="Tahoma"/>
            <family val="2"/>
          </rPr>
          <t xml:space="preserve">
3Q23: (65.0) - (64.0)
2Q23: (62.3) - (58.3)</t>
        </r>
      </text>
    </comment>
    <comment ref="BB121" authorId="3" shapeId="0" xr:uid="{1C8EBC9D-9806-4A62-A2AA-87035211EBFD}">
      <text>
        <r>
          <rPr>
            <b/>
            <sz val="9"/>
            <color indexed="81"/>
            <rFont val="Tahoma"/>
            <family val="2"/>
          </rPr>
          <t>Schwarz, Stefan A.:</t>
        </r>
        <r>
          <rPr>
            <sz val="9"/>
            <color indexed="81"/>
            <rFont val="Tahoma"/>
            <family val="2"/>
          </rPr>
          <t xml:space="preserve">
2Q24: (25.1) - (21.1)
1Q24: (36.3) - (31.3)
4Q23: (41.7)-(31.7)</t>
        </r>
      </text>
    </comment>
    <comment ref="BC121" authorId="0" shapeId="0" xr:uid="{62DCED59-9DB6-4030-AEF0-88971D1B7D15}">
      <text>
        <r>
          <rPr>
            <b/>
            <sz val="9"/>
            <color indexed="81"/>
            <rFont val="Tahoma"/>
            <family val="2"/>
          </rPr>
          <t>Srinivasaraghavan, Vinod:</t>
        </r>
        <r>
          <rPr>
            <sz val="9"/>
            <color indexed="81"/>
            <rFont val="Tahoma"/>
            <family val="2"/>
          </rPr>
          <t xml:space="preserve">
4Q24: 3.0-13.0</t>
        </r>
      </text>
    </comment>
    <comment ref="AB128" authorId="3" shapeId="0" xr:uid="{B5CE2D4E-CAAB-4206-B104-A93D1E858153}">
      <text>
        <r>
          <rPr>
            <b/>
            <sz val="9"/>
            <color indexed="81"/>
            <rFont val="Tahoma"/>
            <family val="2"/>
          </rPr>
          <t>Schwarz, Stefan A.:</t>
        </r>
        <r>
          <rPr>
            <sz val="9"/>
            <color indexed="81"/>
            <rFont val="Tahoma"/>
            <family val="2"/>
          </rPr>
          <t xml:space="preserve">
2Q23: 2.1</t>
        </r>
      </text>
    </comment>
    <comment ref="AC128" authorId="3" shapeId="0" xr:uid="{87F15E17-B37A-480E-8014-09A5841E0F30}">
      <text>
        <r>
          <rPr>
            <b/>
            <sz val="9"/>
            <color indexed="81"/>
            <rFont val="Tahoma"/>
            <family val="2"/>
          </rPr>
          <t>Schwarz, Stefan A.:</t>
        </r>
        <r>
          <rPr>
            <sz val="9"/>
            <color indexed="81"/>
            <rFont val="Tahoma"/>
            <family val="2"/>
          </rPr>
          <t xml:space="preserve">
3Q23: 4</t>
        </r>
      </text>
    </comment>
    <comment ref="AE128" authorId="3" shapeId="0" xr:uid="{218F1BF4-5651-4D4F-8CB3-CEAA0CD0C12B}">
      <text>
        <r>
          <rPr>
            <b/>
            <sz val="9"/>
            <color indexed="81"/>
            <rFont val="Tahoma"/>
            <family val="2"/>
          </rPr>
          <t>Schwarz, Stefan A.:</t>
        </r>
        <r>
          <rPr>
            <sz val="9"/>
            <color indexed="81"/>
            <rFont val="Tahoma"/>
            <family val="2"/>
          </rPr>
          <t xml:space="preserve">
1Q24: 4.1</t>
        </r>
      </text>
    </comment>
    <comment ref="AF128" authorId="3" shapeId="0" xr:uid="{72D086A0-480D-499E-A19C-B1EFA6106088}">
      <text>
        <r>
          <rPr>
            <b/>
            <sz val="9"/>
            <color indexed="81"/>
            <rFont val="Tahoma"/>
            <family val="2"/>
          </rPr>
          <t>Schwarz, Stefan A.:</t>
        </r>
        <r>
          <rPr>
            <sz val="9"/>
            <color indexed="81"/>
            <rFont val="Tahoma"/>
            <family val="2"/>
          </rPr>
          <t xml:space="preserve">
2Q24: 5.8</t>
        </r>
      </text>
    </comment>
    <comment ref="AG128" authorId="4" shapeId="0" xr:uid="{FA243D8F-F6BA-48D1-AB74-DB841B612BFF}">
      <text>
        <r>
          <rPr>
            <b/>
            <sz val="9"/>
            <color indexed="81"/>
            <rFont val="Tahoma"/>
            <family val="2"/>
          </rPr>
          <t>Srinivasraghavan, Vinod:</t>
        </r>
        <r>
          <rPr>
            <sz val="9"/>
            <color indexed="81"/>
            <rFont val="Tahoma"/>
            <family val="2"/>
          </rPr>
          <t xml:space="preserve">
4.9</t>
        </r>
      </text>
    </comment>
    <comment ref="AH128" authorId="0" shapeId="0" xr:uid="{CEDAD923-F98E-4734-83F5-172EAB343ECB}">
      <text>
        <r>
          <rPr>
            <b/>
            <sz val="9"/>
            <color indexed="81"/>
            <rFont val="Tahoma"/>
            <family val="2"/>
          </rPr>
          <t>Srinivasaraghavan, Vinod:</t>
        </r>
        <r>
          <rPr>
            <sz val="9"/>
            <color indexed="81"/>
            <rFont val="Tahoma"/>
            <family val="2"/>
          </rPr>
          <t xml:space="preserve">
4.6</t>
        </r>
      </text>
    </comment>
    <comment ref="BA128" authorId="3" shapeId="0" xr:uid="{7CA12FBD-70C0-496D-973C-95A13C19DD71}">
      <text>
        <r>
          <rPr>
            <b/>
            <sz val="9"/>
            <color indexed="81"/>
            <rFont val="Tahoma"/>
            <family val="2"/>
          </rPr>
          <t>Schwarz, Stefan A.:</t>
        </r>
        <r>
          <rPr>
            <sz val="9"/>
            <color indexed="81"/>
            <rFont val="Tahoma"/>
            <family val="2"/>
          </rPr>
          <t xml:space="preserve">
3Q23: 10.9
2Q23: 10.8</t>
        </r>
      </text>
    </comment>
    <comment ref="BB128" authorId="3" shapeId="0" xr:uid="{1CDB3290-7A58-4136-8FA8-A6F74BFE568B}">
      <text>
        <r>
          <rPr>
            <b/>
            <sz val="9"/>
            <color indexed="81"/>
            <rFont val="Tahoma"/>
            <family val="2"/>
          </rPr>
          <t>Schwarz, Stefan A.:</t>
        </r>
        <r>
          <rPr>
            <sz val="9"/>
            <color indexed="81"/>
            <rFont val="Tahoma"/>
            <family val="2"/>
          </rPr>
          <t xml:space="preserve">
2Q24: 16.3
1Q24: 15.5</t>
        </r>
      </text>
    </comment>
    <comment ref="BC128" authorId="0" shapeId="0" xr:uid="{B7A39F04-6654-4AE8-B39F-AD11CC8179B6}">
      <text>
        <r>
          <rPr>
            <b/>
            <sz val="9"/>
            <color indexed="81"/>
            <rFont val="Tahoma"/>
            <family val="2"/>
          </rPr>
          <t>Srinivasaraghavan, Vinod:</t>
        </r>
        <r>
          <rPr>
            <sz val="9"/>
            <color indexed="81"/>
            <rFont val="Tahoma"/>
            <family val="2"/>
          </rPr>
          <t xml:space="preserve">
</t>
        </r>
      </text>
    </comment>
    <comment ref="AB131" authorId="3" shapeId="0" xr:uid="{AA2C8393-8D25-4360-B7A0-1683B2D09C52}">
      <text>
        <r>
          <rPr>
            <b/>
            <sz val="9"/>
            <color indexed="81"/>
            <rFont val="Tahoma"/>
            <family val="2"/>
          </rPr>
          <t>Schwarz, Stefan A.:</t>
        </r>
        <r>
          <rPr>
            <sz val="9"/>
            <color indexed="81"/>
            <rFont val="Tahoma"/>
            <family val="2"/>
          </rPr>
          <t xml:space="preserve">
2Q23: (17.8) - (16.8)</t>
        </r>
      </text>
    </comment>
    <comment ref="AC131" authorId="3" shapeId="0" xr:uid="{42D14853-4A01-4068-BC5E-CD4A9B4B830E}">
      <text>
        <r>
          <rPr>
            <b/>
            <sz val="9"/>
            <color indexed="81"/>
            <rFont val="Tahoma"/>
            <family val="2"/>
          </rPr>
          <t>Schwarz, Stefan A.:</t>
        </r>
        <r>
          <rPr>
            <sz val="9"/>
            <color indexed="81"/>
            <rFont val="Tahoma"/>
            <family val="2"/>
          </rPr>
          <t xml:space="preserve">
3Q23: (35.2)-(34.2)</t>
        </r>
      </text>
    </comment>
    <comment ref="AD131" authorId="3" shapeId="0" xr:uid="{6E353D52-B3FE-4F67-9D86-D65D091B1790}">
      <text>
        <r>
          <rPr>
            <b/>
            <sz val="9"/>
            <color indexed="81"/>
            <rFont val="Tahoma"/>
            <family val="2"/>
          </rPr>
          <t>Schwarz, Stefan A.:</t>
        </r>
        <r>
          <rPr>
            <sz val="9"/>
            <color indexed="81"/>
            <rFont val="Tahoma"/>
            <family val="2"/>
          </rPr>
          <t xml:space="preserve">
4Q23: (34.6)-(30.6)</t>
        </r>
      </text>
    </comment>
    <comment ref="AE131" authorId="3" shapeId="0" xr:uid="{EA56AB5D-0FF6-46B6-8193-A7389AC075A8}">
      <text>
        <r>
          <rPr>
            <b/>
            <sz val="9"/>
            <color indexed="81"/>
            <rFont val="Tahoma"/>
            <family val="2"/>
          </rPr>
          <t>Schwarz, Stefan A.:</t>
        </r>
        <r>
          <rPr>
            <sz val="9"/>
            <color indexed="81"/>
            <rFont val="Tahoma"/>
            <family val="2"/>
          </rPr>
          <t xml:space="preserve">
1Q24: (26.1) - (24.1)</t>
        </r>
      </text>
    </comment>
    <comment ref="AF131" authorId="3" shapeId="0" xr:uid="{E198C6B9-4CCD-4205-A286-1CB48BD2F1C3}">
      <text>
        <r>
          <rPr>
            <b/>
            <sz val="9"/>
            <color indexed="81"/>
            <rFont val="Tahoma"/>
            <family val="2"/>
          </rPr>
          <t>Schwarz, Stefan A.:</t>
        </r>
        <r>
          <rPr>
            <sz val="9"/>
            <color indexed="81"/>
            <rFont val="Tahoma"/>
            <family val="2"/>
          </rPr>
          <t xml:space="preserve">
2Q24: (14.6) - (12.6)</t>
        </r>
      </text>
    </comment>
    <comment ref="AG131" authorId="4" shapeId="0" xr:uid="{5EEFCDAA-40AC-4551-8052-E687BBAE9A63}">
      <text>
        <r>
          <rPr>
            <b/>
            <sz val="9"/>
            <color indexed="81"/>
            <rFont val="Tahoma"/>
            <family val="2"/>
          </rPr>
          <t>Srinivasraghavan, Vinod:</t>
        </r>
        <r>
          <rPr>
            <sz val="9"/>
            <color indexed="81"/>
            <rFont val="Tahoma"/>
            <family val="2"/>
          </rPr>
          <t xml:space="preserve">
-6.2 to -4.2</t>
        </r>
      </text>
    </comment>
    <comment ref="AH131" authorId="0" shapeId="0" xr:uid="{A546CF15-F626-4F77-8BE8-CAE57B2442D6}">
      <text>
        <r>
          <rPr>
            <b/>
            <sz val="9"/>
            <color indexed="81"/>
            <rFont val="Tahoma"/>
            <family val="2"/>
          </rPr>
          <t>Srinivasaraghavan, Vinod:</t>
        </r>
        <r>
          <rPr>
            <sz val="9"/>
            <color indexed="81"/>
            <rFont val="Tahoma"/>
            <family val="2"/>
          </rPr>
          <t xml:space="preserve">
(26.0) - (24.0)</t>
        </r>
      </text>
    </comment>
    <comment ref="BA131" authorId="3" shapeId="0" xr:uid="{D2CE4DED-13B3-4AEA-B495-B19A650C6560}">
      <text>
        <r>
          <rPr>
            <b/>
            <sz val="9"/>
            <color indexed="81"/>
            <rFont val="Tahoma"/>
            <family val="2"/>
          </rPr>
          <t>Schwarz, Stefan A.:</t>
        </r>
        <r>
          <rPr>
            <sz val="9"/>
            <color indexed="81"/>
            <rFont val="Tahoma"/>
            <family val="2"/>
          </rPr>
          <t xml:space="preserve">
3Q23: (91.7) - (90.7)
2Q23: (81.5) - (77.5)</t>
        </r>
      </text>
    </comment>
    <comment ref="BB131" authorId="3" shapeId="0" xr:uid="{FD1E7848-05CD-4B18-97ED-82454D71716A}">
      <text>
        <r>
          <rPr>
            <b/>
            <sz val="9"/>
            <color indexed="81"/>
            <rFont val="Tahoma"/>
            <family val="2"/>
          </rPr>
          <t>Schwarz, Stefan A.:</t>
        </r>
        <r>
          <rPr>
            <sz val="9"/>
            <color indexed="81"/>
            <rFont val="Tahoma"/>
            <family val="2"/>
          </rPr>
          <t xml:space="preserve">
2Q24: (52.6) - (48.6)
1Q24: (62.5) - (57.5)
4Q23: (68.9)-(58.9)</t>
        </r>
      </text>
    </comment>
    <comment ref="BC131" authorId="0" shapeId="0" xr:uid="{1BC20792-52A5-4A7C-AE2D-6B2CC1A02CCA}">
      <text>
        <r>
          <rPr>
            <b/>
            <sz val="9"/>
            <color indexed="81"/>
            <rFont val="Tahoma"/>
            <family val="2"/>
          </rPr>
          <t>Srinivasaraghavan, Vinod:</t>
        </r>
        <r>
          <rPr>
            <sz val="9"/>
            <color indexed="81"/>
            <rFont val="Tahoma"/>
            <family val="2"/>
          </rPr>
          <t xml:space="preserve">
4Q24: (26.0) - (16.0)</t>
        </r>
      </text>
    </comment>
    <comment ref="Z133" authorId="2" shapeId="0" xr:uid="{FFCB4FEE-BF3F-4A69-882C-2A5D5D2E6CED}">
      <text>
        <r>
          <rPr>
            <b/>
            <sz val="9"/>
            <color indexed="81"/>
            <rFont val="Tahoma"/>
            <family val="2"/>
          </rPr>
          <t>Nowinski, Andrew:</t>
        </r>
        <r>
          <rPr>
            <sz val="9"/>
            <color indexed="81"/>
            <rFont val="Tahoma"/>
            <family val="2"/>
          </rPr>
          <t xml:space="preserve">
4Q22: $(0.32) to (0.31)</t>
        </r>
      </text>
    </comment>
    <comment ref="BA133" authorId="2" shapeId="0" xr:uid="{F2D4B6E4-04D8-4A9E-AA0E-54E6F16A6CD9}">
      <text>
        <r>
          <rPr>
            <b/>
            <sz val="9"/>
            <color indexed="81"/>
            <rFont val="Tahoma"/>
            <family val="2"/>
          </rPr>
          <t>Nowinski, Andrew:</t>
        </r>
        <r>
          <rPr>
            <sz val="9"/>
            <color indexed="81"/>
            <rFont val="Tahoma"/>
            <family val="2"/>
          </rPr>
          <t xml:space="preserve">
3Q23: (0.79)
4Q22: (0.89) - (0.85)</t>
        </r>
      </text>
    </comment>
    <comment ref="AH145" authorId="0" shapeId="0" xr:uid="{295A5A6B-C029-4C04-AD49-DB1D7935B8B3}">
      <text>
        <r>
          <rPr>
            <b/>
            <sz val="9"/>
            <color indexed="81"/>
            <rFont val="Tahoma"/>
            <family val="2"/>
          </rPr>
          <t>Srinivasaraghavan, Vinod:</t>
        </r>
        <r>
          <rPr>
            <sz val="9"/>
            <color indexed="81"/>
            <rFont val="Tahoma"/>
            <family val="2"/>
          </rPr>
          <t xml:space="preserve">
Incl. $14.6M of expense related to the accelerating vesting of equity award for late CEO Amit Yoran</t>
        </r>
      </text>
    </comment>
    <comment ref="W147" authorId="1" shapeId="0" xr:uid="{1D1324B2-E0EB-437C-9CCB-1627D87742DE}">
      <text>
        <r>
          <rPr>
            <b/>
            <sz val="9"/>
            <color indexed="81"/>
            <rFont val="Tahoma"/>
            <family val="2"/>
          </rPr>
          <t xml:space="preserve">Donati, Justin 
</t>
        </r>
        <r>
          <rPr>
            <sz val="9"/>
            <color indexed="81"/>
            <rFont val="Tahoma"/>
            <family val="2"/>
          </rPr>
          <t>1Q22: 31.5MM</t>
        </r>
      </text>
    </comment>
    <comment ref="X147" authorId="1" shapeId="0" xr:uid="{DA9B16BB-E91D-43DC-9FC0-170BB27DBB88}">
      <text>
        <r>
          <rPr>
            <b/>
            <sz val="9"/>
            <color indexed="81"/>
            <rFont val="Tahoma"/>
            <family val="2"/>
          </rPr>
          <t xml:space="preserve">Donati, Justin 
</t>
        </r>
        <r>
          <rPr>
            <sz val="9"/>
            <color indexed="81"/>
            <rFont val="Tahoma"/>
            <family val="2"/>
          </rPr>
          <t>2Q22: $31.8MM</t>
        </r>
      </text>
    </comment>
    <comment ref="Y147" authorId="1" shapeId="0" xr:uid="{75B18E03-6EB3-49DE-ABCC-B8D4A897DC37}">
      <text>
        <r>
          <rPr>
            <b/>
            <sz val="9"/>
            <color indexed="81"/>
            <rFont val="Tahoma"/>
            <family val="2"/>
          </rPr>
          <t xml:space="preserve">Donati, Justin 
</t>
        </r>
        <r>
          <rPr>
            <sz val="9"/>
            <color indexed="81"/>
            <rFont val="Tahoma"/>
            <family val="2"/>
          </rPr>
          <t>3Q22: 32.4MM</t>
        </r>
      </text>
    </comment>
    <comment ref="Z147" authorId="2" shapeId="0" xr:uid="{60804560-0990-4BCD-9332-ECDCBAC39258}">
      <text>
        <r>
          <rPr>
            <b/>
            <sz val="9"/>
            <color indexed="81"/>
            <rFont val="Tahoma"/>
            <family val="2"/>
          </rPr>
          <t>Nowinski, Andrew:</t>
        </r>
        <r>
          <rPr>
            <sz val="9"/>
            <color indexed="81"/>
            <rFont val="Tahoma"/>
            <family val="2"/>
          </rPr>
          <t xml:space="preserve">
4Q22: $35</t>
        </r>
      </text>
    </comment>
    <comment ref="AA147" authorId="3" shapeId="0" xr:uid="{3D2B41BB-BC6B-4BFE-9973-547CE61CCF95}">
      <text>
        <r>
          <rPr>
            <b/>
            <sz val="9"/>
            <color indexed="81"/>
            <rFont val="Tahoma"/>
            <family val="2"/>
          </rPr>
          <t>Schwarz, Stefan A.:</t>
        </r>
        <r>
          <rPr>
            <sz val="9"/>
            <color indexed="81"/>
            <rFont val="Tahoma"/>
            <family val="2"/>
          </rPr>
          <t xml:space="preserve">
1Q23: 38</t>
        </r>
      </text>
    </comment>
    <comment ref="AB147" authorId="3" shapeId="0" xr:uid="{5214CA43-6B63-4063-9A8E-AD05013DC336}">
      <text>
        <r>
          <rPr>
            <b/>
            <sz val="9"/>
            <color indexed="81"/>
            <rFont val="Tahoma"/>
            <family val="2"/>
          </rPr>
          <t>Schwarz, Stefan A.:</t>
        </r>
        <r>
          <rPr>
            <sz val="9"/>
            <color indexed="81"/>
            <rFont val="Tahoma"/>
            <family val="2"/>
          </rPr>
          <t xml:space="preserve">
2Q23: 37</t>
        </r>
      </text>
    </comment>
    <comment ref="AC147" authorId="3" shapeId="0" xr:uid="{B1212FF7-BDD6-4588-9BB4-FCCAA43B6549}">
      <text>
        <r>
          <rPr>
            <b/>
            <sz val="9"/>
            <color indexed="81"/>
            <rFont val="Tahoma"/>
            <family val="2"/>
          </rPr>
          <t>Schwarz, Stefan A.:</t>
        </r>
        <r>
          <rPr>
            <sz val="9"/>
            <color indexed="81"/>
            <rFont val="Tahoma"/>
            <family val="2"/>
          </rPr>
          <t xml:space="preserve">
3Q23: 38</t>
        </r>
      </text>
    </comment>
    <comment ref="AD147" authorId="3" shapeId="0" xr:uid="{D726DDD5-02C9-4103-A589-0B3AD52C101C}">
      <text>
        <r>
          <rPr>
            <b/>
            <sz val="9"/>
            <color indexed="81"/>
            <rFont val="Tahoma"/>
            <family val="2"/>
          </rPr>
          <t>Schwarz, Stefan A.:</t>
        </r>
        <r>
          <rPr>
            <sz val="9"/>
            <color indexed="81"/>
            <rFont val="Tahoma"/>
            <family val="2"/>
          </rPr>
          <t xml:space="preserve">
4Q23: 40</t>
        </r>
      </text>
    </comment>
    <comment ref="AE147" authorId="3" shapeId="0" xr:uid="{2CCCCC4D-E481-4F60-9315-F8891C80A600}">
      <text>
        <r>
          <rPr>
            <b/>
            <sz val="9"/>
            <color indexed="81"/>
            <rFont val="Tahoma"/>
            <family val="2"/>
          </rPr>
          <t>Schwarz, Stefan A.:</t>
        </r>
        <r>
          <rPr>
            <sz val="9"/>
            <color indexed="81"/>
            <rFont val="Tahoma"/>
            <family val="2"/>
          </rPr>
          <t xml:space="preserve">
1Q24: 41.3</t>
        </r>
      </text>
    </comment>
    <comment ref="AF147" authorId="3" shapeId="0" xr:uid="{F988213B-66AC-4590-8080-6CFEAE9EAF07}">
      <text>
        <r>
          <rPr>
            <b/>
            <sz val="9"/>
            <color indexed="81"/>
            <rFont val="Tahoma"/>
            <family val="2"/>
          </rPr>
          <t>Schwarz, Stefan A.:</t>
        </r>
        <r>
          <rPr>
            <sz val="9"/>
            <color indexed="81"/>
            <rFont val="Tahoma"/>
            <family val="2"/>
          </rPr>
          <t xml:space="preserve">
2Q24: 41.6</t>
        </r>
      </text>
    </comment>
    <comment ref="AG147" authorId="4" shapeId="0" xr:uid="{9CAD4E7B-182F-4B88-87A6-24C2D30FA67E}">
      <text>
        <r>
          <rPr>
            <b/>
            <sz val="9"/>
            <color indexed="81"/>
            <rFont val="Tahoma"/>
            <family val="2"/>
          </rPr>
          <t>Srinivasraghavan, Vinod:</t>
        </r>
        <r>
          <rPr>
            <sz val="9"/>
            <color indexed="81"/>
            <rFont val="Tahoma"/>
            <family val="2"/>
          </rPr>
          <t xml:space="preserve">
41.3</t>
        </r>
      </text>
    </comment>
    <comment ref="AH147" authorId="0" shapeId="0" xr:uid="{AD14010E-316F-454B-A87B-9B1EDC4AA30E}">
      <text>
        <r>
          <rPr>
            <b/>
            <sz val="9"/>
            <color indexed="81"/>
            <rFont val="Tahoma"/>
            <family val="2"/>
          </rPr>
          <t>Srinivasaraghavan, Vinod:</t>
        </r>
        <r>
          <rPr>
            <sz val="9"/>
            <color indexed="81"/>
            <rFont val="Tahoma"/>
            <family val="2"/>
          </rPr>
          <t xml:space="preserve">
55</t>
        </r>
      </text>
    </comment>
    <comment ref="AI147" authorId="2" shapeId="0" xr:uid="{7EC677E1-0169-41EF-AF17-F79782AF8DDD}">
      <text>
        <r>
          <rPr>
            <b/>
            <sz val="9"/>
            <color indexed="81"/>
            <rFont val="Tahoma"/>
            <family val="2"/>
          </rPr>
          <t>Nowinski, Andrew:</t>
        </r>
        <r>
          <rPr>
            <sz val="9"/>
            <color indexed="81"/>
            <rFont val="Tahoma"/>
            <family val="2"/>
          </rPr>
          <t xml:space="preserve">
1Q25: 47</t>
        </r>
      </text>
    </comment>
    <comment ref="AZ147" authorId="1" shapeId="0" xr:uid="{F8926530-7EAD-415B-88B5-1923B7CAD7BD}">
      <text>
        <r>
          <rPr>
            <b/>
            <sz val="9"/>
            <color indexed="81"/>
            <rFont val="Tahoma"/>
            <family val="2"/>
          </rPr>
          <t xml:space="preserve">Donati, Justin 
</t>
        </r>
        <r>
          <rPr>
            <sz val="9"/>
            <color indexed="81"/>
            <rFont val="Tahoma"/>
            <family val="2"/>
          </rPr>
          <t>2Q22: $121.2MM</t>
        </r>
        <r>
          <rPr>
            <b/>
            <sz val="9"/>
            <color indexed="81"/>
            <rFont val="Tahoma"/>
            <family val="2"/>
          </rPr>
          <t xml:space="preserve">
</t>
        </r>
        <r>
          <rPr>
            <sz val="9"/>
            <color indexed="81"/>
            <rFont val="Tahoma"/>
            <family val="2"/>
          </rPr>
          <t xml:space="preserve">1Q22: $121.2MM
</t>
        </r>
      </text>
    </comment>
    <comment ref="BA147" authorId="2" shapeId="0" xr:uid="{1E063B84-8DA6-491D-B7D5-F62271EA9180}">
      <text>
        <r>
          <rPr>
            <b/>
            <sz val="9"/>
            <color indexed="81"/>
            <rFont val="Tahoma"/>
            <family val="2"/>
          </rPr>
          <t>Nowinski, Andrew:</t>
        </r>
        <r>
          <rPr>
            <sz val="9"/>
            <color indexed="81"/>
            <rFont val="Tahoma"/>
            <family val="2"/>
          </rPr>
          <t xml:space="preserve">
3Q23: 146.8
2Q23: 146
4Q22: 150.5</t>
        </r>
      </text>
    </comment>
    <comment ref="BB147" authorId="3" shapeId="0" xr:uid="{DC46D6C8-BD85-4A78-8937-D113566BD207}">
      <text>
        <r>
          <rPr>
            <b/>
            <sz val="9"/>
            <color indexed="81"/>
            <rFont val="Tahoma"/>
            <family val="2"/>
          </rPr>
          <t>Schwarz, Stefan A.:</t>
        </r>
        <r>
          <rPr>
            <sz val="9"/>
            <color indexed="81"/>
            <rFont val="Tahoma"/>
            <family val="2"/>
          </rPr>
          <t xml:space="preserve">
2Q24: 164.6
1Q24: 166.9
4Q23: 165</t>
        </r>
      </text>
    </comment>
    <comment ref="BC147" authorId="0" shapeId="0" xr:uid="{2889B340-AD88-4DE2-A789-F891736E1452}">
      <text>
        <r>
          <rPr>
            <b/>
            <sz val="9"/>
            <color indexed="81"/>
            <rFont val="Tahoma"/>
            <family val="2"/>
          </rPr>
          <t>Srinivasaraghavan, Vinod:</t>
        </r>
        <r>
          <rPr>
            <sz val="9"/>
            <color indexed="81"/>
            <rFont val="Tahoma"/>
            <family val="2"/>
          </rPr>
          <t xml:space="preserve">
2Q25: 197.5
1Q25: 196
4Q24: 190</t>
        </r>
      </text>
    </comment>
    <comment ref="W156" authorId="1" shapeId="0" xr:uid="{EB953187-24A9-4DB7-8F1D-95251C6EE84B}">
      <text>
        <r>
          <rPr>
            <b/>
            <sz val="9"/>
            <color indexed="81"/>
            <rFont val="Tahoma"/>
            <family val="2"/>
          </rPr>
          <t xml:space="preserve">Donati, Justin 
</t>
        </r>
        <r>
          <rPr>
            <sz val="9"/>
            <color indexed="81"/>
            <rFont val="Tahoma"/>
            <family val="2"/>
          </rPr>
          <t>1Q22: $2.7MM</t>
        </r>
      </text>
    </comment>
    <comment ref="X156" authorId="1" shapeId="0" xr:uid="{7F302BB1-CFB4-4D08-8D20-2623811BF484}">
      <text>
        <r>
          <rPr>
            <b/>
            <sz val="9"/>
            <color indexed="81"/>
            <rFont val="Tahoma"/>
            <family val="2"/>
          </rPr>
          <t xml:space="preserve">Donati, Justin 
</t>
        </r>
        <r>
          <rPr>
            <sz val="9"/>
            <color indexed="81"/>
            <rFont val="Tahoma"/>
            <family val="2"/>
          </rPr>
          <t>2Q22: $3.1MM</t>
        </r>
      </text>
    </comment>
    <comment ref="Y156" authorId="1" shapeId="0" xr:uid="{88CDDA79-327E-4B57-B947-E575BA359510}">
      <text>
        <r>
          <rPr>
            <b/>
            <sz val="9"/>
            <color indexed="81"/>
            <rFont val="Tahoma"/>
            <family val="2"/>
          </rPr>
          <t xml:space="preserve">Donati, Justin 
</t>
        </r>
        <r>
          <rPr>
            <sz val="9"/>
            <color indexed="81"/>
            <rFont val="Tahoma"/>
            <family val="2"/>
          </rPr>
          <t>3Q22: $3.1MM</t>
        </r>
      </text>
    </comment>
    <comment ref="Z156" authorId="2" shapeId="0" xr:uid="{CE594F59-4087-4FFC-8688-D4CCEB7DD9E5}">
      <text>
        <r>
          <rPr>
            <b/>
            <sz val="9"/>
            <color indexed="81"/>
            <rFont val="Tahoma"/>
            <family val="2"/>
          </rPr>
          <t>Nowinski, Andrew:</t>
        </r>
        <r>
          <rPr>
            <sz val="9"/>
            <color indexed="81"/>
            <rFont val="Tahoma"/>
            <family val="2"/>
          </rPr>
          <t xml:space="preserve">
4Q22: $3.1</t>
        </r>
      </text>
    </comment>
    <comment ref="AA156" authorId="3" shapeId="0" xr:uid="{5790C4DC-DD37-49BB-AA0C-5A8943002177}">
      <text>
        <r>
          <rPr>
            <b/>
            <sz val="9"/>
            <color indexed="81"/>
            <rFont val="Tahoma"/>
            <family val="2"/>
          </rPr>
          <t>Schwarz, Stefan A.:</t>
        </r>
        <r>
          <rPr>
            <sz val="9"/>
            <color indexed="81"/>
            <rFont val="Tahoma"/>
            <family val="2"/>
          </rPr>
          <t xml:space="preserve">
1Q23: 3.1</t>
        </r>
      </text>
    </comment>
    <comment ref="AB156" authorId="3" shapeId="0" xr:uid="{B92A67E8-AD78-4E70-B043-0DA434932E5D}">
      <text>
        <r>
          <rPr>
            <b/>
            <sz val="9"/>
            <color indexed="81"/>
            <rFont val="Tahoma"/>
            <family val="2"/>
          </rPr>
          <t>Schwarz, Stefan A.:</t>
        </r>
        <r>
          <rPr>
            <sz val="9"/>
            <color indexed="81"/>
            <rFont val="Tahoma"/>
            <family val="2"/>
          </rPr>
          <t xml:space="preserve">
2Q23: 3.1</t>
        </r>
      </text>
    </comment>
    <comment ref="AC156" authorId="3" shapeId="0" xr:uid="{48E6F630-514C-4B56-A298-8296F086DABB}">
      <text>
        <r>
          <rPr>
            <b/>
            <sz val="9"/>
            <color indexed="81"/>
            <rFont val="Tahoma"/>
            <family val="2"/>
          </rPr>
          <t>Schwarz, Stefan A.:</t>
        </r>
        <r>
          <rPr>
            <sz val="9"/>
            <color indexed="81"/>
            <rFont val="Tahoma"/>
            <family val="2"/>
          </rPr>
          <t xml:space="preserve">
3Q23: 5.4</t>
        </r>
      </text>
    </comment>
    <comment ref="AD156" authorId="3" shapeId="0" xr:uid="{A3E72057-3497-4BD3-B2DE-CCEF7CE9AF0D}">
      <text>
        <r>
          <rPr>
            <b/>
            <sz val="9"/>
            <color indexed="81"/>
            <rFont val="Tahoma"/>
            <family val="2"/>
          </rPr>
          <t>Schwarz, Stefan A.:</t>
        </r>
        <r>
          <rPr>
            <sz val="9"/>
            <color indexed="81"/>
            <rFont val="Tahoma"/>
            <family val="2"/>
          </rPr>
          <t xml:space="preserve">
4Q23: 4.7</t>
        </r>
      </text>
    </comment>
    <comment ref="AE156" authorId="3" shapeId="0" xr:uid="{E073E316-BEA8-40E0-AC0F-960A29020504}">
      <text>
        <r>
          <rPr>
            <b/>
            <sz val="9"/>
            <color indexed="81"/>
            <rFont val="Tahoma"/>
            <family val="2"/>
          </rPr>
          <t>Schwarz, Stefan A.:</t>
        </r>
        <r>
          <rPr>
            <sz val="9"/>
            <color indexed="81"/>
            <rFont val="Tahoma"/>
            <family val="2"/>
          </rPr>
          <t xml:space="preserve">
1Q24: 4.7</t>
        </r>
      </text>
    </comment>
    <comment ref="AF156" authorId="3" shapeId="0" xr:uid="{72022B05-E04C-4A12-9097-9792BF5E7795}">
      <text>
        <r>
          <rPr>
            <b/>
            <sz val="9"/>
            <color indexed="81"/>
            <rFont val="Tahoma"/>
            <family val="2"/>
          </rPr>
          <t>Schwarz, Stefan A.:</t>
        </r>
        <r>
          <rPr>
            <sz val="9"/>
            <color indexed="81"/>
            <rFont val="Tahoma"/>
            <family val="2"/>
          </rPr>
          <t xml:space="preserve">
2Q24: 5.0</t>
        </r>
      </text>
    </comment>
    <comment ref="AG156" authorId="4" shapeId="0" xr:uid="{CB0E0004-2F97-4DE3-8CCB-D9CA35A71ED5}">
      <text>
        <r>
          <rPr>
            <b/>
            <sz val="9"/>
            <color indexed="81"/>
            <rFont val="Tahoma"/>
            <family val="2"/>
          </rPr>
          <t>Srinivasraghavan, Vinod:</t>
        </r>
        <r>
          <rPr>
            <sz val="9"/>
            <color indexed="81"/>
            <rFont val="Tahoma"/>
            <family val="2"/>
          </rPr>
          <t xml:space="preserve">
5.1</t>
        </r>
      </text>
    </comment>
    <comment ref="AH156" authorId="0" shapeId="0" xr:uid="{4418E2B7-DEAF-48FA-8819-D68D940C0BD8}">
      <text>
        <r>
          <rPr>
            <b/>
            <sz val="9"/>
            <color indexed="81"/>
            <rFont val="Tahoma"/>
            <family val="2"/>
          </rPr>
          <t>Srinivasaraghavan, Vinod:</t>
        </r>
        <r>
          <rPr>
            <sz val="9"/>
            <color indexed="81"/>
            <rFont val="Tahoma"/>
            <family val="2"/>
          </rPr>
          <t xml:space="preserve">
5</t>
        </r>
      </text>
    </comment>
    <comment ref="AI156" authorId="2" shapeId="0" xr:uid="{A28D7249-9C4D-4A85-857A-44A421B34F54}">
      <text>
        <r>
          <rPr>
            <b/>
            <sz val="9"/>
            <color indexed="81"/>
            <rFont val="Tahoma"/>
            <family val="2"/>
          </rPr>
          <t>Nowinski, Andrew:</t>
        </r>
        <r>
          <rPr>
            <sz val="9"/>
            <color indexed="81"/>
            <rFont val="Tahoma"/>
            <family val="2"/>
          </rPr>
          <t xml:space="preserve">
1Q25: 6.5</t>
        </r>
      </text>
    </comment>
    <comment ref="AZ156" authorId="1" shapeId="0" xr:uid="{05067346-4FD6-4CC0-9472-2C222A569DB5}">
      <text>
        <r>
          <rPr>
            <b/>
            <sz val="9"/>
            <color indexed="81"/>
            <rFont val="Tahoma"/>
            <family val="2"/>
          </rPr>
          <t xml:space="preserve">Donati, Justin 
</t>
        </r>
        <r>
          <rPr>
            <sz val="9"/>
            <color indexed="81"/>
            <rFont val="Tahoma"/>
            <family val="2"/>
          </rPr>
          <t xml:space="preserve">2Q22: $11.4MM
1Q22: $10.4MM
</t>
        </r>
      </text>
    </comment>
    <comment ref="BA156" authorId="2" shapeId="0" xr:uid="{591ED35B-4358-41BF-ACFE-1A886F5D7069}">
      <text>
        <r>
          <rPr>
            <b/>
            <sz val="9"/>
            <color indexed="81"/>
            <rFont val="Tahoma"/>
            <family val="2"/>
          </rPr>
          <t>Nowinski, Andrew:</t>
        </r>
        <r>
          <rPr>
            <sz val="9"/>
            <color indexed="81"/>
            <rFont val="Tahoma"/>
            <family val="2"/>
          </rPr>
          <t xml:space="preserve">
3Q23: 11.5
2Q23: 12.3
4Q22: 12.3</t>
        </r>
      </text>
    </comment>
    <comment ref="BB156" authorId="3" shapeId="0" xr:uid="{077E4B1D-29C9-4D6A-BACA-98C325A322C8}">
      <text>
        <r>
          <rPr>
            <b/>
            <sz val="9"/>
            <color indexed="81"/>
            <rFont val="Tahoma"/>
            <family val="2"/>
          </rPr>
          <t>Schwarz, Stefan A.:</t>
        </r>
        <r>
          <rPr>
            <sz val="9"/>
            <color indexed="81"/>
            <rFont val="Tahoma"/>
            <family val="2"/>
          </rPr>
          <t xml:space="preserve">
2Q24: 19.5
1Q24: 18.7
4Q23: 18.7</t>
        </r>
      </text>
    </comment>
    <comment ref="BC156" authorId="0" shapeId="0" xr:uid="{1C395602-EBF2-47A6-9E50-66BA2C903BB8}">
      <text>
        <r>
          <rPr>
            <b/>
            <sz val="9"/>
            <color indexed="81"/>
            <rFont val="Tahoma"/>
            <family val="2"/>
          </rPr>
          <t>Srinivasaraghavan, Vinod:</t>
        </r>
        <r>
          <rPr>
            <sz val="9"/>
            <color indexed="81"/>
            <rFont val="Tahoma"/>
            <family val="2"/>
          </rPr>
          <t xml:space="preserve">
2Q25: 26
1Q25: 25
4Q24: 20</t>
        </r>
      </text>
    </comment>
    <comment ref="AC163" authorId="2" shapeId="0" xr:uid="{E786D1CE-95EA-4ACB-8F08-AEE52E982425}">
      <text>
        <r>
          <rPr>
            <b/>
            <sz val="9"/>
            <color indexed="81"/>
            <rFont val="Tahoma"/>
            <family val="2"/>
          </rPr>
          <t>Nowinski, Andrew:</t>
        </r>
        <r>
          <rPr>
            <sz val="9"/>
            <color indexed="81"/>
            <rFont val="Tahoma"/>
            <family val="2"/>
          </rPr>
          <t xml:space="preserve">
3Q23: 6.8</t>
        </r>
      </text>
    </comment>
    <comment ref="AE163" authorId="3" shapeId="0" xr:uid="{3AFF4C34-5B76-4F2D-9D32-AA78F42E3860}">
      <text>
        <r>
          <rPr>
            <b/>
            <sz val="9"/>
            <color indexed="81"/>
            <rFont val="Tahoma"/>
            <family val="2"/>
          </rPr>
          <t>Schwarz, Stefan A.:</t>
        </r>
        <r>
          <rPr>
            <sz val="9"/>
            <color indexed="81"/>
            <rFont val="Tahoma"/>
            <family val="2"/>
          </rPr>
          <t xml:space="preserve">
1Q24: 0</t>
        </r>
      </text>
    </comment>
    <comment ref="AI163" authorId="2" shapeId="0" xr:uid="{A6D830B2-619D-4116-95AF-28CFA6758435}">
      <text>
        <r>
          <rPr>
            <b/>
            <sz val="9"/>
            <color indexed="81"/>
            <rFont val="Tahoma"/>
            <family val="2"/>
          </rPr>
          <t>Nowinski, Andrew:</t>
        </r>
        <r>
          <rPr>
            <sz val="9"/>
            <color indexed="81"/>
            <rFont val="Tahoma"/>
            <family val="2"/>
          </rPr>
          <t xml:space="preserve">
1Q25: 1.5</t>
        </r>
      </text>
    </comment>
    <comment ref="AZ163" authorId="1" shapeId="0" xr:uid="{7B48F7BD-5BA0-4CD5-A221-879AD6806D6D}">
      <text>
        <r>
          <rPr>
            <b/>
            <sz val="9"/>
            <color indexed="81"/>
            <rFont val="Tahoma"/>
            <family val="2"/>
          </rPr>
          <t xml:space="preserve">Donati, Justin 
</t>
        </r>
        <r>
          <rPr>
            <sz val="9"/>
            <color indexed="81"/>
            <rFont val="Tahoma"/>
            <family val="2"/>
          </rPr>
          <t xml:space="preserve">2Q22: 2.5MM for acquisition expenses and 0.8MM for intra-entity asset transfers
</t>
        </r>
        <r>
          <rPr>
            <b/>
            <sz val="9"/>
            <color indexed="81"/>
            <rFont val="Tahoma"/>
            <family val="2"/>
          </rPr>
          <t xml:space="preserve">
</t>
        </r>
        <r>
          <rPr>
            <sz val="9"/>
            <color indexed="81"/>
            <rFont val="Tahoma"/>
            <family val="2"/>
          </rPr>
          <t xml:space="preserve">1Q22: 1.7MM for acuistion expenses in FY22 and $0.8MM for intra-entity asset transfer in Q1. </t>
        </r>
      </text>
    </comment>
    <comment ref="BA163" authorId="2" shapeId="0" xr:uid="{1BDE39EE-2EE0-4A36-AEDD-D5FDC19F0760}">
      <text>
        <r>
          <rPr>
            <b/>
            <sz val="9"/>
            <color indexed="81"/>
            <rFont val="Tahoma"/>
            <family val="2"/>
          </rPr>
          <t>Nowinski, Andrew:</t>
        </r>
        <r>
          <rPr>
            <sz val="9"/>
            <color indexed="81"/>
            <rFont val="Tahoma"/>
            <family val="2"/>
          </rPr>
          <t xml:space="preserve">
3Q23: 11.5</t>
        </r>
      </text>
    </comment>
    <comment ref="BB163" authorId="3" shapeId="0" xr:uid="{74B41442-9C43-4BE7-AE7E-323FF09BEC9D}">
      <text>
        <r>
          <rPr>
            <b/>
            <sz val="9"/>
            <color indexed="81"/>
            <rFont val="Tahoma"/>
            <family val="2"/>
          </rPr>
          <t>Schwarz, Stefan A.:</t>
        </r>
        <r>
          <rPr>
            <sz val="9"/>
            <color indexed="81"/>
            <rFont val="Tahoma"/>
            <family val="2"/>
          </rPr>
          <t xml:space="preserve">
2Q24: 1.9
1Q24: 0.2</t>
        </r>
      </text>
    </comment>
    <comment ref="BC163" authorId="2" shapeId="0" xr:uid="{7ADC8968-EDF1-4566-8E8B-7D2672011BC7}">
      <text>
        <r>
          <rPr>
            <b/>
            <sz val="9"/>
            <color indexed="81"/>
            <rFont val="Tahoma"/>
            <family val="2"/>
          </rPr>
          <t>Nowinski, Andrew:</t>
        </r>
        <r>
          <rPr>
            <sz val="9"/>
            <color indexed="81"/>
            <rFont val="Tahoma"/>
            <family val="2"/>
          </rPr>
          <t xml:space="preserve">
1Q25: 6.0
2Q25:7.3</t>
        </r>
      </text>
    </comment>
    <comment ref="W165" authorId="1" shapeId="0" xr:uid="{CF8926E5-99EF-4F94-AED8-7B003473E325}">
      <text>
        <r>
          <rPr>
            <b/>
            <sz val="9"/>
            <color indexed="81"/>
            <rFont val="Tahoma"/>
            <family val="2"/>
          </rPr>
          <t xml:space="preserve">Donati, Justin </t>
        </r>
        <r>
          <rPr>
            <sz val="9"/>
            <color indexed="81"/>
            <rFont val="Tahoma"/>
            <family val="2"/>
          </rPr>
          <t xml:space="preserve">
1Q22: 0.4MM</t>
        </r>
      </text>
    </comment>
    <comment ref="X165" authorId="1" shapeId="0" xr:uid="{C172B546-245B-4A65-B98C-CB42DC5FB5ED}">
      <text>
        <r>
          <rPr>
            <b/>
            <sz val="9"/>
            <color indexed="81"/>
            <rFont val="Tahoma"/>
            <family val="2"/>
          </rPr>
          <t xml:space="preserve">Donati, Justin 
</t>
        </r>
        <r>
          <rPr>
            <sz val="9"/>
            <color indexed="81"/>
            <rFont val="Tahoma"/>
            <family val="2"/>
          </rPr>
          <t>2Q22: $0.4MM</t>
        </r>
      </text>
    </comment>
    <comment ref="AD168" authorId="3" shapeId="0" xr:uid="{487FDEA3-D1D0-4CEE-88BE-DB4E4BEE32E6}">
      <text>
        <r>
          <rPr>
            <b/>
            <sz val="9"/>
            <color indexed="81"/>
            <rFont val="Tahoma"/>
            <family val="2"/>
          </rPr>
          <t>Schwarz, Stefan A.:</t>
        </r>
        <r>
          <rPr>
            <sz val="9"/>
            <color indexed="81"/>
            <rFont val="Tahoma"/>
            <family val="2"/>
          </rPr>
          <t xml:space="preserve">
4Q23: 8-10</t>
        </r>
      </text>
    </comment>
    <comment ref="AE168" authorId="3" shapeId="0" xr:uid="{2D6D274D-5249-485E-BE56-8B57E5DCEBA8}">
      <text>
        <r>
          <rPr>
            <b/>
            <sz val="9"/>
            <color indexed="81"/>
            <rFont val="Tahoma"/>
            <family val="2"/>
          </rPr>
          <t>Schwarz, Stefan A.:</t>
        </r>
        <r>
          <rPr>
            <sz val="9"/>
            <color indexed="81"/>
            <rFont val="Tahoma"/>
            <family val="2"/>
          </rPr>
          <t xml:space="preserve">
1Q24: 7.1</t>
        </r>
      </text>
    </comment>
    <comment ref="BB168" authorId="3" shapeId="0" xr:uid="{EF67844C-EF9B-4D5D-87C9-8FF08307A683}">
      <text>
        <r>
          <rPr>
            <b/>
            <sz val="9"/>
            <color indexed="81"/>
            <rFont val="Tahoma"/>
            <family val="2"/>
          </rPr>
          <t>Schwarz, Stefan A.:</t>
        </r>
        <r>
          <rPr>
            <sz val="9"/>
            <color indexed="81"/>
            <rFont val="Tahoma"/>
            <family val="2"/>
          </rPr>
          <t xml:space="preserve">
2Q24: 6.1
1Q24: 8.5
4Q23: 8-10</t>
        </r>
      </text>
    </comment>
    <comment ref="W169" authorId="1" shapeId="0" xr:uid="{A15F193C-9F39-42CD-8442-A091DF3BF492}">
      <text>
        <r>
          <rPr>
            <b/>
            <sz val="9"/>
            <color indexed="81"/>
            <rFont val="Tahoma"/>
            <family val="2"/>
          </rPr>
          <t xml:space="preserve">Donati, Justin 
</t>
        </r>
        <r>
          <rPr>
            <sz val="9"/>
            <color indexed="81"/>
            <rFont val="Tahoma"/>
            <family val="2"/>
          </rPr>
          <t>1Q22: 0.4MM</t>
        </r>
      </text>
    </comment>
    <comment ref="X169" authorId="1" shapeId="0" xr:uid="{B6BA7C5B-BBC7-4043-9F5E-9488350E1BB6}">
      <text>
        <r>
          <rPr>
            <b/>
            <sz val="9"/>
            <color indexed="81"/>
            <rFont val="Tahoma"/>
            <family val="2"/>
          </rPr>
          <t xml:space="preserve">Donati, Justin 
</t>
        </r>
        <r>
          <rPr>
            <sz val="9"/>
            <color indexed="81"/>
            <rFont val="Tahoma"/>
            <family val="2"/>
          </rPr>
          <t>2Q22: $(0.1)MM</t>
        </r>
      </text>
    </comment>
    <comment ref="Y169" authorId="1" shapeId="0" xr:uid="{D0A29D1B-1D3B-4B55-8BD7-C9E3285B4EE4}">
      <text>
        <r>
          <rPr>
            <b/>
            <sz val="9"/>
            <color indexed="81"/>
            <rFont val="Tahoma"/>
            <family val="2"/>
          </rPr>
          <t xml:space="preserve">Donati, Justin 
</t>
        </r>
        <r>
          <rPr>
            <sz val="9"/>
            <color indexed="81"/>
            <rFont val="Tahoma"/>
            <family val="2"/>
          </rPr>
          <t>3Q22: $(0.3)MM</t>
        </r>
      </text>
    </comment>
    <comment ref="Z169" authorId="2" shapeId="0" xr:uid="{18411C29-11BC-45CE-9974-67AE43EBFF4B}">
      <text>
        <r>
          <rPr>
            <b/>
            <sz val="9"/>
            <color indexed="81"/>
            <rFont val="Tahoma"/>
            <family val="2"/>
          </rPr>
          <t>Nowinski, Andrew:</t>
        </r>
        <r>
          <rPr>
            <sz val="9"/>
            <color indexed="81"/>
            <rFont val="Tahoma"/>
            <family val="2"/>
          </rPr>
          <t xml:space="preserve">
4Q22: $1</t>
        </r>
      </text>
    </comment>
    <comment ref="AC169" authorId="2" shapeId="0" xr:uid="{07996E9E-FF86-43A5-9724-C5DB0A0A1D27}">
      <text>
        <r>
          <rPr>
            <b/>
            <sz val="9"/>
            <color indexed="81"/>
            <rFont val="Tahoma"/>
            <family val="2"/>
          </rPr>
          <t>Nowinski, Andrew:</t>
        </r>
        <r>
          <rPr>
            <sz val="9"/>
            <color indexed="81"/>
            <rFont val="Tahoma"/>
            <family val="2"/>
          </rPr>
          <t xml:space="preserve">
3Q23: 1</t>
        </r>
      </text>
    </comment>
    <comment ref="AD169" authorId="3" shapeId="0" xr:uid="{16CEABE4-0A6D-4962-A40B-193BF27AB8FB}">
      <text>
        <r>
          <rPr>
            <b/>
            <sz val="9"/>
            <color indexed="81"/>
            <rFont val="Tahoma"/>
            <family val="2"/>
          </rPr>
          <t>Schwarz, Stefan A.:</t>
        </r>
        <r>
          <rPr>
            <sz val="9"/>
            <color indexed="81"/>
            <rFont val="Tahoma"/>
            <family val="2"/>
          </rPr>
          <t xml:space="preserve">
4Q23: (0.4)</t>
        </r>
      </text>
    </comment>
    <comment ref="AE169" authorId="3" shapeId="0" xr:uid="{C8C3F271-F968-4B1F-8C62-FD25AAAB1820}">
      <text>
        <r>
          <rPr>
            <b/>
            <sz val="9"/>
            <color indexed="81"/>
            <rFont val="Tahoma"/>
            <family val="2"/>
          </rPr>
          <t>Schwarz, Stefan A.:</t>
        </r>
        <r>
          <rPr>
            <sz val="9"/>
            <color indexed="81"/>
            <rFont val="Tahoma"/>
            <family val="2"/>
          </rPr>
          <t xml:space="preserve">
1Q24: 1.1</t>
        </r>
      </text>
    </comment>
    <comment ref="AG169" authorId="4" shapeId="0" xr:uid="{C5A08A73-B81A-4789-AFE7-C6C5FC240D20}">
      <text>
        <r>
          <rPr>
            <b/>
            <sz val="9"/>
            <color indexed="81"/>
            <rFont val="Tahoma"/>
            <family val="2"/>
          </rPr>
          <t>Srinivasraghavan, Vinod:</t>
        </r>
        <r>
          <rPr>
            <sz val="9"/>
            <color indexed="81"/>
            <rFont val="Tahoma"/>
            <family val="2"/>
          </rPr>
          <t xml:space="preserve">
1.9
</t>
        </r>
      </text>
    </comment>
    <comment ref="AH169" authorId="0" shapeId="0" xr:uid="{4E2C4682-80B0-49CA-917E-8BB3D53CCA46}">
      <text>
        <r>
          <rPr>
            <b/>
            <sz val="9"/>
            <color indexed="81"/>
            <rFont val="Tahoma"/>
            <family val="2"/>
          </rPr>
          <t>Srinivasaraghavan, Vinod:</t>
        </r>
        <r>
          <rPr>
            <sz val="9"/>
            <color indexed="81"/>
            <rFont val="Tahoma"/>
            <family val="2"/>
          </rPr>
          <t xml:space="preserve">
1.0</t>
        </r>
      </text>
    </comment>
    <comment ref="AI169" authorId="2" shapeId="0" xr:uid="{2D7E03AD-8CBB-4BD6-88A6-E8CC86353072}">
      <text>
        <r>
          <rPr>
            <b/>
            <sz val="9"/>
            <color indexed="81"/>
            <rFont val="Tahoma"/>
            <family val="2"/>
          </rPr>
          <t>Nowinski, Andrew:</t>
        </r>
        <r>
          <rPr>
            <sz val="9"/>
            <color indexed="81"/>
            <rFont val="Tahoma"/>
            <family val="2"/>
          </rPr>
          <t xml:space="preserve">
1Q25: 1</t>
        </r>
      </text>
    </comment>
    <comment ref="AZ169" authorId="1" shapeId="0" xr:uid="{9C66D6E1-C993-4B23-8D9B-72526CE987D1}">
      <text>
        <r>
          <rPr>
            <b/>
            <sz val="9"/>
            <color indexed="81"/>
            <rFont val="Tahoma"/>
            <family val="2"/>
          </rPr>
          <t>Donati, Justin</t>
        </r>
        <r>
          <rPr>
            <sz val="9"/>
            <color indexed="81"/>
            <rFont val="Tahoma"/>
            <family val="2"/>
          </rPr>
          <t xml:space="preserve"> 
3Q22: 1.3MM
2Q22: 1.9MM</t>
        </r>
        <r>
          <rPr>
            <b/>
            <sz val="9"/>
            <color indexed="81"/>
            <rFont val="Tahoma"/>
            <family val="2"/>
          </rPr>
          <t xml:space="preserve">
</t>
        </r>
        <r>
          <rPr>
            <sz val="9"/>
            <color indexed="81"/>
            <rFont val="Tahoma"/>
            <family val="2"/>
          </rPr>
          <t>1Q22: 2.1MM</t>
        </r>
      </text>
    </comment>
    <comment ref="BA169" authorId="2" shapeId="0" xr:uid="{5B514FE6-3246-4EBB-8E5F-0FBF2E21B0D3}">
      <text>
        <r>
          <rPr>
            <b/>
            <sz val="9"/>
            <color indexed="81"/>
            <rFont val="Tahoma"/>
            <family val="2"/>
          </rPr>
          <t>Nowinski, Andrew:</t>
        </r>
        <r>
          <rPr>
            <sz val="9"/>
            <color indexed="81"/>
            <rFont val="Tahoma"/>
            <family val="2"/>
          </rPr>
          <t xml:space="preserve">
4Q22: $3.1</t>
        </r>
      </text>
    </comment>
    <comment ref="BB169" authorId="3" shapeId="0" xr:uid="{186F91B5-D99A-4019-B19C-D1D4525E6B9A}">
      <text>
        <r>
          <rPr>
            <b/>
            <sz val="9"/>
            <color indexed="81"/>
            <rFont val="Tahoma"/>
            <family val="2"/>
          </rPr>
          <t>Schwarz, Stefan A.:</t>
        </r>
        <r>
          <rPr>
            <sz val="9"/>
            <color indexed="81"/>
            <rFont val="Tahoma"/>
            <family val="2"/>
          </rPr>
          <t xml:space="preserve">
2Q24: 3.7
1Q24: 3.4
4Q23: 3.2</t>
        </r>
      </text>
    </comment>
    <comment ref="BC169" authorId="0" shapeId="0" xr:uid="{9C8785C1-EB0A-4E49-823D-38006DD04A41}">
      <text>
        <r>
          <rPr>
            <b/>
            <sz val="9"/>
            <color indexed="81"/>
            <rFont val="Tahoma"/>
            <family val="2"/>
          </rPr>
          <t>Srinivasaraghavan, Vinod:</t>
        </r>
        <r>
          <rPr>
            <sz val="9"/>
            <color indexed="81"/>
            <rFont val="Tahoma"/>
            <family val="2"/>
          </rPr>
          <t xml:space="preserve">
1Q25: 4.0
4Q24: 5.0</t>
        </r>
      </text>
    </comment>
    <comment ref="W170" authorId="1" shapeId="0" xr:uid="{20D440BA-70B0-4F73-A3A4-B84C4CA3E36C}">
      <text>
        <r>
          <rPr>
            <b/>
            <sz val="9"/>
            <color indexed="81"/>
            <rFont val="Tahoma"/>
            <family val="2"/>
          </rPr>
          <t xml:space="preserve">Donati, Justin </t>
        </r>
        <r>
          <rPr>
            <sz val="9"/>
            <color indexed="81"/>
            <rFont val="Tahoma"/>
            <family val="2"/>
          </rPr>
          <t xml:space="preserve">
1Q22: $(0.3MM)</t>
        </r>
      </text>
    </comment>
    <comment ref="X170" authorId="1" shapeId="0" xr:uid="{2F0E0ED5-2A30-4814-9325-6817C35E1803}">
      <text>
        <r>
          <rPr>
            <b/>
            <sz val="9"/>
            <color indexed="81"/>
            <rFont val="Tahoma"/>
            <family val="2"/>
          </rPr>
          <t xml:space="preserve">Donati, Justin </t>
        </r>
        <r>
          <rPr>
            <sz val="9"/>
            <color indexed="81"/>
            <rFont val="Tahoma"/>
            <family val="2"/>
          </rPr>
          <t xml:space="preserve">
2Q22: $(0.3MM)</t>
        </r>
      </text>
    </comment>
    <comment ref="Y170" authorId="1" shapeId="0" xr:uid="{892BC1DE-3504-42A4-90B7-C29AFA0EEE09}">
      <text>
        <r>
          <rPr>
            <b/>
            <sz val="9"/>
            <color indexed="81"/>
            <rFont val="Tahoma"/>
            <family val="2"/>
          </rPr>
          <t xml:space="preserve">Donati, Justin 
</t>
        </r>
        <r>
          <rPr>
            <sz val="9"/>
            <color indexed="81"/>
            <rFont val="Tahoma"/>
            <family val="2"/>
          </rPr>
          <t>3Q22: $(0.6)MM</t>
        </r>
      </text>
    </comment>
    <comment ref="AB170" authorId="3" shapeId="0" xr:uid="{AA3F986F-79EC-457D-8182-F8F2B746A99A}">
      <text>
        <r>
          <rPr>
            <b/>
            <sz val="9"/>
            <color indexed="81"/>
            <rFont val="Tahoma"/>
            <family val="2"/>
          </rPr>
          <t>Schwarz, Stefan A.:</t>
        </r>
        <r>
          <rPr>
            <sz val="9"/>
            <color indexed="81"/>
            <rFont val="Tahoma"/>
            <family val="2"/>
          </rPr>
          <t xml:space="preserve">
2Q23: (0.1)</t>
        </r>
      </text>
    </comment>
    <comment ref="AC170" authorId="2" shapeId="0" xr:uid="{9257AF32-10DF-4A52-84A3-A5ED5EA1EE92}">
      <text>
        <r>
          <rPr>
            <b/>
            <sz val="9"/>
            <color indexed="81"/>
            <rFont val="Tahoma"/>
            <family val="2"/>
          </rPr>
          <t>Nowinski, Andrew:</t>
        </r>
        <r>
          <rPr>
            <sz val="9"/>
            <color indexed="81"/>
            <rFont val="Tahoma"/>
            <family val="2"/>
          </rPr>
          <t xml:space="preserve">
3Q23: 0</t>
        </r>
      </text>
    </comment>
    <comment ref="AD170" authorId="3" shapeId="0" xr:uid="{AA4A61F6-5B60-43B3-B004-0A703A11BF49}">
      <text>
        <r>
          <rPr>
            <b/>
            <sz val="9"/>
            <color indexed="81"/>
            <rFont val="Tahoma"/>
            <family val="2"/>
          </rPr>
          <t>Schwarz, Stefan A.:</t>
        </r>
        <r>
          <rPr>
            <sz val="9"/>
            <color indexed="81"/>
            <rFont val="Tahoma"/>
            <family val="2"/>
          </rPr>
          <t xml:space="preserve">
4Q23: 0.3</t>
        </r>
      </text>
    </comment>
    <comment ref="AE170" authorId="3" shapeId="0" xr:uid="{C535E44D-D0E7-40CD-A0AF-ACCB76657277}">
      <text>
        <r>
          <rPr>
            <b/>
            <sz val="9"/>
            <color indexed="81"/>
            <rFont val="Tahoma"/>
            <family val="2"/>
          </rPr>
          <t>Schwarz, Stefan A.:</t>
        </r>
        <r>
          <rPr>
            <sz val="9"/>
            <color indexed="81"/>
            <rFont val="Tahoma"/>
            <family val="2"/>
          </rPr>
          <t xml:space="preserve">
1Q24: (0.1)</t>
        </r>
      </text>
    </comment>
    <comment ref="AG170" authorId="4" shapeId="0" xr:uid="{2C0BEA8B-29C0-4364-B4F9-C9F03409C495}">
      <text>
        <r>
          <rPr>
            <b/>
            <sz val="9"/>
            <color indexed="81"/>
            <rFont val="Tahoma"/>
            <family val="2"/>
          </rPr>
          <t>Srinivasraghavan, Vinod:</t>
        </r>
        <r>
          <rPr>
            <sz val="9"/>
            <color indexed="81"/>
            <rFont val="Tahoma"/>
            <family val="2"/>
          </rPr>
          <t xml:space="preserve">
-0.1</t>
        </r>
      </text>
    </comment>
    <comment ref="AZ170" authorId="1" shapeId="0" xr:uid="{F9BE3B9B-E252-4E2D-8E10-6714ABCCB6D1}">
      <text>
        <r>
          <rPr>
            <b/>
            <sz val="9"/>
            <color indexed="81"/>
            <rFont val="Tahoma"/>
            <family val="2"/>
          </rPr>
          <t xml:space="preserve">Donati, Justin 
</t>
        </r>
        <r>
          <rPr>
            <sz val="9"/>
            <color indexed="81"/>
            <rFont val="Tahoma"/>
            <family val="2"/>
          </rPr>
          <t>3Q22: $(4.9MM)
2Q22: $(4.0MM)</t>
        </r>
        <r>
          <rPr>
            <b/>
            <sz val="9"/>
            <color indexed="81"/>
            <rFont val="Tahoma"/>
            <family val="2"/>
          </rPr>
          <t xml:space="preserve">
</t>
        </r>
        <r>
          <rPr>
            <sz val="9"/>
            <color indexed="81"/>
            <rFont val="Tahoma"/>
            <family val="2"/>
          </rPr>
          <t>1Q22: $(1.5MM)</t>
        </r>
      </text>
    </comment>
    <comment ref="BA170" authorId="3" shapeId="0" xr:uid="{F27E61AF-30D8-4657-9E76-E85F9D897C70}">
      <text>
        <r>
          <rPr>
            <b/>
            <sz val="9"/>
            <color indexed="81"/>
            <rFont val="Tahoma"/>
            <family val="2"/>
          </rPr>
          <t>Schwarz, Stefan A.:</t>
        </r>
        <r>
          <rPr>
            <sz val="9"/>
            <color indexed="81"/>
            <rFont val="Tahoma"/>
            <family val="2"/>
          </rPr>
          <t xml:space="preserve">
3Q23: (0.2)
2Q23: (0.2)</t>
        </r>
      </text>
    </comment>
    <comment ref="BB170" authorId="3" shapeId="0" xr:uid="{6BAA84CF-60C1-4EF2-9E21-1EA3CE3B11C2}">
      <text>
        <r>
          <rPr>
            <b/>
            <sz val="9"/>
            <color indexed="81"/>
            <rFont val="Tahoma"/>
            <family val="2"/>
          </rPr>
          <t>Schwarz, Stefan A.:</t>
        </r>
        <r>
          <rPr>
            <sz val="9"/>
            <color indexed="81"/>
            <rFont val="Tahoma"/>
            <family val="2"/>
          </rPr>
          <t xml:space="preserve">
2Q24: 
1Q24: (0.2)
4Q23: 1.0</t>
        </r>
      </text>
    </comment>
    <comment ref="W171" authorId="1" shapeId="0" xr:uid="{06A1C403-8272-4656-8B76-51D0EDE72B17}">
      <text>
        <r>
          <rPr>
            <b/>
            <sz val="9"/>
            <color indexed="81"/>
            <rFont val="Tahoma"/>
            <family val="2"/>
          </rPr>
          <t xml:space="preserve">Donati, Justin 
</t>
        </r>
        <r>
          <rPr>
            <sz val="9"/>
            <color indexed="81"/>
            <rFont val="Tahoma"/>
            <family val="2"/>
          </rPr>
          <t>1Q22: 0.6MM</t>
        </r>
      </text>
    </comment>
    <comment ref="X171" authorId="1" shapeId="0" xr:uid="{10D3B3E0-A688-4110-B2E0-F0C1BEBD79D9}">
      <text>
        <r>
          <rPr>
            <b/>
            <sz val="9"/>
            <color indexed="81"/>
            <rFont val="Tahoma"/>
            <family val="2"/>
          </rPr>
          <t xml:space="preserve">Donati, Justin 
</t>
        </r>
        <r>
          <rPr>
            <sz val="9"/>
            <color indexed="81"/>
            <rFont val="Tahoma"/>
            <family val="2"/>
          </rPr>
          <t>2Q22: $0.5MM</t>
        </r>
      </text>
    </comment>
    <comment ref="Y171" authorId="1" shapeId="0" xr:uid="{0046F004-8A73-4F50-BDCD-D3B1C23FBB42}">
      <text>
        <r>
          <rPr>
            <b/>
            <sz val="9"/>
            <color indexed="81"/>
            <rFont val="Tahoma"/>
            <family val="2"/>
          </rPr>
          <t xml:space="preserve">Donati, Justin 
</t>
        </r>
        <r>
          <rPr>
            <sz val="9"/>
            <color indexed="81"/>
            <rFont val="Tahoma"/>
            <family val="2"/>
          </rPr>
          <t>3Q22: $0.7MM</t>
        </r>
      </text>
    </comment>
    <comment ref="AZ171" authorId="1" shapeId="0" xr:uid="{9359F7FC-FEBB-4E6B-8AC6-52A8108B6AB9}">
      <text>
        <r>
          <rPr>
            <b/>
            <sz val="9"/>
            <color indexed="81"/>
            <rFont val="Tahoma"/>
            <family val="2"/>
          </rPr>
          <t xml:space="preserve">Donati, Justin 
</t>
        </r>
        <r>
          <rPr>
            <sz val="9"/>
            <color indexed="81"/>
            <rFont val="Tahoma"/>
            <family val="2"/>
          </rPr>
          <t>3Q22: $2.8MM
2Q22: $2.9MM</t>
        </r>
        <r>
          <rPr>
            <b/>
            <sz val="9"/>
            <color indexed="81"/>
            <rFont val="Tahoma"/>
            <family val="2"/>
          </rPr>
          <t xml:space="preserve">
</t>
        </r>
        <r>
          <rPr>
            <sz val="9"/>
            <color indexed="81"/>
            <rFont val="Tahoma"/>
            <family val="2"/>
          </rPr>
          <t>1Q22: $2.9MM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Srinivasaraghavan, Vinod</author>
    <author>Donati, Justin [WELLS FARGO SEC RES CONS]</author>
    <author>Nowinski, Andrew</author>
    <author>tc={940282A8-C743-47F5-8CD1-1A3FE877E8E1}</author>
    <author>tc={BC82EE2E-86A3-4FEC-B57F-BC16C92D4662}</author>
    <author>Schwarz, Stefan A.</author>
  </authors>
  <commentList>
    <comment ref="BC7" authorId="0" shapeId="0" xr:uid="{C87889BA-29EE-439B-A1F0-D5E3E5083F05}">
      <text>
        <r>
          <rPr>
            <b/>
            <sz val="9"/>
            <color indexed="81"/>
            <rFont val="Tahoma"/>
            <family val="2"/>
          </rPr>
          <t>Srinivasaraghavan, Vinod:</t>
        </r>
        <r>
          <rPr>
            <sz val="9"/>
            <color indexed="81"/>
            <rFont val="Tahoma"/>
            <family val="2"/>
          </rPr>
          <t xml:space="preserve">
4Q24: guide midpoint is 8.4% Y/Y (Vulcan adds an add'l 50bps)</t>
        </r>
      </text>
    </comment>
    <comment ref="AH10" authorId="0" shapeId="0" xr:uid="{D573AC7D-33A3-4EFA-B7DE-170C42536FCC}">
      <text>
        <r>
          <rPr>
            <b/>
            <sz val="9"/>
            <color indexed="81"/>
            <rFont val="Tahoma"/>
            <family val="2"/>
          </rPr>
          <t>Srinivasaraghavan, Vinod:</t>
        </r>
        <r>
          <rPr>
            <sz val="9"/>
            <color indexed="81"/>
            <rFont val="Tahoma"/>
            <family val="2"/>
          </rPr>
          <t xml:space="preserve">
2/7/25: revised to 233-235 w/ Vulcan, was 232-234 prior</t>
        </r>
      </text>
    </comment>
    <comment ref="AY10" authorId="1" shapeId="0" xr:uid="{02080375-262B-4371-8E85-D91933274701}">
      <text>
        <r>
          <rPr>
            <b/>
            <sz val="9"/>
            <color indexed="81"/>
            <rFont val="Tahoma"/>
            <family val="2"/>
          </rPr>
          <t xml:space="preserve">Donati, Justin 
</t>
        </r>
        <r>
          <rPr>
            <sz val="9"/>
            <color indexed="81"/>
            <rFont val="Tahoma"/>
            <family val="2"/>
          </rPr>
          <t>3Q21: $535.1 - 537.1MM
2Q21: $528.0 - 531.0MM
1Q21: $520.0 - 524.0MM
4Q20: $510.0 - 515.0MM</t>
        </r>
      </text>
    </comment>
    <comment ref="AZ10" authorId="2" shapeId="0" xr:uid="{996263A3-743C-4712-83C9-E7E094F33CDB}">
      <text>
        <r>
          <rPr>
            <b/>
            <sz val="9"/>
            <color indexed="81"/>
            <rFont val="Tahoma"/>
            <family val="2"/>
          </rPr>
          <t>Nowinski, Andrew:</t>
        </r>
        <r>
          <rPr>
            <sz val="9"/>
            <color indexed="81"/>
            <rFont val="Tahoma"/>
            <family val="2"/>
          </rPr>
          <t xml:space="preserve">
3Q22: $678.6 - 680.6
2Q22: $673.0 - 679.0
1Q22: $673.0 - 679.0
4Q21: $662.0 - 670.0</t>
        </r>
      </text>
    </comment>
    <comment ref="BA10" authorId="2" shapeId="0" xr:uid="{6A92BF12-6FA5-4021-813A-3C7E6761E024}">
      <text>
        <r>
          <rPr>
            <b/>
            <sz val="9"/>
            <color indexed="81"/>
            <rFont val="Tahoma"/>
            <family val="2"/>
          </rPr>
          <t>Nowinski, Andrew:</t>
        </r>
        <r>
          <rPr>
            <sz val="9"/>
            <color indexed="81"/>
            <rFont val="Tahoma"/>
            <family val="2"/>
          </rPr>
          <t xml:space="preserve">
3Q23: 789.4-793.4
2Q23: 783-791
1Q23: 775-785
4Q22: 800-810
12/15/21 (Analyst Day): 20%+ CAGR through 2025</t>
        </r>
      </text>
    </comment>
    <comment ref="BB10" authorId="2" shapeId="0" xr:uid="{EEAAA4E8-92F1-4D65-8402-FD722894143E}">
      <text>
        <r>
          <rPr>
            <b/>
            <sz val="9"/>
            <color indexed="81"/>
            <rFont val="Tahoma"/>
            <family val="2"/>
          </rPr>
          <t>Nowinski, Andrew:</t>
        </r>
        <r>
          <rPr>
            <sz val="9"/>
            <color indexed="81"/>
            <rFont val="Tahoma"/>
            <family val="2"/>
          </rPr>
          <t xml:space="preserve">
3Q24: 893.3-897.3
2Q24: 889-895
1Q24: 900-908
4Q23: 895-905
9/7 (Ermetic acq.): Ermetic acquisition to 1 point to growth
12/15/21 (Analyst Day): 20%+ CAGR through 2025</t>
        </r>
      </text>
    </comment>
    <comment ref="BC10" authorId="2" shapeId="0" xr:uid="{EB263C63-816F-4179-8368-441E76A48D1A}">
      <text>
        <r>
          <rPr>
            <b/>
            <sz val="9"/>
            <color indexed="81"/>
            <rFont val="Tahoma"/>
            <family val="2"/>
          </rPr>
          <t>Nowinski, Andrew:</t>
        </r>
        <r>
          <rPr>
            <sz val="9"/>
            <color indexed="81"/>
            <rFont val="Tahoma"/>
            <family val="2"/>
          </rPr>
          <t xml:space="preserve">
3Q25: 988-992
4/29/25: $970-$980
2/7/25: revised to 975-985 after Vulcan closed
4Q24: $971-$981 (Vulcan will add 50bps in 2H, not included yet)
9/7 (Ermetic acq.): Ermetic acquisition to 1 point to growth
12/15/21 (Analyst Day): 20%+ CAGR through 2025</t>
        </r>
      </text>
    </comment>
    <comment ref="V38" authorId="2" shapeId="0" xr:uid="{01BCE6FE-5C12-43F6-B9C8-3C67EC30E0D8}">
      <text>
        <r>
          <rPr>
            <b/>
            <sz val="9"/>
            <color indexed="81"/>
            <rFont val="Tahoma"/>
            <family val="2"/>
          </rPr>
          <t>Nowinski, Andrew:</t>
        </r>
        <r>
          <rPr>
            <sz val="9"/>
            <color indexed="81"/>
            <rFont val="Tahoma"/>
            <family val="2"/>
          </rPr>
          <t xml:space="preserve">
1Q22: Added $0.137 due to the contribution from Cymptom</t>
        </r>
      </text>
    </comment>
    <comment ref="W38" authorId="1" shapeId="0" xr:uid="{471089F9-8E71-4400-9B9B-5119D6907B95}">
      <text>
        <r>
          <rPr>
            <b/>
            <sz val="9"/>
            <color indexed="81"/>
            <rFont val="Tahoma"/>
            <family val="2"/>
          </rPr>
          <t xml:space="preserve">Donati, Justin 
</t>
        </r>
        <r>
          <rPr>
            <sz val="9"/>
            <color indexed="81"/>
            <rFont val="Tahoma"/>
            <family val="2"/>
          </rPr>
          <t>2Q22: Added $0.808MM due to the contribution from Cymptom</t>
        </r>
      </text>
    </comment>
    <comment ref="AH38" authorId="0" shapeId="0" xr:uid="{6DA2F3B0-E4F8-44C3-88C6-19C6DFEE3267}">
      <text>
        <r>
          <rPr>
            <b/>
            <sz val="9"/>
            <color indexed="81"/>
            <rFont val="Tahoma"/>
            <family val="2"/>
          </rPr>
          <t>Srinivasaraghavan, Vinod:</t>
        </r>
        <r>
          <rPr>
            <sz val="9"/>
            <color indexed="81"/>
            <rFont val="Tahoma"/>
            <family val="2"/>
          </rPr>
          <t xml:space="preserve">
Incl. $6,629 of acquired deferred revenue</t>
        </r>
      </text>
    </comment>
    <comment ref="BC41" authorId="3" shapeId="0" xr:uid="{940282A8-C743-47F5-8CD1-1A3FE877E8E1}">
      <text>
        <t>[Threaded comment]
Your version of Excel allows you to read this threaded comment; however, any edits to it will get removed if the file is opened in a newer version of Excel. Learn more: https://go.microsoft.com/fwlink/?linkid=870924
Comment:
    1.038-1.048</t>
      </text>
    </comment>
    <comment ref="BD41" authorId="4" shapeId="0" xr:uid="{BC82EE2E-86A3-4FEC-B57F-BC16C92D4662}">
      <text>
        <t xml:space="preserve">[Threaded comment]
Your version of Excel allows you to read this threaded comment; however, any edits to it will get removed if the file is opened in a newer version of Excel. Learn more: https://go.microsoft.com/fwlink/?linkid=870924
Comment:
    As discussed previously, changes in billing duration due to the shift to annual installment billing is creating negative distortion in calculated current billings that fails to accurately represent our growth rate, and we have transitioned away from relying on calculated current billings to monitor performance of our business. Consequently, we will no longer provide a specific guidance range for calculated current billings in 2026 and forward. However, while we will not provide a specific guidance range, we expect full year 2026 calculated current billings will be in line with current consensus expectations, despite the anticipated billings duration headwinds. </t>
      </text>
    </comment>
    <comment ref="AA43" authorId="2" shapeId="0" xr:uid="{5A807734-EBE1-4F7B-B6C9-5329B5A94F4E}">
      <text>
        <r>
          <rPr>
            <b/>
            <sz val="9"/>
            <color indexed="81"/>
            <rFont val="Tahoma"/>
            <family val="2"/>
          </rPr>
          <t>Nowinski, Andrew:</t>
        </r>
        <r>
          <rPr>
            <sz val="9"/>
            <color indexed="81"/>
            <rFont val="Tahoma"/>
            <family val="2"/>
          </rPr>
          <t xml:space="preserve">
1Q23: slightly lower than the 13-14% guidance for the year</t>
        </r>
      </text>
    </comment>
    <comment ref="BB43" authorId="5" shapeId="0" xr:uid="{F98DAD7A-569A-46B8-A9AC-BBD1BE85FE1F}">
      <text>
        <r>
          <rPr>
            <b/>
            <sz val="9"/>
            <color indexed="81"/>
            <rFont val="Tahoma"/>
            <family val="2"/>
          </rPr>
          <t>Schwarz, Stefan A.:</t>
        </r>
        <r>
          <rPr>
            <sz val="9"/>
            <color indexed="81"/>
            <rFont val="Tahoma"/>
            <family val="2"/>
          </rPr>
          <t xml:space="preserve">
4Q23: expect growth to accelerate modestly throughout the year</t>
        </r>
      </text>
    </comment>
    <comment ref="BC43" authorId="0" shapeId="0" xr:uid="{07D48ADA-FF94-4F8F-8B1B-43146D15125B}">
      <text>
        <r>
          <rPr>
            <b/>
            <sz val="9"/>
            <color indexed="81"/>
            <rFont val="Tahoma"/>
            <family val="2"/>
          </rPr>
          <t>Srinivasaraghavan, Vinod:</t>
        </r>
        <r>
          <rPr>
            <sz val="9"/>
            <color indexed="81"/>
            <rFont val="Tahoma"/>
            <family val="2"/>
          </rPr>
          <t xml:space="preserve">
2Q25: 1.043-1.048; raising by 0.8%
4Q24: CCB midpoint is 8% (50bps add'l from Vulcan)</t>
        </r>
      </text>
    </comment>
    <comment ref="AY46" authorId="1" shapeId="0" xr:uid="{41269FDB-02AC-494D-A1B8-439E5C6EFCF3}">
      <text>
        <r>
          <rPr>
            <b/>
            <sz val="9"/>
            <color indexed="81"/>
            <rFont val="Tahoma"/>
            <family val="2"/>
          </rPr>
          <t xml:space="preserve">Donati, Justin 
</t>
        </r>
        <r>
          <rPr>
            <sz val="9"/>
            <color indexed="81"/>
            <rFont val="Tahoma"/>
            <family val="2"/>
          </rPr>
          <t>3Q21: $602.0 - 605.0MM
2Q21: $590.0 - 595.0MM
1Q21: $575.0 - 585.0MM
4Q20: $565.0 - 575.0MM</t>
        </r>
      </text>
    </comment>
    <comment ref="AZ46" authorId="1" shapeId="0" xr:uid="{5BCF6249-16B5-4334-A9C9-648B7E836B31}">
      <text>
        <r>
          <rPr>
            <b/>
            <sz val="9"/>
            <color indexed="81"/>
            <rFont val="Tahoma"/>
            <family val="2"/>
          </rPr>
          <t xml:space="preserve">Donati, Justin </t>
        </r>
        <r>
          <rPr>
            <sz val="9"/>
            <color indexed="81"/>
            <rFont val="Tahoma"/>
            <family val="2"/>
          </rPr>
          <t xml:space="preserve">
3Q22: $768.0 - 776.0MM
2Q22: $768.0 - 776.0MM
1Q22: $764.0 - 772.0MM
4Q21: $750.0 - 760.0MM</t>
        </r>
      </text>
    </comment>
    <comment ref="BA46" authorId="5" shapeId="0" xr:uid="{2CE01413-12A9-427D-B1A1-E67EA4DD6A5F}">
      <text>
        <r>
          <rPr>
            <b/>
            <sz val="9"/>
            <color indexed="81"/>
            <rFont val="Tahoma"/>
            <family val="2"/>
          </rPr>
          <t>Schwarz, Stefan A.:</t>
        </r>
        <r>
          <rPr>
            <sz val="9"/>
            <color indexed="81"/>
            <rFont val="Tahoma"/>
            <family val="2"/>
          </rPr>
          <t xml:space="preserve">
3Q23: 862-870
2Q23: 879-887
1Q23: 875-885
4Q22: 915-925</t>
        </r>
      </text>
    </comment>
    <comment ref="BB46" authorId="2" shapeId="0" xr:uid="{F6DB5C65-68DA-4177-B53E-B2B10E09269C}">
      <text>
        <r>
          <rPr>
            <b/>
            <sz val="9"/>
            <color indexed="81"/>
            <rFont val="Tahoma"/>
            <family val="2"/>
          </rPr>
          <t>Nowinski, Andrew:</t>
        </r>
        <r>
          <rPr>
            <sz val="9"/>
            <color indexed="81"/>
            <rFont val="Tahoma"/>
            <family val="2"/>
          </rPr>
          <t xml:space="preserve">
3Q24: 957-967
2Q24: 957-967
1Q24: 986-994
4Q23: 982-992
3Q23: mid-teens growth
9/7 (Ermetic aqcn): Ermetic acquisition to add 2 points to growth</t>
        </r>
      </text>
    </comment>
    <comment ref="BC46" authorId="0" shapeId="0" xr:uid="{36FC57F7-D75F-4322-9690-7A0E9D2DA90C}">
      <text>
        <r>
          <rPr>
            <b/>
            <sz val="9"/>
            <color indexed="81"/>
            <rFont val="Tahoma"/>
            <family val="2"/>
          </rPr>
          <t>Srinivasaraghavan, Vinod:</t>
        </r>
        <r>
          <rPr>
            <sz val="9"/>
            <color indexed="81"/>
            <rFont val="Tahoma"/>
            <family val="2"/>
          </rPr>
          <t xml:space="preserve">
4/29/25: $1,025-$1,045
2/7/25: revised w/ Vulcan to $1,045 -$1,060
4Q24: $1,040-$1,055 (Vulcan adds an incremental 50bps on top of this in 2H)</t>
        </r>
      </text>
    </comment>
    <comment ref="E67" authorId="1" shapeId="0" xr:uid="{145C4EC5-88F7-4F9A-8AD7-8305C5CB5F52}">
      <text>
        <r>
          <rPr>
            <b/>
            <sz val="9"/>
            <color indexed="81"/>
            <rFont val="Tahoma"/>
            <family val="2"/>
          </rPr>
          <t xml:space="preserve">Donati, Justin 
</t>
        </r>
        <r>
          <rPr>
            <sz val="9"/>
            <color indexed="81"/>
            <rFont val="Tahoma"/>
            <family val="2"/>
          </rPr>
          <t xml:space="preserve">Tenable had over 21,000 customers as of December 2016 </t>
        </r>
      </text>
    </comment>
    <comment ref="AU67" authorId="1" shapeId="0" xr:uid="{C8187E8E-C3F1-476C-A454-F033569F24D9}">
      <text>
        <r>
          <rPr>
            <b/>
            <sz val="9"/>
            <color indexed="81"/>
            <rFont val="Tahoma"/>
            <family val="2"/>
          </rPr>
          <t xml:space="preserve">Donati, Justin 
</t>
        </r>
        <r>
          <rPr>
            <sz val="9"/>
            <color indexed="81"/>
            <rFont val="Tahoma"/>
            <family val="2"/>
          </rPr>
          <t xml:space="preserve">Tenable had over 21,000 customers as of December 2016 </t>
        </r>
      </text>
    </comment>
    <comment ref="E72" authorId="1" shapeId="0" xr:uid="{83FEF34B-84A7-48AF-83D2-5D2D4E4E95D7}">
      <text>
        <r>
          <rPr>
            <b/>
            <sz val="9"/>
            <color indexed="81"/>
            <rFont val="Tahoma"/>
            <family val="2"/>
          </rPr>
          <t xml:space="preserve">Donati, Justin 
</t>
        </r>
        <r>
          <rPr>
            <sz val="9"/>
            <color indexed="81"/>
            <rFont val="Tahoma"/>
            <family val="2"/>
          </rPr>
          <t xml:space="preserve">Tenable had over 3,100 enterprise platform customers as of December 2016 </t>
        </r>
      </text>
    </comment>
    <comment ref="AU72" authorId="1" shapeId="0" xr:uid="{51D7EED5-A3DB-44AA-B801-47B9C48CA0CC}">
      <text>
        <r>
          <rPr>
            <b/>
            <sz val="9"/>
            <color indexed="81"/>
            <rFont val="Tahoma"/>
            <family val="2"/>
          </rPr>
          <t xml:space="preserve">Donati, Justin 
</t>
        </r>
        <r>
          <rPr>
            <sz val="9"/>
            <color indexed="81"/>
            <rFont val="Tahoma"/>
            <family val="2"/>
          </rPr>
          <t xml:space="preserve">Tenable had over 3,100 enterprise platform customers as of December 2016 </t>
        </r>
      </text>
    </comment>
    <comment ref="S73" authorId="1" shapeId="0" xr:uid="{9E0987B8-C03B-4839-9DC2-18840053CA62}">
      <text>
        <r>
          <rPr>
            <b/>
            <sz val="9"/>
            <color indexed="81"/>
            <rFont val="Tahoma"/>
            <family val="2"/>
          </rPr>
          <t xml:space="preserve">Donati, Justin 
</t>
        </r>
        <r>
          <rPr>
            <sz val="9"/>
            <color indexed="81"/>
            <rFont val="Tahoma"/>
            <family val="2"/>
          </rPr>
          <t>Included 91 legacy Alsid customers</t>
        </r>
      </text>
    </comment>
    <comment ref="AH73" authorId="0" shapeId="0" xr:uid="{F8DFCEB6-7CF7-42CD-AEA6-8B6C41D68728}">
      <text>
        <r>
          <rPr>
            <b/>
            <sz val="9"/>
            <color indexed="81"/>
            <rFont val="Tahoma"/>
            <family val="2"/>
          </rPr>
          <t>Srinivasaraghavan, Vinod:</t>
        </r>
        <r>
          <rPr>
            <sz val="9"/>
            <color indexed="81"/>
            <rFont val="Tahoma"/>
            <family val="2"/>
          </rPr>
          <t xml:space="preserve">
Includes 26 legacy Vulcan customers</t>
        </r>
      </text>
    </comment>
    <comment ref="AU73" authorId="1" shapeId="0" xr:uid="{31598F5A-3178-41AA-8C29-9E4DC4347341}">
      <text>
        <r>
          <rPr>
            <b/>
            <sz val="9"/>
            <color indexed="81"/>
            <rFont val="Tahoma"/>
            <family val="2"/>
          </rPr>
          <t xml:space="preserve">Donati, Justin 
</t>
        </r>
        <r>
          <rPr>
            <sz val="9"/>
            <color indexed="81"/>
            <rFont val="Tahoma"/>
            <family val="2"/>
          </rPr>
          <t>Tenable added 1,017 enterprise platform customers in 2017</t>
        </r>
      </text>
    </comment>
    <comment ref="AY73" authorId="5" shapeId="0" xr:uid="{FEF8FB09-C9AC-42E4-9421-9CE907C9B536}">
      <text>
        <r>
          <rPr>
            <b/>
            <sz val="9"/>
            <color indexed="81"/>
            <rFont val="Tahoma"/>
            <family val="2"/>
          </rPr>
          <t>Schwarz, Stefan A.:</t>
        </r>
        <r>
          <rPr>
            <sz val="9"/>
            <color indexed="81"/>
            <rFont val="Tahoma"/>
            <family val="2"/>
          </rPr>
          <t xml:space="preserve">
FY23 10K: 95 legacy customers from companies acquired in 2021</t>
        </r>
      </text>
    </comment>
    <comment ref="BA73" authorId="5" shapeId="0" xr:uid="{71553CDC-D000-4CA7-8262-01CAB5050F41}">
      <text>
        <r>
          <rPr>
            <b/>
            <sz val="9"/>
            <color indexed="81"/>
            <rFont val="Tahoma"/>
            <family val="2"/>
          </rPr>
          <t>Schwarz, Stefan A.:</t>
        </r>
        <r>
          <rPr>
            <sz val="9"/>
            <color indexed="81"/>
            <rFont val="Tahoma"/>
            <family val="2"/>
          </rPr>
          <t xml:space="preserve">
FY23 10K: 104 legacy customers from companies acquired</t>
        </r>
      </text>
    </comment>
    <comment ref="E77" authorId="1" shapeId="0" xr:uid="{098F0DB8-A7E0-4BE0-A7E9-649D9F64AC41}">
      <text>
        <r>
          <rPr>
            <b/>
            <sz val="9"/>
            <color indexed="81"/>
            <rFont val="Tahoma"/>
            <family val="2"/>
          </rPr>
          <t xml:space="preserve">Donati, Justin 
</t>
        </r>
        <r>
          <rPr>
            <sz val="9"/>
            <color indexed="81"/>
            <rFont val="Tahoma"/>
            <family val="2"/>
          </rPr>
          <t>Tenable had 124 customers &gt;$100K as of December 2016 and 45 as of December 2015</t>
        </r>
      </text>
    </comment>
    <comment ref="AU77" authorId="1" shapeId="0" xr:uid="{46BA26A7-355D-4192-B6E1-7B35B350DF58}">
      <text>
        <r>
          <rPr>
            <b/>
            <sz val="9"/>
            <color indexed="81"/>
            <rFont val="Tahoma"/>
            <family val="2"/>
          </rPr>
          <t xml:space="preserve">Donati, Justin 
</t>
        </r>
        <r>
          <rPr>
            <sz val="9"/>
            <color indexed="81"/>
            <rFont val="Tahoma"/>
            <family val="2"/>
          </rPr>
          <t>Tenable had 124 customers &gt;$100K as of December 2016 and 45 as of December 2015</t>
        </r>
      </text>
    </comment>
    <comment ref="AC78" authorId="5" shapeId="0" xr:uid="{8A9E87AB-94C2-473B-9C9A-EDECDF79EB62}">
      <text>
        <r>
          <rPr>
            <b/>
            <sz val="9"/>
            <color indexed="81"/>
            <rFont val="Tahoma"/>
            <family val="2"/>
          </rPr>
          <t>Schwarz, Stefan A.:</t>
        </r>
        <r>
          <rPr>
            <sz val="9"/>
            <color indexed="81"/>
            <rFont val="Tahoma"/>
            <family val="2"/>
          </rPr>
          <t xml:space="preserve">
4Q23: includes 104 eneterprise customers and 15 six-figure customers from Ermetic</t>
        </r>
      </text>
    </comment>
    <comment ref="E111" authorId="1" shapeId="0" xr:uid="{4949C952-F54E-4E1B-9F12-92D9CCCEC583}">
      <text>
        <r>
          <rPr>
            <b/>
            <sz val="9"/>
            <color indexed="81"/>
            <rFont val="Tahoma"/>
            <family val="2"/>
          </rPr>
          <t xml:space="preserve">Donati, Justin 
</t>
        </r>
        <r>
          <rPr>
            <sz val="9"/>
            <color indexed="81"/>
            <rFont val="Tahoma"/>
            <family val="2"/>
          </rPr>
          <t>Tenable had 751 employees as of December 2016</t>
        </r>
      </text>
    </comment>
    <comment ref="AU111" authorId="1" shapeId="0" xr:uid="{A0039B37-6804-4128-95A0-455743A388D5}">
      <text>
        <r>
          <rPr>
            <b/>
            <sz val="9"/>
            <color indexed="81"/>
            <rFont val="Tahoma"/>
            <family val="2"/>
          </rPr>
          <t xml:space="preserve">Donati, Justin 
</t>
        </r>
        <r>
          <rPr>
            <sz val="9"/>
            <color indexed="81"/>
            <rFont val="Tahoma"/>
            <family val="2"/>
          </rPr>
          <t>Tenable had 751 employees as of December 2016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Schwarz, Stefan A.</author>
  </authors>
  <commentList>
    <comment ref="AC41" authorId="0" shapeId="0" xr:uid="{F2E09C34-CCE0-4C73-8EF1-B147E3D46983}">
      <text>
        <r>
          <rPr>
            <b/>
            <sz val="9"/>
            <color indexed="81"/>
            <rFont val="Tahoma"/>
            <family val="2"/>
          </rPr>
          <t>Schwarz, Stefan A.:</t>
        </r>
        <r>
          <rPr>
            <sz val="9"/>
            <color indexed="81"/>
            <rFont val="Tahoma"/>
            <family val="2"/>
          </rPr>
          <t xml:space="preserve">
-14.934 Treasury stock</t>
        </r>
      </text>
    </comment>
    <comment ref="AD41" authorId="0" shapeId="0" xr:uid="{037D6103-5320-4B45-BFB3-49F68129008C}">
      <text>
        <r>
          <rPr>
            <b/>
            <sz val="9"/>
            <color indexed="81"/>
            <rFont val="Tahoma"/>
            <family val="2"/>
          </rPr>
          <t>Schwarz, Stefan A.:</t>
        </r>
        <r>
          <rPr>
            <sz val="9"/>
            <color indexed="81"/>
            <rFont val="Tahoma"/>
            <family val="2"/>
          </rPr>
          <t xml:space="preserve">
-39.925 treasury stock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Schwarz, Stefan A.</author>
    <author>Srinivasaraghavan, Vinod</author>
    <author>Nowinski, Andrew</author>
    <author>tc={A3693296-939E-48C9-B037-08F3C8F934EF}</author>
    <author>tc={0C57D4B4-AD90-4CBF-92FF-40B04C3BC372}</author>
    <author>Donati, Justin [WELLS FARGO SEC RES CONS]</author>
  </authors>
  <commentList>
    <comment ref="BA20" authorId="0" shapeId="0" xr:uid="{3D31B477-8A82-45CE-A1BD-B98C312092B6}">
      <text>
        <r>
          <rPr>
            <b/>
            <sz val="9"/>
            <color indexed="81"/>
            <rFont val="Tahoma"/>
            <family val="2"/>
          </rPr>
          <t>Schwarz, Stefan A.:</t>
        </r>
        <r>
          <rPr>
            <sz val="9"/>
            <color indexed="81"/>
            <rFont val="Tahoma"/>
            <family val="2"/>
          </rPr>
          <t xml:space="preserve">
3Q23: 143.4-148.4 = 145.9
2Q23: 156.0-161.0 = 158.5
1Q23: 149.8-154.8 = 152.3</t>
        </r>
      </text>
    </comment>
    <comment ref="BB20" authorId="0" shapeId="0" xr:uid="{1176DF76-4175-4430-A56A-F16998108EBF}">
      <text>
        <r>
          <rPr>
            <b/>
            <sz val="9"/>
            <color indexed="81"/>
            <rFont val="Tahoma"/>
            <family val="2"/>
          </rPr>
          <t>Schwarz, Stefan A.:</t>
        </r>
        <r>
          <rPr>
            <sz val="9"/>
            <color indexed="81"/>
            <rFont val="Tahoma"/>
            <family val="2"/>
          </rPr>
          <t xml:space="preserve">
2Q24: 206.2-216.2
1Q24: 202-212
4Q23: 201-211</t>
        </r>
      </text>
    </comment>
    <comment ref="BC20" authorId="1" shapeId="0" xr:uid="{BF9C5A82-4B8E-445A-B283-C6B40E3E72A9}">
      <text>
        <r>
          <rPr>
            <b/>
            <sz val="9"/>
            <color indexed="81"/>
            <rFont val="Tahoma"/>
            <family val="2"/>
          </rPr>
          <t>Srinivasaraghavan, Vinod:</t>
        </r>
        <r>
          <rPr>
            <sz val="9"/>
            <color indexed="81"/>
            <rFont val="Tahoma"/>
            <family val="2"/>
          </rPr>
          <t xml:space="preserve">
1Q25: 256-266 = 261
4Q24: 278-288 (standalone TENB)</t>
        </r>
      </text>
    </comment>
    <comment ref="AZ23" authorId="0" shapeId="0" xr:uid="{8110AFF4-5627-4067-B5CF-41E377D986D9}">
      <text>
        <r>
          <rPr>
            <b/>
            <sz val="9"/>
            <color indexed="81"/>
            <rFont val="Tahoma"/>
            <family val="2"/>
          </rPr>
          <t>Schwarz, Stefan A.:</t>
        </r>
        <r>
          <rPr>
            <sz val="9"/>
            <color indexed="81"/>
            <rFont val="Tahoma"/>
            <family val="2"/>
          </rPr>
          <t xml:space="preserve">
Purchases of property and equipment: $9.359MM
Capitalized software development costs: $9.789MM</t>
        </r>
      </text>
    </comment>
    <comment ref="BA23" authorId="0" shapeId="0" xr:uid="{3098DFFF-20C9-4976-9989-3CBF22476895}">
      <text>
        <r>
          <rPr>
            <b/>
            <sz val="9"/>
            <color indexed="81"/>
            <rFont val="Tahoma"/>
            <family val="2"/>
          </rPr>
          <t>Schwarz, Stefan A.:</t>
        </r>
        <r>
          <rPr>
            <sz val="9"/>
            <color indexed="81"/>
            <rFont val="Tahoma"/>
            <family val="2"/>
          </rPr>
          <t xml:space="preserve">
3Q23: (3.2) + (6.8) = (10)
2Q23: (10.5)
1Q23: (7)</t>
        </r>
      </text>
    </comment>
    <comment ref="BB23" authorId="0" shapeId="0" xr:uid="{77DB5478-10F1-445F-86F6-DA25FA1D4A9E}">
      <text>
        <r>
          <rPr>
            <b/>
            <sz val="9"/>
            <color indexed="81"/>
            <rFont val="Tahoma"/>
            <family val="2"/>
          </rPr>
          <t>Schwarz, Stefan A.:</t>
        </r>
        <r>
          <rPr>
            <sz val="9"/>
            <color indexed="81"/>
            <rFont val="Tahoma"/>
            <family val="2"/>
          </rPr>
          <t xml:space="preserve">
3Q24: (5.9)
2Q24: (6.0)
1Q24: (7.3)
4Q23: (7.7)</t>
        </r>
      </text>
    </comment>
    <comment ref="BC23" authorId="1" shapeId="0" xr:uid="{532CC054-3D51-4098-8C43-59324D0C56A3}">
      <text>
        <r>
          <rPr>
            <b/>
            <sz val="9"/>
            <color indexed="81"/>
            <rFont val="Tahoma"/>
            <family val="2"/>
          </rPr>
          <t>Srinivasaraghavan, Vinod:</t>
        </r>
        <r>
          <rPr>
            <sz val="9"/>
            <color indexed="81"/>
            <rFont val="Tahoma"/>
            <family val="2"/>
          </rPr>
          <t xml:space="preserve">
1Q25: (15.0)
4Q24: (17.0)</t>
        </r>
      </text>
    </comment>
    <comment ref="BA24" authorId="0" shapeId="0" xr:uid="{9B92840A-CB25-47B0-8DFD-025D83CACBF2}">
      <text>
        <r>
          <rPr>
            <b/>
            <sz val="9"/>
            <color indexed="81"/>
            <rFont val="Tahoma"/>
            <family val="2"/>
          </rPr>
          <t>Schwarz, Stefan A.:</t>
        </r>
        <r>
          <rPr>
            <sz val="9"/>
            <color indexed="81"/>
            <rFont val="Tahoma"/>
            <family val="2"/>
          </rPr>
          <t xml:space="preserve">
3Q23: (3.2) + (6.8) = (10)
2Q23: (10.5)
1Q23: (7)</t>
        </r>
      </text>
    </comment>
    <comment ref="BB24" authorId="0" shapeId="0" xr:uid="{6943DA6E-D592-4E26-B984-3E2A2A9CE30D}">
      <text>
        <r>
          <rPr>
            <b/>
            <sz val="9"/>
            <color indexed="81"/>
            <rFont val="Tahoma"/>
            <family val="2"/>
          </rPr>
          <t>Schwarz, Stefan A.:</t>
        </r>
        <r>
          <rPr>
            <sz val="9"/>
            <color indexed="81"/>
            <rFont val="Tahoma"/>
            <family val="2"/>
          </rPr>
          <t xml:space="preserve">
3Q24: (6.7)
2Q24: (6.5)
1Q24: (6)
4Q23: (4)</t>
        </r>
      </text>
    </comment>
    <comment ref="BC24" authorId="1" shapeId="0" xr:uid="{F27C5412-C976-483B-8839-01E06B47AFB8}">
      <text>
        <r>
          <rPr>
            <b/>
            <sz val="9"/>
            <color indexed="81"/>
            <rFont val="Tahoma"/>
            <family val="2"/>
          </rPr>
          <t>Srinivasaraghavan, Vinod:</t>
        </r>
        <r>
          <rPr>
            <sz val="9"/>
            <color indexed="81"/>
            <rFont val="Tahoma"/>
            <family val="2"/>
          </rPr>
          <t xml:space="preserve">
1Q25: (3.0)
4Q24: (3.0)</t>
        </r>
      </text>
    </comment>
    <comment ref="BA48" authorId="0" shapeId="0" xr:uid="{4134E8CB-4E93-424D-A7F9-4F00A6A67F96}">
      <text>
        <r>
          <rPr>
            <b/>
            <sz val="9"/>
            <color indexed="81"/>
            <rFont val="Tahoma"/>
            <family val="2"/>
          </rPr>
          <t xml:space="preserve">Schwarz, Stefan A.:
</t>
        </r>
        <r>
          <rPr>
            <sz val="9"/>
            <color indexed="81"/>
            <rFont val="Tahoma"/>
            <family val="2"/>
          </rPr>
          <t>3Q23: 133.4-138.4 = 135.9</t>
        </r>
        <r>
          <rPr>
            <b/>
            <sz val="9"/>
            <color indexed="81"/>
            <rFont val="Tahoma"/>
            <family val="2"/>
          </rPr>
          <t xml:space="preserve">
</t>
        </r>
        <r>
          <rPr>
            <sz val="9"/>
            <color indexed="81"/>
            <rFont val="Tahoma"/>
            <family val="2"/>
          </rPr>
          <t>2Q23: 145.5-150.5 = 148.0
1Q23: 142.8-147.8 = 145.3</t>
        </r>
      </text>
    </comment>
    <comment ref="BB48" authorId="0" shapeId="0" xr:uid="{4944A051-2185-427B-A4BD-92BC70E290D3}">
      <text>
        <r>
          <rPr>
            <b/>
            <sz val="9"/>
            <color indexed="81"/>
            <rFont val="Tahoma"/>
            <family val="2"/>
          </rPr>
          <t>Schwarz, Stefan A.:</t>
        </r>
        <r>
          <rPr>
            <sz val="9"/>
            <color indexed="81"/>
            <rFont val="Tahoma"/>
            <family val="2"/>
          </rPr>
          <t xml:space="preserve">
3Q24: 194.1-204.1
2Q24: 193.7-203.7
1Q24: 188.7-198.7
4Q23: 189.3-199.3</t>
        </r>
      </text>
    </comment>
    <comment ref="BC48" authorId="1" shapeId="0" xr:uid="{CE6502FE-CC62-4F45-9D8C-87034281B459}">
      <text>
        <r>
          <rPr>
            <b/>
            <sz val="9"/>
            <color indexed="81"/>
            <rFont val="Tahoma"/>
            <family val="2"/>
          </rPr>
          <t>Srinivasaraghavan, Vinod:</t>
        </r>
        <r>
          <rPr>
            <sz val="9"/>
            <color indexed="81"/>
            <rFont val="Tahoma"/>
            <family val="2"/>
          </rPr>
          <t xml:space="preserve">
1Q25: 238-248
4Q24: 258-268 (does not incl add'l $20 negative impact from Vulcan)</t>
        </r>
      </text>
    </comment>
    <comment ref="BA49" authorId="0" shapeId="0" xr:uid="{E96A344C-18E5-4542-AF59-D04B385CC7EC}">
      <text>
        <r>
          <rPr>
            <b/>
            <sz val="9"/>
            <color indexed="81"/>
            <rFont val="Tahoma"/>
            <family val="2"/>
          </rPr>
          <t>Schwarz, Stefan A.:</t>
        </r>
        <r>
          <rPr>
            <sz val="9"/>
            <color indexed="81"/>
            <rFont val="Tahoma"/>
            <family val="2"/>
          </rPr>
          <t xml:space="preserve">
3Q23: 34.6
2Q23: 34.5
1Q23: 32.2</t>
        </r>
      </text>
    </comment>
    <comment ref="BB49" authorId="0" shapeId="0" xr:uid="{8B05412C-FF90-439D-B25A-12AF3435CF38}">
      <text>
        <r>
          <rPr>
            <b/>
            <sz val="9"/>
            <color indexed="81"/>
            <rFont val="Tahoma"/>
            <family val="2"/>
          </rPr>
          <t>Schwarz, Stefan A.:</t>
        </r>
        <r>
          <rPr>
            <sz val="9"/>
            <color indexed="81"/>
            <rFont val="Tahoma"/>
            <family val="2"/>
          </rPr>
          <t xml:space="preserve">
3Q24: 30.9
2Q24: 31.3
1Q24: 31.3
4Q23: 30.7</t>
        </r>
      </text>
    </comment>
    <comment ref="BC49" authorId="1" shapeId="0" xr:uid="{5C751AE9-A367-4FAB-9585-195D09F131ED}">
      <text>
        <r>
          <rPr>
            <b/>
            <sz val="9"/>
            <color indexed="81"/>
            <rFont val="Tahoma"/>
            <family val="2"/>
          </rPr>
          <t>Srinivasaraghavan, Vinod:</t>
        </r>
        <r>
          <rPr>
            <sz val="9"/>
            <color indexed="81"/>
            <rFont val="Tahoma"/>
            <family val="2"/>
          </rPr>
          <t xml:space="preserve">
1Q25: 27
4Q24: 27</t>
        </r>
      </text>
    </comment>
    <comment ref="AC50" authorId="2" shapeId="0" xr:uid="{4E6F8BB8-A713-4BC9-BF8E-A5AFB8B0CC1D}">
      <text>
        <r>
          <rPr>
            <b/>
            <sz val="9"/>
            <color indexed="81"/>
            <rFont val="Tahoma"/>
            <family val="2"/>
          </rPr>
          <t>Nowinski, Andrew:</t>
        </r>
        <r>
          <rPr>
            <sz val="9"/>
            <color indexed="81"/>
            <rFont val="Tahoma"/>
            <family val="2"/>
          </rPr>
          <t xml:space="preserve">
3Q23: Ermetic acquisition lowers it by 14-16</t>
        </r>
      </text>
    </comment>
    <comment ref="BC50" authorId="3" shapeId="0" xr:uid="{A3693296-939E-48C9-B037-08F3C8F934EF}">
      <text>
        <t>[Threaded comment]
Your version of Excel allows you to read this threaded comment; however, any edits to it will get removed if the file is opened in a newer version of Excel. Learn more: https://go.microsoft.com/fwlink/?linkid=870924
Comment:
    265-275
Reply:
    265-275</t>
      </text>
    </comment>
    <comment ref="BD50" authorId="4" shapeId="0" xr:uid="{0C57D4B4-AD90-4CBF-92FF-40B04C3BC372}">
      <text>
        <t>[Threaded comment]
Your version of Excel allows you to read this threaded comment; however, any edits to it will get removed if the file is opened in a newer version of Excel. Learn more: https://go.microsoft.com/fwlink/?linkid=870924
Comment:
    285-295</t>
      </text>
    </comment>
    <comment ref="AD53" authorId="2" shapeId="0" xr:uid="{DA7BC25A-1E52-41A7-8192-2C1DCC039D3A}">
      <text>
        <r>
          <rPr>
            <b/>
            <sz val="9"/>
            <color indexed="81"/>
            <rFont val="Tahoma"/>
            <family val="2"/>
          </rPr>
          <t>Nowinski, Andrew:</t>
        </r>
        <r>
          <rPr>
            <sz val="9"/>
            <color indexed="81"/>
            <rFont val="Tahoma"/>
            <family val="2"/>
          </rPr>
          <t xml:space="preserve">
4Q23: Looking ahead, we expect uFCF margin to generally ramp through the year with Q2 as the low point</t>
        </r>
      </text>
    </comment>
    <comment ref="AE53" authorId="2" shapeId="0" xr:uid="{73B247D3-838B-4E7C-97BB-382CD3D423BD}">
      <text>
        <r>
          <rPr>
            <b/>
            <sz val="9"/>
            <color indexed="81"/>
            <rFont val="Tahoma"/>
            <family val="2"/>
          </rPr>
          <t>Nowinski, Andrew:</t>
        </r>
        <r>
          <rPr>
            <sz val="9"/>
            <color indexed="81"/>
            <rFont val="Tahoma"/>
            <family val="2"/>
          </rPr>
          <t xml:space="preserve">
4Q23: Looking ahead, we expect uFCF margin to generally ramp through the year with Q2 as the low point</t>
        </r>
      </text>
    </comment>
    <comment ref="AF53" authorId="2" shapeId="0" xr:uid="{931FB138-A2CF-487D-875C-EF7ACBF40644}">
      <text>
        <r>
          <rPr>
            <b/>
            <sz val="9"/>
            <color indexed="81"/>
            <rFont val="Tahoma"/>
            <family val="2"/>
          </rPr>
          <t>Nowinski, Andrew:</t>
        </r>
        <r>
          <rPr>
            <sz val="9"/>
            <color indexed="81"/>
            <rFont val="Tahoma"/>
            <family val="2"/>
          </rPr>
          <t xml:space="preserve">
4Q23: Looking ahead, we expect uFCF margin to generally ramp through the year with Q2 as the low point</t>
        </r>
      </text>
    </comment>
    <comment ref="AG53" authorId="2" shapeId="0" xr:uid="{85325221-2E41-4838-93A4-283D725BB33A}">
      <text>
        <r>
          <rPr>
            <b/>
            <sz val="9"/>
            <color indexed="81"/>
            <rFont val="Tahoma"/>
            <family val="2"/>
          </rPr>
          <t>Nowinski, Andrew:</t>
        </r>
        <r>
          <rPr>
            <sz val="9"/>
            <color indexed="81"/>
            <rFont val="Tahoma"/>
            <family val="2"/>
          </rPr>
          <t xml:space="preserve">
4Q23: Looking ahead, we expect uFCF margin to generally ramp through the year with Q2 as the low point</t>
        </r>
      </text>
    </comment>
    <comment ref="AJ53" authorId="2" shapeId="0" xr:uid="{5ED8CE8A-AF3A-42BA-B265-32B33FA6514C}">
      <text>
        <r>
          <rPr>
            <b/>
            <sz val="9"/>
            <color indexed="81"/>
            <rFont val="Tahoma"/>
            <family val="2"/>
          </rPr>
          <t>Nowinski, Andrew:</t>
        </r>
        <r>
          <rPr>
            <sz val="9"/>
            <color indexed="81"/>
            <rFont val="Tahoma"/>
            <family val="2"/>
          </rPr>
          <t xml:space="preserve">
4Q23: Looking ahead, we expect uFCF margin to generally ramp through the year with Q2 as the low point</t>
        </r>
      </text>
    </comment>
    <comment ref="AZ56" authorId="5" shapeId="0" xr:uid="{B1E670F0-F55A-421E-A5D1-DDE1791D1546}">
      <text>
        <r>
          <rPr>
            <b/>
            <sz val="9"/>
            <color indexed="81"/>
            <rFont val="Tahoma"/>
            <family val="2"/>
          </rPr>
          <t xml:space="preserve">Donati, Justin </t>
        </r>
        <r>
          <rPr>
            <sz val="9"/>
            <color indexed="81"/>
            <rFont val="Tahoma"/>
            <family val="2"/>
          </rPr>
          <t xml:space="preserve">
3Q22: $120 - 125MM
</t>
        </r>
      </text>
    </comment>
    <comment ref="BA56" authorId="2" shapeId="0" xr:uid="{5264A6B5-5C16-4CAB-A1B5-AA4A4BE3135A}">
      <text>
        <r>
          <rPr>
            <b/>
            <sz val="9"/>
            <color indexed="81"/>
            <rFont val="Tahoma"/>
            <family val="2"/>
          </rPr>
          <t>Nowinski, Andrew:</t>
        </r>
        <r>
          <rPr>
            <sz val="9"/>
            <color indexed="81"/>
            <rFont val="Tahoma"/>
            <family val="2"/>
          </rPr>
          <t xml:space="preserve">
3Q23: 168-173
9/7: Ermetic acquisition to lower Q4 by 14-16 =165-170 
2Q23: 180-185
1Q23: 175-180
4Q22: 175-180</t>
        </r>
      </text>
    </comment>
    <comment ref="BB56" authorId="5" shapeId="0" xr:uid="{48B87BD0-7C3B-49D9-A21F-3ADC562DADDF}">
      <text>
        <r>
          <rPr>
            <b/>
            <sz val="9"/>
            <color indexed="81"/>
            <rFont val="Tahoma"/>
            <family val="2"/>
          </rPr>
          <t>Nowinski, Andrew</t>
        </r>
        <r>
          <rPr>
            <sz val="9"/>
            <color indexed="81"/>
            <rFont val="Tahoma"/>
            <family val="2"/>
          </rPr>
          <t xml:space="preserve">
3Q24: 225-235
2Q24: 225-235
1Q24: 220-230
4Q23: 220-230
3Q23: 25% growth
9/7: Ermetic acquisition to lower it by $10-15
3Q22: "Think we can double unlevered FCF by 2024" ($240-250)</t>
        </r>
      </text>
    </comment>
    <comment ref="BC56" authorId="0" shapeId="0" xr:uid="{701FC64F-3061-4FE2-88B7-AF32A0F7AD5E}">
      <text>
        <r>
          <rPr>
            <b/>
            <sz val="9"/>
            <color indexed="81"/>
            <rFont val="Tahoma"/>
            <family val="2"/>
          </rPr>
          <t>Nowinski, Andrew</t>
        </r>
        <r>
          <rPr>
            <sz val="9"/>
            <color indexed="81"/>
            <rFont val="Tahoma"/>
            <family val="2"/>
          </rPr>
          <t xml:space="preserve">
1Q25: 265-276
2/7/25: 265-275 after Vulcan closed
4Q24: 285-295 (standalone TENB; Vulcan negatively impacts FCF by $20)
2Q24: 280-290</t>
        </r>
      </text>
    </comment>
    <comment ref="AG63" authorId="1" shapeId="0" xr:uid="{B685BC98-DE75-4CA2-AFFE-794B7D256849}">
      <text>
        <r>
          <rPr>
            <b/>
            <sz val="9"/>
            <color indexed="81"/>
            <rFont val="Tahoma"/>
            <family val="2"/>
          </rPr>
          <t>Srinivasaraghavan, Vinod:</t>
        </r>
        <r>
          <rPr>
            <sz val="9"/>
            <color indexed="81"/>
            <rFont val="Tahoma"/>
            <family val="2"/>
          </rPr>
          <t xml:space="preserve">
Inc share repurchase authorization by $200MM in Oct 2024</t>
        </r>
      </text>
    </comment>
  </commentList>
</comments>
</file>

<file path=xl/sharedStrings.xml><?xml version="1.0" encoding="utf-8"?>
<sst xmlns="http://schemas.openxmlformats.org/spreadsheetml/2006/main" count="521" uniqueCount="352">
  <si>
    <t>Equity Research</t>
  </si>
  <si>
    <t>Financial Model</t>
  </si>
  <si>
    <t>Software</t>
  </si>
  <si>
    <t>Wells Fargo Software Team</t>
  </si>
  <si>
    <t>Richard Poland</t>
  </si>
  <si>
    <t>David Unger</t>
  </si>
  <si>
    <t>Analyst</t>
  </si>
  <si>
    <t>Associate Analyst</t>
  </si>
  <si>
    <t>(212) 214-5333</t>
  </si>
  <si>
    <t>(212) 214-5317</t>
  </si>
  <si>
    <t>richard.d.poland@wellsfargo.com</t>
  </si>
  <si>
    <t>David.Unger@wellsfargo.com</t>
  </si>
  <si>
    <t>Important Disclaimers:</t>
  </si>
  <si>
    <t>Tenable Holdings, Inc. (TENB)</t>
  </si>
  <si>
    <t>Income Statement</t>
  </si>
  <si>
    <t>2017/1F</t>
  </si>
  <si>
    <t>2017/2F</t>
  </si>
  <si>
    <t>2017/3F</t>
  </si>
  <si>
    <t>2017/4F</t>
  </si>
  <si>
    <t>2018/1F</t>
  </si>
  <si>
    <t>2018/2F</t>
  </si>
  <si>
    <t>2018/3F</t>
  </si>
  <si>
    <t>2018/4F</t>
  </si>
  <si>
    <t>2019/1F</t>
  </si>
  <si>
    <t>2019/2F</t>
  </si>
  <si>
    <t>2019/3F</t>
  </si>
  <si>
    <t>2019/4F</t>
  </si>
  <si>
    <t>2020/1F</t>
  </si>
  <si>
    <t>2020/2F</t>
  </si>
  <si>
    <t>2020/3F</t>
  </si>
  <si>
    <t>2020/4F</t>
  </si>
  <si>
    <t>2021/1F</t>
  </si>
  <si>
    <t>2021/2F</t>
  </si>
  <si>
    <t>2021/3F</t>
  </si>
  <si>
    <t>2021/4F</t>
  </si>
  <si>
    <t>2022/1F</t>
  </si>
  <si>
    <t>2022/2F</t>
  </si>
  <si>
    <t>2022/3F</t>
  </si>
  <si>
    <t>2022/4F</t>
  </si>
  <si>
    <t>2023/1F</t>
  </si>
  <si>
    <t>2023/2F</t>
  </si>
  <si>
    <t>2023/3F</t>
  </si>
  <si>
    <t>2023/4F</t>
  </si>
  <si>
    <t>2024/1F</t>
  </si>
  <si>
    <t>2024/2F</t>
  </si>
  <si>
    <t>2024/3F</t>
  </si>
  <si>
    <t>2024/4F</t>
  </si>
  <si>
    <t>2025/1F</t>
  </si>
  <si>
    <t>2025/2F</t>
  </si>
  <si>
    <t>2025/3F</t>
  </si>
  <si>
    <t>2025/4F</t>
  </si>
  <si>
    <t>2026/1F</t>
  </si>
  <si>
    <t>2026/2F</t>
  </si>
  <si>
    <t>2026/3F</t>
  </si>
  <si>
    <t>2026/4F</t>
  </si>
  <si>
    <t>2027/1F</t>
  </si>
  <si>
    <t>2027/2F</t>
  </si>
  <si>
    <t>2027/3F</t>
  </si>
  <si>
    <t>2027/4F</t>
  </si>
  <si>
    <t>($ in millions, unless otherwise stated)</t>
  </si>
  <si>
    <t>Sep-24</t>
  </si>
  <si>
    <t>Dec-24</t>
  </si>
  <si>
    <t>Mar-25</t>
  </si>
  <si>
    <t>Jun-25</t>
  </si>
  <si>
    <t>Sep-25</t>
  </si>
  <si>
    <t>Dec-25</t>
  </si>
  <si>
    <t>Mar-26E</t>
  </si>
  <si>
    <t>Jun-26E</t>
  </si>
  <si>
    <t>Sep-26E</t>
  </si>
  <si>
    <t>Dec-26E</t>
  </si>
  <si>
    <t>Mar-27E</t>
  </si>
  <si>
    <t>Jun-27E</t>
  </si>
  <si>
    <t>Sep-27E</t>
  </si>
  <si>
    <t>Dec-27E</t>
  </si>
  <si>
    <t>CY21</t>
  </si>
  <si>
    <t>CY22</t>
  </si>
  <si>
    <t>CY23</t>
  </si>
  <si>
    <t>CY24</t>
  </si>
  <si>
    <t>CY25</t>
  </si>
  <si>
    <t>CY26E</t>
  </si>
  <si>
    <t>CY27E</t>
  </si>
  <si>
    <t>Revenue</t>
  </si>
  <si>
    <t>Subscription</t>
  </si>
  <si>
    <t>Perpetual Licnese and Maintenance</t>
  </si>
  <si>
    <t>Professional Services and Other</t>
  </si>
  <si>
    <t>Total revenue</t>
  </si>
  <si>
    <t>Consensus revenue</t>
  </si>
  <si>
    <t>Management Guidance - Revenue</t>
  </si>
  <si>
    <t>Low</t>
  </si>
  <si>
    <t>Mid</t>
  </si>
  <si>
    <t>High</t>
  </si>
  <si>
    <t>Cost of Revenue</t>
  </si>
  <si>
    <t>Gross profit</t>
  </si>
  <si>
    <t>Consensus gross profit</t>
  </si>
  <si>
    <t>Operating expenses</t>
  </si>
  <si>
    <t>Sales and marketing</t>
  </si>
  <si>
    <t>Research and development</t>
  </si>
  <si>
    <t>General and administrative</t>
  </si>
  <si>
    <t>Total operating expenses</t>
  </si>
  <si>
    <t>Operating Income</t>
  </si>
  <si>
    <t>Consensus operating income</t>
  </si>
  <si>
    <t>Management Guidance - Operating Income</t>
  </si>
  <si>
    <t>EBITDA</t>
  </si>
  <si>
    <t>Interest income</t>
  </si>
  <si>
    <t>Interest expense</t>
  </si>
  <si>
    <t>Other income (expense), net</t>
  </si>
  <si>
    <t>Pre-tax income</t>
  </si>
  <si>
    <t>Provision for (benefit from) income taxes</t>
  </si>
  <si>
    <t>Adjusted tax rate (non-GAAP)</t>
  </si>
  <si>
    <t>Non-GAAP Net income</t>
  </si>
  <si>
    <t>Consensus net income</t>
  </si>
  <si>
    <t>Management Guidance - Non-GAAP Net Income</t>
  </si>
  <si>
    <t>Non-GAAP EPS</t>
  </si>
  <si>
    <t>Consensus non-GAAP EPS</t>
  </si>
  <si>
    <t>Management Guidance - Non-GAAP EPS</t>
  </si>
  <si>
    <t>Basic shares outstanding</t>
  </si>
  <si>
    <t>Pro forma Diluted shares outstanding</t>
  </si>
  <si>
    <t>Y/Y Growth</t>
  </si>
  <si>
    <t>Total Revenue</t>
  </si>
  <si>
    <t>Total cost of revenue</t>
  </si>
  <si>
    <t>Operating income</t>
  </si>
  <si>
    <t>Net income</t>
  </si>
  <si>
    <t>EPS</t>
  </si>
  <si>
    <t>Margin Analysis</t>
  </si>
  <si>
    <t>Gross Margin</t>
  </si>
  <si>
    <t>Consensus Gross Margin</t>
  </si>
  <si>
    <t>Sales and Marketing</t>
  </si>
  <si>
    <t>Research and Development</t>
  </si>
  <si>
    <t>Operating margin</t>
  </si>
  <si>
    <t>Consensus Operating margin</t>
  </si>
  <si>
    <t>Source: Company data, FactSet, Wells Fargo Securities, LLC estimates</t>
  </si>
  <si>
    <t>Non-GAAP Reconciliation to GAAP Results</t>
  </si>
  <si>
    <t>Adjustments</t>
  </si>
  <si>
    <t>Share-based compensation</t>
  </si>
  <si>
    <t>Cost of revenue</t>
  </si>
  <si>
    <t>OpEx</t>
  </si>
  <si>
    <t>Amortization of acquired intangible assets</t>
  </si>
  <si>
    <t>Acquisition related expenses</t>
  </si>
  <si>
    <t>Other items</t>
  </si>
  <si>
    <t>Taxes impact of stock-based compensation</t>
  </si>
  <si>
    <t>Tax impact of acquistions</t>
  </si>
  <si>
    <t>Tax impact from intra-equity asset transfers</t>
  </si>
  <si>
    <t>Accretion from convertible preferred stock</t>
  </si>
  <si>
    <t>GAAP Gross Profit</t>
  </si>
  <si>
    <t>GAAP Operating Income</t>
  </si>
  <si>
    <t>GAAP Net income</t>
  </si>
  <si>
    <t>GAAP EPS</t>
  </si>
  <si>
    <t>Consensus GAAP EPS</t>
  </si>
  <si>
    <t>Diluted shares outstanding</t>
  </si>
  <si>
    <t>GAAP Inputs</t>
  </si>
  <si>
    <t>Restructuring</t>
  </si>
  <si>
    <t>Other income (expenses), net</t>
  </si>
  <si>
    <t>Loss before provision for (benefit from) income taxes</t>
  </si>
  <si>
    <t>Net Income (loss)</t>
  </si>
  <si>
    <t>Accretion from Convertible Preferred Stock</t>
  </si>
  <si>
    <t>Net Income (loss) to Common Shareholders</t>
  </si>
  <si>
    <t>Diluted EPS</t>
  </si>
  <si>
    <t>Non-GAAP Diluted EPS</t>
  </si>
  <si>
    <t>GAAP to non-GAAP reconciliation</t>
  </si>
  <si>
    <t>(US$ in millions, unless otherwise stated)</t>
  </si>
  <si>
    <t>Total SBC in operating expenses</t>
  </si>
  <si>
    <t>Total non-cash stock-based compensation</t>
  </si>
  <si>
    <t>% of revenue</t>
  </si>
  <si>
    <t>Total amort of intangibles in operating expenses</t>
  </si>
  <si>
    <t>Total amortization of acquired intangibles</t>
  </si>
  <si>
    <t>Acquisition/Other expenses</t>
  </si>
  <si>
    <t>Total acquisition/other expenses in operating expenses</t>
  </si>
  <si>
    <t>Total acquisition related expenses</t>
  </si>
  <si>
    <t>Tax impact of stock-based compensation</t>
  </si>
  <si>
    <t>Acquisition-related expenses</t>
  </si>
  <si>
    <t>Tax impact of intra-equity asset transfers</t>
  </si>
  <si>
    <t>Total other items</t>
  </si>
  <si>
    <t>Tax rate on stock-based compensation</t>
  </si>
  <si>
    <t>Tax rate on acquisition related expenses</t>
  </si>
  <si>
    <t>Revenue Build</t>
  </si>
  <si>
    <t/>
  </si>
  <si>
    <t>Revenue by Type</t>
  </si>
  <si>
    <t xml:space="preserve">Subscription </t>
  </si>
  <si>
    <t>Consensus subscription revenue</t>
  </si>
  <si>
    <t>% of total revenue</t>
  </si>
  <si>
    <t xml:space="preserve">Perpetual License and Maintenance </t>
  </si>
  <si>
    <t>Consensus perpetual license and maintenance revenue</t>
  </si>
  <si>
    <t>Professional Services and Other Revenue</t>
  </si>
  <si>
    <t>Consensus professional services &amp; other revenue</t>
  </si>
  <si>
    <t>Billings &amp; Bookings</t>
  </si>
  <si>
    <t>Beginning deferred revenue balance</t>
  </si>
  <si>
    <t>Ending deferred revenue balance</t>
  </si>
  <si>
    <t>Change in deferred revenue</t>
  </si>
  <si>
    <t>Total Billings</t>
  </si>
  <si>
    <t>Beginning deferred revenue (current) balance</t>
  </si>
  <si>
    <t>Ending deferred revenue (current) balance</t>
  </si>
  <si>
    <t>Change in deferred revenue (current)</t>
  </si>
  <si>
    <t xml:space="preserve">Current Billings </t>
  </si>
  <si>
    <t>Consensus Current Billings</t>
  </si>
  <si>
    <t>Management Guidance - Current Billings</t>
  </si>
  <si>
    <t>RPO</t>
  </si>
  <si>
    <t>Current RPO</t>
  </si>
  <si>
    <t>Current RPO - % of total</t>
  </si>
  <si>
    <t>Backlog (RPO - Deferred Rev)</t>
  </si>
  <si>
    <t>Bookings</t>
  </si>
  <si>
    <t>+ change in CRPO</t>
  </si>
  <si>
    <t>Total CRPO Bookings</t>
  </si>
  <si>
    <t>Customer Metrics</t>
  </si>
  <si>
    <t>Total Customers</t>
  </si>
  <si>
    <t>&gt; 35,000</t>
  </si>
  <si>
    <t>% of Fortune 500</t>
  </si>
  <si>
    <t>&gt;50%</t>
  </si>
  <si>
    <t>~60%</t>
  </si>
  <si>
    <t>% of Global 2000</t>
  </si>
  <si>
    <t>&gt;30%</t>
  </si>
  <si>
    <t>~40%</t>
  </si>
  <si>
    <t>Total Enterprise Platform Customers</t>
  </si>
  <si>
    <t>Net new additions</t>
  </si>
  <si>
    <t>$100K+ Customers</t>
  </si>
  <si>
    <t>NM</t>
  </si>
  <si>
    <t>Dollar-Based Net Expansion Rate (TTM ARR)</t>
  </si>
  <si>
    <t>&gt;110%</t>
  </si>
  <si>
    <t>Calculated NRR (Revenue)</t>
  </si>
  <si>
    <t>Y/Y revenue change from existing customers (10-Q)</t>
  </si>
  <si>
    <t>Geographic Mix</t>
  </si>
  <si>
    <t>AMERICAS</t>
  </si>
  <si>
    <t>Q/Q Growth</t>
  </si>
  <si>
    <t>UNITED STATES</t>
  </si>
  <si>
    <t>NA</t>
  </si>
  <si>
    <t>EMEA</t>
  </si>
  <si>
    <t>APAC</t>
  </si>
  <si>
    <t>Tenable One as a % of New Enterprise Sales</t>
  </si>
  <si>
    <t>Exposure Management as a % of New Enterprise Sales</t>
  </si>
  <si>
    <t>Headcount</t>
  </si>
  <si>
    <t>U.S.-based</t>
  </si>
  <si>
    <t>International</t>
  </si>
  <si>
    <t>% of Sales via Channel Partners</t>
  </si>
  <si>
    <t>Ingram Micro (% of Total)</t>
  </si>
  <si>
    <t>Balance Sheet</t>
  </si>
  <si>
    <t>Current assets</t>
  </si>
  <si>
    <t>Cash and Cash Equivalents</t>
  </si>
  <si>
    <t>Short-Term Investments</t>
  </si>
  <si>
    <t>Accounts Receivables, net</t>
  </si>
  <si>
    <t>Deferred Commissions</t>
  </si>
  <si>
    <t>Prepaid Expenses &amp; Other Current Assets</t>
  </si>
  <si>
    <t>Total current assets</t>
  </si>
  <si>
    <t>Property and Equipment, net</t>
  </si>
  <si>
    <t>Operating Lease Right-of-use-Assets</t>
  </si>
  <si>
    <t>Intangible Assets</t>
  </si>
  <si>
    <t>Goodwill</t>
  </si>
  <si>
    <t>Other Assets</t>
  </si>
  <si>
    <t>Total assets</t>
  </si>
  <si>
    <t>Current liabilities</t>
  </si>
  <si>
    <t>Accounts Payable</t>
  </si>
  <si>
    <t>Accrued Expenses</t>
  </si>
  <si>
    <t>Accrued Payroll &amp; Benefits</t>
  </si>
  <si>
    <t>Deferred Revenues</t>
  </si>
  <si>
    <t>Operating Leases</t>
  </si>
  <si>
    <t>Other Current Liabilities</t>
  </si>
  <si>
    <t>Current Portion of Long-term Debt</t>
  </si>
  <si>
    <t>Total current liabilities</t>
  </si>
  <si>
    <t>Long term liabilities</t>
  </si>
  <si>
    <t>Long-term Debt</t>
  </si>
  <si>
    <t>Other Liabilities</t>
  </si>
  <si>
    <t>Total liabilities</t>
  </si>
  <si>
    <t xml:space="preserve">Stockholders' equity </t>
  </si>
  <si>
    <t>Convertible Preferred Stock</t>
  </si>
  <si>
    <t>Common Stock</t>
  </si>
  <si>
    <t>Additional Paid-In-Capital</t>
  </si>
  <si>
    <t>Accumulated Other Comprehensive Income</t>
  </si>
  <si>
    <t>Accumulated Deficit</t>
  </si>
  <si>
    <t>Total stockholders' equity</t>
  </si>
  <si>
    <t>Total liabilities and shareholders' equity</t>
  </si>
  <si>
    <t>Net cash</t>
  </si>
  <si>
    <t>Net cash per diluted share</t>
  </si>
  <si>
    <t>Source: Company data, Wells Fargo Securities, LLC estimates</t>
  </si>
  <si>
    <t>Check</t>
  </si>
  <si>
    <t>COGS</t>
  </si>
  <si>
    <t>R&amp;D</t>
  </si>
  <si>
    <t>EBIT</t>
  </si>
  <si>
    <t>Net Income</t>
  </si>
  <si>
    <t>Working Capital Ratios</t>
  </si>
  <si>
    <t>Days Sales Outstanding (DSO)</t>
  </si>
  <si>
    <t>Days Payable Outstanding (DPO)</t>
  </si>
  <si>
    <t>Current assets &amp; liabilities</t>
  </si>
  <si>
    <t>Deferred Commissions (long-term)</t>
  </si>
  <si>
    <t>Other Long-Term Assets</t>
  </si>
  <si>
    <t>Other Liabilities (long-term)</t>
  </si>
  <si>
    <t>CFFO</t>
  </si>
  <si>
    <t>Unlevered Free Cash Flow</t>
  </si>
  <si>
    <t>Consensus Unlevered FCF</t>
  </si>
  <si>
    <t>uFCF Margin</t>
  </si>
  <si>
    <t>Billings</t>
  </si>
  <si>
    <t>Change in deferred</t>
  </si>
  <si>
    <t>Ending deferred balance, total deferred revenue</t>
  </si>
  <si>
    <t>Short term deferred as % of deferred mix</t>
  </si>
  <si>
    <t>Long term deferred as % of deferred mix</t>
  </si>
  <si>
    <t xml:space="preserve"> </t>
  </si>
  <si>
    <t>Statement of Cash Flows</t>
  </si>
  <si>
    <t>INPUTS</t>
  </si>
  <si>
    <t>CASH FLOWS FROM OPERATING ACTIVITIES:</t>
  </si>
  <si>
    <t>Net income (loss)</t>
  </si>
  <si>
    <t>Deferred income taxes</t>
  </si>
  <si>
    <t>Depreciation and amortization</t>
  </si>
  <si>
    <t>Stock based compensation</t>
  </si>
  <si>
    <t>Other</t>
  </si>
  <si>
    <t>Changes to assets and liabilities</t>
  </si>
  <si>
    <t>Accounts receivable</t>
  </si>
  <si>
    <t>Prepaid expenses and other current assets</t>
  </si>
  <si>
    <t>Deferred commissions</t>
  </si>
  <si>
    <t>Other assets</t>
  </si>
  <si>
    <t>Accounts payables and accrued expenses</t>
  </si>
  <si>
    <t>Accrued compensation and other current liabilities</t>
  </si>
  <si>
    <t>Deferred revenue</t>
  </si>
  <si>
    <t>Other liabilities</t>
  </si>
  <si>
    <t>Net cash provided by operating activities</t>
  </si>
  <si>
    <t>CASH FLOWS FROM INVESTING ACTIVITIES:</t>
  </si>
  <si>
    <t>Purchases of property and equipment</t>
  </si>
  <si>
    <t>Capitalized software development costs</t>
  </si>
  <si>
    <t>Purchases of short-term investments</t>
  </si>
  <si>
    <t>Sales and maturities of short-term investments</t>
  </si>
  <si>
    <t>Payments for business acquisitions, net of cash acquired</t>
  </si>
  <si>
    <t>Net cash used in investing activities</t>
  </si>
  <si>
    <t>CASH FLOWS FROM FINANCING ACTIVITIES:</t>
  </si>
  <si>
    <t>Payments on term loan</t>
  </si>
  <si>
    <t>Proceeds from term loan agreement</t>
  </si>
  <si>
    <t>Principal payments under finance leases</t>
  </si>
  <si>
    <t>Proceeds from stock issued (including the ESPP )</t>
  </si>
  <si>
    <t>Proceeds from exercise of stock options</t>
  </si>
  <si>
    <t>Repurchases of common stock</t>
  </si>
  <si>
    <t>Other financing activities</t>
  </si>
  <si>
    <t>Net cash provided by financing activities</t>
  </si>
  <si>
    <t>Foreign currency exchange rate impact on cash</t>
  </si>
  <si>
    <t>Net (decrease) increase in cash and equivalents</t>
  </si>
  <si>
    <t>Change Restricted Cash / Mkt Securities</t>
  </si>
  <si>
    <t>Beginning balance cash and cash equivalents</t>
  </si>
  <si>
    <t>Ending balance cash and cash equivalents</t>
  </si>
  <si>
    <t>Unlevered Free Cash Flow Analysis</t>
  </si>
  <si>
    <t>Free Cash Flow</t>
  </si>
  <si>
    <t>+ Cash paid for interest and other</t>
  </si>
  <si>
    <t>Y/Y %</t>
  </si>
  <si>
    <t>Unlevered Free Cash Flow margin</t>
  </si>
  <si>
    <t>Management Guidance - Unlevered FCF</t>
  </si>
  <si>
    <t>Total Share Repurchases</t>
  </si>
  <si>
    <t>Total number of shares repurchased</t>
  </si>
  <si>
    <t>% of total shares outstanding</t>
  </si>
  <si>
    <t>Average price paid per share</t>
  </si>
  <si>
    <t>N/A</t>
  </si>
  <si>
    <t>Remaining Share Repurchase Authorization</t>
  </si>
  <si>
    <t>Capital Spending</t>
  </si>
  <si>
    <t>Capex</t>
  </si>
  <si>
    <t>D&amp;A</t>
  </si>
  <si>
    <t>Amortization</t>
  </si>
  <si>
    <t>Depreciation</t>
  </si>
  <si>
    <t>D&amp;A as % of rev</t>
  </si>
  <si>
    <t>Amort as % of rev</t>
  </si>
  <si>
    <t>Depreciation as % of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</si>
</sst>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4" formatCode="_(&quot;$&quot;* #,##0.00_);_(&quot;$&quot;* \(#,##0.00\);_(&quot;$&quot;* &quot;-&quot;??_);_(@_)"/>
    <numFmt numFmtId="43" formatCode="_(* #,##0.00_);_(* \(#,##0.00\);_(* &quot;-&quot;??_);_(@_)"/>
    <numFmt numFmtId="164" formatCode="[$-409]mmmm\ d\,\ yyyy;@"/>
    <numFmt numFmtId="165" formatCode="0.0%"/>
    <numFmt numFmtId="166" formatCode="_(* #,##0.00_);_(* \(#,##0.00\);_(* \-??_);_(@_)"/>
    <numFmt numFmtId="167" formatCode="0.000"/>
    <numFmt numFmtId="168" formatCode="_(* #,##0.0_);_(* \(#,##0.0\);_(* \-_);_(@_)"/>
    <numFmt numFmtId="169" formatCode="#,##0;\(#,##0\)"/>
    <numFmt numFmtId="170" formatCode="&quot;$&quot;#,##0;\(&quot;$&quot;#,##0\)"/>
    <numFmt numFmtId="171" formatCode="_(* #,##0_);_(* \(#,##0\);_(* \-_);_(@_)"/>
    <numFmt numFmtId="172" formatCode="_(* #,##0.000_);_(* \(#,##0.000\);_(* \-_);_(@_)"/>
    <numFmt numFmtId="173" formatCode="_(* #,##0.00_);_(* \(#,##0.00\);_(* \-_);_(@_)"/>
    <numFmt numFmtId="174" formatCode="\$#,##0.00;&quot;($&quot;#,##0.00\)"/>
    <numFmt numFmtId="175" formatCode="_(* #,##0.0_);_(* \(#,##0.0\);_(* &quot;-&quot;?_);_(@_)"/>
    <numFmt numFmtId="176" formatCode="_(* #,##0.0_);_(* \(#,##0.0\);_(* &quot;-&quot;??_);_(@_)"/>
    <numFmt numFmtId="177" formatCode="_(* #,##0.00_);_(* \(#,##0.00\);_(* \-?_);_(@_)"/>
    <numFmt numFmtId="178" formatCode="_(* #,##0.0_);_(* \(#,##0.0\);_(* \-?_);_(@_)"/>
    <numFmt numFmtId="179" formatCode="_(* #,##0.000_);_(* \(#,##0.000\);_(* \-?_);_(@_)"/>
    <numFmt numFmtId="180" formatCode="0.0_);\(0.0\)"/>
    <numFmt numFmtId="181" formatCode="\$#,##0;&quot;($&quot;#,##0\)"/>
    <numFmt numFmtId="182" formatCode="_(\$* #,##0_);_(\$* \(#,##0\);_(\$* \-_);_(@_)"/>
    <numFmt numFmtId="183" formatCode="0.000_);\(0.000\)"/>
    <numFmt numFmtId="184" formatCode="&quot;$&quot;#,##0.00;\(&quot;$&quot;#,##0.00\)"/>
    <numFmt numFmtId="185" formatCode="_(\$* #,##0.0_);_(\$* \(#,##0.0\);_(\$* \-?_);_(@_)"/>
    <numFmt numFmtId="186" formatCode="#,##0.0;\(#,##0.0\)"/>
    <numFmt numFmtId="187" formatCode="#,##0.0%\ ;\(#,##0.0%\)"/>
    <numFmt numFmtId="188" formatCode="#,##0%\ ;\(#,##0%\)"/>
    <numFmt numFmtId="189" formatCode="_(* #,##0.000_);_(* \(#,##0.000\);_(* &quot;-&quot;??_);_(@_)"/>
    <numFmt numFmtId="190" formatCode="_(* &quot;$&quot;#,##0.0_);_(* \(&quot;$&quot;#,##0.0\);_(* \-_);_(@_)"/>
    <numFmt numFmtId="191" formatCode="0.0"/>
    <numFmt numFmtId="192" formatCode="_(* #,##0.0000_);_(* \(#,##0.0000\);_(* &quot;-&quot;?_);_(@_)"/>
    <numFmt numFmtId="193" formatCode="_(* #,##0_);_(* \(#,##0\);_(* &quot;-&quot;??_);_(@_)"/>
    <numFmt numFmtId="194" formatCode="\$#,##0.0\ ;&quot;($&quot;#,##0.0\)"/>
    <numFmt numFmtId="195" formatCode="#,##0.0_);\(#,##0.0\)"/>
    <numFmt numFmtId="196" formatCode="#,##0.000_);\(#,##0.000\)"/>
    <numFmt numFmtId="197" formatCode="#,##0.0"/>
    <numFmt numFmtId="198" formatCode="\&gt;_(* #,##0_);_(* \(#,##0\);_(* &quot;-&quot;??_);_(@_)"/>
    <numFmt numFmtId="199" formatCode="\~#,##0"/>
    <numFmt numFmtId="200" formatCode="\&gt;* #,##0_);_(* \(#,##0\);_(* &quot;-&quot;??_);_(@_)"/>
    <numFmt numFmtId="201" formatCode="\~0%"/>
    <numFmt numFmtId="202" formatCode="&quot;$&quot;#,##0.0_);[Red]\(&quot;$&quot;#,##0.0\)"/>
    <numFmt numFmtId="203" formatCode="#,##0.0_);[Red]\(#,##0.0\)"/>
    <numFmt numFmtId="204" formatCode="_(* #,##0.0000_);_(* \(#,##0.0000\);_(* \-?_);_(@_)"/>
    <numFmt numFmtId="205" formatCode="_(* #,##0.000000000_);_(* \(#,##0.000000000\);_(* \-?_);_(@_)"/>
    <numFmt numFmtId="206" formatCode="0.000000000000000"/>
    <numFmt numFmtId="207" formatCode="_(* #,##0_);_(* \(#,##0\);_(* \-?_);_(@_)"/>
    <numFmt numFmtId="208" formatCode="&quot;$&quot;#,##0.00"/>
  </numFmts>
  <fonts count="72">
    <font>
      <sz val="10"/>
      <color theme="1"/>
      <name val="Arial"/>
      <family val="2"/>
    </font>
    <font>
      <sz val="10"/>
      <name val="Arial"/>
      <family val="2"/>
    </font>
    <font>
      <sz val="10"/>
      <name val="Verdana"/>
      <family val="2"/>
    </font>
    <font>
      <sz val="24"/>
      <color theme="1"/>
      <name val="Georgia"/>
      <family val="1"/>
    </font>
    <font>
      <b/>
      <sz val="12"/>
      <color theme="1"/>
      <name val="Verdana"/>
      <family val="2"/>
    </font>
    <font>
      <b/>
      <sz val="9"/>
      <color theme="1"/>
      <name val="Arial"/>
      <family val="2"/>
    </font>
    <font>
      <b/>
      <sz val="9"/>
      <color theme="1"/>
      <name val="Verdana"/>
      <family val="2"/>
    </font>
    <font>
      <sz val="13"/>
      <name val="Arial"/>
      <family val="2"/>
    </font>
    <font>
      <b/>
      <sz val="9"/>
      <name val="Verdana"/>
      <family val="2"/>
    </font>
    <font>
      <sz val="13"/>
      <color theme="1"/>
      <name val="Arial"/>
      <family val="2"/>
    </font>
    <font>
      <sz val="26"/>
      <color rgb="FFD71E28"/>
      <name val="Georgia"/>
      <family val="1"/>
    </font>
    <font>
      <b/>
      <sz val="18"/>
      <color theme="3"/>
      <name val="Georgia"/>
      <family val="1"/>
    </font>
    <font>
      <sz val="10"/>
      <color theme="1"/>
      <name val="Verdana"/>
      <family val="2"/>
    </font>
    <font>
      <sz val="13"/>
      <color rgb="FFD71E28"/>
      <name val="Georgia"/>
      <family val="1"/>
    </font>
    <font>
      <b/>
      <sz val="11"/>
      <name val="Verdana"/>
      <family val="2"/>
    </font>
    <font>
      <sz val="9"/>
      <name val="Arial"/>
      <family val="2"/>
    </font>
    <font>
      <b/>
      <sz val="11"/>
      <name val="Arial"/>
      <family val="2"/>
    </font>
    <font>
      <sz val="11"/>
      <name val="Verdana"/>
      <family val="2"/>
    </font>
    <font>
      <sz val="11"/>
      <name val="Arial"/>
      <family val="2"/>
    </font>
    <font>
      <u/>
      <sz val="9"/>
      <color indexed="12"/>
      <name val="Arial"/>
      <family val="2"/>
    </font>
    <font>
      <u/>
      <sz val="11"/>
      <color theme="10"/>
      <name val="Arial"/>
      <family val="2"/>
    </font>
    <font>
      <u/>
      <sz val="10"/>
      <color theme="10"/>
      <name val="Arial"/>
      <family val="2"/>
    </font>
    <font>
      <b/>
      <sz val="10.5"/>
      <name val="Arial"/>
      <family val="2"/>
    </font>
    <font>
      <u/>
      <sz val="9.5"/>
      <color rgb="FF0000FF"/>
      <name val="Verdana"/>
      <family val="2"/>
    </font>
    <font>
      <u/>
      <sz val="9.5"/>
      <color theme="10"/>
      <name val="Verdana"/>
      <family val="2"/>
    </font>
    <font>
      <sz val="10"/>
      <color theme="1"/>
      <name val="Arial"/>
      <family val="2"/>
    </font>
    <font>
      <b/>
      <sz val="12"/>
      <color rgb="FF002060"/>
      <name val="Calibri"/>
      <family val="2"/>
      <scheme val="minor"/>
    </font>
    <font>
      <sz val="8"/>
      <name val="Arial"/>
      <family val="2"/>
    </font>
    <font>
      <sz val="8"/>
      <color theme="0"/>
      <name val="Arial"/>
      <family val="2"/>
    </font>
    <font>
      <b/>
      <sz val="9"/>
      <name val="Arial"/>
      <family val="2"/>
    </font>
    <font>
      <b/>
      <i/>
      <sz val="9"/>
      <name val="Arial"/>
      <family val="2"/>
    </font>
    <font>
      <b/>
      <sz val="8"/>
      <name val="Arial"/>
      <family val="2"/>
    </font>
    <font>
      <i/>
      <sz val="9"/>
      <name val="Arial"/>
      <family val="2"/>
    </font>
    <font>
      <b/>
      <u/>
      <sz val="9"/>
      <name val="Arial"/>
      <family val="2"/>
    </font>
    <font>
      <b/>
      <u/>
      <sz val="8"/>
      <name val="Arial"/>
      <family val="2"/>
    </font>
    <font>
      <sz val="9"/>
      <color rgb="FFC00000"/>
      <name val="Arial"/>
      <family val="2"/>
    </font>
    <font>
      <sz val="8"/>
      <color rgb="FFC00000"/>
      <name val="Arial"/>
      <family val="2"/>
    </font>
    <font>
      <b/>
      <sz val="9"/>
      <color theme="6"/>
      <name val="Arial"/>
      <family val="2"/>
    </font>
    <font>
      <sz val="9"/>
      <color theme="6" tint="-0.249977111117893"/>
      <name val="Arial"/>
      <family val="2"/>
    </font>
    <font>
      <i/>
      <sz val="8"/>
      <name val="Arial"/>
      <family val="2"/>
    </font>
    <font>
      <sz val="9"/>
      <color theme="1"/>
      <name val="Arial"/>
      <family val="2"/>
    </font>
    <font>
      <sz val="9"/>
      <color rgb="FF0000FF"/>
      <name val="Arial"/>
      <family val="2"/>
    </font>
    <font>
      <i/>
      <sz val="9"/>
      <color theme="1"/>
      <name val="Arial"/>
      <family val="2"/>
    </font>
    <font>
      <b/>
      <i/>
      <sz val="8"/>
      <name val="Arial"/>
      <family val="2"/>
    </font>
    <font>
      <b/>
      <sz val="9"/>
      <color rgb="FF0000FF"/>
      <name val="Arial"/>
      <family val="2"/>
    </font>
    <font>
      <sz val="10"/>
      <name val="Geneva"/>
      <family val="2"/>
    </font>
    <font>
      <sz val="10"/>
      <name val="Times New Roman"/>
      <family val="1"/>
    </font>
    <font>
      <b/>
      <sz val="9"/>
      <color indexed="12"/>
      <name val="Arial"/>
      <family val="2"/>
    </font>
    <font>
      <sz val="9"/>
      <color rgb="FF008000"/>
      <name val="Arial"/>
      <family val="2"/>
    </font>
    <font>
      <i/>
      <sz val="9"/>
      <color rgb="FF0000FF"/>
      <name val="Arial"/>
      <family val="2"/>
    </font>
    <font>
      <sz val="9"/>
      <color indexed="12"/>
      <name val="Arial"/>
      <family val="2"/>
    </font>
    <font>
      <u/>
      <sz val="8"/>
      <name val="Arial"/>
      <family val="2"/>
    </font>
    <font>
      <i/>
      <u/>
      <sz val="8"/>
      <name val="Arial"/>
      <family val="2"/>
    </font>
    <font>
      <b/>
      <sz val="9"/>
      <color indexed="81"/>
      <name val="Tahoma"/>
      <family val="2"/>
    </font>
    <font>
      <sz val="9"/>
      <color indexed="81"/>
      <name val="Tahoma"/>
      <family val="2"/>
    </font>
    <font>
      <sz val="8"/>
      <color rgb="FFFF0000"/>
      <name val="Arial"/>
      <family val="2"/>
    </font>
    <font>
      <b/>
      <sz val="9"/>
      <name val="AAFormataRegular"/>
    </font>
    <font>
      <i/>
      <sz val="9"/>
      <name val="AAFormataRegular"/>
    </font>
    <font>
      <i/>
      <u/>
      <sz val="9"/>
      <name val="Arial"/>
      <family val="2"/>
    </font>
    <font>
      <u/>
      <sz val="9"/>
      <name val="Arial"/>
      <family val="2"/>
    </font>
    <font>
      <u val="singleAccounting"/>
      <sz val="9"/>
      <name val="Arial"/>
      <family val="2"/>
    </font>
    <font>
      <sz val="9"/>
      <name val="AAFormataRegular"/>
    </font>
    <font>
      <b/>
      <i/>
      <u/>
      <sz val="8"/>
      <name val="Arial"/>
      <family val="2"/>
    </font>
    <font>
      <b/>
      <i/>
      <u/>
      <sz val="9"/>
      <name val="Arial"/>
      <family val="2"/>
    </font>
    <font>
      <b/>
      <i/>
      <sz val="9"/>
      <name val="AAFormataRegular"/>
    </font>
    <font>
      <u val="double"/>
      <sz val="8"/>
      <name val="Arial"/>
      <family val="2"/>
    </font>
    <font>
      <b/>
      <sz val="9"/>
      <color rgb="FFC00000"/>
      <name val="Arial"/>
      <family val="2"/>
    </font>
    <font>
      <sz val="8"/>
      <color indexed="9"/>
      <name val="Arial"/>
      <family val="2"/>
    </font>
    <font>
      <sz val="9"/>
      <color indexed="9"/>
      <name val="Arial"/>
      <family val="2"/>
    </font>
    <font>
      <b/>
      <sz val="9"/>
      <color indexed="9"/>
      <name val="Arial"/>
      <family val="2"/>
    </font>
    <font>
      <b/>
      <sz val="9"/>
      <color rgb="FF00B0F0"/>
      <name val="Arial"/>
      <family val="2"/>
    </font>
    <font>
      <sz val="9"/>
      <color rgb="FF00B0F0"/>
      <name val="Arial"/>
      <family val="2"/>
    </font>
  </fonts>
  <fills count="16">
    <fill>
      <patternFill patternType="none"/>
    </fill>
    <fill>
      <patternFill patternType="gray125"/>
    </fill>
    <fill>
      <patternFill patternType="solid">
        <fgColor rgb="FFFFCD41"/>
        <bgColor indexed="64"/>
      </patternFill>
    </fill>
    <fill>
      <patternFill patternType="solid">
        <fgColor theme="0"/>
        <bgColor indexed="64"/>
      </patternFill>
    </fill>
    <fill>
      <patternFill patternType="solid">
        <fgColor theme="3" tint="0.59999389629810485"/>
        <bgColor indexed="64"/>
      </patternFill>
    </fill>
    <fill>
      <patternFill patternType="solid">
        <fgColor indexed="9"/>
        <bgColor indexed="64"/>
      </patternFill>
    </fill>
    <fill>
      <patternFill patternType="solid">
        <fgColor theme="0" tint="-0.249977111117893"/>
        <bgColor indexed="64"/>
      </patternFill>
    </fill>
    <fill>
      <patternFill patternType="solid">
        <fgColor indexed="22"/>
        <bgColor indexed="31"/>
      </patternFill>
    </fill>
    <fill>
      <patternFill patternType="solid">
        <fgColor rgb="FFFFFFFF"/>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31"/>
      </patternFill>
    </fill>
    <fill>
      <patternFill patternType="solid">
        <fgColor theme="3" tint="0.79998168889431442"/>
        <bgColor indexed="64"/>
      </patternFill>
    </fill>
    <fill>
      <patternFill patternType="solid">
        <fgColor theme="2"/>
        <bgColor indexed="64"/>
      </patternFill>
    </fill>
    <fill>
      <patternFill patternType="solid">
        <fgColor theme="1" tint="0.499984740745262"/>
        <bgColor indexed="64"/>
      </patternFill>
    </fill>
    <fill>
      <patternFill patternType="solid">
        <fgColor indexed="9"/>
        <bgColor indexed="26"/>
      </patternFill>
    </fill>
  </fills>
  <borders count="129">
    <border>
      <left/>
      <right/>
      <top/>
      <bottom/>
      <diagonal/>
    </border>
    <border>
      <left style="thin">
        <color indexed="64"/>
      </left>
      <right style="thin">
        <color indexed="64"/>
      </right>
      <top style="thin">
        <color indexed="8"/>
      </top>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style="thin">
        <color auto="1"/>
      </right>
      <top/>
      <bottom/>
      <diagonal/>
    </border>
    <border>
      <left/>
      <right/>
      <top style="thin">
        <color auto="1"/>
      </top>
      <bottom/>
      <diagonal/>
    </border>
    <border>
      <left style="thin">
        <color indexed="64"/>
      </left>
      <right/>
      <top style="thin">
        <color auto="1"/>
      </top>
      <bottom/>
      <diagonal/>
    </border>
    <border>
      <left/>
      <right style="thin">
        <color indexed="64"/>
      </right>
      <top style="thin">
        <color auto="1"/>
      </top>
      <bottom/>
      <diagonal/>
    </border>
    <border>
      <left style="thin">
        <color auto="1"/>
      </left>
      <right style="thin">
        <color indexed="64"/>
      </right>
      <top/>
      <bottom/>
      <diagonal/>
    </border>
    <border>
      <left style="thin">
        <color indexed="64"/>
      </left>
      <right/>
      <top/>
      <bottom/>
      <diagonal/>
    </border>
    <border>
      <left style="thin">
        <color indexed="8"/>
      </left>
      <right style="thin">
        <color indexed="64"/>
      </right>
      <top/>
      <bottom/>
      <diagonal/>
    </border>
    <border>
      <left style="thin">
        <color indexed="8"/>
      </left>
      <right/>
      <top/>
      <bottom/>
      <diagonal/>
    </border>
    <border>
      <left style="thin">
        <color indexed="64"/>
      </left>
      <right/>
      <top/>
      <bottom/>
      <diagonal/>
    </border>
    <border>
      <left style="thin">
        <color indexed="64"/>
      </left>
      <right style="thin">
        <color indexed="64"/>
      </right>
      <top/>
      <bottom/>
      <diagonal/>
    </border>
    <border>
      <left style="thin">
        <color auto="1"/>
      </left>
      <right style="thin">
        <color auto="1"/>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auto="1"/>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right/>
      <top style="double">
        <color indexed="64"/>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style="thin">
        <color indexed="8"/>
      </bottom>
      <diagonal/>
    </border>
    <border>
      <left style="thin">
        <color indexed="64"/>
      </left>
      <right/>
      <top style="thin">
        <color indexed="64"/>
      </top>
      <bottom/>
      <diagonal/>
    </border>
    <border>
      <left/>
      <right style="thin">
        <color indexed="8"/>
      </right>
      <top style="thin">
        <color indexed="64"/>
      </top>
      <bottom/>
      <diagonal/>
    </border>
    <border>
      <left style="thin">
        <color indexed="8"/>
      </left>
      <right/>
      <top/>
      <bottom/>
      <diagonal/>
    </border>
    <border>
      <left/>
      <right style="thin">
        <color indexed="8"/>
      </right>
      <top/>
      <bottom/>
      <diagonal/>
    </border>
    <border>
      <left style="thin">
        <color indexed="8"/>
      </left>
      <right/>
      <top/>
      <bottom/>
      <diagonal/>
    </border>
    <border>
      <left/>
      <right style="thin">
        <color indexed="64"/>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style="thin">
        <color indexed="8"/>
      </right>
      <top/>
      <bottom style="thin">
        <color indexed="64"/>
      </bottom>
      <diagonal/>
    </border>
    <border>
      <left style="thin">
        <color indexed="8"/>
      </left>
      <right/>
      <top/>
      <bottom style="thin">
        <color indexed="64"/>
      </bottom>
      <diagonal/>
    </border>
    <border>
      <left style="thin">
        <color indexed="8"/>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bottom/>
      <diagonal/>
    </border>
    <border>
      <left/>
      <right/>
      <top style="thin">
        <color indexed="8"/>
      </top>
      <bottom/>
      <diagonal/>
    </border>
    <border>
      <left style="thin">
        <color indexed="8"/>
      </left>
      <right style="thin">
        <color indexed="8"/>
      </right>
      <top style="thin">
        <color indexed="8"/>
      </top>
      <bottom/>
      <diagonal/>
    </border>
    <border>
      <left style="thin">
        <color indexed="64"/>
      </left>
      <right/>
      <top style="thin">
        <color auto="1"/>
      </top>
      <bottom/>
      <diagonal/>
    </border>
    <border>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8"/>
      </top>
      <bottom/>
      <diagonal/>
    </border>
    <border>
      <left/>
      <right/>
      <top style="thin">
        <color indexed="64"/>
      </top>
      <bottom/>
      <diagonal/>
    </border>
    <border>
      <left style="thin">
        <color indexed="64"/>
      </left>
      <right style="thin">
        <color indexed="8"/>
      </right>
      <top/>
      <bottom/>
      <diagonal/>
    </border>
    <border>
      <left style="thin">
        <color indexed="64"/>
      </left>
      <right style="thin">
        <color indexed="8"/>
      </right>
      <top/>
      <bottom/>
      <diagonal/>
    </border>
    <border>
      <left style="thin">
        <color indexed="8"/>
      </left>
      <right style="thin">
        <color indexed="64"/>
      </right>
      <top/>
      <bottom/>
      <diagonal/>
    </border>
    <border>
      <left style="thin">
        <color indexed="64"/>
      </left>
      <right/>
      <top/>
      <bottom/>
      <diagonal/>
    </border>
    <border>
      <left style="thin">
        <color auto="1"/>
      </left>
      <right style="thin">
        <color indexed="64"/>
      </right>
      <top/>
      <bottom/>
      <diagonal/>
    </border>
    <border>
      <left style="thin">
        <color indexed="8"/>
      </left>
      <right/>
      <top/>
      <bottom/>
      <diagonal/>
    </border>
    <border>
      <left style="thin">
        <color indexed="64"/>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64"/>
      </left>
      <right style="thin">
        <color indexed="8"/>
      </right>
      <top/>
      <bottom/>
      <diagonal/>
    </border>
    <border>
      <left style="thin">
        <color indexed="8"/>
      </left>
      <right style="thin">
        <color indexed="64"/>
      </right>
      <top/>
      <bottom/>
      <diagonal/>
    </border>
    <border>
      <left style="thin">
        <color indexed="64"/>
      </left>
      <right/>
      <top/>
      <bottom/>
      <diagonal/>
    </border>
    <border>
      <left style="thin">
        <color indexed="8"/>
      </left>
      <right/>
      <top/>
      <bottom/>
      <diagonal/>
    </border>
    <border>
      <left/>
      <right style="thin">
        <color indexed="8"/>
      </right>
      <top style="thin">
        <color indexed="64"/>
      </top>
      <bottom/>
      <diagonal/>
    </border>
    <border>
      <left style="thin">
        <color auto="1"/>
      </left>
      <right style="thin">
        <color indexed="64"/>
      </right>
      <top/>
      <bottom/>
      <diagonal/>
    </border>
    <border>
      <left style="thin">
        <color auto="1"/>
      </left>
      <right/>
      <top/>
      <bottom style="thin">
        <color auto="1"/>
      </bottom>
      <diagonal/>
    </border>
    <border>
      <left style="thin">
        <color auto="1"/>
      </left>
      <right style="thin">
        <color indexed="64"/>
      </right>
      <top/>
      <bottom style="thin">
        <color auto="1"/>
      </bottom>
      <diagonal/>
    </border>
    <border>
      <left style="thin">
        <color indexed="8"/>
      </left>
      <right style="thin">
        <color indexed="8"/>
      </right>
      <top/>
      <bottom/>
      <diagonal/>
    </border>
    <border>
      <left style="thin">
        <color indexed="64"/>
      </left>
      <right style="thin">
        <color indexed="64"/>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right/>
      <top style="thin">
        <color indexed="8"/>
      </top>
      <bottom style="thin">
        <color indexed="8"/>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bottom style="thin">
        <color indexed="64"/>
      </bottom>
      <diagonal/>
    </border>
    <border>
      <left/>
      <right/>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64"/>
      </right>
      <top style="thin">
        <color auto="1"/>
      </top>
      <bottom/>
      <diagonal/>
    </border>
    <border>
      <left style="thin">
        <color indexed="64"/>
      </left>
      <right style="thin">
        <color indexed="8"/>
      </right>
      <top/>
      <bottom/>
      <diagonal/>
    </border>
    <border>
      <left style="thin">
        <color indexed="8"/>
      </left>
      <right/>
      <top/>
      <bottom/>
      <diagonal/>
    </border>
    <border>
      <left style="thin">
        <color indexed="64"/>
      </left>
      <right/>
      <top/>
      <bottom/>
      <diagonal/>
    </border>
    <border>
      <left style="thin">
        <color indexed="8"/>
      </left>
      <right style="thin">
        <color indexed="64"/>
      </right>
      <top/>
      <bottom/>
      <diagonal/>
    </border>
    <border>
      <left style="thin">
        <color auto="1"/>
      </left>
      <right style="thin">
        <color indexed="64"/>
      </right>
      <top/>
      <bottom/>
      <diagonal/>
    </border>
    <border>
      <left style="thin">
        <color indexed="64"/>
      </left>
      <right style="thin">
        <color indexed="8"/>
      </right>
      <top/>
      <bottom/>
      <diagonal/>
    </border>
    <border>
      <left style="thin">
        <color indexed="8"/>
      </left>
      <right/>
      <top/>
      <bottom/>
      <diagonal/>
    </border>
    <border>
      <left style="thin">
        <color indexed="64"/>
      </left>
      <right/>
      <top/>
      <bottom/>
      <diagonal/>
    </border>
    <border>
      <left/>
      <right style="thin">
        <color indexed="64"/>
      </right>
      <top/>
      <bottom style="thin">
        <color indexed="8"/>
      </bottom>
      <diagonal/>
    </border>
    <border>
      <left style="thin">
        <color indexed="8"/>
      </left>
      <right style="thin">
        <color indexed="64"/>
      </right>
      <top/>
      <bottom/>
      <diagonal/>
    </border>
    <border>
      <left style="thin">
        <color indexed="64"/>
      </left>
      <right style="thin">
        <color auto="1"/>
      </right>
      <top/>
      <bottom style="thin">
        <color indexed="64"/>
      </bottom>
      <diagonal/>
    </border>
    <border>
      <left/>
      <right style="thin">
        <color indexed="64"/>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top style="thin">
        <color indexed="8"/>
      </top>
      <bottom style="thin">
        <color indexed="8"/>
      </bottom>
      <diagonal/>
    </border>
    <border>
      <left style="thin">
        <color indexed="8"/>
      </left>
      <right style="thin">
        <color indexed="8"/>
      </right>
      <top/>
      <bottom/>
      <diagonal/>
    </border>
    <border>
      <left style="thin">
        <color indexed="64"/>
      </left>
      <right style="thin">
        <color indexed="64"/>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style="thin">
        <color indexed="64"/>
      </left>
      <right/>
      <top/>
      <bottom style="thin">
        <color indexed="8"/>
      </bottom>
      <diagonal/>
    </border>
    <border>
      <left/>
      <right/>
      <top/>
      <bottom style="thin">
        <color auto="1"/>
      </bottom>
      <diagonal/>
    </border>
    <border>
      <left style="thin">
        <color indexed="64"/>
      </left>
      <right/>
      <top style="thin">
        <color indexed="8"/>
      </top>
      <bottom/>
      <diagonal/>
    </border>
  </borders>
  <cellStyleXfs count="14">
    <xf numFmtId="0" fontId="0" fillId="0" borderId="0"/>
    <xf numFmtId="43" fontId="25" fillId="0" borderId="0" applyFont="0" applyFill="0" applyBorder="0" applyAlignment="0" applyProtection="0"/>
    <xf numFmtId="44" fontId="25" fillId="0" borderId="0" applyFont="0" applyFill="0" applyBorder="0" applyAlignment="0" applyProtection="0"/>
    <xf numFmtId="9" fontId="25" fillId="0" borderId="0" applyFont="0" applyFill="0" applyBorder="0" applyAlignment="0" applyProtection="0"/>
    <xf numFmtId="0" fontId="21" fillId="0" borderId="0" applyNumberFormat="0" applyFill="0" applyBorder="0" applyAlignment="0" applyProtection="0"/>
    <xf numFmtId="0" fontId="1" fillId="0" borderId="0"/>
    <xf numFmtId="3" fontId="15" fillId="0" borderId="0"/>
    <xf numFmtId="0" fontId="19" fillId="0" borderId="0" applyNumberFormat="0" applyFill="0" applyBorder="0" applyAlignment="0" applyProtection="0">
      <alignment vertical="top"/>
      <protection locked="0"/>
    </xf>
    <xf numFmtId="0" fontId="1" fillId="0" borderId="0"/>
    <xf numFmtId="0" fontId="45" fillId="0" borderId="0"/>
    <xf numFmtId="11" fontId="46" fillId="0" borderId="0" applyNumberForma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cellStyleXfs>
  <cellXfs count="1739">
    <xf numFmtId="0" fontId="0" fillId="0" borderId="0" xfId="0"/>
    <xf numFmtId="0" fontId="2" fillId="0" borderId="0" xfId="5" applyFont="1"/>
    <xf numFmtId="0" fontId="2" fillId="2" borderId="0" xfId="5" applyFont="1" applyFill="1"/>
    <xf numFmtId="0" fontId="3" fillId="0" borderId="0" xfId="5" applyFont="1"/>
    <xf numFmtId="0" fontId="4" fillId="0" borderId="0" xfId="5" applyFont="1"/>
    <xf numFmtId="0" fontId="2" fillId="3" borderId="0" xfId="5" applyFont="1" applyFill="1"/>
    <xf numFmtId="0" fontId="5" fillId="0" borderId="0" xfId="5" applyFont="1"/>
    <xf numFmtId="0" fontId="6" fillId="0" borderId="0" xfId="5" applyFont="1"/>
    <xf numFmtId="0" fontId="7" fillId="0" borderId="0" xfId="5" applyFont="1"/>
    <xf numFmtId="0" fontId="8" fillId="0" borderId="0" xfId="5" applyFont="1"/>
    <xf numFmtId="0" fontId="9" fillId="0" borderId="0" xfId="5" applyFont="1"/>
    <xf numFmtId="164" fontId="9" fillId="0" borderId="0" xfId="5" applyNumberFormat="1" applyFont="1" applyAlignment="1">
      <alignment horizontal="left"/>
    </xf>
    <xf numFmtId="9" fontId="10" fillId="0" borderId="0" xfId="5" applyNumberFormat="1" applyFont="1"/>
    <xf numFmtId="0" fontId="11" fillId="0" borderId="0" xfId="5" applyFont="1"/>
    <xf numFmtId="0" fontId="12" fillId="0" borderId="0" xfId="5" applyFont="1"/>
    <xf numFmtId="0" fontId="2" fillId="4" borderId="0" xfId="5" applyFont="1" applyFill="1"/>
    <xf numFmtId="0" fontId="13" fillId="0" borderId="0" xfId="5" applyFont="1"/>
    <xf numFmtId="0" fontId="14" fillId="0" borderId="0" xfId="5" applyFont="1"/>
    <xf numFmtId="164" fontId="16" fillId="5" borderId="0" xfId="6" applyNumberFormat="1" applyFont="1" applyFill="1" applyAlignment="1">
      <alignment horizontal="left"/>
    </xf>
    <xf numFmtId="0" fontId="17" fillId="0" borderId="0" xfId="5" applyFont="1"/>
    <xf numFmtId="0" fontId="18" fillId="5" borderId="0" xfId="6" applyNumberFormat="1" applyFont="1" applyFill="1" applyAlignment="1">
      <alignment horizontal="left" vertical="center"/>
    </xf>
    <xf numFmtId="49" fontId="18" fillId="5" borderId="0" xfId="6" applyNumberFormat="1" applyFont="1" applyFill="1" applyAlignment="1">
      <alignment horizontal="left" vertical="center"/>
    </xf>
    <xf numFmtId="0" fontId="20" fillId="0" borderId="0" xfId="7" applyFont="1" applyAlignment="1" applyProtection="1"/>
    <xf numFmtId="0" fontId="22" fillId="0" borderId="0" xfId="4" applyNumberFormat="1" applyFont="1" applyFill="1" applyAlignment="1">
      <alignment horizontal="left" vertical="center"/>
    </xf>
    <xf numFmtId="0" fontId="23" fillId="5" borderId="0" xfId="6" applyNumberFormat="1" applyFont="1" applyFill="1" applyAlignment="1">
      <alignment horizontal="left" vertical="center"/>
    </xf>
    <xf numFmtId="0" fontId="24" fillId="5" borderId="0" xfId="4" applyNumberFormat="1" applyFont="1" applyFill="1" applyAlignment="1">
      <alignment horizontal="left" vertical="center"/>
    </xf>
    <xf numFmtId="0" fontId="23" fillId="0" borderId="0" xfId="6" applyNumberFormat="1" applyFont="1" applyAlignment="1">
      <alignment horizontal="left" vertical="center"/>
    </xf>
    <xf numFmtId="0" fontId="24" fillId="0" borderId="0" xfId="4" applyNumberFormat="1" applyFont="1" applyFill="1" applyAlignment="1">
      <alignment horizontal="left" vertical="center"/>
    </xf>
    <xf numFmtId="9" fontId="26" fillId="0" borderId="0" xfId="3" applyFont="1" applyFill="1" applyBorder="1" applyAlignment="1" applyProtection="1"/>
    <xf numFmtId="165" fontId="27" fillId="0" borderId="0" xfId="8" applyNumberFormat="1" applyFont="1"/>
    <xf numFmtId="43" fontId="27" fillId="0" borderId="0" xfId="1" applyFont="1" applyFill="1" applyBorder="1" applyAlignment="1"/>
    <xf numFmtId="0" fontId="27" fillId="3" borderId="0" xfId="8" applyFont="1" applyFill="1"/>
    <xf numFmtId="165" fontId="27" fillId="3" borderId="0" xfId="8" applyNumberFormat="1" applyFont="1" applyFill="1"/>
    <xf numFmtId="0" fontId="27" fillId="0" borderId="0" xfId="8" applyFont="1"/>
    <xf numFmtId="166" fontId="28" fillId="3" borderId="0" xfId="8" applyNumberFormat="1" applyFont="1" applyFill="1"/>
    <xf numFmtId="166" fontId="28" fillId="0" borderId="0" xfId="8" applyNumberFormat="1" applyFont="1"/>
    <xf numFmtId="166" fontId="27" fillId="0" borderId="0" xfId="8" applyNumberFormat="1" applyFont="1"/>
    <xf numFmtId="0" fontId="28" fillId="3" borderId="0" xfId="8" applyFont="1" applyFill="1"/>
    <xf numFmtId="167" fontId="28" fillId="3" borderId="0" xfId="8" applyNumberFormat="1" applyFont="1" applyFill="1"/>
    <xf numFmtId="0" fontId="28" fillId="0" borderId="0" xfId="8" applyFont="1"/>
    <xf numFmtId="0" fontId="29" fillId="6" borderId="1" xfId="8" applyFont="1" applyFill="1" applyBorder="1"/>
    <xf numFmtId="0" fontId="29" fillId="0" borderId="7" xfId="8" applyFont="1" applyBorder="1"/>
    <xf numFmtId="0" fontId="30" fillId="7" borderId="8" xfId="8" applyFont="1" applyFill="1" applyBorder="1"/>
    <xf numFmtId="0" fontId="30" fillId="7" borderId="9" xfId="8" applyFont="1" applyFill="1" applyBorder="1"/>
    <xf numFmtId="0" fontId="30" fillId="7" borderId="10" xfId="8" applyFont="1" applyFill="1" applyBorder="1"/>
    <xf numFmtId="0" fontId="31" fillId="0" borderId="0" xfId="8" applyFont="1"/>
    <xf numFmtId="0" fontId="32" fillId="0" borderId="11" xfId="8" applyFont="1" applyBorder="1"/>
    <xf numFmtId="17" fontId="33" fillId="0" borderId="12" xfId="8" applyNumberFormat="1" applyFont="1" applyBorder="1" applyAlignment="1">
      <alignment horizontal="right"/>
    </xf>
    <xf numFmtId="17" fontId="33" fillId="0" borderId="0" xfId="8" applyNumberFormat="1" applyFont="1" applyAlignment="1">
      <alignment horizontal="right"/>
    </xf>
    <xf numFmtId="17" fontId="33" fillId="0" borderId="0" xfId="8" quotePrefix="1" applyNumberFormat="1" applyFont="1" applyAlignment="1">
      <alignment horizontal="right"/>
    </xf>
    <xf numFmtId="17" fontId="33" fillId="0" borderId="7" xfId="8" applyNumberFormat="1" applyFont="1" applyBorder="1" applyAlignment="1">
      <alignment horizontal="right"/>
    </xf>
    <xf numFmtId="17" fontId="33" fillId="0" borderId="7" xfId="8" quotePrefix="1" applyNumberFormat="1" applyFont="1" applyBorder="1" applyAlignment="1">
      <alignment horizontal="right"/>
    </xf>
    <xf numFmtId="17" fontId="33" fillId="0" borderId="12" xfId="8" quotePrefix="1" applyNumberFormat="1" applyFont="1" applyBorder="1" applyAlignment="1">
      <alignment horizontal="right"/>
    </xf>
    <xf numFmtId="17" fontId="33" fillId="3" borderId="0" xfId="8" quotePrefix="1" applyNumberFormat="1" applyFont="1" applyFill="1" applyAlignment="1">
      <alignment horizontal="right"/>
    </xf>
    <xf numFmtId="17" fontId="33" fillId="3" borderId="7" xfId="8" quotePrefix="1" applyNumberFormat="1" applyFont="1" applyFill="1" applyBorder="1" applyAlignment="1">
      <alignment horizontal="right"/>
    </xf>
    <xf numFmtId="17" fontId="33" fillId="3" borderId="12" xfId="8" quotePrefix="1" applyNumberFormat="1" applyFont="1" applyFill="1" applyBorder="1" applyAlignment="1">
      <alignment horizontal="right"/>
    </xf>
    <xf numFmtId="0" fontId="33" fillId="0" borderId="7" xfId="8" applyFont="1" applyBorder="1" applyAlignment="1">
      <alignment horizontal="right"/>
    </xf>
    <xf numFmtId="0" fontId="33" fillId="0" borderId="11" xfId="8" applyFont="1" applyBorder="1" applyAlignment="1">
      <alignment horizontal="right"/>
    </xf>
    <xf numFmtId="0" fontId="33" fillId="0" borderId="13" xfId="8" applyFont="1" applyBorder="1" applyAlignment="1">
      <alignment horizontal="right"/>
    </xf>
    <xf numFmtId="0" fontId="33" fillId="0" borderId="14" xfId="8" applyFont="1" applyBorder="1" applyAlignment="1">
      <alignment horizontal="right"/>
    </xf>
    <xf numFmtId="0" fontId="33" fillId="0" borderId="15" xfId="8" applyFont="1" applyBorder="1" applyAlignment="1">
      <alignment horizontal="right"/>
    </xf>
    <xf numFmtId="0" fontId="33" fillId="0" borderId="16" xfId="8" applyFont="1" applyBorder="1" applyAlignment="1">
      <alignment horizontal="right"/>
    </xf>
    <xf numFmtId="0" fontId="34" fillId="0" borderId="0" xfId="8" applyFont="1" applyAlignment="1">
      <alignment horizontal="right"/>
    </xf>
    <xf numFmtId="0" fontId="29" fillId="3" borderId="16" xfId="8" applyFont="1" applyFill="1" applyBorder="1"/>
    <xf numFmtId="17" fontId="33" fillId="3" borderId="15" xfId="8" applyNumberFormat="1" applyFont="1" applyFill="1" applyBorder="1" applyAlignment="1">
      <alignment horizontal="right"/>
    </xf>
    <xf numFmtId="17" fontId="33" fillId="3" borderId="0" xfId="8" applyNumberFormat="1" applyFont="1" applyFill="1" applyAlignment="1">
      <alignment horizontal="right"/>
    </xf>
    <xf numFmtId="17" fontId="33" fillId="3" borderId="7" xfId="8" applyNumberFormat="1" applyFont="1" applyFill="1" applyBorder="1" applyAlignment="1">
      <alignment horizontal="right"/>
    </xf>
    <xf numFmtId="17" fontId="33" fillId="3" borderId="16" xfId="8" applyNumberFormat="1" applyFont="1" applyFill="1" applyBorder="1" applyAlignment="1">
      <alignment horizontal="right"/>
    </xf>
    <xf numFmtId="0" fontId="15" fillId="0" borderId="15" xfId="8" applyFont="1" applyBorder="1" applyAlignment="1">
      <alignment horizontal="left" indent="1"/>
    </xf>
    <xf numFmtId="168" fontId="15" fillId="3" borderId="15" xfId="8" applyNumberFormat="1" applyFont="1" applyFill="1" applyBorder="1"/>
    <xf numFmtId="168" fontId="15" fillId="3" borderId="0" xfId="8" applyNumberFormat="1" applyFont="1" applyFill="1"/>
    <xf numFmtId="168" fontId="15" fillId="3" borderId="7" xfId="8" applyNumberFormat="1" applyFont="1" applyFill="1" applyBorder="1"/>
    <xf numFmtId="168" fontId="15" fillId="3" borderId="16" xfId="8" applyNumberFormat="1" applyFont="1" applyFill="1" applyBorder="1"/>
    <xf numFmtId="169" fontId="29" fillId="3" borderId="16" xfId="8" applyNumberFormat="1" applyFont="1" applyFill="1" applyBorder="1" applyAlignment="1">
      <alignment horizontal="left"/>
    </xf>
    <xf numFmtId="168" fontId="29" fillId="3" borderId="15" xfId="8" applyNumberFormat="1" applyFont="1" applyFill="1" applyBorder="1"/>
    <xf numFmtId="168" fontId="29" fillId="3" borderId="0" xfId="8" applyNumberFormat="1" applyFont="1" applyFill="1"/>
    <xf numFmtId="168" fontId="29" fillId="3" borderId="7" xfId="8" applyNumberFormat="1" applyFont="1" applyFill="1" applyBorder="1"/>
    <xf numFmtId="168" fontId="29" fillId="0" borderId="0" xfId="8" applyNumberFormat="1" applyFont="1"/>
    <xf numFmtId="168" fontId="29" fillId="3" borderId="7" xfId="2" applyNumberFormat="1" applyFont="1" applyFill="1" applyBorder="1" applyProtection="1"/>
    <xf numFmtId="168" fontId="29" fillId="3" borderId="16" xfId="8" applyNumberFormat="1" applyFont="1" applyFill="1" applyBorder="1"/>
    <xf numFmtId="170" fontId="31" fillId="3" borderId="0" xfId="8" applyNumberFormat="1" applyFont="1" applyFill="1"/>
    <xf numFmtId="0" fontId="35" fillId="3" borderId="16" xfId="8" applyFont="1" applyFill="1" applyBorder="1" applyAlignment="1">
      <alignment horizontal="left" indent="1"/>
    </xf>
    <xf numFmtId="168" fontId="35" fillId="3" borderId="15" xfId="8" applyNumberFormat="1" applyFont="1" applyFill="1" applyBorder="1"/>
    <xf numFmtId="168" fontId="35" fillId="3" borderId="0" xfId="8" applyNumberFormat="1" applyFont="1" applyFill="1"/>
    <xf numFmtId="168" fontId="35" fillId="3" borderId="7" xfId="8" applyNumberFormat="1" applyFont="1" applyFill="1" applyBorder="1"/>
    <xf numFmtId="171" fontId="35" fillId="0" borderId="7" xfId="8" applyNumberFormat="1" applyFont="1" applyBorder="1"/>
    <xf numFmtId="168" fontId="35" fillId="0" borderId="15" xfId="8" applyNumberFormat="1" applyFont="1" applyBorder="1"/>
    <xf numFmtId="168" fontId="35" fillId="0" borderId="16" xfId="8" applyNumberFormat="1" applyFont="1" applyBorder="1"/>
    <xf numFmtId="168" fontId="35" fillId="3" borderId="16" xfId="8" applyNumberFormat="1" applyFont="1" applyFill="1" applyBorder="1"/>
    <xf numFmtId="169" fontId="36" fillId="0" borderId="0" xfId="8" applyNumberFormat="1" applyFont="1"/>
    <xf numFmtId="0" fontId="37" fillId="3" borderId="17" xfId="8" applyFont="1" applyFill="1" applyBorder="1"/>
    <xf numFmtId="168" fontId="35" fillId="3" borderId="18" xfId="8" applyNumberFormat="1" applyFont="1" applyFill="1" applyBorder="1"/>
    <xf numFmtId="168" fontId="35" fillId="3" borderId="19" xfId="8" applyNumberFormat="1" applyFont="1" applyFill="1" applyBorder="1"/>
    <xf numFmtId="168" fontId="35" fillId="3" borderId="20" xfId="8" applyNumberFormat="1" applyFont="1" applyFill="1" applyBorder="1"/>
    <xf numFmtId="168" fontId="35" fillId="0" borderId="19" xfId="8" applyNumberFormat="1" applyFont="1" applyBorder="1"/>
    <xf numFmtId="9" fontId="35" fillId="3" borderId="19" xfId="3" applyFont="1" applyFill="1" applyBorder="1" applyAlignment="1" applyProtection="1"/>
    <xf numFmtId="168" fontId="35" fillId="3" borderId="18" xfId="8" applyNumberFormat="1" applyFont="1" applyFill="1" applyBorder="1" applyAlignment="1">
      <alignment horizontal="right"/>
    </xf>
    <xf numFmtId="168" fontId="35" fillId="3" borderId="19" xfId="8" applyNumberFormat="1" applyFont="1" applyFill="1" applyBorder="1" applyAlignment="1">
      <alignment horizontal="right"/>
    </xf>
    <xf numFmtId="168" fontId="35" fillId="3" borderId="20" xfId="8" applyNumberFormat="1" applyFont="1" applyFill="1" applyBorder="1" applyAlignment="1">
      <alignment horizontal="right"/>
    </xf>
    <xf numFmtId="171" fontId="35" fillId="0" borderId="0" xfId="8" applyNumberFormat="1" applyFont="1"/>
    <xf numFmtId="168" fontId="29" fillId="0" borderId="17" xfId="8" applyNumberFormat="1" applyFont="1" applyBorder="1"/>
    <xf numFmtId="168" fontId="35" fillId="3" borderId="17" xfId="8" applyNumberFormat="1" applyFont="1" applyFill="1" applyBorder="1"/>
    <xf numFmtId="9" fontId="35" fillId="3" borderId="18" xfId="3" applyFont="1" applyFill="1" applyBorder="1" applyAlignment="1" applyProtection="1"/>
    <xf numFmtId="0" fontId="37" fillId="3" borderId="16" xfId="8" applyFont="1" applyFill="1" applyBorder="1" applyAlignment="1">
      <alignment horizontal="left" indent="1"/>
    </xf>
    <xf numFmtId="168" fontId="37" fillId="3" borderId="15" xfId="8" applyNumberFormat="1" applyFont="1" applyFill="1" applyBorder="1"/>
    <xf numFmtId="168" fontId="37" fillId="3" borderId="0" xfId="8" applyNumberFormat="1" applyFont="1" applyFill="1"/>
    <xf numFmtId="168" fontId="37" fillId="3" borderId="7" xfId="8" applyNumberFormat="1" applyFont="1" applyFill="1" applyBorder="1"/>
    <xf numFmtId="168" fontId="37" fillId="0" borderId="0" xfId="8" applyNumberFormat="1" applyFont="1"/>
    <xf numFmtId="168" fontId="37" fillId="3" borderId="21" xfId="8" applyNumberFormat="1" applyFont="1" applyFill="1" applyBorder="1"/>
    <xf numFmtId="168" fontId="37" fillId="3" borderId="22" xfId="8" applyNumberFormat="1" applyFont="1" applyFill="1" applyBorder="1"/>
    <xf numFmtId="168" fontId="29" fillId="0" borderId="13" xfId="8" applyNumberFormat="1" applyFont="1" applyBorder="1"/>
    <xf numFmtId="168" fontId="35" fillId="3" borderId="11" xfId="8" applyNumberFormat="1" applyFont="1" applyFill="1" applyBorder="1"/>
    <xf numFmtId="168" fontId="37" fillId="3" borderId="11" xfId="8" applyNumberFormat="1" applyFont="1" applyFill="1" applyBorder="1"/>
    <xf numFmtId="168" fontId="37" fillId="3" borderId="12" xfId="8" applyNumberFormat="1" applyFont="1" applyFill="1" applyBorder="1"/>
    <xf numFmtId="168" fontId="37" fillId="0" borderId="7" xfId="8" applyNumberFormat="1" applyFont="1" applyBorder="1"/>
    <xf numFmtId="0" fontId="37" fillId="3" borderId="11" xfId="8" applyFont="1" applyFill="1" applyBorder="1" applyAlignment="1">
      <alignment horizontal="left" indent="1"/>
    </xf>
    <xf numFmtId="168" fontId="35" fillId="3" borderId="12" xfId="8" applyNumberFormat="1" applyFont="1" applyFill="1" applyBorder="1"/>
    <xf numFmtId="168" fontId="29" fillId="0" borderId="23" xfId="8" applyNumberFormat="1" applyFont="1" applyBorder="1"/>
    <xf numFmtId="168" fontId="35" fillId="3" borderId="24" xfId="8" applyNumberFormat="1" applyFont="1" applyFill="1" applyBorder="1"/>
    <xf numFmtId="168" fontId="37" fillId="3" borderId="24" xfId="8" applyNumberFormat="1" applyFont="1" applyFill="1" applyBorder="1"/>
    <xf numFmtId="168" fontId="37" fillId="3" borderId="25" xfId="8" applyNumberFormat="1" applyFont="1" applyFill="1" applyBorder="1"/>
    <xf numFmtId="0" fontId="37" fillId="3" borderId="17" xfId="8" applyFont="1" applyFill="1" applyBorder="1" applyAlignment="1">
      <alignment horizontal="left" indent="1"/>
    </xf>
    <xf numFmtId="168" fontId="37" fillId="3" borderId="18" xfId="8" applyNumberFormat="1" applyFont="1" applyFill="1" applyBorder="1"/>
    <xf numFmtId="168" fontId="37" fillId="3" borderId="19" xfId="8" applyNumberFormat="1" applyFont="1" applyFill="1" applyBorder="1"/>
    <xf numFmtId="168" fontId="37" fillId="3" borderId="20" xfId="8" applyNumberFormat="1" applyFont="1" applyFill="1" applyBorder="1"/>
    <xf numFmtId="168" fontId="37" fillId="0" borderId="19" xfId="8" applyNumberFormat="1" applyFont="1" applyBorder="1"/>
    <xf numFmtId="168" fontId="37" fillId="3" borderId="17" xfId="8" applyNumberFormat="1" applyFont="1" applyFill="1" applyBorder="1"/>
    <xf numFmtId="168" fontId="37" fillId="0" borderId="20" xfId="8" applyNumberFormat="1" applyFont="1" applyBorder="1"/>
    <xf numFmtId="0" fontId="15" fillId="3" borderId="16" xfId="8" applyFont="1" applyFill="1" applyBorder="1" applyAlignment="1">
      <alignment horizontal="left" indent="1"/>
    </xf>
    <xf numFmtId="168" fontId="38" fillId="3" borderId="7" xfId="8" applyNumberFormat="1" applyFont="1" applyFill="1" applyBorder="1" applyAlignment="1">
      <alignment horizontal="right"/>
    </xf>
    <xf numFmtId="168" fontId="15" fillId="3" borderId="25" xfId="8" applyNumberFormat="1" applyFont="1" applyFill="1" applyBorder="1"/>
    <xf numFmtId="168" fontId="15" fillId="0" borderId="0" xfId="8" applyNumberFormat="1" applyFont="1"/>
    <xf numFmtId="172" fontId="15" fillId="3" borderId="0" xfId="8" applyNumberFormat="1" applyFont="1" applyFill="1"/>
    <xf numFmtId="168" fontId="38" fillId="3" borderId="0" xfId="8" applyNumberFormat="1" applyFont="1" applyFill="1" applyAlignment="1">
      <alignment horizontal="right"/>
    </xf>
    <xf numFmtId="171" fontId="15" fillId="3" borderId="7" xfId="8" applyNumberFormat="1" applyFont="1" applyFill="1" applyBorder="1"/>
    <xf numFmtId="168" fontId="38" fillId="3" borderId="25" xfId="8" applyNumberFormat="1" applyFont="1" applyFill="1" applyBorder="1"/>
    <xf numFmtId="168" fontId="38" fillId="3" borderId="16" xfId="8" applyNumberFormat="1" applyFont="1" applyFill="1" applyBorder="1"/>
    <xf numFmtId="9" fontId="38" fillId="3" borderId="15" xfId="3" applyFont="1" applyFill="1" applyBorder="1" applyAlignment="1" applyProtection="1"/>
    <xf numFmtId="169" fontId="27" fillId="3" borderId="0" xfId="8" applyNumberFormat="1" applyFont="1" applyFill="1"/>
    <xf numFmtId="0" fontId="15" fillId="3" borderId="16" xfId="8" applyFont="1" applyFill="1" applyBorder="1"/>
    <xf numFmtId="168" fontId="29" fillId="3" borderId="25" xfId="8" applyNumberFormat="1" applyFont="1" applyFill="1" applyBorder="1"/>
    <xf numFmtId="173" fontId="29" fillId="3" borderId="0" xfId="8" applyNumberFormat="1" applyFont="1" applyFill="1"/>
    <xf numFmtId="171" fontId="29" fillId="0" borderId="7" xfId="8" applyNumberFormat="1" applyFont="1" applyBorder="1"/>
    <xf numFmtId="169" fontId="31" fillId="0" borderId="0" xfId="8" applyNumberFormat="1" applyFont="1"/>
    <xf numFmtId="0" fontId="35" fillId="0" borderId="16" xfId="8" applyFont="1" applyBorder="1" applyAlignment="1">
      <alignment horizontal="left" indent="1"/>
    </xf>
    <xf numFmtId="168" fontId="35" fillId="0" borderId="0" xfId="8" applyNumberFormat="1" applyFont="1"/>
    <xf numFmtId="168" fontId="35" fillId="0" borderId="7" xfId="8" applyNumberFormat="1" applyFont="1" applyBorder="1"/>
    <xf numFmtId="168" fontId="35" fillId="0" borderId="25" xfId="8" applyNumberFormat="1" applyFont="1" applyBorder="1"/>
    <xf numFmtId="165" fontId="29" fillId="3" borderId="15" xfId="3" applyNumberFormat="1" applyFont="1" applyFill="1" applyBorder="1" applyAlignment="1" applyProtection="1"/>
    <xf numFmtId="165" fontId="29" fillId="3" borderId="16" xfId="3" applyNumberFormat="1" applyFont="1" applyFill="1" applyBorder="1" applyAlignment="1" applyProtection="1"/>
    <xf numFmtId="171" fontId="15" fillId="0" borderId="7" xfId="8" applyNumberFormat="1" applyFont="1" applyBorder="1"/>
    <xf numFmtId="169" fontId="27" fillId="0" borderId="0" xfId="8" applyNumberFormat="1" applyFont="1"/>
    <xf numFmtId="169" fontId="15" fillId="3" borderId="16" xfId="8" applyNumberFormat="1" applyFont="1" applyFill="1" applyBorder="1" applyAlignment="1">
      <alignment horizontal="left" indent="1"/>
    </xf>
    <xf numFmtId="168" fontId="15" fillId="0" borderId="7" xfId="8" applyNumberFormat="1" applyFont="1" applyBorder="1"/>
    <xf numFmtId="168" fontId="15" fillId="0" borderId="15" xfId="8" applyNumberFormat="1" applyFont="1" applyBorder="1"/>
    <xf numFmtId="165" fontId="27" fillId="0" borderId="0" xfId="3" applyNumberFormat="1" applyFont="1" applyFill="1" applyBorder="1" applyAlignment="1"/>
    <xf numFmtId="165" fontId="30" fillId="0" borderId="7" xfId="8" applyNumberFormat="1" applyFont="1" applyBorder="1"/>
    <xf numFmtId="0" fontId="39" fillId="0" borderId="0" xfId="8" applyFont="1"/>
    <xf numFmtId="169" fontId="29" fillId="3" borderId="16" xfId="8" applyNumberFormat="1" applyFont="1" applyFill="1" applyBorder="1" applyAlignment="1">
      <alignment horizontal="left" indent="1"/>
    </xf>
    <xf numFmtId="169" fontId="34" fillId="0" borderId="0" xfId="8" applyNumberFormat="1" applyFont="1"/>
    <xf numFmtId="168" fontId="29" fillId="0" borderId="7" xfId="8" applyNumberFormat="1" applyFont="1" applyBorder="1"/>
    <xf numFmtId="174" fontId="31" fillId="0" borderId="0" xfId="8" applyNumberFormat="1" applyFont="1"/>
    <xf numFmtId="175" fontId="35" fillId="0" borderId="0" xfId="8" applyNumberFormat="1" applyFont="1"/>
    <xf numFmtId="175" fontId="35" fillId="0" borderId="7" xfId="8" applyNumberFormat="1" applyFont="1" applyBorder="1"/>
    <xf numFmtId="175" fontId="35" fillId="0" borderId="15" xfId="8" applyNumberFormat="1" applyFont="1" applyBorder="1"/>
    <xf numFmtId="174" fontId="36" fillId="0" borderId="0" xfId="8" applyNumberFormat="1" applyFont="1"/>
    <xf numFmtId="168" fontId="37" fillId="3" borderId="26" xfId="8" applyNumberFormat="1" applyFont="1" applyFill="1" applyBorder="1"/>
    <xf numFmtId="168" fontId="29" fillId="0" borderId="27" xfId="8" applyNumberFormat="1" applyFont="1" applyBorder="1"/>
    <xf numFmtId="168" fontId="35" fillId="3" borderId="28" xfId="8" applyNumberFormat="1" applyFont="1" applyFill="1" applyBorder="1"/>
    <xf numFmtId="168" fontId="37" fillId="3" borderId="28" xfId="8" applyNumberFormat="1" applyFont="1" applyFill="1" applyBorder="1"/>
    <xf numFmtId="168" fontId="37" fillId="3" borderId="29" xfId="8" applyNumberFormat="1" applyFont="1" applyFill="1" applyBorder="1"/>
    <xf numFmtId="0" fontId="37" fillId="3" borderId="28" xfId="8" applyFont="1" applyFill="1" applyBorder="1" applyAlignment="1">
      <alignment horizontal="left" indent="1"/>
    </xf>
    <xf numFmtId="168" fontId="35" fillId="3" borderId="29" xfId="8" applyNumberFormat="1" applyFont="1" applyFill="1" applyBorder="1"/>
    <xf numFmtId="168" fontId="29" fillId="0" borderId="30" xfId="8" applyNumberFormat="1" applyFont="1" applyBorder="1"/>
    <xf numFmtId="168" fontId="35" fillId="3" borderId="31" xfId="8" applyNumberFormat="1" applyFont="1" applyFill="1" applyBorder="1"/>
    <xf numFmtId="168" fontId="37" fillId="3" borderId="31" xfId="8" applyNumberFormat="1" applyFont="1" applyFill="1" applyBorder="1"/>
    <xf numFmtId="168" fontId="37" fillId="3" borderId="32" xfId="8" applyNumberFormat="1" applyFont="1" applyFill="1" applyBorder="1"/>
    <xf numFmtId="169" fontId="29" fillId="3" borderId="31" xfId="8" applyNumberFormat="1" applyFont="1" applyFill="1" applyBorder="1" applyAlignment="1">
      <alignment horizontal="left" indent="1"/>
    </xf>
    <xf numFmtId="176" fontId="29" fillId="3" borderId="32" xfId="8" applyNumberFormat="1" applyFont="1" applyFill="1" applyBorder="1"/>
    <xf numFmtId="175" fontId="29" fillId="3" borderId="0" xfId="8" applyNumberFormat="1" applyFont="1" applyFill="1"/>
    <xf numFmtId="175" fontId="29" fillId="3" borderId="7" xfId="8" applyNumberFormat="1" applyFont="1" applyFill="1" applyBorder="1"/>
    <xf numFmtId="175" fontId="29" fillId="3" borderId="32" xfId="8" applyNumberFormat="1" applyFont="1" applyFill="1" applyBorder="1"/>
    <xf numFmtId="175" fontId="29" fillId="0" borderId="0" xfId="8" applyNumberFormat="1" applyFont="1"/>
    <xf numFmtId="177" fontId="29" fillId="3" borderId="32" xfId="8" applyNumberFormat="1" applyFont="1" applyFill="1" applyBorder="1"/>
    <xf numFmtId="178" fontId="29" fillId="3" borderId="0" xfId="8" applyNumberFormat="1" applyFont="1" applyFill="1"/>
    <xf numFmtId="168" fontId="29" fillId="3" borderId="31" xfId="8" applyNumberFormat="1" applyFont="1" applyFill="1" applyBorder="1"/>
    <xf numFmtId="168" fontId="29" fillId="3" borderId="32" xfId="8" applyNumberFormat="1" applyFont="1" applyFill="1" applyBorder="1"/>
    <xf numFmtId="174" fontId="29" fillId="3" borderId="31" xfId="8" applyNumberFormat="1" applyFont="1" applyFill="1" applyBorder="1" applyAlignment="1">
      <alignment horizontal="left"/>
    </xf>
    <xf numFmtId="178" fontId="29" fillId="3" borderId="32" xfId="8" applyNumberFormat="1" applyFont="1" applyFill="1" applyBorder="1"/>
    <xf numFmtId="178" fontId="29" fillId="0" borderId="0" xfId="8" applyNumberFormat="1" applyFont="1"/>
    <xf numFmtId="179" fontId="29" fillId="3" borderId="32" xfId="8" applyNumberFormat="1" applyFont="1" applyFill="1" applyBorder="1"/>
    <xf numFmtId="179" fontId="29" fillId="3" borderId="0" xfId="8" applyNumberFormat="1" applyFont="1" applyFill="1"/>
    <xf numFmtId="168" fontId="15" fillId="3" borderId="0" xfId="8" applyNumberFormat="1" applyFont="1" applyFill="1" applyAlignment="1">
      <alignment horizontal="right"/>
    </xf>
    <xf numFmtId="171" fontId="29" fillId="3" borderId="7" xfId="8" applyNumberFormat="1" applyFont="1" applyFill="1" applyBorder="1"/>
    <xf numFmtId="178" fontId="38" fillId="3" borderId="31" xfId="8" applyNumberFormat="1" applyFont="1" applyFill="1" applyBorder="1"/>
    <xf numFmtId="178" fontId="29" fillId="3" borderId="31" xfId="8" applyNumberFormat="1" applyFont="1" applyFill="1" applyBorder="1"/>
    <xf numFmtId="178" fontId="38" fillId="3" borderId="32" xfId="8" applyNumberFormat="1" applyFont="1" applyFill="1" applyBorder="1"/>
    <xf numFmtId="174" fontId="31" fillId="3" borderId="0" xfId="8" applyNumberFormat="1" applyFont="1" applyFill="1"/>
    <xf numFmtId="169" fontId="15" fillId="3" borderId="31" xfId="8" applyNumberFormat="1" applyFont="1" applyFill="1" applyBorder="1" applyAlignment="1">
      <alignment horizontal="left" indent="1"/>
    </xf>
    <xf numFmtId="168" fontId="15" fillId="3" borderId="32" xfId="8" applyNumberFormat="1" applyFont="1" applyFill="1" applyBorder="1"/>
    <xf numFmtId="168" fontId="15" fillId="0" borderId="32" xfId="8" applyNumberFormat="1" applyFont="1" applyBorder="1"/>
    <xf numFmtId="168" fontId="40" fillId="0" borderId="0" xfId="8" applyNumberFormat="1" applyFont="1"/>
    <xf numFmtId="168" fontId="41" fillId="0" borderId="32" xfId="8" applyNumberFormat="1" applyFont="1" applyBorder="1"/>
    <xf numFmtId="168" fontId="41" fillId="0" borderId="0" xfId="8" applyNumberFormat="1" applyFont="1"/>
    <xf numFmtId="171" fontId="29" fillId="0" borderId="31" xfId="8" applyNumberFormat="1" applyFont="1" applyBorder="1"/>
    <xf numFmtId="168" fontId="15" fillId="3" borderId="31" xfId="8" applyNumberFormat="1" applyFont="1" applyFill="1" applyBorder="1"/>
    <xf numFmtId="168" fontId="15" fillId="0" borderId="32" xfId="8" quotePrefix="1" applyNumberFormat="1" applyFont="1" applyBorder="1"/>
    <xf numFmtId="169" fontId="29" fillId="3" borderId="31" xfId="8" applyNumberFormat="1" applyFont="1" applyFill="1" applyBorder="1" applyAlignment="1">
      <alignment horizontal="left"/>
    </xf>
    <xf numFmtId="168" fontId="29" fillId="0" borderId="32" xfId="8" applyNumberFormat="1" applyFont="1" applyBorder="1"/>
    <xf numFmtId="180" fontId="29" fillId="0" borderId="0" xfId="8" applyNumberFormat="1" applyFont="1"/>
    <xf numFmtId="180" fontId="29" fillId="0" borderId="7" xfId="8" applyNumberFormat="1" applyFont="1" applyBorder="1"/>
    <xf numFmtId="180" fontId="29" fillId="3" borderId="0" xfId="8" applyNumberFormat="1" applyFont="1" applyFill="1"/>
    <xf numFmtId="180" fontId="29" fillId="3" borderId="32" xfId="8" applyNumberFormat="1" applyFont="1" applyFill="1" applyBorder="1"/>
    <xf numFmtId="180" fontId="29" fillId="3" borderId="7" xfId="8" applyNumberFormat="1" applyFont="1" applyFill="1" applyBorder="1"/>
    <xf numFmtId="180" fontId="5" fillId="3" borderId="7" xfId="8" applyNumberFormat="1" applyFont="1" applyFill="1" applyBorder="1"/>
    <xf numFmtId="181" fontId="31" fillId="0" borderId="0" xfId="8" applyNumberFormat="1" applyFont="1"/>
    <xf numFmtId="182" fontId="29" fillId="0" borderId="31" xfId="8" applyNumberFormat="1" applyFont="1" applyBorder="1"/>
    <xf numFmtId="169" fontId="32" fillId="3" borderId="31" xfId="8" applyNumberFormat="1" applyFont="1" applyFill="1" applyBorder="1" applyAlignment="1">
      <alignment horizontal="left" indent="1"/>
    </xf>
    <xf numFmtId="9" fontId="32" fillId="3" borderId="32" xfId="3" applyFont="1" applyFill="1" applyBorder="1" applyAlignment="1" applyProtection="1"/>
    <xf numFmtId="9" fontId="32" fillId="3" borderId="0" xfId="3" applyFont="1" applyFill="1" applyBorder="1" applyAlignment="1" applyProtection="1"/>
    <xf numFmtId="9" fontId="32" fillId="3" borderId="7" xfId="3" applyFont="1" applyFill="1" applyBorder="1" applyAlignment="1" applyProtection="1"/>
    <xf numFmtId="9" fontId="32" fillId="0" borderId="0" xfId="3" applyFont="1" applyFill="1" applyBorder="1" applyAlignment="1" applyProtection="1"/>
    <xf numFmtId="9" fontId="32" fillId="0" borderId="32" xfId="3" applyFont="1" applyFill="1" applyBorder="1" applyAlignment="1" applyProtection="1"/>
    <xf numFmtId="9" fontId="32" fillId="0" borderId="7" xfId="3" applyFont="1" applyFill="1" applyBorder="1" applyAlignment="1" applyProtection="1"/>
    <xf numFmtId="9" fontId="42" fillId="0" borderId="7" xfId="3" applyFont="1" applyFill="1" applyBorder="1" applyAlignment="1" applyProtection="1"/>
    <xf numFmtId="182" fontId="30" fillId="0" borderId="7" xfId="8" applyNumberFormat="1" applyFont="1" applyBorder="1"/>
    <xf numFmtId="9" fontId="32" fillId="0" borderId="31" xfId="3" applyFont="1" applyFill="1" applyBorder="1" applyAlignment="1" applyProtection="1"/>
    <xf numFmtId="181" fontId="43" fillId="0" borderId="0" xfId="8" applyNumberFormat="1" applyFont="1"/>
    <xf numFmtId="181" fontId="29" fillId="3" borderId="31" xfId="8" applyNumberFormat="1" applyFont="1" applyFill="1" applyBorder="1" applyAlignment="1">
      <alignment horizontal="left"/>
    </xf>
    <xf numFmtId="183" fontId="29" fillId="3" borderId="0" xfId="8" applyNumberFormat="1" applyFont="1" applyFill="1"/>
    <xf numFmtId="182" fontId="29" fillId="0" borderId="7" xfId="8" applyNumberFormat="1" applyFont="1" applyBorder="1"/>
    <xf numFmtId="184" fontId="35" fillId="0" borderId="31" xfId="8" applyNumberFormat="1" applyFont="1" applyBorder="1" applyAlignment="1">
      <alignment horizontal="left" indent="1"/>
    </xf>
    <xf numFmtId="184" fontId="35" fillId="3" borderId="0" xfId="8" applyNumberFormat="1" applyFont="1" applyFill="1"/>
    <xf numFmtId="168" fontId="35" fillId="0" borderId="32" xfId="8" applyNumberFormat="1" applyFont="1" applyBorder="1"/>
    <xf numFmtId="168" fontId="35" fillId="0" borderId="31" xfId="8" applyNumberFormat="1" applyFont="1" applyBorder="1"/>
    <xf numFmtId="168" fontId="35" fillId="3" borderId="32" xfId="8" applyNumberFormat="1" applyFont="1" applyFill="1" applyBorder="1"/>
    <xf numFmtId="0" fontId="37" fillId="3" borderId="31" xfId="8" applyFont="1" applyFill="1" applyBorder="1" applyAlignment="1">
      <alignment horizontal="left" indent="1"/>
    </xf>
    <xf numFmtId="168" fontId="29" fillId="0" borderId="33" xfId="8" applyNumberFormat="1" applyFont="1" applyBorder="1"/>
    <xf numFmtId="168" fontId="35" fillId="3" borderId="34" xfId="8" applyNumberFormat="1" applyFont="1" applyFill="1" applyBorder="1"/>
    <xf numFmtId="168" fontId="37" fillId="3" borderId="34" xfId="8" applyNumberFormat="1" applyFont="1" applyFill="1" applyBorder="1"/>
    <xf numFmtId="168" fontId="37" fillId="3" borderId="35" xfId="8" applyNumberFormat="1" applyFont="1" applyFill="1" applyBorder="1"/>
    <xf numFmtId="0" fontId="37" fillId="3" borderId="34" xfId="8" applyFont="1" applyFill="1" applyBorder="1" applyAlignment="1">
      <alignment horizontal="left" indent="1"/>
    </xf>
    <xf numFmtId="168" fontId="35" fillId="3" borderId="35" xfId="8" applyNumberFormat="1" applyFont="1" applyFill="1" applyBorder="1"/>
    <xf numFmtId="168" fontId="29" fillId="0" borderId="36" xfId="8" applyNumberFormat="1" applyFont="1" applyBorder="1"/>
    <xf numFmtId="168" fontId="35" fillId="3" borderId="37" xfId="8" applyNumberFormat="1" applyFont="1" applyFill="1" applyBorder="1"/>
    <xf numFmtId="168" fontId="37" fillId="3" borderId="37" xfId="8" applyNumberFormat="1" applyFont="1" applyFill="1" applyBorder="1"/>
    <xf numFmtId="168" fontId="37" fillId="3" borderId="38" xfId="8" applyNumberFormat="1" applyFont="1" applyFill="1" applyBorder="1"/>
    <xf numFmtId="181" fontId="29" fillId="3" borderId="34" xfId="8" applyNumberFormat="1" applyFont="1" applyFill="1" applyBorder="1" applyAlignment="1">
      <alignment horizontal="left"/>
    </xf>
    <xf numFmtId="185" fontId="29" fillId="3" borderId="38" xfId="8" applyNumberFormat="1" applyFont="1" applyFill="1" applyBorder="1"/>
    <xf numFmtId="185" fontId="29" fillId="3" borderId="0" xfId="8" applyNumberFormat="1" applyFont="1" applyFill="1"/>
    <xf numFmtId="185" fontId="29" fillId="3" borderId="7" xfId="8" applyNumberFormat="1" applyFont="1" applyFill="1" applyBorder="1"/>
    <xf numFmtId="185" fontId="29" fillId="0" borderId="0" xfId="8" applyNumberFormat="1" applyFont="1"/>
    <xf numFmtId="185" fontId="29" fillId="3" borderId="34" xfId="8" applyNumberFormat="1" applyFont="1" applyFill="1" applyBorder="1"/>
    <xf numFmtId="9" fontId="29" fillId="3" borderId="34" xfId="3" applyFont="1" applyFill="1" applyBorder="1" applyAlignment="1" applyProtection="1"/>
    <xf numFmtId="184" fontId="29" fillId="3" borderId="34" xfId="8" applyNumberFormat="1" applyFont="1" applyFill="1" applyBorder="1" applyAlignment="1">
      <alignment horizontal="left"/>
    </xf>
    <xf numFmtId="184" fontId="29" fillId="3" borderId="38" xfId="8" applyNumberFormat="1" applyFont="1" applyFill="1" applyBorder="1"/>
    <xf numFmtId="184" fontId="29" fillId="3" borderId="0" xfId="8" applyNumberFormat="1" applyFont="1" applyFill="1"/>
    <xf numFmtId="184" fontId="29" fillId="3" borderId="7" xfId="8" applyNumberFormat="1" applyFont="1" applyFill="1" applyBorder="1"/>
    <xf numFmtId="184" fontId="29" fillId="0" borderId="0" xfId="8" applyNumberFormat="1" applyFont="1"/>
    <xf numFmtId="184" fontId="29" fillId="3" borderId="34" xfId="8" applyNumberFormat="1" applyFont="1" applyFill="1" applyBorder="1"/>
    <xf numFmtId="184" fontId="29" fillId="0" borderId="34" xfId="8" applyNumberFormat="1" applyFont="1" applyBorder="1"/>
    <xf numFmtId="184" fontId="35" fillId="0" borderId="34" xfId="8" applyNumberFormat="1" applyFont="1" applyBorder="1" applyAlignment="1">
      <alignment horizontal="left" indent="1"/>
    </xf>
    <xf numFmtId="184" fontId="35" fillId="3" borderId="38" xfId="8" applyNumberFormat="1" applyFont="1" applyFill="1" applyBorder="1"/>
    <xf numFmtId="184" fontId="35" fillId="3" borderId="7" xfId="8" applyNumberFormat="1" applyFont="1" applyFill="1" applyBorder="1"/>
    <xf numFmtId="184" fontId="35" fillId="3" borderId="34" xfId="8" applyNumberFormat="1" applyFont="1" applyFill="1" applyBorder="1"/>
    <xf numFmtId="184" fontId="35" fillId="0" borderId="34" xfId="8" applyNumberFormat="1" applyFont="1" applyBorder="1" applyAlignment="1">
      <alignment horizontal="right"/>
    </xf>
    <xf numFmtId="184" fontId="35" fillId="0" borderId="38" xfId="8" applyNumberFormat="1" applyFont="1" applyBorder="1"/>
    <xf numFmtId="184" fontId="35" fillId="0" borderId="34" xfId="8" applyNumberFormat="1" applyFont="1" applyBorder="1"/>
    <xf numFmtId="168" fontId="35" fillId="3" borderId="38" xfId="8" applyNumberFormat="1" applyFont="1" applyFill="1" applyBorder="1"/>
    <xf numFmtId="184" fontId="37" fillId="3" borderId="38" xfId="8" applyNumberFormat="1" applyFont="1" applyFill="1" applyBorder="1"/>
    <xf numFmtId="184" fontId="37" fillId="3" borderId="0" xfId="8" applyNumberFormat="1" applyFont="1" applyFill="1"/>
    <xf numFmtId="184" fontId="37" fillId="3" borderId="7" xfId="8" applyNumberFormat="1" applyFont="1" applyFill="1" applyBorder="1"/>
    <xf numFmtId="184" fontId="37" fillId="0" borderId="0" xfId="8" applyNumberFormat="1" applyFont="1"/>
    <xf numFmtId="184" fontId="37" fillId="3" borderId="21" xfId="8" applyNumberFormat="1" applyFont="1" applyFill="1" applyBorder="1"/>
    <xf numFmtId="184" fontId="37" fillId="0" borderId="26" xfId="8" applyNumberFormat="1" applyFont="1" applyBorder="1"/>
    <xf numFmtId="184" fontId="37" fillId="0" borderId="22" xfId="8" applyNumberFormat="1" applyFont="1" applyBorder="1"/>
    <xf numFmtId="184" fontId="37" fillId="3" borderId="34" xfId="8" applyNumberFormat="1" applyFont="1" applyFill="1" applyBorder="1"/>
    <xf numFmtId="184" fontId="37" fillId="0" borderId="7" xfId="8" applyNumberFormat="1" applyFont="1" applyBorder="1"/>
    <xf numFmtId="168" fontId="29" fillId="0" borderId="39" xfId="8" applyNumberFormat="1" applyFont="1" applyBorder="1"/>
    <xf numFmtId="168" fontId="35" fillId="3" borderId="40" xfId="8" applyNumberFormat="1" applyFont="1" applyFill="1" applyBorder="1"/>
    <xf numFmtId="184" fontId="37" fillId="3" borderId="40" xfId="8" applyNumberFormat="1" applyFont="1" applyFill="1" applyBorder="1"/>
    <xf numFmtId="184" fontId="37" fillId="3" borderId="41" xfId="8" applyNumberFormat="1" applyFont="1" applyFill="1" applyBorder="1"/>
    <xf numFmtId="184" fontId="37" fillId="3" borderId="18" xfId="8" applyNumberFormat="1" applyFont="1" applyFill="1" applyBorder="1"/>
    <xf numFmtId="184" fontId="37" fillId="3" borderId="19" xfId="8" applyNumberFormat="1" applyFont="1" applyFill="1" applyBorder="1"/>
    <xf numFmtId="184" fontId="37" fillId="3" borderId="20" xfId="8" applyNumberFormat="1" applyFont="1" applyFill="1" applyBorder="1"/>
    <xf numFmtId="184" fontId="37" fillId="0" borderId="19" xfId="8" applyNumberFormat="1" applyFont="1" applyBorder="1"/>
    <xf numFmtId="184" fontId="37" fillId="0" borderId="20" xfId="8" applyNumberFormat="1" applyFont="1" applyBorder="1"/>
    <xf numFmtId="184" fontId="37" fillId="3" borderId="17" xfId="8" applyNumberFormat="1" applyFont="1" applyFill="1" applyBorder="1"/>
    <xf numFmtId="0" fontId="15" fillId="0" borderId="0" xfId="8" applyFont="1"/>
    <xf numFmtId="168" fontId="15" fillId="3" borderId="41" xfId="8" applyNumberFormat="1" applyFont="1" applyFill="1" applyBorder="1"/>
    <xf numFmtId="168" fontId="15" fillId="8" borderId="7" xfId="8" applyNumberFormat="1" applyFont="1" applyFill="1" applyBorder="1"/>
    <xf numFmtId="168" fontId="15" fillId="8" borderId="0" xfId="8" applyNumberFormat="1" applyFont="1" applyFill="1"/>
    <xf numFmtId="168" fontId="15" fillId="8" borderId="41" xfId="8" applyNumberFormat="1" applyFont="1" applyFill="1" applyBorder="1"/>
    <xf numFmtId="168" fontId="15" fillId="8" borderId="21" xfId="8" applyNumberFormat="1" applyFont="1" applyFill="1" applyBorder="1"/>
    <xf numFmtId="168" fontId="40" fillId="8" borderId="0" xfId="8" applyNumberFormat="1" applyFont="1" applyFill="1"/>
    <xf numFmtId="168" fontId="41" fillId="8" borderId="41" xfId="8" applyNumberFormat="1" applyFont="1" applyFill="1" applyBorder="1"/>
    <xf numFmtId="168" fontId="41" fillId="8" borderId="0" xfId="8" applyNumberFormat="1" applyFont="1" applyFill="1"/>
    <xf numFmtId="168" fontId="15" fillId="3" borderId="34" xfId="8" applyNumberFormat="1" applyFont="1" applyFill="1" applyBorder="1"/>
    <xf numFmtId="0" fontId="15" fillId="0" borderId="42" xfId="8" applyFont="1" applyBorder="1"/>
    <xf numFmtId="168" fontId="15" fillId="3" borderId="43" xfId="8" applyNumberFormat="1" applyFont="1" applyFill="1" applyBorder="1"/>
    <xf numFmtId="168" fontId="15" fillId="3" borderId="42" xfId="8" applyNumberFormat="1" applyFont="1" applyFill="1" applyBorder="1"/>
    <xf numFmtId="168" fontId="15" fillId="3" borderId="44" xfId="8" applyNumberFormat="1" applyFont="1" applyFill="1" applyBorder="1"/>
    <xf numFmtId="168" fontId="15" fillId="0" borderId="43" xfId="8" applyNumberFormat="1" applyFont="1" applyBorder="1"/>
    <xf numFmtId="168" fontId="15" fillId="0" borderId="42" xfId="8" applyNumberFormat="1" applyFont="1" applyBorder="1"/>
    <xf numFmtId="168" fontId="40" fillId="3" borderId="42" xfId="8" applyNumberFormat="1" applyFont="1" applyFill="1" applyBorder="1"/>
    <xf numFmtId="168" fontId="41" fillId="3" borderId="43" xfId="8" applyNumberFormat="1" applyFont="1" applyFill="1" applyBorder="1"/>
    <xf numFmtId="168" fontId="41" fillId="3" borderId="42" xfId="8" applyNumberFormat="1" applyFont="1" applyFill="1" applyBorder="1"/>
    <xf numFmtId="186" fontId="15" fillId="0" borderId="16" xfId="8" applyNumberFormat="1" applyFont="1" applyBorder="1"/>
    <xf numFmtId="168" fontId="15" fillId="3" borderId="45" xfId="8" applyNumberFormat="1" applyFont="1" applyFill="1" applyBorder="1"/>
    <xf numFmtId="181" fontId="29" fillId="3" borderId="46" xfId="8" applyNumberFormat="1" applyFont="1" applyFill="1" applyBorder="1" applyAlignment="1">
      <alignment horizontal="left"/>
    </xf>
    <xf numFmtId="182" fontId="15" fillId="0" borderId="0" xfId="8" applyNumberFormat="1" applyFont="1"/>
    <xf numFmtId="185" fontId="15" fillId="0" borderId="47" xfId="8" applyNumberFormat="1" applyFont="1" applyBorder="1"/>
    <xf numFmtId="185" fontId="15" fillId="0" borderId="8" xfId="8" applyNumberFormat="1" applyFont="1" applyBorder="1"/>
    <xf numFmtId="0" fontId="29" fillId="6" borderId="0" xfId="8" applyFont="1" applyFill="1"/>
    <xf numFmtId="0" fontId="29" fillId="0" borderId="33" xfId="8" applyFont="1" applyBorder="1"/>
    <xf numFmtId="0" fontId="30" fillId="7" borderId="48" xfId="8" applyFont="1" applyFill="1" applyBorder="1"/>
    <xf numFmtId="0" fontId="33" fillId="0" borderId="16" xfId="8" applyFont="1" applyBorder="1" applyAlignment="1">
      <alignment horizontal="left"/>
    </xf>
    <xf numFmtId="17" fontId="33" fillId="0" borderId="50" xfId="8" applyNumberFormat="1" applyFont="1" applyBorder="1" applyAlignment="1">
      <alignment horizontal="right"/>
    </xf>
    <xf numFmtId="17" fontId="33" fillId="0" borderId="51" xfId="8" applyNumberFormat="1" applyFont="1" applyBorder="1" applyAlignment="1">
      <alignment horizontal="right"/>
    </xf>
    <xf numFmtId="17" fontId="33" fillId="0" borderId="52" xfId="8" applyNumberFormat="1" applyFont="1" applyBorder="1" applyAlignment="1">
      <alignment horizontal="right"/>
    </xf>
    <xf numFmtId="17" fontId="33" fillId="0" borderId="53" xfId="8" applyNumberFormat="1" applyFont="1" applyBorder="1" applyAlignment="1">
      <alignment horizontal="right"/>
    </xf>
    <xf numFmtId="0" fontId="33" fillId="0" borderId="0" xfId="8" applyFont="1" applyAlignment="1">
      <alignment horizontal="right"/>
    </xf>
    <xf numFmtId="0" fontId="33" fillId="0" borderId="54" xfId="8" applyFont="1" applyBorder="1" applyAlignment="1">
      <alignment horizontal="right"/>
    </xf>
    <xf numFmtId="0" fontId="33" fillId="0" borderId="52" xfId="8" applyFont="1" applyBorder="1" applyAlignment="1">
      <alignment horizontal="right"/>
    </xf>
    <xf numFmtId="0" fontId="29" fillId="0" borderId="16" xfId="8" applyFont="1" applyBorder="1" applyAlignment="1">
      <alignment horizontal="left"/>
    </xf>
    <xf numFmtId="187" fontId="29" fillId="3" borderId="52" xfId="8" applyNumberFormat="1" applyFont="1" applyFill="1" applyBorder="1" applyAlignment="1">
      <alignment horizontal="right"/>
    </xf>
    <xf numFmtId="187" fontId="29" fillId="3" borderId="0" xfId="8" applyNumberFormat="1" applyFont="1" applyFill="1" applyAlignment="1">
      <alignment horizontal="right"/>
    </xf>
    <xf numFmtId="187" fontId="29" fillId="3" borderId="53" xfId="8" applyNumberFormat="1" applyFont="1" applyFill="1" applyBorder="1" applyAlignment="1">
      <alignment horizontal="right"/>
    </xf>
    <xf numFmtId="187" fontId="29" fillId="0" borderId="0" xfId="8" applyNumberFormat="1" applyFont="1" applyAlignment="1">
      <alignment horizontal="right"/>
    </xf>
    <xf numFmtId="187" fontId="29" fillId="0" borderId="0" xfId="8" applyNumberFormat="1" applyFont="1"/>
    <xf numFmtId="187" fontId="29" fillId="3" borderId="54" xfId="8" applyNumberFormat="1" applyFont="1" applyFill="1" applyBorder="1" applyAlignment="1">
      <alignment horizontal="right"/>
    </xf>
    <xf numFmtId="187" fontId="29" fillId="3" borderId="16" xfId="8" applyNumberFormat="1" applyFont="1" applyFill="1" applyBorder="1" applyAlignment="1">
      <alignment horizontal="right"/>
    </xf>
    <xf numFmtId="0" fontId="15" fillId="0" borderId="16" xfId="8" applyFont="1" applyBorder="1" applyAlignment="1">
      <alignment horizontal="left"/>
    </xf>
    <xf numFmtId="187" fontId="15" fillId="3" borderId="52" xfId="8" applyNumberFormat="1" applyFont="1" applyFill="1" applyBorder="1" applyAlignment="1">
      <alignment horizontal="right"/>
    </xf>
    <xf numFmtId="187" fontId="15" fillId="3" borderId="0" xfId="8" applyNumberFormat="1" applyFont="1" applyFill="1" applyAlignment="1">
      <alignment horizontal="right"/>
    </xf>
    <xf numFmtId="187" fontId="15" fillId="3" borderId="53" xfId="8" applyNumberFormat="1" applyFont="1" applyFill="1" applyBorder="1" applyAlignment="1">
      <alignment horizontal="right"/>
    </xf>
    <xf numFmtId="187" fontId="15" fillId="0" borderId="0" xfId="8" applyNumberFormat="1" applyFont="1" applyAlignment="1">
      <alignment horizontal="right"/>
    </xf>
    <xf numFmtId="187" fontId="15" fillId="0" borderId="0" xfId="8" applyNumberFormat="1" applyFont="1"/>
    <xf numFmtId="187" fontId="15" fillId="3" borderId="54" xfId="8" applyNumberFormat="1" applyFont="1" applyFill="1" applyBorder="1" applyAlignment="1">
      <alignment horizontal="right"/>
    </xf>
    <xf numFmtId="187" fontId="15" fillId="3" borderId="16" xfId="8" applyNumberFormat="1" applyFont="1" applyFill="1" applyBorder="1" applyAlignment="1">
      <alignment horizontal="right"/>
    </xf>
    <xf numFmtId="169" fontId="15" fillId="9" borderId="55" xfId="8" applyNumberFormat="1" applyFont="1" applyFill="1" applyBorder="1" applyAlignment="1">
      <alignment horizontal="left"/>
    </xf>
    <xf numFmtId="187" fontId="15" fillId="9" borderId="52" xfId="8" applyNumberFormat="1" applyFont="1" applyFill="1" applyBorder="1" applyAlignment="1">
      <alignment horizontal="right"/>
    </xf>
    <xf numFmtId="187" fontId="15" fillId="9" borderId="0" xfId="8" applyNumberFormat="1" applyFont="1" applyFill="1" applyAlignment="1">
      <alignment horizontal="right"/>
    </xf>
    <xf numFmtId="187" fontId="15" fillId="9" borderId="53" xfId="8" applyNumberFormat="1" applyFont="1" applyFill="1" applyBorder="1" applyAlignment="1">
      <alignment horizontal="right"/>
    </xf>
    <xf numFmtId="187" fontId="15" fillId="9" borderId="54" xfId="8" applyNumberFormat="1" applyFont="1" applyFill="1" applyBorder="1" applyAlignment="1">
      <alignment horizontal="right"/>
    </xf>
    <xf numFmtId="187" fontId="15" fillId="9" borderId="16" xfId="8" applyNumberFormat="1" applyFont="1" applyFill="1" applyBorder="1" applyAlignment="1">
      <alignment horizontal="right"/>
    </xf>
    <xf numFmtId="188" fontId="15" fillId="3" borderId="53" xfId="8" applyNumberFormat="1" applyFont="1" applyFill="1" applyBorder="1" applyAlignment="1">
      <alignment horizontal="right"/>
    </xf>
    <xf numFmtId="174" fontId="15" fillId="0" borderId="56" xfId="8" applyNumberFormat="1" applyFont="1" applyBorder="1" applyAlignment="1">
      <alignment horizontal="left"/>
    </xf>
    <xf numFmtId="187" fontId="15" fillId="3" borderId="57" xfId="8" applyNumberFormat="1" applyFont="1" applyFill="1" applyBorder="1" applyAlignment="1">
      <alignment horizontal="right"/>
    </xf>
    <xf numFmtId="187" fontId="15" fillId="3" borderId="42" xfId="8" applyNumberFormat="1" applyFont="1" applyFill="1" applyBorder="1" applyAlignment="1">
      <alignment horizontal="right"/>
    </xf>
    <xf numFmtId="188" fontId="15" fillId="3" borderId="44" xfId="8" applyNumberFormat="1" applyFont="1" applyFill="1" applyBorder="1" applyAlignment="1">
      <alignment horizontal="right"/>
    </xf>
    <xf numFmtId="187" fontId="15" fillId="3" borderId="44" xfId="8" applyNumberFormat="1" applyFont="1" applyFill="1" applyBorder="1" applyAlignment="1">
      <alignment horizontal="right"/>
    </xf>
    <xf numFmtId="187" fontId="15" fillId="0" borderId="42" xfId="8" applyNumberFormat="1" applyFont="1" applyBorder="1" applyAlignment="1">
      <alignment horizontal="right"/>
    </xf>
    <xf numFmtId="187" fontId="15" fillId="3" borderId="58" xfId="8" applyNumberFormat="1" applyFont="1" applyFill="1" applyBorder="1" applyAlignment="1">
      <alignment horizontal="right"/>
    </xf>
    <xf numFmtId="187" fontId="15" fillId="3" borderId="45" xfId="8" applyNumberFormat="1" applyFont="1" applyFill="1" applyBorder="1" applyAlignment="1">
      <alignment horizontal="right"/>
    </xf>
    <xf numFmtId="174" fontId="15" fillId="0" borderId="0" xfId="8" applyNumberFormat="1" applyFont="1" applyAlignment="1">
      <alignment horizontal="left"/>
    </xf>
    <xf numFmtId="188" fontId="15" fillId="3" borderId="0" xfId="8" applyNumberFormat="1" applyFont="1" applyFill="1" applyAlignment="1">
      <alignment horizontal="right"/>
    </xf>
    <xf numFmtId="176" fontId="15" fillId="3" borderId="0" xfId="1" applyNumberFormat="1" applyFont="1" applyFill="1" applyBorder="1" applyAlignment="1" applyProtection="1">
      <alignment horizontal="right"/>
    </xf>
    <xf numFmtId="0" fontId="33" fillId="0" borderId="59" xfId="8" applyFont="1" applyBorder="1" applyAlignment="1">
      <alignment horizontal="left"/>
    </xf>
    <xf numFmtId="17" fontId="33" fillId="3" borderId="8" xfId="8" quotePrefix="1" applyNumberFormat="1" applyFont="1" applyFill="1" applyBorder="1" applyAlignment="1">
      <alignment horizontal="right"/>
    </xf>
    <xf numFmtId="17" fontId="33" fillId="3" borderId="48" xfId="8" quotePrefix="1" applyNumberFormat="1" applyFont="1" applyFill="1" applyBorder="1" applyAlignment="1">
      <alignment horizontal="right"/>
    </xf>
    <xf numFmtId="17" fontId="33" fillId="3" borderId="10" xfId="8" quotePrefix="1" applyNumberFormat="1" applyFont="1" applyFill="1" applyBorder="1" applyAlignment="1">
      <alignment horizontal="right"/>
    </xf>
    <xf numFmtId="0" fontId="33" fillId="0" borderId="59" xfId="8" applyFont="1" applyBorder="1" applyAlignment="1">
      <alignment horizontal="right"/>
    </xf>
    <xf numFmtId="0" fontId="33" fillId="0" borderId="10" xfId="8" applyFont="1" applyBorder="1" applyAlignment="1">
      <alignment horizontal="right"/>
    </xf>
    <xf numFmtId="0" fontId="33" fillId="0" borderId="48" xfId="8" applyFont="1" applyBorder="1" applyAlignment="1">
      <alignment horizontal="right"/>
    </xf>
    <xf numFmtId="187" fontId="29" fillId="3" borderId="60" xfId="8" applyNumberFormat="1" applyFont="1" applyFill="1" applyBorder="1" applyAlignment="1">
      <alignment horizontal="right"/>
    </xf>
    <xf numFmtId="187" fontId="44" fillId="3" borderId="60" xfId="8" applyNumberFormat="1" applyFont="1" applyFill="1" applyBorder="1" applyAlignment="1">
      <alignment horizontal="right"/>
    </xf>
    <xf numFmtId="187" fontId="44" fillId="3" borderId="0" xfId="8" applyNumberFormat="1" applyFont="1" applyFill="1" applyAlignment="1">
      <alignment horizontal="right"/>
    </xf>
    <xf numFmtId="187" fontId="44" fillId="3" borderId="53" xfId="8" applyNumberFormat="1" applyFont="1" applyFill="1" applyBorder="1" applyAlignment="1">
      <alignment horizontal="right"/>
    </xf>
    <xf numFmtId="0" fontId="33" fillId="0" borderId="55" xfId="8" applyFont="1" applyBorder="1" applyAlignment="1">
      <alignment horizontal="right"/>
    </xf>
    <xf numFmtId="187" fontId="29" fillId="3" borderId="55" xfId="8" applyNumberFormat="1" applyFont="1" applyFill="1" applyBorder="1" applyAlignment="1">
      <alignment horizontal="right"/>
    </xf>
    <xf numFmtId="0" fontId="35" fillId="0" borderId="55" xfId="8" applyFont="1" applyBorder="1" applyAlignment="1">
      <alignment horizontal="left" indent="1"/>
    </xf>
    <xf numFmtId="187" fontId="35" fillId="3" borderId="41" xfId="8" applyNumberFormat="1" applyFont="1" applyFill="1" applyBorder="1" applyAlignment="1">
      <alignment horizontal="right"/>
    </xf>
    <xf numFmtId="187" fontId="35" fillId="3" borderId="0" xfId="8" applyNumberFormat="1" applyFont="1" applyFill="1" applyAlignment="1">
      <alignment horizontal="right"/>
    </xf>
    <xf numFmtId="187" fontId="35" fillId="3" borderId="53" xfId="8" applyNumberFormat="1" applyFont="1" applyFill="1" applyBorder="1" applyAlignment="1">
      <alignment horizontal="right"/>
    </xf>
    <xf numFmtId="187" fontId="35" fillId="3" borderId="16" xfId="8" applyNumberFormat="1" applyFont="1" applyFill="1" applyBorder="1" applyAlignment="1">
      <alignment horizontal="right"/>
    </xf>
    <xf numFmtId="169" fontId="15" fillId="3" borderId="16" xfId="8" applyNumberFormat="1" applyFont="1" applyFill="1" applyBorder="1" applyAlignment="1">
      <alignment horizontal="left"/>
    </xf>
    <xf numFmtId="187" fontId="15" fillId="3" borderId="41" xfId="8" applyNumberFormat="1" applyFont="1" applyFill="1" applyBorder="1" applyAlignment="1">
      <alignment horizontal="right"/>
    </xf>
    <xf numFmtId="187" fontId="41" fillId="0" borderId="41" xfId="8" applyNumberFormat="1" applyFont="1" applyBorder="1" applyAlignment="1">
      <alignment horizontal="right"/>
    </xf>
    <xf numFmtId="187" fontId="41" fillId="0" borderId="0" xfId="8" applyNumberFormat="1" applyFont="1" applyAlignment="1">
      <alignment horizontal="right"/>
    </xf>
    <xf numFmtId="187" fontId="41" fillId="0" borderId="53" xfId="8" applyNumberFormat="1" applyFont="1" applyBorder="1" applyAlignment="1">
      <alignment horizontal="right"/>
    </xf>
    <xf numFmtId="187" fontId="41" fillId="3" borderId="41" xfId="8" applyNumberFormat="1" applyFont="1" applyFill="1" applyBorder="1" applyAlignment="1">
      <alignment horizontal="right"/>
    </xf>
    <xf numFmtId="187" fontId="41" fillId="3" borderId="0" xfId="8" applyNumberFormat="1" applyFont="1" applyFill="1" applyAlignment="1">
      <alignment horizontal="right"/>
    </xf>
    <xf numFmtId="187" fontId="41" fillId="3" borderId="53" xfId="8" applyNumberFormat="1" applyFont="1" applyFill="1" applyBorder="1" applyAlignment="1">
      <alignment horizontal="right"/>
    </xf>
    <xf numFmtId="187" fontId="29" fillId="3" borderId="41" xfId="8" applyNumberFormat="1" applyFont="1" applyFill="1" applyBorder="1" applyAlignment="1">
      <alignment horizontal="right"/>
    </xf>
    <xf numFmtId="0" fontId="15" fillId="0" borderId="45" xfId="8" applyFont="1" applyBorder="1" applyAlignment="1">
      <alignment horizontal="left"/>
    </xf>
    <xf numFmtId="188" fontId="15" fillId="3" borderId="57" xfId="8" applyNumberFormat="1" applyFont="1" applyFill="1" applyBorder="1" applyAlignment="1">
      <alignment horizontal="right"/>
    </xf>
    <xf numFmtId="188" fontId="15" fillId="3" borderId="42" xfId="8" applyNumberFormat="1" applyFont="1" applyFill="1" applyBorder="1" applyAlignment="1">
      <alignment horizontal="right"/>
    </xf>
    <xf numFmtId="187" fontId="15" fillId="3" borderId="43" xfId="8" applyNumberFormat="1" applyFont="1" applyFill="1" applyBorder="1" applyAlignment="1">
      <alignment horizontal="right"/>
    </xf>
    <xf numFmtId="0" fontId="43" fillId="0" borderId="0" xfId="9" applyFont="1" applyAlignment="1">
      <alignment horizontal="left"/>
    </xf>
    <xf numFmtId="187" fontId="15" fillId="0" borderId="8" xfId="8" applyNumberFormat="1" applyFont="1" applyBorder="1"/>
    <xf numFmtId="187" fontId="15" fillId="3" borderId="8" xfId="8" applyNumberFormat="1" applyFont="1" applyFill="1" applyBorder="1"/>
    <xf numFmtId="176" fontId="15" fillId="0" borderId="8" xfId="1" applyNumberFormat="1" applyFont="1" applyFill="1" applyBorder="1" applyAlignment="1" applyProtection="1"/>
    <xf numFmtId="165" fontId="15" fillId="0" borderId="0" xfId="8" applyNumberFormat="1" applyFont="1"/>
    <xf numFmtId="165" fontId="15" fillId="0" borderId="8" xfId="8" applyNumberFormat="1" applyFont="1" applyBorder="1"/>
    <xf numFmtId="176" fontId="15" fillId="0" borderId="0" xfId="1" applyNumberFormat="1" applyFont="1" applyFill="1" applyBorder="1" applyAlignment="1" applyProtection="1"/>
    <xf numFmtId="0" fontId="15" fillId="0" borderId="0" xfId="8" applyFont="1" applyAlignment="1">
      <alignment horizontal="left"/>
    </xf>
    <xf numFmtId="187" fontId="15" fillId="3" borderId="0" xfId="8" applyNumberFormat="1" applyFont="1" applyFill="1"/>
    <xf numFmtId="0" fontId="29" fillId="6" borderId="59" xfId="10" applyNumberFormat="1" applyFont="1" applyFill="1" applyBorder="1" applyAlignment="1" applyProtection="1"/>
    <xf numFmtId="178" fontId="29" fillId="3" borderId="52" xfId="8" applyNumberFormat="1" applyFont="1" applyFill="1" applyBorder="1"/>
    <xf numFmtId="178" fontId="29" fillId="9" borderId="59" xfId="8" applyNumberFormat="1" applyFont="1" applyFill="1" applyBorder="1"/>
    <xf numFmtId="178" fontId="29" fillId="9" borderId="61" xfId="8" applyNumberFormat="1" applyFont="1" applyFill="1" applyBorder="1"/>
    <xf numFmtId="178" fontId="29" fillId="9" borderId="62" xfId="8" applyNumberFormat="1" applyFont="1" applyFill="1" applyBorder="1"/>
    <xf numFmtId="0" fontId="30" fillId="7" borderId="63" xfId="8" applyFont="1" applyFill="1" applyBorder="1"/>
    <xf numFmtId="0" fontId="30" fillId="7" borderId="64" xfId="8" applyFont="1" applyFill="1" applyBorder="1"/>
    <xf numFmtId="174" fontId="29" fillId="3" borderId="16" xfId="8" applyNumberFormat="1" applyFont="1" applyFill="1" applyBorder="1" applyAlignment="1">
      <alignment horizontal="left"/>
    </xf>
    <xf numFmtId="168" fontId="29" fillId="3" borderId="41" xfId="1" applyNumberFormat="1" applyFont="1" applyFill="1" applyBorder="1" applyAlignment="1" applyProtection="1"/>
    <xf numFmtId="168" fontId="29" fillId="3" borderId="0" xfId="1" applyNumberFormat="1" applyFont="1" applyFill="1" applyBorder="1" applyAlignment="1" applyProtection="1"/>
    <xf numFmtId="168" fontId="29" fillId="3" borderId="53" xfId="1" applyNumberFormat="1" applyFont="1" applyFill="1" applyBorder="1" applyAlignment="1" applyProtection="1"/>
    <xf numFmtId="171" fontId="29" fillId="0" borderId="41" xfId="8" applyNumberFormat="1" applyFont="1" applyBorder="1"/>
    <xf numFmtId="0" fontId="33" fillId="0" borderId="53" xfId="8" applyFont="1" applyBorder="1" applyAlignment="1">
      <alignment horizontal="right"/>
    </xf>
    <xf numFmtId="0" fontId="33" fillId="3" borderId="16" xfId="8" applyFont="1" applyFill="1" applyBorder="1" applyAlignment="1">
      <alignment horizontal="right"/>
    </xf>
    <xf numFmtId="0" fontId="29" fillId="3" borderId="16" xfId="10" applyNumberFormat="1" applyFont="1" applyFill="1" applyBorder="1" applyAlignment="1" applyProtection="1">
      <alignment horizontal="left" indent="1"/>
    </xf>
    <xf numFmtId="176" fontId="29" fillId="3" borderId="41" xfId="8" applyNumberFormat="1" applyFont="1" applyFill="1" applyBorder="1"/>
    <xf numFmtId="176" fontId="29" fillId="3" borderId="0" xfId="8" applyNumberFormat="1" applyFont="1" applyFill="1"/>
    <xf numFmtId="176" fontId="29" fillId="3" borderId="53" xfId="8" applyNumberFormat="1" applyFont="1" applyFill="1" applyBorder="1"/>
    <xf numFmtId="176" fontId="29" fillId="0" borderId="0" xfId="8" applyNumberFormat="1" applyFont="1"/>
    <xf numFmtId="176" fontId="29" fillId="0" borderId="53" xfId="8" applyNumberFormat="1" applyFont="1" applyBorder="1"/>
    <xf numFmtId="171" fontId="29" fillId="0" borderId="0" xfId="8" applyNumberFormat="1" applyFont="1"/>
    <xf numFmtId="0" fontId="15" fillId="3" borderId="16" xfId="10" applyNumberFormat="1" applyFont="1" applyFill="1" applyBorder="1" applyAlignment="1" applyProtection="1">
      <alignment horizontal="left" indent="2"/>
    </xf>
    <xf numFmtId="176" fontId="15" fillId="3" borderId="41" xfId="8" applyNumberFormat="1" applyFont="1" applyFill="1" applyBorder="1"/>
    <xf numFmtId="176" fontId="15" fillId="3" borderId="0" xfId="8" applyNumberFormat="1" applyFont="1" applyFill="1"/>
    <xf numFmtId="176" fontId="15" fillId="3" borderId="53" xfId="8" applyNumberFormat="1" applyFont="1" applyFill="1" applyBorder="1"/>
    <xf numFmtId="176" fontId="15" fillId="0" borderId="0" xfId="8" applyNumberFormat="1" applyFont="1"/>
    <xf numFmtId="176" fontId="15" fillId="0" borderId="53" xfId="8" applyNumberFormat="1" applyFont="1" applyBorder="1"/>
    <xf numFmtId="171" fontId="15" fillId="0" borderId="0" xfId="8" applyNumberFormat="1" applyFont="1"/>
    <xf numFmtId="171" fontId="47" fillId="0" borderId="0" xfId="8" applyNumberFormat="1" applyFont="1"/>
    <xf numFmtId="176" fontId="29" fillId="0" borderId="41" xfId="8" applyNumberFormat="1" applyFont="1" applyBorder="1"/>
    <xf numFmtId="0" fontId="15" fillId="0" borderId="16" xfId="10" applyNumberFormat="1" applyFont="1" applyFill="1" applyBorder="1" applyAlignment="1" applyProtection="1">
      <alignment horizontal="left" indent="2"/>
    </xf>
    <xf numFmtId="176" fontId="15" fillId="0" borderId="41" xfId="8" applyNumberFormat="1" applyFont="1" applyBorder="1"/>
    <xf numFmtId="189" fontId="15" fillId="3" borderId="41" xfId="8" applyNumberFormat="1" applyFont="1" applyFill="1" applyBorder="1"/>
    <xf numFmtId="189" fontId="15" fillId="3" borderId="0" xfId="8" applyNumberFormat="1" applyFont="1" applyFill="1"/>
    <xf numFmtId="189" fontId="15" fillId="3" borderId="53" xfId="8" applyNumberFormat="1" applyFont="1" applyFill="1" applyBorder="1"/>
    <xf numFmtId="176" fontId="48" fillId="0" borderId="0" xfId="8" applyNumberFormat="1" applyFont="1"/>
    <xf numFmtId="176" fontId="48" fillId="0" borderId="53" xfId="8" applyNumberFormat="1" applyFont="1" applyBorder="1"/>
    <xf numFmtId="176" fontId="48" fillId="0" borderId="41" xfId="8" applyNumberFormat="1" applyFont="1" applyBorder="1"/>
    <xf numFmtId="0" fontId="32" fillId="3" borderId="16" xfId="10" applyNumberFormat="1" applyFont="1" applyFill="1" applyBorder="1" applyAlignment="1" applyProtection="1">
      <alignment horizontal="left" indent="2"/>
    </xf>
    <xf numFmtId="176" fontId="32" fillId="3" borderId="41" xfId="8" applyNumberFormat="1" applyFont="1" applyFill="1" applyBorder="1"/>
    <xf numFmtId="176" fontId="32" fillId="3" borderId="0" xfId="8" applyNumberFormat="1" applyFont="1" applyFill="1"/>
    <xf numFmtId="176" fontId="32" fillId="3" borderId="53" xfId="8" applyNumberFormat="1" applyFont="1" applyFill="1" applyBorder="1"/>
    <xf numFmtId="176" fontId="32" fillId="0" borderId="0" xfId="8" applyNumberFormat="1" applyFont="1"/>
    <xf numFmtId="176" fontId="32" fillId="0" borderId="53" xfId="8" applyNumberFormat="1" applyFont="1" applyBorder="1"/>
    <xf numFmtId="176" fontId="32" fillId="0" borderId="41" xfId="8" applyNumberFormat="1" applyFont="1" applyBorder="1"/>
    <xf numFmtId="176" fontId="49" fillId="0" borderId="0" xfId="8" applyNumberFormat="1" applyFont="1"/>
    <xf numFmtId="176" fontId="49" fillId="0" borderId="41" xfId="8" applyNumberFormat="1" applyFont="1" applyBorder="1"/>
    <xf numFmtId="176" fontId="49" fillId="0" borderId="53" xfId="8" applyNumberFormat="1" applyFont="1" applyBorder="1"/>
    <xf numFmtId="171" fontId="32" fillId="0" borderId="0" xfId="8" applyNumberFormat="1" applyFont="1"/>
    <xf numFmtId="168" fontId="32" fillId="3" borderId="16" xfId="8" applyNumberFormat="1" applyFont="1" applyFill="1" applyBorder="1"/>
    <xf numFmtId="174" fontId="43" fillId="0" borderId="0" xfId="8" applyNumberFormat="1" applyFont="1"/>
    <xf numFmtId="168" fontId="15" fillId="3" borderId="53" xfId="8" applyNumberFormat="1" applyFont="1" applyFill="1" applyBorder="1"/>
    <xf numFmtId="168" fontId="15" fillId="0" borderId="53" xfId="8" applyNumberFormat="1" applyFont="1" applyBorder="1"/>
    <xf numFmtId="168" fontId="15" fillId="0" borderId="41" xfId="8" applyNumberFormat="1" applyFont="1" applyBorder="1"/>
    <xf numFmtId="171" fontId="50" fillId="0" borderId="0" xfId="8" applyNumberFormat="1" applyFont="1"/>
    <xf numFmtId="169" fontId="51" fillId="0" borderId="0" xfId="8" applyNumberFormat="1" applyFont="1"/>
    <xf numFmtId="178" fontId="27" fillId="0" borderId="0" xfId="8" applyNumberFormat="1" applyFont="1"/>
    <xf numFmtId="172" fontId="15" fillId="0" borderId="0" xfId="8" applyNumberFormat="1" applyFont="1"/>
    <xf numFmtId="168" fontId="15" fillId="0" borderId="16" xfId="8" applyNumberFormat="1" applyFont="1" applyBorder="1"/>
    <xf numFmtId="184" fontId="29" fillId="3" borderId="16" xfId="8" applyNumberFormat="1" applyFont="1" applyFill="1" applyBorder="1" applyAlignment="1">
      <alignment horizontal="left"/>
    </xf>
    <xf numFmtId="184" fontId="29" fillId="3" borderId="41" xfId="8" applyNumberFormat="1" applyFont="1" applyFill="1" applyBorder="1" applyAlignment="1">
      <alignment horizontal="right"/>
    </xf>
    <xf numFmtId="184" fontId="29" fillId="3" borderId="0" xfId="8" applyNumberFormat="1" applyFont="1" applyFill="1" applyAlignment="1">
      <alignment horizontal="right"/>
    </xf>
    <xf numFmtId="184" fontId="29" fillId="3" borderId="53" xfId="8" applyNumberFormat="1" applyFont="1" applyFill="1" applyBorder="1" applyAlignment="1">
      <alignment horizontal="right"/>
    </xf>
    <xf numFmtId="184" fontId="29" fillId="0" borderId="0" xfId="8" applyNumberFormat="1" applyFont="1" applyAlignment="1">
      <alignment horizontal="right"/>
    </xf>
    <xf numFmtId="184" fontId="29" fillId="0" borderId="53" xfId="8" applyNumberFormat="1" applyFont="1" applyBorder="1" applyAlignment="1">
      <alignment horizontal="right"/>
    </xf>
    <xf numFmtId="184" fontId="29" fillId="0" borderId="41" xfId="8" applyNumberFormat="1" applyFont="1" applyBorder="1" applyAlignment="1">
      <alignment horizontal="right"/>
    </xf>
    <xf numFmtId="184" fontId="29" fillId="3" borderId="16" xfId="8" applyNumberFormat="1" applyFont="1" applyFill="1" applyBorder="1"/>
    <xf numFmtId="184" fontId="29" fillId="0" borderId="16" xfId="8" applyNumberFormat="1" applyFont="1" applyBorder="1"/>
    <xf numFmtId="184" fontId="35" fillId="0" borderId="16" xfId="8" applyNumberFormat="1" applyFont="1" applyBorder="1" applyAlignment="1">
      <alignment horizontal="left" indent="1"/>
    </xf>
    <xf numFmtId="184" fontId="35" fillId="3" borderId="41" xfId="8" applyNumberFormat="1" applyFont="1" applyFill="1" applyBorder="1"/>
    <xf numFmtId="184" fontId="35" fillId="3" borderId="53" xfId="8" applyNumberFormat="1" applyFont="1" applyFill="1" applyBorder="1"/>
    <xf numFmtId="184" fontId="35" fillId="3" borderId="16" xfId="8" applyNumberFormat="1" applyFont="1" applyFill="1" applyBorder="1"/>
    <xf numFmtId="184" fontId="35" fillId="0" borderId="16" xfId="8" applyNumberFormat="1" applyFont="1" applyBorder="1" applyAlignment="1">
      <alignment horizontal="right"/>
    </xf>
    <xf numFmtId="184" fontId="35" fillId="0" borderId="41" xfId="8" applyNumberFormat="1" applyFont="1" applyBorder="1"/>
    <xf numFmtId="184" fontId="35" fillId="0" borderId="16" xfId="8" applyNumberFormat="1" applyFont="1" applyBorder="1"/>
    <xf numFmtId="0" fontId="15" fillId="0" borderId="16" xfId="8" applyFont="1" applyBorder="1"/>
    <xf numFmtId="168" fontId="15" fillId="8" borderId="53" xfId="8" applyNumberFormat="1" applyFont="1" applyFill="1" applyBorder="1"/>
    <xf numFmtId="0" fontId="15" fillId="0" borderId="45" xfId="8" applyFont="1" applyBorder="1"/>
    <xf numFmtId="168" fontId="15" fillId="0" borderId="44" xfId="8" applyNumberFormat="1" applyFont="1" applyBorder="1"/>
    <xf numFmtId="186" fontId="15" fillId="0" borderId="0" xfId="8" applyNumberFormat="1" applyFont="1"/>
    <xf numFmtId="169" fontId="32" fillId="3" borderId="0" xfId="8" applyNumberFormat="1" applyFont="1" applyFill="1" applyAlignment="1">
      <alignment horizontal="left" indent="1"/>
    </xf>
    <xf numFmtId="165" fontId="30" fillId="0" borderId="0" xfId="8" applyNumberFormat="1" applyFont="1" applyAlignment="1">
      <alignment horizontal="right"/>
    </xf>
    <xf numFmtId="165" fontId="30" fillId="3" borderId="0" xfId="8" applyNumberFormat="1" applyFont="1" applyFill="1" applyAlignment="1">
      <alignment horizontal="right"/>
    </xf>
    <xf numFmtId="165" fontId="30" fillId="0" borderId="0" xfId="8" applyNumberFormat="1" applyFont="1"/>
    <xf numFmtId="165" fontId="30" fillId="0" borderId="65" xfId="8" applyNumberFormat="1" applyFont="1" applyBorder="1" applyAlignment="1">
      <alignment horizontal="right"/>
    </xf>
    <xf numFmtId="0" fontId="52" fillId="0" borderId="0" xfId="8" applyFont="1"/>
    <xf numFmtId="0" fontId="29" fillId="6" borderId="42" xfId="8" applyFont="1" applyFill="1" applyBorder="1" applyAlignment="1">
      <alignment horizontal="left"/>
    </xf>
    <xf numFmtId="0" fontId="33" fillId="0" borderId="48" xfId="8" applyFont="1" applyBorder="1"/>
    <xf numFmtId="168" fontId="50" fillId="3" borderId="8" xfId="8" applyNumberFormat="1" applyFont="1" applyFill="1" applyBorder="1"/>
    <xf numFmtId="168" fontId="50" fillId="3" borderId="48" xfId="8" applyNumberFormat="1" applyFont="1" applyFill="1" applyBorder="1"/>
    <xf numFmtId="168" fontId="50" fillId="3" borderId="64" xfId="8" applyNumberFormat="1" applyFont="1" applyFill="1" applyBorder="1"/>
    <xf numFmtId="168" fontId="50" fillId="0" borderId="8" xfId="8" applyNumberFormat="1" applyFont="1" applyBorder="1"/>
    <xf numFmtId="0" fontId="15" fillId="0" borderId="41" xfId="8" applyFont="1" applyBorder="1" applyAlignment="1">
      <alignment horizontal="left" indent="1"/>
    </xf>
    <xf numFmtId="0" fontId="29" fillId="0" borderId="41" xfId="8" applyFont="1" applyBorder="1" applyAlignment="1">
      <alignment horizontal="left"/>
    </xf>
    <xf numFmtId="168" fontId="29" fillId="3" borderId="41" xfId="8" applyNumberFormat="1" applyFont="1" applyFill="1" applyBorder="1"/>
    <xf numFmtId="168" fontId="29" fillId="3" borderId="53" xfId="8" applyNumberFormat="1" applyFont="1" applyFill="1" applyBorder="1"/>
    <xf numFmtId="172" fontId="29" fillId="3" borderId="0" xfId="8" applyNumberFormat="1" applyFont="1" applyFill="1"/>
    <xf numFmtId="172" fontId="29" fillId="3" borderId="41" xfId="8" applyNumberFormat="1" applyFont="1" applyFill="1" applyBorder="1"/>
    <xf numFmtId="172" fontId="29" fillId="3" borderId="53" xfId="8" applyNumberFormat="1" applyFont="1" applyFill="1" applyBorder="1"/>
    <xf numFmtId="190" fontId="29" fillId="3" borderId="41" xfId="8" applyNumberFormat="1" applyFont="1" applyFill="1" applyBorder="1"/>
    <xf numFmtId="190" fontId="29" fillId="3" borderId="0" xfId="8" applyNumberFormat="1" applyFont="1" applyFill="1"/>
    <xf numFmtId="190" fontId="29" fillId="0" borderId="0" xfId="8" applyNumberFormat="1" applyFont="1"/>
    <xf numFmtId="190" fontId="29" fillId="3" borderId="53" xfId="8" applyNumberFormat="1" applyFont="1" applyFill="1" applyBorder="1"/>
    <xf numFmtId="190" fontId="29" fillId="0" borderId="53" xfId="8" applyNumberFormat="1" applyFont="1" applyBorder="1"/>
    <xf numFmtId="190" fontId="29" fillId="3" borderId="16" xfId="8" applyNumberFormat="1" applyFont="1" applyFill="1" applyBorder="1"/>
    <xf numFmtId="0" fontId="15" fillId="0" borderId="41" xfId="8" applyFont="1" applyBorder="1" applyAlignment="1">
      <alignment horizontal="left"/>
    </xf>
    <xf numFmtId="0" fontId="29" fillId="0" borderId="41" xfId="8" applyFont="1" applyBorder="1" applyAlignment="1">
      <alignment horizontal="left" indent="1"/>
    </xf>
    <xf numFmtId="168" fontId="29" fillId="0" borderId="53" xfId="8" applyNumberFormat="1" applyFont="1" applyBorder="1"/>
    <xf numFmtId="9" fontId="15" fillId="3" borderId="0" xfId="3" applyFont="1" applyFill="1" applyBorder="1" applyAlignment="1" applyProtection="1"/>
    <xf numFmtId="9" fontId="15" fillId="3" borderId="41" xfId="3" applyFont="1" applyFill="1" applyBorder="1" applyAlignment="1" applyProtection="1"/>
    <xf numFmtId="9" fontId="15" fillId="3" borderId="53" xfId="3" applyFont="1" applyFill="1" applyBorder="1" applyAlignment="1" applyProtection="1"/>
    <xf numFmtId="9" fontId="15" fillId="0" borderId="0" xfId="3" applyFont="1" applyFill="1" applyBorder="1" applyAlignment="1" applyProtection="1"/>
    <xf numFmtId="0" fontId="33" fillId="0" borderId="41" xfId="8" applyFont="1" applyBorder="1"/>
    <xf numFmtId="169" fontId="15" fillId="3" borderId="41" xfId="8" applyNumberFormat="1" applyFont="1" applyFill="1" applyBorder="1" applyAlignment="1">
      <alignment horizontal="left" indent="1"/>
    </xf>
    <xf numFmtId="0" fontId="31" fillId="0" borderId="16" xfId="8" applyFont="1" applyBorder="1"/>
    <xf numFmtId="168" fontId="29" fillId="0" borderId="41" xfId="8" applyNumberFormat="1" applyFont="1" applyBorder="1"/>
    <xf numFmtId="172" fontId="15" fillId="3" borderId="41" xfId="8" applyNumberFormat="1" applyFont="1" applyFill="1" applyBorder="1"/>
    <xf numFmtId="172" fontId="15" fillId="3" borderId="53" xfId="8" applyNumberFormat="1" applyFont="1" applyFill="1" applyBorder="1"/>
    <xf numFmtId="190" fontId="15" fillId="3" borderId="0" xfId="8" applyNumberFormat="1" applyFont="1" applyFill="1"/>
    <xf numFmtId="190" fontId="15" fillId="3" borderId="41" xfId="8" applyNumberFormat="1" applyFont="1" applyFill="1" applyBorder="1"/>
    <xf numFmtId="190" fontId="15" fillId="3" borderId="53" xfId="8" applyNumberFormat="1" applyFont="1" applyFill="1" applyBorder="1"/>
    <xf numFmtId="190" fontId="15" fillId="3" borderId="16" xfId="8" applyNumberFormat="1" applyFont="1" applyFill="1" applyBorder="1"/>
    <xf numFmtId="0" fontId="29" fillId="0" borderId="0" xfId="8" applyFont="1" applyAlignment="1">
      <alignment horizontal="left"/>
    </xf>
    <xf numFmtId="0" fontId="29" fillId="0" borderId="0" xfId="8" applyFont="1"/>
    <xf numFmtId="184" fontId="15" fillId="3" borderId="0" xfId="8" applyNumberFormat="1" applyFont="1" applyFill="1" applyAlignment="1">
      <alignment horizontal="right"/>
    </xf>
    <xf numFmtId="184" fontId="15" fillId="3" borderId="41" xfId="8" applyNumberFormat="1" applyFont="1" applyFill="1" applyBorder="1" applyAlignment="1">
      <alignment horizontal="right"/>
    </xf>
    <xf numFmtId="184" fontId="15" fillId="3" borderId="53" xfId="8" applyNumberFormat="1" applyFont="1" applyFill="1" applyBorder="1" applyAlignment="1">
      <alignment horizontal="right"/>
    </xf>
    <xf numFmtId="184" fontId="15" fillId="0" borderId="0" xfId="8" applyNumberFormat="1" applyFont="1" applyAlignment="1">
      <alignment horizontal="right"/>
    </xf>
    <xf numFmtId="184" fontId="15" fillId="0" borderId="16" xfId="8" applyNumberFormat="1" applyFont="1" applyBorder="1"/>
    <xf numFmtId="184" fontId="29" fillId="0" borderId="41" xfId="8" applyNumberFormat="1" applyFont="1" applyBorder="1"/>
    <xf numFmtId="184" fontId="29" fillId="3" borderId="41" xfId="8" applyNumberFormat="1" applyFont="1" applyFill="1" applyBorder="1"/>
    <xf numFmtId="184" fontId="29" fillId="3" borderId="53" xfId="8" applyNumberFormat="1" applyFont="1" applyFill="1" applyBorder="1"/>
    <xf numFmtId="184" fontId="29" fillId="3" borderId="16" xfId="8" applyNumberFormat="1" applyFont="1" applyFill="1" applyBorder="1" applyAlignment="1">
      <alignment horizontal="right"/>
    </xf>
    <xf numFmtId="191" fontId="15" fillId="0" borderId="0" xfId="8" applyNumberFormat="1" applyFont="1"/>
    <xf numFmtId="191" fontId="15" fillId="0" borderId="41" xfId="8" applyNumberFormat="1" applyFont="1" applyBorder="1"/>
    <xf numFmtId="191" fontId="15" fillId="0" borderId="53" xfId="8" applyNumberFormat="1" applyFont="1" applyBorder="1"/>
    <xf numFmtId="191" fontId="15" fillId="0" borderId="16" xfId="8" applyNumberFormat="1" applyFont="1" applyBorder="1"/>
    <xf numFmtId="191" fontId="15" fillId="3" borderId="16" xfId="8" applyNumberFormat="1" applyFont="1" applyFill="1" applyBorder="1"/>
    <xf numFmtId="0" fontId="29" fillId="0" borderId="42" xfId="8" applyFont="1" applyBorder="1"/>
    <xf numFmtId="191" fontId="29" fillId="0" borderId="42" xfId="8" applyNumberFormat="1" applyFont="1" applyBorder="1"/>
    <xf numFmtId="191" fontId="29" fillId="0" borderId="43" xfId="8" applyNumberFormat="1" applyFont="1" applyBorder="1"/>
    <xf numFmtId="191" fontId="29" fillId="0" borderId="44" xfId="8" applyNumberFormat="1" applyFont="1" applyBorder="1"/>
    <xf numFmtId="168" fontId="29" fillId="0" borderId="42" xfId="8" applyNumberFormat="1" applyFont="1" applyBorder="1"/>
    <xf numFmtId="191" fontId="29" fillId="3" borderId="42" xfId="8" applyNumberFormat="1" applyFont="1" applyFill="1" applyBorder="1"/>
    <xf numFmtId="168" fontId="29" fillId="0" borderId="43" xfId="8" applyNumberFormat="1" applyFont="1" applyBorder="1"/>
    <xf numFmtId="168" fontId="29" fillId="0" borderId="44" xfId="8" applyNumberFormat="1" applyFont="1" applyBorder="1"/>
    <xf numFmtId="191" fontId="29" fillId="0" borderId="45" xfId="8" applyNumberFormat="1" applyFont="1" applyBorder="1"/>
    <xf numFmtId="191" fontId="29" fillId="3" borderId="45" xfId="8" applyNumberFormat="1" applyFont="1" applyFill="1" applyBorder="1"/>
    <xf numFmtId="192" fontId="27" fillId="0" borderId="0" xfId="8" applyNumberFormat="1" applyFont="1"/>
    <xf numFmtId="17" fontId="34" fillId="0" borderId="0" xfId="8" applyNumberFormat="1" applyFont="1" applyAlignment="1">
      <alignment horizontal="right"/>
    </xf>
    <xf numFmtId="17" fontId="34" fillId="3" borderId="0" xfId="8" applyNumberFormat="1" applyFont="1" applyFill="1" applyAlignment="1">
      <alignment horizontal="right"/>
    </xf>
    <xf numFmtId="0" fontId="32" fillId="10" borderId="48" xfId="8" applyFont="1" applyFill="1" applyBorder="1"/>
    <xf numFmtId="17" fontId="33" fillId="10" borderId="48" xfId="8" applyNumberFormat="1" applyFont="1" applyFill="1" applyBorder="1" applyAlignment="1">
      <alignment horizontal="right"/>
    </xf>
    <xf numFmtId="17" fontId="33" fillId="10" borderId="8" xfId="8" applyNumberFormat="1" applyFont="1" applyFill="1" applyBorder="1" applyAlignment="1">
      <alignment horizontal="right"/>
    </xf>
    <xf numFmtId="17" fontId="33" fillId="10" borderId="64" xfId="8" applyNumberFormat="1" applyFont="1" applyFill="1" applyBorder="1" applyAlignment="1">
      <alignment horizontal="right"/>
    </xf>
    <xf numFmtId="17" fontId="33" fillId="0" borderId="8" xfId="8" applyNumberFormat="1" applyFont="1" applyBorder="1" applyAlignment="1">
      <alignment horizontal="right"/>
    </xf>
    <xf numFmtId="0" fontId="33" fillId="10" borderId="59" xfId="8" applyFont="1" applyFill="1" applyBorder="1" applyAlignment="1">
      <alignment horizontal="right"/>
    </xf>
    <xf numFmtId="0" fontId="33" fillId="10" borderId="64" xfId="8" applyFont="1" applyFill="1" applyBorder="1" applyAlignment="1">
      <alignment horizontal="right"/>
    </xf>
    <xf numFmtId="17" fontId="33" fillId="10" borderId="59" xfId="8" applyNumberFormat="1" applyFont="1" applyFill="1" applyBorder="1" applyAlignment="1">
      <alignment horizontal="right"/>
    </xf>
    <xf numFmtId="0" fontId="29" fillId="0" borderId="41" xfId="8" applyFont="1" applyBorder="1"/>
    <xf numFmtId="0" fontId="15" fillId="3" borderId="41" xfId="8" applyFont="1" applyFill="1" applyBorder="1"/>
    <xf numFmtId="0" fontId="15" fillId="3" borderId="0" xfId="8" applyFont="1" applyFill="1"/>
    <xf numFmtId="0" fontId="15" fillId="3" borderId="53" xfId="8" applyFont="1" applyFill="1" applyBorder="1"/>
    <xf numFmtId="176" fontId="15" fillId="3" borderId="16" xfId="8" applyNumberFormat="1" applyFont="1" applyFill="1" applyBorder="1"/>
    <xf numFmtId="0" fontId="29" fillId="0" borderId="41" xfId="8" applyFont="1" applyBorder="1" applyAlignment="1">
      <alignment horizontal="left" indent="2"/>
    </xf>
    <xf numFmtId="176" fontId="29" fillId="0" borderId="43" xfId="8" applyNumberFormat="1" applyFont="1" applyBorder="1"/>
    <xf numFmtId="176" fontId="29" fillId="0" borderId="42" xfId="8" applyNumberFormat="1" applyFont="1" applyBorder="1"/>
    <xf numFmtId="176" fontId="29" fillId="0" borderId="44" xfId="8" applyNumberFormat="1" applyFont="1" applyBorder="1"/>
    <xf numFmtId="176" fontId="29" fillId="3" borderId="43" xfId="8" applyNumberFormat="1" applyFont="1" applyFill="1" applyBorder="1"/>
    <xf numFmtId="176" fontId="29" fillId="3" borderId="42" xfId="8" applyNumberFormat="1" applyFont="1" applyFill="1" applyBorder="1"/>
    <xf numFmtId="176" fontId="29" fillId="3" borderId="44" xfId="8" applyNumberFormat="1" applyFont="1" applyFill="1" applyBorder="1"/>
    <xf numFmtId="168" fontId="29" fillId="3" borderId="43" xfId="8" applyNumberFormat="1" applyFont="1" applyFill="1" applyBorder="1"/>
    <xf numFmtId="168" fontId="29" fillId="3" borderId="42" xfId="8" applyNumberFormat="1" applyFont="1" applyFill="1" applyBorder="1"/>
    <xf numFmtId="168" fontId="29" fillId="3" borderId="44" xfId="8" applyNumberFormat="1" applyFont="1" applyFill="1" applyBorder="1"/>
    <xf numFmtId="168" fontId="5" fillId="0" borderId="43" xfId="8" applyNumberFormat="1" applyFont="1" applyBorder="1"/>
    <xf numFmtId="176" fontId="29" fillId="3" borderId="45" xfId="8" applyNumberFormat="1" applyFont="1" applyFill="1" applyBorder="1"/>
    <xf numFmtId="168" fontId="29" fillId="3" borderId="45" xfId="8" applyNumberFormat="1" applyFont="1" applyFill="1" applyBorder="1"/>
    <xf numFmtId="0" fontId="29" fillId="0" borderId="48" xfId="8" applyFont="1" applyBorder="1" applyAlignment="1">
      <alignment horizontal="left"/>
    </xf>
    <xf numFmtId="189" fontId="29" fillId="3" borderId="41" xfId="8" applyNumberFormat="1" applyFont="1" applyFill="1" applyBorder="1"/>
    <xf numFmtId="189" fontId="29" fillId="3" borderId="0" xfId="8" applyNumberFormat="1" applyFont="1" applyFill="1"/>
    <xf numFmtId="189" fontId="29" fillId="3" borderId="53" xfId="8" applyNumberFormat="1" applyFont="1" applyFill="1" applyBorder="1"/>
    <xf numFmtId="176" fontId="29" fillId="3" borderId="48" xfId="8" applyNumberFormat="1" applyFont="1" applyFill="1" applyBorder="1"/>
    <xf numFmtId="176" fontId="29" fillId="3" borderId="8" xfId="8" applyNumberFormat="1" applyFont="1" applyFill="1" applyBorder="1"/>
    <xf numFmtId="176" fontId="29" fillId="0" borderId="8" xfId="8" applyNumberFormat="1" applyFont="1" applyBorder="1"/>
    <xf numFmtId="176" fontId="29" fillId="3" borderId="64" xfId="8" applyNumberFormat="1" applyFont="1" applyFill="1" applyBorder="1"/>
    <xf numFmtId="176" fontId="5" fillId="3" borderId="41" xfId="8" applyNumberFormat="1" applyFont="1" applyFill="1" applyBorder="1"/>
    <xf numFmtId="176" fontId="29" fillId="3" borderId="16" xfId="8" applyNumberFormat="1" applyFont="1" applyFill="1" applyBorder="1"/>
    <xf numFmtId="187" fontId="15" fillId="3" borderId="53" xfId="8" applyNumberFormat="1" applyFont="1" applyFill="1" applyBorder="1"/>
    <xf numFmtId="187" fontId="15" fillId="3" borderId="41" xfId="8" applyNumberFormat="1" applyFont="1" applyFill="1" applyBorder="1"/>
    <xf numFmtId="187" fontId="29" fillId="3" borderId="41" xfId="8" applyNumberFormat="1" applyFont="1" applyFill="1" applyBorder="1"/>
    <xf numFmtId="187" fontId="29" fillId="3" borderId="0" xfId="8" applyNumberFormat="1" applyFont="1" applyFill="1"/>
    <xf numFmtId="187" fontId="5" fillId="3" borderId="41" xfId="8" applyNumberFormat="1" applyFont="1" applyFill="1" applyBorder="1"/>
    <xf numFmtId="187" fontId="44" fillId="3" borderId="41" xfId="8" applyNumberFormat="1" applyFont="1" applyFill="1" applyBorder="1"/>
    <xf numFmtId="187" fontId="44" fillId="3" borderId="0" xfId="8" applyNumberFormat="1" applyFont="1" applyFill="1"/>
    <xf numFmtId="0" fontId="27" fillId="0" borderId="16" xfId="8" applyFont="1" applyBorder="1"/>
    <xf numFmtId="187" fontId="15" fillId="3" borderId="16" xfId="8" applyNumberFormat="1" applyFont="1" applyFill="1" applyBorder="1"/>
    <xf numFmtId="0" fontId="15" fillId="0" borderId="53" xfId="8" applyFont="1" applyBorder="1"/>
    <xf numFmtId="176" fontId="41" fillId="3" borderId="41" xfId="8" applyNumberFormat="1" applyFont="1" applyFill="1" applyBorder="1"/>
    <xf numFmtId="176" fontId="41" fillId="3" borderId="0" xfId="8" applyNumberFormat="1" applyFont="1" applyFill="1"/>
    <xf numFmtId="176" fontId="41" fillId="3" borderId="53" xfId="8" applyNumberFormat="1" applyFont="1" applyFill="1" applyBorder="1"/>
    <xf numFmtId="168" fontId="29" fillId="3" borderId="8" xfId="8" applyNumberFormat="1" applyFont="1" applyFill="1" applyBorder="1"/>
    <xf numFmtId="168" fontId="29" fillId="3" borderId="64" xfId="8" applyNumberFormat="1" applyFont="1" applyFill="1" applyBorder="1"/>
    <xf numFmtId="168" fontId="29" fillId="3" borderId="48" xfId="8" applyNumberFormat="1" applyFont="1" applyFill="1" applyBorder="1"/>
    <xf numFmtId="165" fontId="15" fillId="3" borderId="41" xfId="3" applyNumberFormat="1" applyFont="1" applyFill="1" applyBorder="1" applyAlignment="1"/>
    <xf numFmtId="165" fontId="15" fillId="3" borderId="0" xfId="3" applyNumberFormat="1" applyFont="1" applyFill="1" applyBorder="1" applyAlignment="1"/>
    <xf numFmtId="0" fontId="29" fillId="3" borderId="0" xfId="8" applyFont="1" applyFill="1"/>
    <xf numFmtId="0" fontId="29" fillId="3" borderId="53" xfId="8" applyFont="1" applyFill="1" applyBorder="1"/>
    <xf numFmtId="0" fontId="29" fillId="3" borderId="41" xfId="8" applyFont="1" applyFill="1" applyBorder="1"/>
    <xf numFmtId="189" fontId="15" fillId="0" borderId="0" xfId="8" applyNumberFormat="1" applyFont="1"/>
    <xf numFmtId="189" fontId="15" fillId="0" borderId="53" xfId="8" applyNumberFormat="1" applyFont="1" applyBorder="1"/>
    <xf numFmtId="189" fontId="41" fillId="3" borderId="0" xfId="8" applyNumberFormat="1" applyFont="1" applyFill="1"/>
    <xf numFmtId="189" fontId="41" fillId="3" borderId="41" xfId="8" applyNumberFormat="1" applyFont="1" applyFill="1" applyBorder="1"/>
    <xf numFmtId="189" fontId="41" fillId="3" borderId="53" xfId="8" applyNumberFormat="1" applyFont="1" applyFill="1" applyBorder="1"/>
    <xf numFmtId="189" fontId="15" fillId="3" borderId="16" xfId="8" applyNumberFormat="1" applyFont="1" applyFill="1" applyBorder="1"/>
    <xf numFmtId="176" fontId="15" fillId="3" borderId="42" xfId="8" applyNumberFormat="1" applyFont="1" applyFill="1" applyBorder="1"/>
    <xf numFmtId="189" fontId="29" fillId="3" borderId="45" xfId="8" applyNumberFormat="1" applyFont="1" applyFill="1" applyBorder="1"/>
    <xf numFmtId="189" fontId="29" fillId="0" borderId="8" xfId="8" applyNumberFormat="1" applyFont="1" applyBorder="1"/>
    <xf numFmtId="189" fontId="29" fillId="3" borderId="16" xfId="8" applyNumberFormat="1" applyFont="1" applyFill="1" applyBorder="1"/>
    <xf numFmtId="189" fontId="29" fillId="0" borderId="0" xfId="8" applyNumberFormat="1" applyFont="1"/>
    <xf numFmtId="176" fontId="31" fillId="0" borderId="0" xfId="8" applyNumberFormat="1" applyFont="1"/>
    <xf numFmtId="176" fontId="31" fillId="0" borderId="53" xfId="8" applyNumberFormat="1" applyFont="1" applyBorder="1"/>
    <xf numFmtId="176" fontId="31" fillId="0" borderId="41" xfId="8" applyNumberFormat="1" applyFont="1" applyBorder="1"/>
    <xf numFmtId="0" fontId="15" fillId="3" borderId="16" xfId="10" applyNumberFormat="1" applyFont="1" applyFill="1" applyBorder="1" applyAlignment="1" applyProtection="1">
      <alignment horizontal="left" indent="1"/>
    </xf>
    <xf numFmtId="176" fontId="15" fillId="0" borderId="43" xfId="8" applyNumberFormat="1" applyFont="1" applyBorder="1"/>
    <xf numFmtId="176" fontId="15" fillId="0" borderId="42" xfId="8" applyNumberFormat="1" applyFont="1" applyBorder="1"/>
    <xf numFmtId="176" fontId="15" fillId="0" borderId="44" xfId="8" applyNumberFormat="1" applyFont="1" applyBorder="1"/>
    <xf numFmtId="176" fontId="15" fillId="3" borderId="43" xfId="8" applyNumberFormat="1" applyFont="1" applyFill="1" applyBorder="1"/>
    <xf numFmtId="189" fontId="15" fillId="3" borderId="42" xfId="8" applyNumberFormat="1" applyFont="1" applyFill="1" applyBorder="1"/>
    <xf numFmtId="189" fontId="15" fillId="3" borderId="44" xfId="8" applyNumberFormat="1" applyFont="1" applyFill="1" applyBorder="1"/>
    <xf numFmtId="189" fontId="15" fillId="3" borderId="43" xfId="8" applyNumberFormat="1" applyFont="1" applyFill="1" applyBorder="1"/>
    <xf numFmtId="189" fontId="15" fillId="0" borderId="42" xfId="8" applyNumberFormat="1" applyFont="1" applyBorder="1"/>
    <xf numFmtId="189" fontId="41" fillId="3" borderId="42" xfId="8" applyNumberFormat="1" applyFont="1" applyFill="1" applyBorder="1"/>
    <xf numFmtId="189" fontId="41" fillId="3" borderId="43" xfId="8" applyNumberFormat="1" applyFont="1" applyFill="1" applyBorder="1"/>
    <xf numFmtId="176" fontId="15" fillId="3" borderId="45" xfId="8" applyNumberFormat="1" applyFont="1" applyFill="1" applyBorder="1"/>
    <xf numFmtId="187" fontId="15" fillId="0" borderId="41" xfId="8" applyNumberFormat="1" applyFont="1" applyBorder="1"/>
    <xf numFmtId="187" fontId="15" fillId="0" borderId="53" xfId="8" applyNumberFormat="1" applyFont="1" applyBorder="1"/>
    <xf numFmtId="165" fontId="15" fillId="3" borderId="16" xfId="3" applyNumberFormat="1" applyFont="1" applyFill="1" applyBorder="1" applyAlignment="1"/>
    <xf numFmtId="188" fontId="15" fillId="3" borderId="0" xfId="8" applyNumberFormat="1" applyFont="1" applyFill="1"/>
    <xf numFmtId="188" fontId="15" fillId="3" borderId="53" xfId="8" applyNumberFormat="1" applyFont="1" applyFill="1" applyBorder="1"/>
    <xf numFmtId="188" fontId="15" fillId="3" borderId="41" xfId="8" applyNumberFormat="1" applyFont="1" applyFill="1" applyBorder="1"/>
    <xf numFmtId="0" fontId="29" fillId="0" borderId="43" xfId="8" applyFont="1" applyBorder="1" applyAlignment="1">
      <alignment horizontal="left"/>
    </xf>
    <xf numFmtId="0" fontId="29" fillId="3" borderId="42" xfId="8" applyFont="1" applyFill="1" applyBorder="1"/>
    <xf numFmtId="0" fontId="29" fillId="3" borderId="43" xfId="8" applyFont="1" applyFill="1" applyBorder="1"/>
    <xf numFmtId="0" fontId="29" fillId="3" borderId="44" xfId="8" applyFont="1" applyFill="1" applyBorder="1"/>
    <xf numFmtId="0" fontId="29" fillId="3" borderId="45" xfId="8" applyFont="1" applyFill="1" applyBorder="1"/>
    <xf numFmtId="0" fontId="30" fillId="0" borderId="0" xfId="9" applyFont="1" applyAlignment="1">
      <alignment horizontal="left"/>
    </xf>
    <xf numFmtId="184" fontId="27" fillId="0" borderId="0" xfId="8" applyNumberFormat="1" applyFont="1"/>
    <xf numFmtId="184" fontId="36" fillId="0" borderId="0" xfId="8" applyNumberFormat="1" applyFont="1"/>
    <xf numFmtId="165" fontId="27" fillId="0" borderId="0" xfId="3" applyNumberFormat="1" applyFont="1" applyBorder="1" applyAlignment="1"/>
    <xf numFmtId="193" fontId="27" fillId="0" borderId="0" xfId="1" applyNumberFormat="1" applyFont="1" applyBorder="1" applyAlignment="1"/>
    <xf numFmtId="165" fontId="55" fillId="0" borderId="0" xfId="3" applyNumberFormat="1" applyFont="1" applyFill="1" applyBorder="1" applyAlignment="1"/>
    <xf numFmtId="0" fontId="29" fillId="6" borderId="66" xfId="8" applyFont="1" applyFill="1" applyBorder="1"/>
    <xf numFmtId="0" fontId="29" fillId="0" borderId="16" xfId="8" applyFont="1" applyBorder="1"/>
    <xf numFmtId="0" fontId="29" fillId="6" borderId="8" xfId="8" applyFont="1" applyFill="1" applyBorder="1"/>
    <xf numFmtId="0" fontId="29" fillId="6" borderId="48" xfId="8" applyFont="1" applyFill="1" applyBorder="1"/>
    <xf numFmtId="0" fontId="29" fillId="6" borderId="64" xfId="8" applyFont="1" applyFill="1" applyBorder="1"/>
    <xf numFmtId="0" fontId="32" fillId="0" borderId="16" xfId="8" applyFont="1" applyBorder="1"/>
    <xf numFmtId="17" fontId="33" fillId="0" borderId="41" xfId="8" applyNumberFormat="1" applyFont="1" applyBorder="1" applyAlignment="1">
      <alignment horizontal="right"/>
    </xf>
    <xf numFmtId="0" fontId="29" fillId="3" borderId="16" xfId="9" applyFont="1" applyFill="1" applyBorder="1"/>
    <xf numFmtId="176" fontId="29" fillId="0" borderId="0" xfId="1" applyNumberFormat="1" applyFont="1" applyFill="1" applyBorder="1" applyAlignment="1">
      <alignment horizontal="right"/>
    </xf>
    <xf numFmtId="194" fontId="56" fillId="3" borderId="68" xfId="9" applyNumberFormat="1" applyFont="1" applyFill="1" applyBorder="1"/>
    <xf numFmtId="168" fontId="29" fillId="0" borderId="54" xfId="8" applyNumberFormat="1" applyFont="1" applyBorder="1"/>
    <xf numFmtId="168" fontId="29" fillId="0" borderId="16" xfId="8" applyNumberFormat="1" applyFont="1" applyBorder="1"/>
    <xf numFmtId="168" fontId="29" fillId="0" borderId="52" xfId="8" applyNumberFormat="1" applyFont="1" applyBorder="1"/>
    <xf numFmtId="0" fontId="56" fillId="3" borderId="0" xfId="9" applyFont="1" applyFill="1"/>
    <xf numFmtId="0" fontId="35" fillId="3" borderId="55" xfId="8" applyFont="1" applyFill="1" applyBorder="1" applyAlignment="1">
      <alignment horizontal="left"/>
    </xf>
    <xf numFmtId="168" fontId="35" fillId="3" borderId="60" xfId="8" applyNumberFormat="1" applyFont="1" applyFill="1" applyBorder="1"/>
    <xf numFmtId="168" fontId="35" fillId="3" borderId="53" xfId="8" applyNumberFormat="1" applyFont="1" applyFill="1" applyBorder="1"/>
    <xf numFmtId="168" fontId="35" fillId="3" borderId="60" xfId="8" applyNumberFormat="1" applyFont="1" applyFill="1" applyBorder="1" applyAlignment="1">
      <alignment horizontal="right"/>
    </xf>
    <xf numFmtId="168" fontId="35" fillId="3" borderId="0" xfId="8" applyNumberFormat="1" applyFont="1" applyFill="1" applyAlignment="1">
      <alignment horizontal="right"/>
    </xf>
    <xf numFmtId="168" fontId="35" fillId="3" borderId="53" xfId="8" applyNumberFormat="1" applyFont="1" applyFill="1" applyBorder="1" applyAlignment="1">
      <alignment horizontal="right"/>
    </xf>
    <xf numFmtId="168" fontId="35" fillId="3" borderId="55" xfId="8" applyNumberFormat="1" applyFont="1" applyFill="1" applyBorder="1"/>
    <xf numFmtId="187" fontId="32" fillId="0" borderId="55" xfId="9" applyNumberFormat="1" applyFont="1" applyBorder="1" applyAlignment="1">
      <alignment horizontal="left" indent="1"/>
    </xf>
    <xf numFmtId="188" fontId="32" fillId="0" borderId="60" xfId="9" applyNumberFormat="1" applyFont="1" applyBorder="1" applyAlignment="1">
      <alignment horizontal="right"/>
    </xf>
    <xf numFmtId="188" fontId="32" fillId="0" borderId="0" xfId="9" applyNumberFormat="1" applyFont="1" applyAlignment="1">
      <alignment horizontal="right"/>
    </xf>
    <xf numFmtId="188" fontId="32" fillId="0" borderId="53" xfId="9" applyNumberFormat="1" applyFont="1" applyBorder="1" applyAlignment="1">
      <alignment horizontal="right"/>
    </xf>
    <xf numFmtId="187" fontId="57" fillId="0" borderId="0" xfId="9" applyNumberFormat="1" applyFont="1" applyAlignment="1">
      <alignment horizontal="right"/>
    </xf>
    <xf numFmtId="188" fontId="32" fillId="0" borderId="54" xfId="9" applyNumberFormat="1" applyFont="1" applyBorder="1" applyAlignment="1">
      <alignment horizontal="right"/>
    </xf>
    <xf numFmtId="188" fontId="32" fillId="0" borderId="16" xfId="9" applyNumberFormat="1" applyFont="1" applyBorder="1" applyAlignment="1">
      <alignment horizontal="right"/>
    </xf>
    <xf numFmtId="168" fontId="35" fillId="3" borderId="41" xfId="8" applyNumberFormat="1" applyFont="1" applyFill="1" applyBorder="1"/>
    <xf numFmtId="168" fontId="37" fillId="3" borderId="41" xfId="8" applyNumberFormat="1" applyFont="1" applyFill="1" applyBorder="1"/>
    <xf numFmtId="168" fontId="37" fillId="3" borderId="53" xfId="8" applyNumberFormat="1" applyFont="1" applyFill="1" applyBorder="1"/>
    <xf numFmtId="168" fontId="37" fillId="3" borderId="55" xfId="8" applyNumberFormat="1" applyFont="1" applyFill="1" applyBorder="1"/>
    <xf numFmtId="168" fontId="37" fillId="3" borderId="60" xfId="8" applyNumberFormat="1" applyFont="1" applyFill="1" applyBorder="1"/>
    <xf numFmtId="168" fontId="37" fillId="0" borderId="53" xfId="8" applyNumberFormat="1" applyFont="1" applyBorder="1"/>
    <xf numFmtId="0" fontId="37" fillId="3" borderId="55" xfId="8" applyFont="1" applyFill="1" applyBorder="1" applyAlignment="1">
      <alignment horizontal="left" indent="1"/>
    </xf>
    <xf numFmtId="0" fontId="33" fillId="3" borderId="55" xfId="9" applyFont="1" applyFill="1" applyBorder="1"/>
    <xf numFmtId="188" fontId="32" fillId="3" borderId="0" xfId="9" applyNumberFormat="1" applyFont="1" applyFill="1" applyAlignment="1">
      <alignment horizontal="right"/>
    </xf>
    <xf numFmtId="188" fontId="58" fillId="3" borderId="60" xfId="9" applyNumberFormat="1" applyFont="1" applyFill="1" applyBorder="1" applyAlignment="1">
      <alignment horizontal="right"/>
    </xf>
    <xf numFmtId="188" fontId="58" fillId="3" borderId="0" xfId="9" applyNumberFormat="1" applyFont="1" applyFill="1" applyAlignment="1">
      <alignment horizontal="right"/>
    </xf>
    <xf numFmtId="188" fontId="58" fillId="3" borderId="53" xfId="9" applyNumberFormat="1" applyFont="1" applyFill="1" applyBorder="1" applyAlignment="1">
      <alignment horizontal="right"/>
    </xf>
    <xf numFmtId="188" fontId="32" fillId="3" borderId="60" xfId="9" applyNumberFormat="1" applyFont="1" applyFill="1" applyBorder="1" applyAlignment="1">
      <alignment horizontal="right"/>
    </xf>
    <xf numFmtId="188" fontId="32" fillId="3" borderId="53" xfId="9" applyNumberFormat="1" applyFont="1" applyFill="1" applyBorder="1" applyAlignment="1">
      <alignment horizontal="right"/>
    </xf>
    <xf numFmtId="188" fontId="32" fillId="0" borderId="21" xfId="9" applyNumberFormat="1" applyFont="1" applyBorder="1" applyAlignment="1">
      <alignment horizontal="right"/>
    </xf>
    <xf numFmtId="0" fontId="29" fillId="3" borderId="55" xfId="9" applyFont="1" applyFill="1" applyBorder="1"/>
    <xf numFmtId="176" fontId="29" fillId="0" borderId="60" xfId="1" applyNumberFormat="1" applyFont="1" applyFill="1" applyBorder="1" applyAlignment="1">
      <alignment horizontal="right"/>
    </xf>
    <xf numFmtId="176" fontId="29" fillId="0" borderId="53" xfId="1" applyNumberFormat="1" applyFont="1" applyFill="1" applyBorder="1" applyAlignment="1">
      <alignment horizontal="right"/>
    </xf>
    <xf numFmtId="168" fontId="29" fillId="0" borderId="60" xfId="8" applyNumberFormat="1" applyFont="1" applyBorder="1"/>
    <xf numFmtId="0" fontId="35" fillId="3" borderId="55" xfId="8" applyFont="1" applyFill="1" applyBorder="1"/>
    <xf numFmtId="168" fontId="15" fillId="0" borderId="60" xfId="1" applyNumberFormat="1" applyFont="1" applyFill="1" applyBorder="1" applyAlignment="1">
      <alignment horizontal="right"/>
    </xf>
    <xf numFmtId="168" fontId="15" fillId="0" borderId="0" xfId="1" applyNumberFormat="1" applyFont="1" applyFill="1" applyBorder="1" applyAlignment="1">
      <alignment horizontal="right"/>
    </xf>
    <xf numFmtId="168" fontId="15" fillId="0" borderId="53" xfId="1" applyNumberFormat="1" applyFont="1" applyFill="1" applyBorder="1" applyAlignment="1">
      <alignment horizontal="right"/>
    </xf>
    <xf numFmtId="168" fontId="35" fillId="0" borderId="60" xfId="8" applyNumberFormat="1" applyFont="1" applyBorder="1"/>
    <xf numFmtId="168" fontId="35" fillId="0" borderId="53" xfId="8" applyNumberFormat="1" applyFont="1" applyBorder="1"/>
    <xf numFmtId="188" fontId="32" fillId="0" borderId="16" xfId="9" applyNumberFormat="1" applyFont="1" applyBorder="1" applyAlignment="1">
      <alignment horizontal="left" indent="1"/>
    </xf>
    <xf numFmtId="188" fontId="32" fillId="3" borderId="41" xfId="9" applyNumberFormat="1" applyFont="1" applyFill="1" applyBorder="1" applyAlignment="1">
      <alignment horizontal="right"/>
    </xf>
    <xf numFmtId="188" fontId="32" fillId="0" borderId="41" xfId="9" applyNumberFormat="1" applyFont="1" applyBorder="1" applyAlignment="1">
      <alignment horizontal="right"/>
    </xf>
    <xf numFmtId="188" fontId="49" fillId="3" borderId="41" xfId="9" applyNumberFormat="1" applyFont="1" applyFill="1" applyBorder="1" applyAlignment="1">
      <alignment horizontal="right"/>
    </xf>
    <xf numFmtId="188" fontId="49" fillId="3" borderId="0" xfId="9" applyNumberFormat="1" applyFont="1" applyFill="1" applyAlignment="1">
      <alignment horizontal="right"/>
    </xf>
    <xf numFmtId="188" fontId="49" fillId="3" borderId="53" xfId="9" applyNumberFormat="1" applyFont="1" applyFill="1" applyBorder="1" applyAlignment="1">
      <alignment horizontal="right"/>
    </xf>
    <xf numFmtId="188" fontId="32" fillId="0" borderId="68" xfId="9" applyNumberFormat="1" applyFont="1" applyBorder="1" applyAlignment="1">
      <alignment horizontal="right"/>
    </xf>
    <xf numFmtId="188" fontId="32" fillId="0" borderId="52" xfId="9" applyNumberFormat="1" applyFont="1" applyBorder="1" applyAlignment="1">
      <alignment horizontal="right"/>
    </xf>
    <xf numFmtId="188" fontId="32" fillId="0" borderId="55" xfId="9" applyNumberFormat="1" applyFont="1" applyBorder="1" applyAlignment="1">
      <alignment horizontal="left" indent="1"/>
    </xf>
    <xf numFmtId="187" fontId="32" fillId="0" borderId="60" xfId="9" applyNumberFormat="1" applyFont="1" applyBorder="1" applyAlignment="1">
      <alignment horizontal="right"/>
    </xf>
    <xf numFmtId="187" fontId="32" fillId="0" borderId="0" xfId="9" applyNumberFormat="1" applyFont="1" applyAlignment="1">
      <alignment horizontal="right"/>
    </xf>
    <xf numFmtId="187" fontId="32" fillId="0" borderId="53" xfId="9" applyNumberFormat="1" applyFont="1" applyBorder="1" applyAlignment="1">
      <alignment horizontal="right"/>
    </xf>
    <xf numFmtId="176" fontId="29" fillId="3" borderId="0" xfId="1" applyNumberFormat="1" applyFont="1" applyFill="1" applyBorder="1" applyAlignment="1">
      <alignment horizontal="right"/>
    </xf>
    <xf numFmtId="176" fontId="29" fillId="3" borderId="53" xfId="1" applyNumberFormat="1" applyFont="1" applyFill="1" applyBorder="1" applyAlignment="1">
      <alignment horizontal="right"/>
    </xf>
    <xf numFmtId="176" fontId="29" fillId="3" borderId="60" xfId="1" applyNumberFormat="1" applyFont="1" applyFill="1" applyBorder="1" applyAlignment="1">
      <alignment horizontal="right"/>
    </xf>
    <xf numFmtId="168" fontId="35" fillId="0" borderId="60" xfId="1" applyNumberFormat="1" applyFont="1" applyFill="1" applyBorder="1" applyAlignment="1">
      <alignment horizontal="right"/>
    </xf>
    <xf numFmtId="168" fontId="35" fillId="0" borderId="0" xfId="1" applyNumberFormat="1" applyFont="1" applyFill="1" applyBorder="1" applyAlignment="1">
      <alignment horizontal="right"/>
    </xf>
    <xf numFmtId="168" fontId="35" fillId="0" borderId="53" xfId="1" applyNumberFormat="1" applyFont="1" applyFill="1" applyBorder="1" applyAlignment="1">
      <alignment horizontal="right"/>
    </xf>
    <xf numFmtId="168" fontId="35" fillId="3" borderId="55" xfId="8" applyNumberFormat="1" applyFont="1" applyFill="1" applyBorder="1" applyAlignment="1">
      <alignment horizontal="right"/>
    </xf>
    <xf numFmtId="188" fontId="49" fillId="3" borderId="60" xfId="9" applyNumberFormat="1" applyFont="1" applyFill="1" applyBorder="1" applyAlignment="1">
      <alignment horizontal="right"/>
    </xf>
    <xf numFmtId="187" fontId="57" fillId="0" borderId="69" xfId="9" applyNumberFormat="1" applyFont="1" applyBorder="1" applyAlignment="1">
      <alignment horizontal="right"/>
    </xf>
    <xf numFmtId="188" fontId="32" fillId="0" borderId="70" xfId="9" applyNumberFormat="1" applyFont="1" applyBorder="1" applyAlignment="1">
      <alignment horizontal="right"/>
    </xf>
    <xf numFmtId="188" fontId="32" fillId="0" borderId="55" xfId="9" applyNumberFormat="1" applyFont="1" applyBorder="1" applyAlignment="1">
      <alignment horizontal="right"/>
    </xf>
    <xf numFmtId="188" fontId="32" fillId="3" borderId="71" xfId="9" applyNumberFormat="1" applyFont="1" applyFill="1" applyBorder="1" applyAlignment="1">
      <alignment horizontal="right"/>
    </xf>
    <xf numFmtId="188" fontId="32" fillId="0" borderId="71" xfId="9" applyNumberFormat="1" applyFont="1" applyBorder="1" applyAlignment="1">
      <alignment horizontal="right"/>
    </xf>
    <xf numFmtId="0" fontId="29" fillId="3" borderId="72" xfId="9" applyFont="1" applyFill="1" applyBorder="1"/>
    <xf numFmtId="168" fontId="29" fillId="0" borderId="70" xfId="8" applyNumberFormat="1" applyFont="1" applyBorder="1"/>
    <xf numFmtId="168" fontId="29" fillId="0" borderId="73" xfId="8" applyNumberFormat="1" applyFont="1" applyBorder="1"/>
    <xf numFmtId="0" fontId="35" fillId="3" borderId="72" xfId="8" applyFont="1" applyFill="1" applyBorder="1"/>
    <xf numFmtId="176" fontId="35" fillId="0" borderId="60" xfId="1" applyNumberFormat="1" applyFont="1" applyFill="1" applyBorder="1" applyAlignment="1">
      <alignment horizontal="right"/>
    </xf>
    <xf numFmtId="176" fontId="35" fillId="0" borderId="0" xfId="1" applyNumberFormat="1" applyFont="1" applyFill="1" applyBorder="1" applyAlignment="1">
      <alignment horizontal="right"/>
    </xf>
    <xf numFmtId="176" fontId="35" fillId="0" borderId="53" xfId="1" applyNumberFormat="1" applyFont="1" applyFill="1" applyBorder="1" applyAlignment="1">
      <alignment horizontal="right"/>
    </xf>
    <xf numFmtId="168" fontId="35" fillId="3" borderId="72" xfId="8" applyNumberFormat="1" applyFont="1" applyFill="1" applyBorder="1"/>
    <xf numFmtId="168" fontId="35" fillId="3" borderId="72" xfId="8" applyNumberFormat="1" applyFont="1" applyFill="1" applyBorder="1" applyAlignment="1">
      <alignment horizontal="right"/>
    </xf>
    <xf numFmtId="188" fontId="32" fillId="0" borderId="72" xfId="9" applyNumberFormat="1" applyFont="1" applyBorder="1" applyAlignment="1">
      <alignment horizontal="left" indent="1"/>
    </xf>
    <xf numFmtId="188" fontId="32" fillId="0" borderId="73" xfId="9" applyNumberFormat="1" applyFont="1" applyBorder="1" applyAlignment="1">
      <alignment horizontal="right"/>
    </xf>
    <xf numFmtId="188" fontId="32" fillId="3" borderId="43" xfId="9" applyNumberFormat="1" applyFont="1" applyFill="1" applyBorder="1" applyAlignment="1">
      <alignment horizontal="right"/>
    </xf>
    <xf numFmtId="188" fontId="32" fillId="3" borderId="42" xfId="9" applyNumberFormat="1" applyFont="1" applyFill="1" applyBorder="1" applyAlignment="1">
      <alignment horizontal="right"/>
    </xf>
    <xf numFmtId="188" fontId="32" fillId="3" borderId="44" xfId="9" applyNumberFormat="1" applyFont="1" applyFill="1" applyBorder="1" applyAlignment="1">
      <alignment horizontal="right"/>
    </xf>
    <xf numFmtId="188" fontId="32" fillId="0" borderId="58" xfId="9" applyNumberFormat="1" applyFont="1" applyBorder="1" applyAlignment="1">
      <alignment horizontal="right"/>
    </xf>
    <xf numFmtId="188" fontId="32" fillId="0" borderId="45" xfId="9" applyNumberFormat="1" applyFont="1" applyBorder="1" applyAlignment="1">
      <alignment horizontal="right"/>
    </xf>
    <xf numFmtId="188" fontId="32" fillId="0" borderId="57" xfId="9" applyNumberFormat="1" applyFont="1" applyBorder="1" applyAlignment="1">
      <alignment horizontal="right"/>
    </xf>
    <xf numFmtId="0" fontId="15" fillId="0" borderId="8" xfId="0" applyFont="1" applyBorder="1" applyAlignment="1">
      <alignment horizontal="left"/>
    </xf>
    <xf numFmtId="180" fontId="15" fillId="3" borderId="8" xfId="11" applyNumberFormat="1" applyFont="1" applyFill="1" applyBorder="1" applyProtection="1"/>
    <xf numFmtId="180" fontId="15" fillId="0" borderId="8" xfId="11" applyNumberFormat="1" applyFont="1" applyFill="1" applyBorder="1" applyProtection="1"/>
    <xf numFmtId="180" fontId="15" fillId="0" borderId="0" xfId="11" applyNumberFormat="1" applyFont="1" applyFill="1" applyBorder="1" applyProtection="1"/>
    <xf numFmtId="176" fontId="15" fillId="0" borderId="0" xfId="12" applyNumberFormat="1" applyFont="1" applyFill="1" applyBorder="1" applyProtection="1"/>
    <xf numFmtId="0" fontId="29" fillId="0" borderId="53" xfId="8" applyFont="1" applyBorder="1"/>
    <xf numFmtId="0" fontId="29" fillId="6" borderId="67" xfId="8" applyFont="1" applyFill="1" applyBorder="1"/>
    <xf numFmtId="0" fontId="33" fillId="3" borderId="16" xfId="8" applyFont="1" applyFill="1" applyBorder="1" applyAlignment="1">
      <alignment horizontal="left"/>
    </xf>
    <xf numFmtId="17" fontId="33" fillId="3" borderId="53" xfId="8" applyNumberFormat="1" applyFont="1" applyFill="1" applyBorder="1" applyAlignment="1">
      <alignment horizontal="right"/>
    </xf>
    <xf numFmtId="17" fontId="33" fillId="3" borderId="60" xfId="8" applyNumberFormat="1" applyFont="1" applyFill="1" applyBorder="1" applyAlignment="1">
      <alignment horizontal="right"/>
    </xf>
    <xf numFmtId="17" fontId="33" fillId="0" borderId="60" xfId="8" applyNumberFormat="1" applyFont="1" applyBorder="1" applyAlignment="1">
      <alignment horizontal="right"/>
    </xf>
    <xf numFmtId="0" fontId="33" fillId="0" borderId="70" xfId="8" applyFont="1" applyBorder="1" applyAlignment="1">
      <alignment horizontal="right"/>
    </xf>
    <xf numFmtId="0" fontId="33" fillId="0" borderId="73" xfId="8" applyFont="1" applyBorder="1" applyAlignment="1">
      <alignment horizontal="right"/>
    </xf>
    <xf numFmtId="0" fontId="29" fillId="3" borderId="16" xfId="8" applyFont="1" applyFill="1" applyBorder="1" applyAlignment="1">
      <alignment horizontal="left"/>
    </xf>
    <xf numFmtId="176" fontId="29" fillId="0" borderId="0" xfId="11" applyNumberFormat="1" applyFont="1" applyFill="1" applyBorder="1" applyProtection="1"/>
    <xf numFmtId="176" fontId="29" fillId="0" borderId="53" xfId="11" applyNumberFormat="1" applyFont="1" applyFill="1" applyBorder="1" applyProtection="1"/>
    <xf numFmtId="176" fontId="29" fillId="0" borderId="41" xfId="11" applyNumberFormat="1" applyFont="1" applyFill="1" applyBorder="1" applyProtection="1"/>
    <xf numFmtId="17" fontId="29" fillId="0" borderId="0" xfId="8" applyNumberFormat="1" applyFont="1" applyAlignment="1">
      <alignment horizontal="right"/>
    </xf>
    <xf numFmtId="0" fontId="31" fillId="0" borderId="0" xfId="8" applyFont="1" applyAlignment="1">
      <alignment horizontal="right"/>
    </xf>
    <xf numFmtId="195" fontId="15" fillId="0" borderId="41" xfId="11" applyNumberFormat="1" applyFont="1" applyFill="1" applyBorder="1" applyAlignment="1" applyProtection="1">
      <alignment horizontal="right"/>
    </xf>
    <xf numFmtId="195" fontId="15" fillId="0" borderId="0" xfId="11" applyNumberFormat="1" applyFont="1" applyFill="1" applyBorder="1" applyProtection="1"/>
    <xf numFmtId="195" fontId="15" fillId="0" borderId="53" xfId="11" applyNumberFormat="1" applyFont="1" applyFill="1" applyBorder="1" applyProtection="1"/>
    <xf numFmtId="195" fontId="15" fillId="0" borderId="41" xfId="11" applyNumberFormat="1" applyFont="1" applyFill="1" applyBorder="1" applyProtection="1"/>
    <xf numFmtId="17" fontId="15" fillId="0" borderId="0" xfId="8" applyNumberFormat="1" applyFont="1" applyAlignment="1">
      <alignment horizontal="right"/>
    </xf>
    <xf numFmtId="191" fontId="15" fillId="0" borderId="70" xfId="8" applyNumberFormat="1" applyFont="1" applyBorder="1" applyAlignment="1">
      <alignment horizontal="right"/>
    </xf>
    <xf numFmtId="191" fontId="15" fillId="0" borderId="73" xfId="8" applyNumberFormat="1" applyFont="1" applyBorder="1" applyAlignment="1">
      <alignment horizontal="right"/>
    </xf>
    <xf numFmtId="191" fontId="15" fillId="0" borderId="16" xfId="8" applyNumberFormat="1" applyFont="1" applyBorder="1" applyAlignment="1">
      <alignment horizontal="right"/>
    </xf>
    <xf numFmtId="0" fontId="27" fillId="0" borderId="0" xfId="8" applyFont="1" applyAlignment="1">
      <alignment horizontal="right"/>
    </xf>
    <xf numFmtId="195" fontId="48" fillId="0" borderId="0" xfId="11" applyNumberFormat="1" applyFont="1" applyFill="1" applyBorder="1" applyProtection="1"/>
    <xf numFmtId="196" fontId="15" fillId="0" borderId="0" xfId="11" applyNumberFormat="1" applyFont="1" applyFill="1" applyBorder="1" applyProtection="1"/>
    <xf numFmtId="39" fontId="15" fillId="0" borderId="53" xfId="11" applyNumberFormat="1" applyFont="1" applyFill="1" applyBorder="1" applyProtection="1"/>
    <xf numFmtId="180" fontId="15" fillId="0" borderId="41" xfId="11" applyNumberFormat="1" applyFont="1" applyFill="1" applyBorder="1" applyProtection="1"/>
    <xf numFmtId="176" fontId="15" fillId="0" borderId="53" xfId="11" applyNumberFormat="1" applyFont="1" applyFill="1" applyBorder="1" applyProtection="1"/>
    <xf numFmtId="176" fontId="15" fillId="0" borderId="41" xfId="11" applyNumberFormat="1" applyFont="1" applyFill="1" applyBorder="1" applyProtection="1"/>
    <xf numFmtId="176" fontId="15" fillId="0" borderId="0" xfId="11" applyNumberFormat="1" applyFont="1" applyFill="1" applyBorder="1" applyProtection="1"/>
    <xf numFmtId="191" fontId="15" fillId="0" borderId="72" xfId="8" applyNumberFormat="1" applyFont="1" applyBorder="1" applyAlignment="1">
      <alignment horizontal="right"/>
    </xf>
    <xf numFmtId="191" fontId="15" fillId="0" borderId="53" xfId="8" applyNumberFormat="1" applyFont="1" applyBorder="1" applyAlignment="1">
      <alignment horizontal="right"/>
    </xf>
    <xf numFmtId="0" fontId="29" fillId="3" borderId="74" xfId="8" applyFont="1" applyFill="1" applyBorder="1" applyAlignment="1">
      <alignment horizontal="left"/>
    </xf>
    <xf numFmtId="180" fontId="29" fillId="0" borderId="75" xfId="11" applyNumberFormat="1" applyFont="1" applyFill="1" applyBorder="1" applyProtection="1"/>
    <xf numFmtId="180" fontId="29" fillId="0" borderId="46" xfId="11" applyNumberFormat="1" applyFont="1" applyFill="1" applyBorder="1" applyProtection="1"/>
    <xf numFmtId="176" fontId="29" fillId="0" borderId="76" xfId="11" applyNumberFormat="1" applyFont="1" applyFill="1" applyBorder="1" applyProtection="1"/>
    <xf numFmtId="176" fontId="29" fillId="0" borderId="75" xfId="11" applyNumberFormat="1" applyFont="1" applyFill="1" applyBorder="1" applyProtection="1"/>
    <xf numFmtId="176" fontId="29" fillId="0" borderId="46" xfId="11" applyNumberFormat="1" applyFont="1" applyFill="1" applyBorder="1" applyProtection="1"/>
    <xf numFmtId="17" fontId="33" fillId="0" borderId="72" xfId="8" applyNumberFormat="1" applyFont="1" applyBorder="1" applyAlignment="1">
      <alignment horizontal="right"/>
    </xf>
    <xf numFmtId="168" fontId="29" fillId="0" borderId="74" xfId="8" applyNumberFormat="1" applyFont="1" applyBorder="1"/>
    <xf numFmtId="168" fontId="29" fillId="0" borderId="76" xfId="8" applyNumberFormat="1" applyFont="1" applyBorder="1"/>
    <xf numFmtId="168" fontId="29" fillId="0" borderId="77" xfId="8" applyNumberFormat="1" applyFont="1" applyBorder="1"/>
    <xf numFmtId="168" fontId="29" fillId="0" borderId="78" xfId="8" applyNumberFormat="1" applyFont="1" applyBorder="1"/>
    <xf numFmtId="187" fontId="32" fillId="3" borderId="72" xfId="9" applyNumberFormat="1" applyFont="1" applyFill="1" applyBorder="1" applyAlignment="1">
      <alignment horizontal="left" indent="1"/>
    </xf>
    <xf numFmtId="188" fontId="49" fillId="0" borderId="60" xfId="9" applyNumberFormat="1" applyFont="1" applyBorder="1" applyAlignment="1">
      <alignment horizontal="right"/>
    </xf>
    <xf numFmtId="188" fontId="49" fillId="0" borderId="0" xfId="9" applyNumberFormat="1" applyFont="1" applyAlignment="1">
      <alignment horizontal="right"/>
    </xf>
    <xf numFmtId="188" fontId="49" fillId="0" borderId="53" xfId="9" applyNumberFormat="1" applyFont="1" applyBorder="1" applyAlignment="1">
      <alignment horizontal="right"/>
    </xf>
    <xf numFmtId="188" fontId="32" fillId="0" borderId="72" xfId="9" applyNumberFormat="1" applyFont="1" applyBorder="1" applyAlignment="1">
      <alignment horizontal="right"/>
    </xf>
    <xf numFmtId="187" fontId="32" fillId="3" borderId="16" xfId="9" applyNumberFormat="1" applyFont="1" applyFill="1" applyBorder="1" applyAlignment="1">
      <alignment horizontal="left" indent="1"/>
    </xf>
    <xf numFmtId="188" fontId="32" fillId="0" borderId="0" xfId="11" applyNumberFormat="1" applyFont="1" applyFill="1" applyBorder="1" applyAlignment="1" applyProtection="1">
      <alignment horizontal="right"/>
    </xf>
    <xf numFmtId="188" fontId="32" fillId="0" borderId="53" xfId="11" applyNumberFormat="1" applyFont="1" applyFill="1" applyBorder="1" applyAlignment="1" applyProtection="1">
      <alignment horizontal="right"/>
    </xf>
    <xf numFmtId="188" fontId="32" fillId="0" borderId="41" xfId="11" applyNumberFormat="1" applyFont="1" applyFill="1" applyBorder="1" applyAlignment="1" applyProtection="1">
      <alignment horizontal="right"/>
    </xf>
    <xf numFmtId="187" fontId="32" fillId="0" borderId="41" xfId="11" applyNumberFormat="1" applyFont="1" applyFill="1" applyBorder="1" applyAlignment="1" applyProtection="1">
      <alignment horizontal="right"/>
    </xf>
    <xf numFmtId="187" fontId="32" fillId="0" borderId="0" xfId="11" applyNumberFormat="1" applyFont="1" applyFill="1" applyBorder="1" applyAlignment="1" applyProtection="1">
      <alignment horizontal="right"/>
    </xf>
    <xf numFmtId="17" fontId="33" fillId="0" borderId="16" xfId="8" applyNumberFormat="1" applyFont="1" applyBorder="1" applyAlignment="1">
      <alignment horizontal="right"/>
    </xf>
    <xf numFmtId="180" fontId="29" fillId="0" borderId="0" xfId="11" applyNumberFormat="1" applyFont="1" applyFill="1" applyBorder="1" applyProtection="1"/>
    <xf numFmtId="180" fontId="29" fillId="0" borderId="53" xfId="11" applyNumberFormat="1" applyFont="1" applyFill="1" applyBorder="1" applyProtection="1"/>
    <xf numFmtId="1" fontId="15" fillId="0" borderId="53" xfId="8" applyNumberFormat="1" applyFont="1" applyBorder="1" applyAlignment="1">
      <alignment horizontal="right"/>
    </xf>
    <xf numFmtId="1" fontId="15" fillId="0" borderId="70" xfId="8" applyNumberFormat="1" applyFont="1" applyBorder="1"/>
    <xf numFmtId="1" fontId="15" fillId="0" borderId="16" xfId="8" applyNumberFormat="1" applyFont="1" applyBorder="1" applyAlignment="1">
      <alignment horizontal="right"/>
    </xf>
    <xf numFmtId="180" fontId="15" fillId="0" borderId="53" xfId="11" applyNumberFormat="1" applyFont="1" applyFill="1" applyBorder="1" applyProtection="1"/>
    <xf numFmtId="176" fontId="15" fillId="0" borderId="42" xfId="11" applyNumberFormat="1" applyFont="1" applyFill="1" applyBorder="1" applyProtection="1"/>
    <xf numFmtId="176" fontId="15" fillId="0" borderId="43" xfId="11" applyNumberFormat="1" applyFont="1" applyFill="1" applyBorder="1" applyProtection="1"/>
    <xf numFmtId="180" fontId="29" fillId="0" borderId="76" xfId="11" applyNumberFormat="1" applyFont="1" applyFill="1" applyBorder="1" applyProtection="1"/>
    <xf numFmtId="176" fontId="29" fillId="0" borderId="42" xfId="11" applyNumberFormat="1" applyFont="1" applyFill="1" applyBorder="1" applyProtection="1"/>
    <xf numFmtId="0" fontId="33" fillId="0" borderId="74" xfId="8" applyFont="1" applyBorder="1" applyAlignment="1">
      <alignment horizontal="right"/>
    </xf>
    <xf numFmtId="168" fontId="29" fillId="0" borderId="75" xfId="8" applyNumberFormat="1" applyFont="1" applyBorder="1"/>
    <xf numFmtId="0" fontId="35" fillId="3" borderId="16" xfId="8" applyFont="1" applyFill="1" applyBorder="1"/>
    <xf numFmtId="180" fontId="29" fillId="0" borderId="41" xfId="11" applyNumberFormat="1" applyFont="1" applyFill="1" applyBorder="1" applyProtection="1"/>
    <xf numFmtId="168" fontId="35" fillId="0" borderId="41" xfId="8" applyNumberFormat="1" applyFont="1" applyBorder="1"/>
    <xf numFmtId="188" fontId="32" fillId="0" borderId="41" xfId="3" applyNumberFormat="1" applyFont="1" applyFill="1" applyBorder="1" applyProtection="1"/>
    <xf numFmtId="188" fontId="32" fillId="0" borderId="0" xfId="3" applyNumberFormat="1" applyFont="1" applyFill="1" applyBorder="1" applyProtection="1"/>
    <xf numFmtId="188" fontId="32" fillId="0" borderId="53" xfId="3" applyNumberFormat="1" applyFont="1" applyFill="1" applyBorder="1" applyProtection="1"/>
    <xf numFmtId="188" fontId="33" fillId="0" borderId="0" xfId="8" applyNumberFormat="1" applyFont="1" applyAlignment="1">
      <alignment horizontal="right"/>
    </xf>
    <xf numFmtId="188" fontId="33" fillId="0" borderId="16" xfId="8" applyNumberFormat="1" applyFont="1" applyBorder="1" applyAlignment="1">
      <alignment horizontal="right"/>
    </xf>
    <xf numFmtId="188" fontId="29" fillId="0" borderId="53" xfId="8" applyNumberFormat="1" applyFont="1" applyBorder="1"/>
    <xf numFmtId="188" fontId="32" fillId="0" borderId="53" xfId="3" applyNumberFormat="1" applyFont="1" applyBorder="1" applyAlignment="1" applyProtection="1"/>
    <xf numFmtId="188" fontId="32" fillId="0" borderId="16" xfId="3" applyNumberFormat="1" applyFont="1" applyBorder="1" applyAlignment="1" applyProtection="1"/>
    <xf numFmtId="188" fontId="32" fillId="0" borderId="41" xfId="3" applyNumberFormat="1" applyFont="1" applyBorder="1" applyAlignment="1" applyProtection="1"/>
    <xf numFmtId="9" fontId="35" fillId="3" borderId="18" xfId="3" applyFont="1" applyFill="1" applyBorder="1" applyAlignment="1" applyProtection="1">
      <alignment horizontal="right"/>
    </xf>
    <xf numFmtId="165" fontId="35" fillId="3" borderId="41" xfId="3" applyNumberFormat="1" applyFont="1" applyFill="1" applyBorder="1" applyAlignment="1" applyProtection="1"/>
    <xf numFmtId="165" fontId="35" fillId="3" borderId="0" xfId="8" applyNumberFormat="1" applyFont="1" applyFill="1"/>
    <xf numFmtId="189" fontId="35" fillId="3" borderId="53" xfId="1" applyNumberFormat="1" applyFont="1" applyFill="1" applyBorder="1" applyAlignment="1" applyProtection="1"/>
    <xf numFmtId="165" fontId="35" fillId="3" borderId="41" xfId="8" applyNumberFormat="1" applyFont="1" applyFill="1" applyBorder="1"/>
    <xf numFmtId="165" fontId="35" fillId="3" borderId="53" xfId="8" applyNumberFormat="1" applyFont="1" applyFill="1" applyBorder="1"/>
    <xf numFmtId="165" fontId="35" fillId="0" borderId="0" xfId="8" applyNumberFormat="1" applyFont="1"/>
    <xf numFmtId="168" fontId="35" fillId="3" borderId="41" xfId="8" applyNumberFormat="1" applyFont="1" applyFill="1" applyBorder="1" applyAlignment="1">
      <alignment horizontal="right"/>
    </xf>
    <xf numFmtId="165" fontId="35" fillId="3" borderId="0" xfId="3" applyNumberFormat="1" applyFont="1" applyFill="1" applyBorder="1" applyAlignment="1" applyProtection="1">
      <alignment horizontal="right"/>
    </xf>
    <xf numFmtId="168" fontId="37" fillId="3" borderId="72" xfId="8" applyNumberFormat="1" applyFont="1" applyFill="1" applyBorder="1"/>
    <xf numFmtId="0" fontId="37" fillId="3" borderId="72" xfId="8" applyFont="1" applyFill="1" applyBorder="1" applyAlignment="1">
      <alignment horizontal="left" indent="1"/>
    </xf>
    <xf numFmtId="186" fontId="36" fillId="0" borderId="0" xfId="8" applyNumberFormat="1" applyFont="1"/>
    <xf numFmtId="165" fontId="36" fillId="0" borderId="0" xfId="3" applyNumberFormat="1" applyFont="1"/>
    <xf numFmtId="0" fontId="33" fillId="0" borderId="72" xfId="8" applyFont="1" applyBorder="1" applyAlignment="1">
      <alignment horizontal="right"/>
    </xf>
    <xf numFmtId="0" fontId="33" fillId="0" borderId="41" xfId="8" applyFont="1" applyBorder="1" applyAlignment="1">
      <alignment horizontal="right"/>
    </xf>
    <xf numFmtId="180" fontId="29" fillId="3" borderId="0" xfId="11" applyNumberFormat="1" applyFont="1" applyFill="1" applyBorder="1" applyProtection="1"/>
    <xf numFmtId="180" fontId="29" fillId="3" borderId="53" xfId="11" applyNumberFormat="1" applyFont="1" applyFill="1" applyBorder="1" applyProtection="1"/>
    <xf numFmtId="180" fontId="29" fillId="3" borderId="60" xfId="11" applyNumberFormat="1" applyFont="1" applyFill="1" applyBorder="1" applyProtection="1"/>
    <xf numFmtId="176" fontId="29" fillId="3" borderId="0" xfId="11" applyNumberFormat="1" applyFont="1" applyFill="1" applyBorder="1" applyProtection="1"/>
    <xf numFmtId="176" fontId="29" fillId="3" borderId="60" xfId="11" applyNumberFormat="1" applyFont="1" applyFill="1" applyBorder="1" applyProtection="1"/>
    <xf numFmtId="176" fontId="29" fillId="3" borderId="53" xfId="11" applyNumberFormat="1" applyFont="1" applyFill="1" applyBorder="1" applyProtection="1"/>
    <xf numFmtId="176" fontId="29" fillId="0" borderId="60" xfId="11" applyNumberFormat="1" applyFont="1" applyFill="1" applyBorder="1" applyProtection="1"/>
    <xf numFmtId="3" fontId="29" fillId="3" borderId="51" xfId="9" applyNumberFormat="1" applyFont="1" applyFill="1" applyBorder="1" applyAlignment="1">
      <alignment horizontal="right"/>
    </xf>
    <xf numFmtId="197" fontId="29" fillId="3" borderId="79" xfId="9" applyNumberFormat="1" applyFont="1" applyFill="1" applyBorder="1" applyAlignment="1">
      <alignment horizontal="right"/>
    </xf>
    <xf numFmtId="176" fontId="29" fillId="0" borderId="80" xfId="8" applyNumberFormat="1" applyFont="1" applyBorder="1" applyAlignment="1">
      <alignment horizontal="right"/>
    </xf>
    <xf numFmtId="180" fontId="29" fillId="0" borderId="72" xfId="8" applyNumberFormat="1" applyFont="1" applyBorder="1" applyAlignment="1">
      <alignment horizontal="right"/>
    </xf>
    <xf numFmtId="180" fontId="29" fillId="0" borderId="81" xfId="8" applyNumberFormat="1" applyFont="1" applyBorder="1" applyAlignment="1">
      <alignment horizontal="right"/>
    </xf>
    <xf numFmtId="188" fontId="29" fillId="3" borderId="0" xfId="11" applyNumberFormat="1" applyFont="1" applyFill="1" applyBorder="1" applyProtection="1"/>
    <xf numFmtId="188" fontId="29" fillId="3" borderId="7" xfId="11" applyNumberFormat="1" applyFont="1" applyFill="1" applyBorder="1" applyProtection="1"/>
    <xf numFmtId="188" fontId="29" fillId="3" borderId="60" xfId="11" applyNumberFormat="1" applyFont="1" applyFill="1" applyBorder="1" applyProtection="1"/>
    <xf numFmtId="188" fontId="32" fillId="3" borderId="0" xfId="3" applyNumberFormat="1" applyFont="1" applyFill="1" applyBorder="1" applyProtection="1"/>
    <xf numFmtId="188" fontId="32" fillId="3" borderId="60" xfId="3" applyNumberFormat="1" applyFont="1" applyFill="1" applyBorder="1" applyProtection="1"/>
    <xf numFmtId="188" fontId="32" fillId="3" borderId="7" xfId="11" applyNumberFormat="1" applyFont="1" applyFill="1" applyBorder="1" applyProtection="1"/>
    <xf numFmtId="188" fontId="32" fillId="0" borderId="60" xfId="3" applyNumberFormat="1" applyFont="1" applyFill="1" applyBorder="1" applyProtection="1"/>
    <xf numFmtId="188" fontId="33" fillId="0" borderId="60" xfId="8" applyNumberFormat="1" applyFont="1" applyBorder="1" applyAlignment="1">
      <alignment horizontal="right"/>
    </xf>
    <xf numFmtId="188" fontId="33" fillId="0" borderId="7" xfId="8" applyNumberFormat="1" applyFont="1" applyBorder="1" applyAlignment="1">
      <alignment horizontal="right"/>
    </xf>
    <xf numFmtId="188" fontId="29" fillId="3" borderId="72" xfId="9" applyNumberFormat="1" applyFont="1" applyFill="1" applyBorder="1" applyAlignment="1">
      <alignment horizontal="right"/>
    </xf>
    <xf numFmtId="188" fontId="29" fillId="3" borderId="79" xfId="9" applyNumberFormat="1" applyFont="1" applyFill="1" applyBorder="1" applyAlignment="1">
      <alignment horizontal="right"/>
    </xf>
    <xf numFmtId="188" fontId="32" fillId="0" borderId="80" xfId="3" applyNumberFormat="1" applyFont="1" applyFill="1" applyBorder="1" applyAlignment="1" applyProtection="1">
      <alignment horizontal="right"/>
    </xf>
    <xf numFmtId="188" fontId="32" fillId="0" borderId="72" xfId="3" applyNumberFormat="1" applyFont="1" applyFill="1" applyBorder="1" applyAlignment="1" applyProtection="1">
      <alignment horizontal="right"/>
    </xf>
    <xf numFmtId="188" fontId="32" fillId="0" borderId="81" xfId="3" applyNumberFormat="1" applyFont="1" applyFill="1" applyBorder="1" applyAlignment="1" applyProtection="1">
      <alignment horizontal="right"/>
    </xf>
    <xf numFmtId="188" fontId="33" fillId="0" borderId="70" xfId="8" applyNumberFormat="1" applyFont="1" applyBorder="1" applyAlignment="1">
      <alignment horizontal="right"/>
    </xf>
    <xf numFmtId="9" fontId="32" fillId="3" borderId="0" xfId="3" applyFont="1" applyFill="1" applyBorder="1" applyProtection="1"/>
    <xf numFmtId="9" fontId="32" fillId="3" borderId="7" xfId="3" applyFont="1" applyFill="1" applyBorder="1" applyProtection="1"/>
    <xf numFmtId="9" fontId="32" fillId="3" borderId="41" xfId="3" applyFont="1" applyFill="1" applyBorder="1" applyProtection="1"/>
    <xf numFmtId="176" fontId="29" fillId="3" borderId="0" xfId="3" applyNumberFormat="1" applyFont="1" applyFill="1" applyBorder="1" applyProtection="1"/>
    <xf numFmtId="176" fontId="29" fillId="3" borderId="41" xfId="3" applyNumberFormat="1" applyFont="1" applyFill="1" applyBorder="1" applyProtection="1"/>
    <xf numFmtId="176" fontId="29" fillId="3" borderId="7" xfId="3" applyNumberFormat="1" applyFont="1" applyFill="1" applyBorder="1" applyProtection="1"/>
    <xf numFmtId="176" fontId="29" fillId="0" borderId="0" xfId="3" applyNumberFormat="1" applyFont="1" applyFill="1" applyBorder="1" applyProtection="1"/>
    <xf numFmtId="176" fontId="29" fillId="0" borderId="41" xfId="3" applyNumberFormat="1" applyFont="1" applyFill="1" applyBorder="1" applyProtection="1"/>
    <xf numFmtId="17" fontId="58" fillId="0" borderId="41" xfId="8" applyNumberFormat="1" applyFont="1" applyBorder="1" applyAlignment="1">
      <alignment horizontal="right"/>
    </xf>
    <xf numFmtId="17" fontId="58" fillId="0" borderId="0" xfId="8" applyNumberFormat="1" applyFont="1" applyAlignment="1">
      <alignment horizontal="right"/>
    </xf>
    <xf numFmtId="17" fontId="58" fillId="0" borderId="7" xfId="8" applyNumberFormat="1" applyFont="1" applyBorder="1" applyAlignment="1">
      <alignment horizontal="right"/>
    </xf>
    <xf numFmtId="0" fontId="58" fillId="0" borderId="80" xfId="8" applyFont="1" applyBorder="1" applyAlignment="1">
      <alignment horizontal="right"/>
    </xf>
    <xf numFmtId="197" fontId="29" fillId="3" borderId="68" xfId="9" applyNumberFormat="1" applyFont="1" applyFill="1" applyBorder="1" applyAlignment="1">
      <alignment horizontal="right"/>
    </xf>
    <xf numFmtId="180" fontId="29" fillId="0" borderId="16" xfId="8" applyNumberFormat="1" applyFont="1" applyBorder="1" applyAlignment="1">
      <alignment horizontal="right"/>
    </xf>
    <xf numFmtId="180" fontId="29" fillId="0" borderId="82" xfId="8" applyNumberFormat="1" applyFont="1" applyBorder="1" applyAlignment="1">
      <alignment horizontal="right"/>
    </xf>
    <xf numFmtId="0" fontId="52" fillId="0" borderId="0" xfId="8" applyFont="1" applyAlignment="1">
      <alignment horizontal="right"/>
    </xf>
    <xf numFmtId="188" fontId="32" fillId="3" borderId="7" xfId="3" applyNumberFormat="1" applyFont="1" applyFill="1" applyBorder="1" applyProtection="1"/>
    <xf numFmtId="188" fontId="32" fillId="3" borderId="41" xfId="3" applyNumberFormat="1" applyFont="1" applyFill="1" applyBorder="1" applyProtection="1"/>
    <xf numFmtId="188" fontId="15" fillId="3" borderId="0" xfId="11" applyNumberFormat="1" applyFont="1" applyFill="1" applyBorder="1" applyProtection="1"/>
    <xf numFmtId="188" fontId="32" fillId="3" borderId="7" xfId="11" applyNumberFormat="1" applyFont="1" applyFill="1" applyBorder="1" applyAlignment="1" applyProtection="1">
      <alignment horizontal="right"/>
    </xf>
    <xf numFmtId="188" fontId="32" fillId="0" borderId="7" xfId="11" applyNumberFormat="1" applyFont="1" applyFill="1" applyBorder="1" applyAlignment="1" applyProtection="1">
      <alignment horizontal="right"/>
    </xf>
    <xf numFmtId="188" fontId="58" fillId="0" borderId="41" xfId="8" applyNumberFormat="1" applyFont="1" applyBorder="1" applyAlignment="1">
      <alignment horizontal="right"/>
    </xf>
    <xf numFmtId="188" fontId="58" fillId="0" borderId="0" xfId="8" applyNumberFormat="1" applyFont="1" applyAlignment="1">
      <alignment horizontal="right"/>
    </xf>
    <xf numFmtId="188" fontId="58" fillId="0" borderId="7" xfId="8" applyNumberFormat="1" applyFont="1" applyBorder="1" applyAlignment="1">
      <alignment horizontal="right"/>
    </xf>
    <xf numFmtId="9" fontId="32" fillId="0" borderId="80" xfId="3" applyFont="1" applyFill="1" applyBorder="1" applyAlignment="1" applyProtection="1">
      <alignment horizontal="right"/>
    </xf>
    <xf numFmtId="188" fontId="32" fillId="0" borderId="16" xfId="3" applyNumberFormat="1" applyFont="1" applyFill="1" applyBorder="1" applyAlignment="1" applyProtection="1">
      <alignment horizontal="right"/>
    </xf>
    <xf numFmtId="188" fontId="32" fillId="0" borderId="41" xfId="3" applyNumberFormat="1" applyFont="1" applyFill="1" applyBorder="1" applyAlignment="1" applyProtection="1">
      <alignment horizontal="right"/>
    </xf>
    <xf numFmtId="188" fontId="49" fillId="0" borderId="0" xfId="11" applyNumberFormat="1" applyFont="1" applyFill="1" applyBorder="1" applyAlignment="1" applyProtection="1">
      <alignment horizontal="right"/>
    </xf>
    <xf numFmtId="188" fontId="49" fillId="0" borderId="41" xfId="11" applyNumberFormat="1" applyFont="1" applyFill="1" applyBorder="1" applyAlignment="1" applyProtection="1">
      <alignment horizontal="right"/>
    </xf>
    <xf numFmtId="188" fontId="49" fillId="0" borderId="7" xfId="11" applyNumberFormat="1" applyFont="1" applyFill="1" applyBorder="1" applyAlignment="1" applyProtection="1">
      <alignment horizontal="right"/>
    </xf>
    <xf numFmtId="176" fontId="32" fillId="0" borderId="7" xfId="11" applyNumberFormat="1" applyFont="1" applyFill="1" applyBorder="1" applyAlignment="1" applyProtection="1">
      <alignment horizontal="right"/>
    </xf>
    <xf numFmtId="176" fontId="32" fillId="0" borderId="41" xfId="11" applyNumberFormat="1" applyFont="1" applyFill="1" applyBorder="1" applyAlignment="1" applyProtection="1">
      <alignment horizontal="right"/>
    </xf>
    <xf numFmtId="176" fontId="30" fillId="0" borderId="0" xfId="11" applyNumberFormat="1" applyFont="1" applyFill="1" applyBorder="1" applyAlignment="1" applyProtection="1">
      <alignment horizontal="right"/>
    </xf>
    <xf numFmtId="176" fontId="29" fillId="3" borderId="41" xfId="11" applyNumberFormat="1" applyFont="1" applyFill="1" applyBorder="1" applyProtection="1"/>
    <xf numFmtId="176" fontId="29" fillId="3" borderId="7" xfId="11" applyNumberFormat="1" applyFont="1" applyFill="1" applyBorder="1" applyProtection="1"/>
    <xf numFmtId="176" fontId="30" fillId="0" borderId="41" xfId="11" applyNumberFormat="1" applyFont="1" applyFill="1" applyBorder="1" applyAlignment="1" applyProtection="1">
      <alignment horizontal="right"/>
    </xf>
    <xf numFmtId="0" fontId="33" fillId="0" borderId="82" xfId="8" applyFont="1" applyBorder="1" applyAlignment="1">
      <alignment horizontal="right"/>
    </xf>
    <xf numFmtId="0" fontId="33" fillId="0" borderId="80" xfId="8" applyFont="1" applyBorder="1" applyAlignment="1">
      <alignment horizontal="right"/>
    </xf>
    <xf numFmtId="188" fontId="29" fillId="3" borderId="41" xfId="11" applyNumberFormat="1" applyFont="1" applyFill="1" applyBorder="1" applyProtection="1"/>
    <xf numFmtId="188" fontId="33" fillId="0" borderId="41" xfId="8" applyNumberFormat="1" applyFont="1" applyBorder="1" applyAlignment="1">
      <alignment horizontal="right"/>
    </xf>
    <xf numFmtId="188" fontId="33" fillId="0" borderId="80" xfId="8" applyNumberFormat="1" applyFont="1" applyBorder="1" applyAlignment="1">
      <alignment horizontal="right"/>
    </xf>
    <xf numFmtId="180" fontId="29" fillId="3" borderId="7" xfId="11" applyNumberFormat="1" applyFont="1" applyFill="1" applyBorder="1" applyProtection="1"/>
    <xf numFmtId="180" fontId="29" fillId="3" borderId="41" xfId="11" applyNumberFormat="1" applyFont="1" applyFill="1" applyBorder="1" applyProtection="1"/>
    <xf numFmtId="197" fontId="33" fillId="0" borderId="80" xfId="8" applyNumberFormat="1" applyFont="1" applyBorder="1" applyAlignment="1">
      <alignment horizontal="right"/>
    </xf>
    <xf numFmtId="197" fontId="33" fillId="0" borderId="82" xfId="8" applyNumberFormat="1" applyFont="1" applyBorder="1" applyAlignment="1">
      <alignment horizontal="right"/>
    </xf>
    <xf numFmtId="0" fontId="15" fillId="3" borderId="16" xfId="8" applyFont="1" applyFill="1" applyBorder="1" applyAlignment="1">
      <alignment horizontal="left"/>
    </xf>
    <xf numFmtId="168" fontId="15" fillId="3" borderId="7" xfId="8" applyNumberFormat="1" applyFont="1" applyFill="1" applyBorder="1" applyAlignment="1">
      <alignment horizontal="right"/>
    </xf>
    <xf numFmtId="168" fontId="15" fillId="3" borderId="41" xfId="8" applyNumberFormat="1" applyFont="1" applyFill="1" applyBorder="1" applyAlignment="1">
      <alignment horizontal="right"/>
    </xf>
    <xf numFmtId="17" fontId="15" fillId="0" borderId="41" xfId="8" applyNumberFormat="1" applyFont="1" applyBorder="1" applyAlignment="1">
      <alignment horizontal="right"/>
    </xf>
    <xf numFmtId="17" fontId="15" fillId="0" borderId="7" xfId="8" applyNumberFormat="1" applyFont="1" applyBorder="1" applyAlignment="1">
      <alignment horizontal="right"/>
    </xf>
    <xf numFmtId="0" fontId="15" fillId="0" borderId="80" xfId="8" applyFont="1" applyBorder="1" applyAlignment="1">
      <alignment horizontal="right"/>
    </xf>
    <xf numFmtId="168" fontId="15" fillId="0" borderId="80" xfId="8" applyNumberFormat="1" applyFont="1" applyBorder="1"/>
    <xf numFmtId="168" fontId="15" fillId="0" borderId="80" xfId="8" applyNumberFormat="1" applyFont="1" applyBorder="1" applyAlignment="1">
      <alignment horizontal="right"/>
    </xf>
    <xf numFmtId="168" fontId="15" fillId="0" borderId="82" xfId="8" applyNumberFormat="1" applyFont="1" applyBorder="1" applyAlignment="1">
      <alignment horizontal="right"/>
    </xf>
    <xf numFmtId="168" fontId="15" fillId="0" borderId="16" xfId="8" applyNumberFormat="1" applyFont="1" applyBorder="1" applyAlignment="1">
      <alignment horizontal="right"/>
    </xf>
    <xf numFmtId="0" fontId="59" fillId="3" borderId="16" xfId="8" quotePrefix="1" applyFont="1" applyFill="1" applyBorder="1" applyAlignment="1">
      <alignment horizontal="left"/>
    </xf>
    <xf numFmtId="168" fontId="59" fillId="3" borderId="0" xfId="8" applyNumberFormat="1" applyFont="1" applyFill="1" applyAlignment="1">
      <alignment horizontal="right"/>
    </xf>
    <xf numFmtId="168" fontId="59" fillId="3" borderId="7" xfId="8" applyNumberFormat="1" applyFont="1" applyFill="1" applyBorder="1" applyAlignment="1">
      <alignment horizontal="right"/>
    </xf>
    <xf numFmtId="168" fontId="59" fillId="3" borderId="41" xfId="8" applyNumberFormat="1" applyFont="1" applyFill="1" applyBorder="1" applyAlignment="1">
      <alignment horizontal="right"/>
    </xf>
    <xf numFmtId="168" fontId="60" fillId="3" borderId="7" xfId="8" applyNumberFormat="1" applyFont="1" applyFill="1" applyBorder="1" applyAlignment="1">
      <alignment horizontal="right"/>
    </xf>
    <xf numFmtId="17" fontId="59" fillId="0" borderId="41" xfId="8" applyNumberFormat="1" applyFont="1" applyBorder="1" applyAlignment="1">
      <alignment horizontal="right"/>
    </xf>
    <xf numFmtId="17" fontId="59" fillId="0" borderId="0" xfId="8" applyNumberFormat="1" applyFont="1" applyAlignment="1">
      <alignment horizontal="right"/>
    </xf>
    <xf numFmtId="17" fontId="59" fillId="0" borderId="7" xfId="8" applyNumberFormat="1" applyFont="1" applyBorder="1" applyAlignment="1">
      <alignment horizontal="right"/>
    </xf>
    <xf numFmtId="0" fontId="59" fillId="0" borderId="80" xfId="8" applyFont="1" applyBorder="1" applyAlignment="1">
      <alignment horizontal="right"/>
    </xf>
    <xf numFmtId="168" fontId="59" fillId="0" borderId="80" xfId="8" applyNumberFormat="1" applyFont="1" applyBorder="1"/>
    <xf numFmtId="168" fontId="59" fillId="0" borderId="80" xfId="8" applyNumberFormat="1" applyFont="1" applyBorder="1" applyAlignment="1">
      <alignment horizontal="right"/>
    </xf>
    <xf numFmtId="168" fontId="59" fillId="0" borderId="82" xfId="8" applyNumberFormat="1" applyFont="1" applyBorder="1" applyAlignment="1">
      <alignment horizontal="right"/>
    </xf>
    <xf numFmtId="168" fontId="59" fillId="0" borderId="16" xfId="8" applyNumberFormat="1" applyFont="1" applyBorder="1" applyAlignment="1">
      <alignment horizontal="right"/>
    </xf>
    <xf numFmtId="0" fontId="51" fillId="0" borderId="0" xfId="8" applyFont="1" applyAlignment="1">
      <alignment horizontal="right"/>
    </xf>
    <xf numFmtId="168" fontId="29" fillId="0" borderId="80" xfId="8" applyNumberFormat="1" applyFont="1" applyBorder="1" applyAlignment="1">
      <alignment horizontal="right"/>
    </xf>
    <xf numFmtId="168" fontId="29" fillId="0" borderId="16" xfId="8" applyNumberFormat="1" applyFont="1" applyBorder="1" applyAlignment="1">
      <alignment horizontal="right"/>
    </xf>
    <xf numFmtId="168" fontId="29" fillId="0" borderId="82" xfId="8" applyNumberFormat="1" applyFont="1" applyBorder="1" applyAlignment="1">
      <alignment horizontal="right"/>
    </xf>
    <xf numFmtId="188" fontId="32" fillId="0" borderId="45" xfId="3" applyNumberFormat="1" applyFont="1" applyBorder="1" applyAlignment="1" applyProtection="1"/>
    <xf numFmtId="188" fontId="32" fillId="0" borderId="43" xfId="3" applyNumberFormat="1" applyFont="1" applyBorder="1" applyAlignment="1" applyProtection="1"/>
    <xf numFmtId="188" fontId="33" fillId="0" borderId="58" xfId="8" applyNumberFormat="1" applyFont="1" applyBorder="1" applyAlignment="1">
      <alignment horizontal="right"/>
    </xf>
    <xf numFmtId="3" fontId="31" fillId="3" borderId="67" xfId="9" applyNumberFormat="1" applyFont="1" applyFill="1" applyBorder="1"/>
    <xf numFmtId="9" fontId="15" fillId="3" borderId="67" xfId="9" applyNumberFormat="1" applyFont="1" applyFill="1" applyBorder="1" applyAlignment="1">
      <alignment horizontal="right"/>
    </xf>
    <xf numFmtId="188" fontId="32" fillId="0" borderId="67" xfId="11" applyNumberFormat="1" applyFont="1" applyFill="1" applyBorder="1" applyAlignment="1" applyProtection="1">
      <alignment horizontal="right"/>
    </xf>
    <xf numFmtId="165" fontId="15" fillId="0" borderId="67" xfId="9" applyNumberFormat="1" applyFont="1" applyBorder="1" applyAlignment="1">
      <alignment horizontal="right"/>
    </xf>
    <xf numFmtId="0" fontId="61" fillId="0" borderId="0" xfId="9" applyFont="1" applyAlignment="1">
      <alignment horizontal="right"/>
    </xf>
    <xf numFmtId="187" fontId="15" fillId="0" borderId="67" xfId="9" applyNumberFormat="1" applyFont="1" applyBorder="1" applyAlignment="1">
      <alignment horizontal="right"/>
    </xf>
    <xf numFmtId="188" fontId="32" fillId="3" borderId="0" xfId="9" applyNumberFormat="1" applyFont="1" applyFill="1" applyAlignment="1">
      <alignment horizontal="left" indent="1"/>
    </xf>
    <xf numFmtId="9" fontId="15" fillId="3" borderId="0" xfId="9" applyNumberFormat="1" applyFont="1" applyFill="1" applyAlignment="1">
      <alignment horizontal="right"/>
    </xf>
    <xf numFmtId="165" fontId="15" fillId="0" borderId="0" xfId="9" applyNumberFormat="1" applyFont="1" applyAlignment="1">
      <alignment horizontal="right"/>
    </xf>
    <xf numFmtId="187" fontId="15" fillId="0" borderId="0" xfId="9" applyNumberFormat="1" applyFont="1" applyAlignment="1">
      <alignment horizontal="right"/>
    </xf>
    <xf numFmtId="0" fontId="29" fillId="0" borderId="82" xfId="8" applyFont="1" applyBorder="1"/>
    <xf numFmtId="17" fontId="33" fillId="3" borderId="51" xfId="8" applyNumberFormat="1" applyFont="1" applyFill="1" applyBorder="1" applyAlignment="1">
      <alignment horizontal="right"/>
    </xf>
    <xf numFmtId="17" fontId="33" fillId="3" borderId="82" xfId="8" applyNumberFormat="1" applyFont="1" applyFill="1" applyBorder="1" applyAlignment="1">
      <alignment horizontal="right"/>
    </xf>
    <xf numFmtId="17" fontId="33" fillId="0" borderId="82" xfId="8" applyNumberFormat="1" applyFont="1" applyBorder="1" applyAlignment="1">
      <alignment horizontal="right"/>
    </xf>
    <xf numFmtId="0" fontId="33" fillId="0" borderId="84" xfId="8" applyFont="1" applyBorder="1" applyAlignment="1">
      <alignment horizontal="right"/>
    </xf>
    <xf numFmtId="3" fontId="29" fillId="3" borderId="16" xfId="9" applyNumberFormat="1" applyFont="1" applyFill="1" applyBorder="1"/>
    <xf numFmtId="3" fontId="29" fillId="3" borderId="0" xfId="9" applyNumberFormat="1" applyFont="1" applyFill="1" applyAlignment="1">
      <alignment horizontal="right"/>
    </xf>
    <xf numFmtId="193" fontId="29" fillId="3" borderId="51" xfId="9" applyNumberFormat="1" applyFont="1" applyFill="1" applyBorder="1" applyAlignment="1">
      <alignment horizontal="right"/>
    </xf>
    <xf numFmtId="193" fontId="29" fillId="3" borderId="0" xfId="9" applyNumberFormat="1" applyFont="1" applyFill="1" applyAlignment="1">
      <alignment horizontal="right"/>
    </xf>
    <xf numFmtId="193" fontId="29" fillId="3" borderId="82" xfId="9" applyNumberFormat="1" applyFont="1" applyFill="1" applyBorder="1" applyAlignment="1">
      <alignment horizontal="right"/>
    </xf>
    <xf numFmtId="198" fontId="29" fillId="3" borderId="51" xfId="9" applyNumberFormat="1" applyFont="1" applyFill="1" applyBorder="1" applyAlignment="1">
      <alignment horizontal="right"/>
    </xf>
    <xf numFmtId="3" fontId="29" fillId="3" borderId="82" xfId="9" applyNumberFormat="1" applyFont="1" applyFill="1" applyBorder="1" applyAlignment="1">
      <alignment horizontal="right"/>
    </xf>
    <xf numFmtId="3" fontId="29" fillId="0" borderId="0" xfId="9" applyNumberFormat="1" applyFont="1" applyAlignment="1">
      <alignment horizontal="right"/>
    </xf>
    <xf numFmtId="3" fontId="29" fillId="0" borderId="51" xfId="9" applyNumberFormat="1" applyFont="1" applyBorder="1" applyAlignment="1">
      <alignment horizontal="right"/>
    </xf>
    <xf numFmtId="199" fontId="29" fillId="0" borderId="82" xfId="9" applyNumberFormat="1" applyFont="1" applyBorder="1" applyAlignment="1">
      <alignment horizontal="right"/>
    </xf>
    <xf numFmtId="3" fontId="29" fillId="0" borderId="82" xfId="9" applyNumberFormat="1" applyFont="1" applyBorder="1" applyAlignment="1">
      <alignment horizontal="right"/>
    </xf>
    <xf numFmtId="3" fontId="29" fillId="0" borderId="41" xfId="9" applyNumberFormat="1" applyFont="1" applyBorder="1" applyAlignment="1">
      <alignment horizontal="right"/>
    </xf>
    <xf numFmtId="3" fontId="56" fillId="0" borderId="80" xfId="9" applyNumberFormat="1" applyFont="1" applyBorder="1"/>
    <xf numFmtId="200" fontId="29" fillId="3" borderId="0" xfId="1" applyNumberFormat="1" applyFont="1" applyFill="1" applyBorder="1" applyAlignment="1">
      <alignment horizontal="right"/>
    </xf>
    <xf numFmtId="200" fontId="29" fillId="3" borderId="41" xfId="1" applyNumberFormat="1" applyFont="1" applyFill="1" applyBorder="1" applyAlignment="1">
      <alignment horizontal="right"/>
    </xf>
    <xf numFmtId="193" fontId="29" fillId="3" borderId="68" xfId="1" applyNumberFormat="1" applyFont="1" applyFill="1" applyBorder="1" applyAlignment="1">
      <alignment horizontal="right"/>
    </xf>
    <xf numFmtId="193" fontId="29" fillId="3" borderId="41" xfId="1" applyNumberFormat="1" applyFont="1" applyFill="1" applyBorder="1" applyAlignment="1">
      <alignment horizontal="right"/>
    </xf>
    <xf numFmtId="1" fontId="29" fillId="0" borderId="80" xfId="9" applyNumberFormat="1" applyFont="1" applyBorder="1" applyAlignment="1">
      <alignment horizontal="right"/>
    </xf>
    <xf numFmtId="188" fontId="32" fillId="3" borderId="0" xfId="11" applyNumberFormat="1" applyFont="1" applyFill="1" applyBorder="1" applyAlignment="1" applyProtection="1">
      <alignment horizontal="right"/>
    </xf>
    <xf numFmtId="9" fontId="32" fillId="0" borderId="51" xfId="9" applyNumberFormat="1" applyFont="1" applyBorder="1" applyAlignment="1">
      <alignment horizontal="right"/>
    </xf>
    <xf numFmtId="9" fontId="32" fillId="0" borderId="82" xfId="9" applyNumberFormat="1" applyFont="1" applyBorder="1" applyAlignment="1">
      <alignment horizontal="right"/>
    </xf>
    <xf numFmtId="9" fontId="32" fillId="0" borderId="0" xfId="9" applyNumberFormat="1" applyFont="1" applyAlignment="1">
      <alignment horizontal="right"/>
    </xf>
    <xf numFmtId="9" fontId="32" fillId="0" borderId="7" xfId="9" applyNumberFormat="1" applyFont="1" applyBorder="1" applyAlignment="1">
      <alignment horizontal="right"/>
    </xf>
    <xf numFmtId="0" fontId="57" fillId="0" borderId="80" xfId="9" applyFont="1" applyBorder="1" applyAlignment="1">
      <alignment horizontal="right"/>
    </xf>
    <xf numFmtId="188" fontId="32" fillId="0" borderId="16" xfId="8" applyNumberFormat="1" applyFont="1" applyBorder="1" applyAlignment="1">
      <alignment horizontal="right"/>
    </xf>
    <xf numFmtId="188" fontId="32" fillId="0" borderId="41" xfId="8" applyNumberFormat="1" applyFont="1" applyBorder="1" applyAlignment="1">
      <alignment horizontal="right"/>
    </xf>
    <xf numFmtId="188" fontId="32" fillId="0" borderId="80" xfId="9" applyNumberFormat="1" applyFont="1" applyBorder="1" applyAlignment="1">
      <alignment horizontal="right"/>
    </xf>
    <xf numFmtId="0" fontId="62" fillId="0" borderId="0" xfId="8" applyFont="1" applyAlignment="1">
      <alignment horizontal="right"/>
    </xf>
    <xf numFmtId="3" fontId="15" fillId="3" borderId="16" xfId="9" applyNumberFormat="1" applyFont="1" applyFill="1" applyBorder="1" applyAlignment="1">
      <alignment horizontal="left"/>
    </xf>
    <xf numFmtId="3" fontId="15" fillId="3" borderId="0" xfId="9" applyNumberFormat="1" applyFont="1" applyFill="1" applyAlignment="1">
      <alignment horizontal="right"/>
    </xf>
    <xf numFmtId="3" fontId="15" fillId="3" borderId="51" xfId="9" applyNumberFormat="1" applyFont="1" applyFill="1" applyBorder="1" applyAlignment="1">
      <alignment horizontal="right"/>
    </xf>
    <xf numFmtId="201" fontId="15" fillId="3" borderId="51" xfId="9" applyNumberFormat="1" applyFont="1" applyFill="1" applyBorder="1" applyAlignment="1">
      <alignment horizontal="right"/>
    </xf>
    <xf numFmtId="201" fontId="15" fillId="0" borderId="0" xfId="9" applyNumberFormat="1" applyFont="1" applyAlignment="1">
      <alignment horizontal="right"/>
    </xf>
    <xf numFmtId="201" fontId="15" fillId="0" borderId="7" xfId="9" applyNumberFormat="1" applyFont="1" applyBorder="1" applyAlignment="1">
      <alignment horizontal="right"/>
    </xf>
    <xf numFmtId="3" fontId="61" fillId="0" borderId="80" xfId="9" applyNumberFormat="1" applyFont="1" applyBorder="1"/>
    <xf numFmtId="188" fontId="32" fillId="0" borderId="7" xfId="8" applyNumberFormat="1" applyFont="1" applyBorder="1" applyAlignment="1">
      <alignment horizontal="right"/>
    </xf>
    <xf numFmtId="201" fontId="32" fillId="0" borderId="16" xfId="8" applyNumberFormat="1" applyFont="1" applyBorder="1" applyAlignment="1">
      <alignment horizontal="right"/>
    </xf>
    <xf numFmtId="3" fontId="32" fillId="3" borderId="16" xfId="9" applyNumberFormat="1" applyFont="1" applyFill="1" applyBorder="1" applyAlignment="1">
      <alignment horizontal="right"/>
    </xf>
    <xf numFmtId="187" fontId="15" fillId="3" borderId="16" xfId="9" applyNumberFormat="1" applyFont="1" applyFill="1" applyBorder="1" applyAlignment="1">
      <alignment horizontal="left"/>
    </xf>
    <xf numFmtId="188" fontId="32" fillId="0" borderId="0" xfId="8" applyNumberFormat="1" applyFont="1" applyAlignment="1">
      <alignment horizontal="right"/>
    </xf>
    <xf numFmtId="37" fontId="29" fillId="3" borderId="0" xfId="11" applyNumberFormat="1" applyFont="1" applyFill="1" applyBorder="1" applyProtection="1"/>
    <xf numFmtId="37" fontId="29" fillId="3" borderId="41" xfId="11" applyNumberFormat="1" applyFont="1" applyFill="1" applyBorder="1" applyProtection="1"/>
    <xf numFmtId="37" fontId="29" fillId="0" borderId="7" xfId="11" applyNumberFormat="1" applyFont="1" applyFill="1" applyBorder="1" applyAlignment="1" applyProtection="1">
      <alignment horizontal="right"/>
    </xf>
    <xf numFmtId="37" fontId="29" fillId="0" borderId="41" xfId="11" applyNumberFormat="1" applyFont="1" applyFill="1" applyBorder="1" applyProtection="1"/>
    <xf numFmtId="37" fontId="29" fillId="0" borderId="0" xfId="11" applyNumberFormat="1" applyFont="1" applyFill="1" applyBorder="1" applyProtection="1"/>
    <xf numFmtId="37" fontId="29" fillId="0" borderId="7" xfId="11" applyNumberFormat="1" applyFont="1" applyFill="1" applyBorder="1" applyProtection="1"/>
    <xf numFmtId="200" fontId="29" fillId="0" borderId="16" xfId="8" applyNumberFormat="1" applyFont="1" applyBorder="1" applyAlignment="1">
      <alignment horizontal="right"/>
    </xf>
    <xf numFmtId="37" fontId="29" fillId="0" borderId="7" xfId="8" applyNumberFormat="1" applyFont="1" applyBorder="1" applyAlignment="1">
      <alignment horizontal="right"/>
    </xf>
    <xf numFmtId="37" fontId="29" fillId="0" borderId="0" xfId="8" applyNumberFormat="1" applyFont="1" applyAlignment="1">
      <alignment horizontal="right"/>
    </xf>
    <xf numFmtId="37" fontId="29" fillId="0" borderId="16" xfId="8" applyNumberFormat="1" applyFont="1" applyBorder="1" applyAlignment="1">
      <alignment horizontal="right"/>
    </xf>
    <xf numFmtId="17" fontId="63" fillId="0" borderId="0" xfId="8" applyNumberFormat="1" applyFont="1" applyAlignment="1">
      <alignment horizontal="right"/>
    </xf>
    <xf numFmtId="17" fontId="63" fillId="0" borderId="7" xfId="8" applyNumberFormat="1" applyFont="1" applyBorder="1" applyAlignment="1">
      <alignment horizontal="right"/>
    </xf>
    <xf numFmtId="188" fontId="32" fillId="0" borderId="80" xfId="8" applyNumberFormat="1" applyFont="1" applyBorder="1" applyAlignment="1">
      <alignment horizontal="right"/>
    </xf>
    <xf numFmtId="188" fontId="32" fillId="0" borderId="82" xfId="8" applyNumberFormat="1" applyFont="1" applyBorder="1" applyAlignment="1">
      <alignment horizontal="right"/>
    </xf>
    <xf numFmtId="0" fontId="63" fillId="0" borderId="7" xfId="8" applyFont="1" applyBorder="1" applyAlignment="1">
      <alignment horizontal="right"/>
    </xf>
    <xf numFmtId="3" fontId="29" fillId="3" borderId="16" xfId="9" applyNumberFormat="1" applyFont="1" applyFill="1" applyBorder="1" applyAlignment="1">
      <alignment horizontal="left" indent="1"/>
    </xf>
    <xf numFmtId="193" fontId="29" fillId="0" borderId="0" xfId="11" applyNumberFormat="1" applyFont="1" applyFill="1" applyBorder="1" applyAlignment="1" applyProtection="1">
      <alignment horizontal="right"/>
    </xf>
    <xf numFmtId="193" fontId="29" fillId="0" borderId="7" xfId="11" applyNumberFormat="1" applyFont="1" applyFill="1" applyBorder="1" applyAlignment="1" applyProtection="1">
      <alignment horizontal="right"/>
    </xf>
    <xf numFmtId="193" fontId="29" fillId="3" borderId="0" xfId="11" applyNumberFormat="1" applyFont="1" applyFill="1" applyBorder="1" applyProtection="1"/>
    <xf numFmtId="193" fontId="44" fillId="0" borderId="7" xfId="8" applyNumberFormat="1" applyFont="1" applyBorder="1" applyAlignment="1">
      <alignment horizontal="right"/>
    </xf>
    <xf numFmtId="193" fontId="29" fillId="0" borderId="80" xfId="8" applyNumberFormat="1" applyFont="1" applyBorder="1" applyAlignment="1">
      <alignment horizontal="right"/>
    </xf>
    <xf numFmtId="193" fontId="29" fillId="0" borderId="82" xfId="8" applyNumberFormat="1" applyFont="1" applyBorder="1" applyAlignment="1">
      <alignment horizontal="right"/>
    </xf>
    <xf numFmtId="193" fontId="29" fillId="0" borderId="16" xfId="8" applyNumberFormat="1" applyFont="1" applyBorder="1" applyAlignment="1">
      <alignment horizontal="right"/>
    </xf>
    <xf numFmtId="187" fontId="32" fillId="3" borderId="16" xfId="9" applyNumberFormat="1" applyFont="1" applyFill="1" applyBorder="1" applyAlignment="1">
      <alignment horizontal="left" indent="2"/>
    </xf>
    <xf numFmtId="9" fontId="32" fillId="0" borderId="41" xfId="9" applyNumberFormat="1" applyFont="1" applyBorder="1" applyAlignment="1">
      <alignment horizontal="right"/>
    </xf>
    <xf numFmtId="188" fontId="32" fillId="0" borderId="7" xfId="9" applyNumberFormat="1" applyFont="1" applyBorder="1" applyAlignment="1">
      <alignment horizontal="right"/>
    </xf>
    <xf numFmtId="187" fontId="29" fillId="3" borderId="16" xfId="9" applyNumberFormat="1" applyFont="1" applyFill="1" applyBorder="1" applyAlignment="1">
      <alignment horizontal="left"/>
    </xf>
    <xf numFmtId="193" fontId="29" fillId="0" borderId="7" xfId="8" applyNumberFormat="1" applyFont="1" applyBorder="1" applyAlignment="1">
      <alignment horizontal="right"/>
    </xf>
    <xf numFmtId="193" fontId="29" fillId="0" borderId="41" xfId="8" applyNumberFormat="1" applyFont="1" applyBorder="1" applyAlignment="1">
      <alignment horizontal="right"/>
    </xf>
    <xf numFmtId="188" fontId="32" fillId="3" borderId="41" xfId="11" applyNumberFormat="1" applyFont="1" applyFill="1" applyBorder="1" applyAlignment="1" applyProtection="1">
      <alignment horizontal="right"/>
    </xf>
    <xf numFmtId="188" fontId="32" fillId="3" borderId="0" xfId="11" applyNumberFormat="1" applyFont="1" applyFill="1" applyBorder="1" applyProtection="1"/>
    <xf numFmtId="193" fontId="29" fillId="0" borderId="41" xfId="11" applyNumberFormat="1" applyFont="1" applyFill="1" applyBorder="1" applyAlignment="1" applyProtection="1">
      <alignment horizontal="right"/>
    </xf>
    <xf numFmtId="0" fontId="57" fillId="0" borderId="82" xfId="9" applyFont="1" applyBorder="1" applyAlignment="1">
      <alignment horizontal="right"/>
    </xf>
    <xf numFmtId="188" fontId="32" fillId="0" borderId="84" xfId="9" applyNumberFormat="1" applyFont="1" applyBorder="1" applyAlignment="1">
      <alignment horizontal="right"/>
    </xf>
    <xf numFmtId="188" fontId="32" fillId="0" borderId="84" xfId="8" applyNumberFormat="1" applyFont="1" applyBorder="1" applyAlignment="1">
      <alignment horizontal="right"/>
    </xf>
    <xf numFmtId="188" fontId="32" fillId="0" borderId="60" xfId="8" applyNumberFormat="1" applyFont="1" applyBorder="1" applyAlignment="1">
      <alignment horizontal="right"/>
    </xf>
    <xf numFmtId="187" fontId="32" fillId="3" borderId="84" xfId="9" applyNumberFormat="1" applyFont="1" applyFill="1" applyBorder="1" applyAlignment="1">
      <alignment horizontal="left" indent="2"/>
    </xf>
    <xf numFmtId="188" fontId="32" fillId="3" borderId="60" xfId="11" applyNumberFormat="1" applyFont="1" applyFill="1" applyBorder="1" applyAlignment="1" applyProtection="1">
      <alignment horizontal="right"/>
    </xf>
    <xf numFmtId="9" fontId="32" fillId="0" borderId="60" xfId="9" applyNumberFormat="1" applyFont="1" applyBorder="1" applyAlignment="1">
      <alignment horizontal="right"/>
    </xf>
    <xf numFmtId="0" fontId="57" fillId="0" borderId="0" xfId="9" applyFont="1" applyAlignment="1">
      <alignment horizontal="right"/>
    </xf>
    <xf numFmtId="0" fontId="29" fillId="3" borderId="84" xfId="9" applyFont="1" applyFill="1" applyBorder="1" applyAlignment="1">
      <alignment horizontal="left"/>
    </xf>
    <xf numFmtId="9" fontId="29" fillId="3" borderId="0" xfId="9" applyNumberFormat="1" applyFont="1" applyFill="1" applyAlignment="1">
      <alignment horizontal="right"/>
    </xf>
    <xf numFmtId="9" fontId="29" fillId="3" borderId="7" xfId="9" applyNumberFormat="1" applyFont="1" applyFill="1" applyBorder="1" applyAlignment="1">
      <alignment horizontal="right"/>
    </xf>
    <xf numFmtId="9" fontId="29" fillId="3" borderId="60" xfId="9" applyNumberFormat="1" applyFont="1" applyFill="1" applyBorder="1" applyAlignment="1">
      <alignment horizontal="right"/>
    </xf>
    <xf numFmtId="188" fontId="29" fillId="3" borderId="60" xfId="11" applyNumberFormat="1" applyFont="1" applyFill="1" applyBorder="1" applyAlignment="1" applyProtection="1">
      <alignment horizontal="center"/>
    </xf>
    <xf numFmtId="188" fontId="29" fillId="3" borderId="0" xfId="11" applyNumberFormat="1" applyFont="1" applyFill="1" applyBorder="1" applyAlignment="1" applyProtection="1">
      <alignment horizontal="center"/>
    </xf>
    <xf numFmtId="188" fontId="29" fillId="3" borderId="7" xfId="11" applyNumberFormat="1" applyFont="1" applyFill="1" applyBorder="1" applyAlignment="1" applyProtection="1">
      <alignment horizontal="right"/>
    </xf>
    <xf numFmtId="188" fontId="29" fillId="0" borderId="60" xfId="11" applyNumberFormat="1" applyFont="1" applyFill="1" applyBorder="1" applyProtection="1"/>
    <xf numFmtId="188" fontId="29" fillId="0" borderId="0" xfId="11" applyNumberFormat="1" applyFont="1" applyFill="1" applyBorder="1" applyProtection="1"/>
    <xf numFmtId="180" fontId="15" fillId="3" borderId="60" xfId="11" applyNumberFormat="1" applyFont="1" applyFill="1" applyBorder="1" applyProtection="1"/>
    <xf numFmtId="180" fontId="15" fillId="3" borderId="0" xfId="11" applyNumberFormat="1" applyFont="1" applyFill="1" applyBorder="1" applyProtection="1"/>
    <xf numFmtId="180" fontId="15" fillId="3" borderId="7" xfId="11" applyNumberFormat="1" applyFont="1" applyFill="1" applyBorder="1" applyProtection="1"/>
    <xf numFmtId="0" fontId="61" fillId="3" borderId="0" xfId="9" applyFont="1" applyFill="1" applyAlignment="1">
      <alignment horizontal="right"/>
    </xf>
    <xf numFmtId="9" fontId="15" fillId="0" borderId="84" xfId="9" applyNumberFormat="1" applyFont="1" applyBorder="1"/>
    <xf numFmtId="168" fontId="15" fillId="0" borderId="84" xfId="8" applyNumberFormat="1" applyFont="1" applyBorder="1"/>
    <xf numFmtId="188" fontId="29" fillId="3" borderId="84" xfId="11" applyNumberFormat="1" applyFont="1" applyFill="1" applyBorder="1" applyProtection="1"/>
    <xf numFmtId="0" fontId="29" fillId="3" borderId="0" xfId="9" applyFont="1" applyFill="1" applyAlignment="1">
      <alignment horizontal="left"/>
    </xf>
    <xf numFmtId="9" fontId="29" fillId="3" borderId="84" xfId="9" applyNumberFormat="1" applyFont="1" applyFill="1" applyBorder="1" applyAlignment="1">
      <alignment horizontal="right"/>
    </xf>
    <xf numFmtId="188" fontId="29" fillId="0" borderId="60" xfId="8" applyNumberFormat="1" applyFont="1" applyBorder="1"/>
    <xf numFmtId="9" fontId="29" fillId="0" borderId="84" xfId="3" applyFont="1" applyBorder="1" applyAlignment="1" applyProtection="1"/>
    <xf numFmtId="0" fontId="29" fillId="3" borderId="60" xfId="9" applyFont="1" applyFill="1" applyBorder="1" applyAlignment="1">
      <alignment horizontal="left"/>
    </xf>
    <xf numFmtId="187" fontId="15" fillId="3" borderId="7" xfId="11" applyNumberFormat="1" applyFont="1" applyFill="1" applyBorder="1" applyProtection="1"/>
    <xf numFmtId="188" fontId="15" fillId="3" borderId="7" xfId="11" applyNumberFormat="1" applyFont="1" applyFill="1" applyBorder="1" applyProtection="1"/>
    <xf numFmtId="188" fontId="15" fillId="3" borderId="60" xfId="11" applyNumberFormat="1" applyFont="1" applyFill="1" applyBorder="1" applyProtection="1"/>
    <xf numFmtId="188" fontId="15" fillId="0" borderId="60" xfId="11" applyNumberFormat="1" applyFont="1" applyFill="1" applyBorder="1" applyProtection="1"/>
    <xf numFmtId="188" fontId="15" fillId="0" borderId="0" xfId="11" applyNumberFormat="1" applyFont="1" applyFill="1" applyBorder="1" applyProtection="1"/>
    <xf numFmtId="188" fontId="15" fillId="0" borderId="7" xfId="11" applyNumberFormat="1" applyFont="1" applyFill="1" applyBorder="1" applyProtection="1"/>
    <xf numFmtId="0" fontId="15" fillId="3" borderId="60" xfId="9" applyFont="1" applyFill="1" applyBorder="1" applyAlignment="1">
      <alignment horizontal="left" indent="1"/>
    </xf>
    <xf numFmtId="195" fontId="41" fillId="3" borderId="7" xfId="11" applyNumberFormat="1" applyFont="1" applyFill="1" applyBorder="1" applyProtection="1"/>
    <xf numFmtId="195" fontId="41" fillId="3" borderId="60" xfId="11" applyNumberFormat="1" applyFont="1" applyFill="1" applyBorder="1" applyProtection="1"/>
    <xf numFmtId="195" fontId="41" fillId="3" borderId="0" xfId="11" applyNumberFormat="1" applyFont="1" applyFill="1" applyBorder="1" applyProtection="1"/>
    <xf numFmtId="195" fontId="41" fillId="0" borderId="60" xfId="11" applyNumberFormat="1" applyFont="1" applyFill="1" applyBorder="1" applyProtection="1"/>
    <xf numFmtId="195" fontId="41" fillId="0" borderId="0" xfId="11" applyNumberFormat="1" applyFont="1" applyFill="1" applyBorder="1" applyProtection="1"/>
    <xf numFmtId="195" fontId="41" fillId="0" borderId="7" xfId="11" applyNumberFormat="1" applyFont="1" applyFill="1" applyBorder="1" applyProtection="1"/>
    <xf numFmtId="195" fontId="41" fillId="3" borderId="84" xfId="11" applyNumberFormat="1" applyFont="1" applyFill="1" applyBorder="1" applyProtection="1"/>
    <xf numFmtId="195" fontId="15" fillId="3" borderId="84" xfId="11" applyNumberFormat="1" applyFont="1" applyFill="1" applyBorder="1" applyProtection="1"/>
    <xf numFmtId="9" fontId="29" fillId="3" borderId="42" xfId="9" applyNumberFormat="1" applyFont="1" applyFill="1" applyBorder="1" applyAlignment="1">
      <alignment horizontal="right"/>
    </xf>
    <xf numFmtId="9" fontId="29" fillId="3" borderId="44" xfId="9" applyNumberFormat="1" applyFont="1" applyFill="1" applyBorder="1" applyAlignment="1">
      <alignment horizontal="right"/>
    </xf>
    <xf numFmtId="9" fontId="29" fillId="3" borderId="85" xfId="9" applyNumberFormat="1" applyFont="1" applyFill="1" applyBorder="1" applyAlignment="1">
      <alignment horizontal="right"/>
    </xf>
    <xf numFmtId="188" fontId="29" fillId="3" borderId="85" xfId="11" applyNumberFormat="1" applyFont="1" applyFill="1" applyBorder="1" applyAlignment="1" applyProtection="1">
      <alignment horizontal="center"/>
    </xf>
    <xf numFmtId="188" fontId="29" fillId="3" borderId="42" xfId="11" applyNumberFormat="1" applyFont="1" applyFill="1" applyBorder="1" applyAlignment="1" applyProtection="1">
      <alignment horizontal="center"/>
    </xf>
    <xf numFmtId="188" fontId="29" fillId="3" borderId="42" xfId="11" applyNumberFormat="1" applyFont="1" applyFill="1" applyBorder="1" applyProtection="1"/>
    <xf numFmtId="188" fontId="15" fillId="3" borderId="44" xfId="11" applyNumberFormat="1" applyFont="1" applyFill="1" applyBorder="1" applyProtection="1"/>
    <xf numFmtId="188" fontId="15" fillId="3" borderId="42" xfId="11" applyNumberFormat="1" applyFont="1" applyFill="1" applyBorder="1" applyProtection="1"/>
    <xf numFmtId="188" fontId="15" fillId="3" borderId="85" xfId="11" applyNumberFormat="1" applyFont="1" applyFill="1" applyBorder="1" applyProtection="1"/>
    <xf numFmtId="188" fontId="15" fillId="0" borderId="85" xfId="11" applyNumberFormat="1" applyFont="1" applyFill="1" applyBorder="1" applyProtection="1"/>
    <xf numFmtId="188" fontId="15" fillId="0" borderId="42" xfId="11" applyNumberFormat="1" applyFont="1" applyFill="1" applyBorder="1" applyProtection="1"/>
    <xf numFmtId="188" fontId="15" fillId="0" borderId="44" xfId="11" applyNumberFormat="1" applyFont="1" applyFill="1" applyBorder="1" applyProtection="1"/>
    <xf numFmtId="180" fontId="15" fillId="3" borderId="85" xfId="11" applyNumberFormat="1" applyFont="1" applyFill="1" applyBorder="1" applyProtection="1"/>
    <xf numFmtId="180" fontId="15" fillId="3" borderId="42" xfId="11" applyNumberFormat="1" applyFont="1" applyFill="1" applyBorder="1" applyProtection="1"/>
    <xf numFmtId="180" fontId="15" fillId="3" borderId="44" xfId="11" applyNumberFormat="1" applyFont="1" applyFill="1" applyBorder="1" applyProtection="1"/>
    <xf numFmtId="9" fontId="15" fillId="0" borderId="86" xfId="9" applyNumberFormat="1" applyFont="1" applyBorder="1"/>
    <xf numFmtId="168" fontId="15" fillId="0" borderId="86" xfId="8" applyNumberFormat="1" applyFont="1" applyBorder="1"/>
    <xf numFmtId="9" fontId="29" fillId="3" borderId="86" xfId="9" applyNumberFormat="1" applyFont="1" applyFill="1" applyBorder="1" applyAlignment="1">
      <alignment horizontal="right"/>
    </xf>
    <xf numFmtId="188" fontId="15" fillId="3" borderId="86" xfId="11" applyNumberFormat="1" applyFont="1" applyFill="1" applyBorder="1" applyProtection="1"/>
    <xf numFmtId="3" fontId="31" fillId="3" borderId="8" xfId="9" applyNumberFormat="1" applyFont="1" applyFill="1" applyBorder="1"/>
    <xf numFmtId="165" fontId="15" fillId="3" borderId="8" xfId="9" applyNumberFormat="1" applyFont="1" applyFill="1" applyBorder="1" applyAlignment="1">
      <alignment horizontal="right"/>
    </xf>
    <xf numFmtId="193" fontId="15" fillId="3" borderId="8" xfId="1" applyNumberFormat="1" applyFont="1" applyFill="1" applyBorder="1" applyAlignment="1">
      <alignment horizontal="right"/>
    </xf>
    <xf numFmtId="165" fontId="15" fillId="0" borderId="8" xfId="9" applyNumberFormat="1" applyFont="1" applyBorder="1" applyAlignment="1">
      <alignment horizontal="right"/>
    </xf>
    <xf numFmtId="165" fontId="15" fillId="3" borderId="0" xfId="9" applyNumberFormat="1" applyFont="1" applyFill="1" applyAlignment="1">
      <alignment horizontal="right"/>
    </xf>
    <xf numFmtId="0" fontId="61" fillId="3" borderId="0" xfId="9" applyFont="1" applyFill="1"/>
    <xf numFmtId="3" fontId="15" fillId="3" borderId="0" xfId="9" applyNumberFormat="1" applyFont="1" applyFill="1"/>
    <xf numFmtId="0" fontId="29" fillId="3" borderId="16" xfId="9" applyFont="1" applyFill="1" applyBorder="1" applyAlignment="1">
      <alignment horizontal="left"/>
    </xf>
    <xf numFmtId="176" fontId="29" fillId="3" borderId="41" xfId="9" applyNumberFormat="1" applyFont="1" applyFill="1" applyBorder="1" applyAlignment="1">
      <alignment horizontal="right"/>
    </xf>
    <xf numFmtId="0" fontId="56" fillId="3" borderId="7" xfId="9" applyFont="1" applyFill="1" applyBorder="1" applyAlignment="1">
      <alignment horizontal="right"/>
    </xf>
    <xf numFmtId="168" fontId="29" fillId="0" borderId="80" xfId="8" applyNumberFormat="1" applyFont="1" applyBorder="1"/>
    <xf numFmtId="0" fontId="56" fillId="3" borderId="0" xfId="9" applyFont="1" applyFill="1" applyAlignment="1">
      <alignment horizontal="right"/>
    </xf>
    <xf numFmtId="0" fontId="61" fillId="3" borderId="7" xfId="9" applyFont="1" applyFill="1" applyBorder="1" applyAlignment="1">
      <alignment horizontal="right"/>
    </xf>
    <xf numFmtId="9" fontId="15" fillId="0" borderId="80" xfId="9" applyNumberFormat="1" applyFont="1" applyBorder="1" applyAlignment="1">
      <alignment horizontal="right"/>
    </xf>
    <xf numFmtId="188" fontId="32" fillId="3" borderId="80" xfId="9" applyNumberFormat="1" applyFont="1" applyFill="1" applyBorder="1" applyAlignment="1">
      <alignment horizontal="right"/>
    </xf>
    <xf numFmtId="188" fontId="32" fillId="3" borderId="16" xfId="9" applyNumberFormat="1" applyFont="1" applyFill="1" applyBorder="1" applyAlignment="1">
      <alignment horizontal="right"/>
    </xf>
    <xf numFmtId="188" fontId="32" fillId="3" borderId="7" xfId="9" applyNumberFormat="1" applyFont="1" applyFill="1" applyBorder="1" applyAlignment="1">
      <alignment horizontal="right"/>
    </xf>
    <xf numFmtId="9" fontId="32" fillId="0" borderId="87" xfId="9" applyNumberFormat="1" applyFont="1" applyBorder="1"/>
    <xf numFmtId="9" fontId="32" fillId="0" borderId="87" xfId="9" applyNumberFormat="1" applyFont="1" applyBorder="1" applyAlignment="1">
      <alignment horizontal="right"/>
    </xf>
    <xf numFmtId="165" fontId="15" fillId="3" borderId="80" xfId="9" applyNumberFormat="1" applyFont="1" applyFill="1" applyBorder="1" applyAlignment="1">
      <alignment horizontal="right"/>
    </xf>
    <xf numFmtId="165" fontId="15" fillId="3" borderId="16" xfId="9" applyNumberFormat="1" applyFont="1" applyFill="1" applyBorder="1" applyAlignment="1">
      <alignment horizontal="right"/>
    </xf>
    <xf numFmtId="165" fontId="15" fillId="3" borderId="7" xfId="9" applyNumberFormat="1" applyFont="1" applyFill="1" applyBorder="1" applyAlignment="1">
      <alignment horizontal="right"/>
    </xf>
    <xf numFmtId="9" fontId="32" fillId="3" borderId="0" xfId="9" applyNumberFormat="1" applyFont="1" applyFill="1" applyAlignment="1">
      <alignment horizontal="right"/>
    </xf>
    <xf numFmtId="9" fontId="32" fillId="3" borderId="7" xfId="9" applyNumberFormat="1" applyFont="1" applyFill="1" applyBorder="1" applyAlignment="1">
      <alignment horizontal="right"/>
    </xf>
    <xf numFmtId="9" fontId="32" fillId="3" borderId="41" xfId="9" applyNumberFormat="1" applyFont="1" applyFill="1" applyBorder="1" applyAlignment="1">
      <alignment horizontal="right"/>
    </xf>
    <xf numFmtId="0" fontId="57" fillId="3" borderId="7" xfId="9" applyFont="1" applyFill="1" applyBorder="1" applyAlignment="1">
      <alignment horizontal="right"/>
    </xf>
    <xf numFmtId="0" fontId="57" fillId="3" borderId="0" xfId="9" applyFont="1" applyFill="1" applyAlignment="1">
      <alignment horizontal="right"/>
    </xf>
    <xf numFmtId="187" fontId="29" fillId="10" borderId="16" xfId="9" applyNumberFormat="1" applyFont="1" applyFill="1" applyBorder="1" applyAlignment="1">
      <alignment horizontal="left" indent="3"/>
    </xf>
    <xf numFmtId="9" fontId="30" fillId="10" borderId="0" xfId="9" applyNumberFormat="1" applyFont="1" applyFill="1" applyAlignment="1">
      <alignment horizontal="right"/>
    </xf>
    <xf numFmtId="9" fontId="30" fillId="10" borderId="7" xfId="9" applyNumberFormat="1" applyFont="1" applyFill="1" applyBorder="1" applyAlignment="1">
      <alignment horizontal="right"/>
    </xf>
    <xf numFmtId="180" fontId="29" fillId="10" borderId="0" xfId="11" applyNumberFormat="1" applyFont="1" applyFill="1" applyBorder="1" applyProtection="1"/>
    <xf numFmtId="180" fontId="29" fillId="10" borderId="41" xfId="11" applyNumberFormat="1" applyFont="1" applyFill="1" applyBorder="1" applyProtection="1"/>
    <xf numFmtId="180" fontId="29" fillId="10" borderId="7" xfId="11" applyNumberFormat="1" applyFont="1" applyFill="1" applyBorder="1" applyProtection="1"/>
    <xf numFmtId="9" fontId="30" fillId="10" borderId="41" xfId="9" applyNumberFormat="1" applyFont="1" applyFill="1" applyBorder="1" applyAlignment="1">
      <alignment horizontal="right"/>
    </xf>
    <xf numFmtId="0" fontId="64" fillId="3" borderId="7" xfId="9" applyFont="1" applyFill="1" applyBorder="1" applyAlignment="1">
      <alignment horizontal="right"/>
    </xf>
    <xf numFmtId="188" fontId="30" fillId="10" borderId="80" xfId="9" applyNumberFormat="1" applyFont="1" applyFill="1" applyBorder="1" applyAlignment="1">
      <alignment horizontal="right"/>
    </xf>
    <xf numFmtId="188" fontId="30" fillId="10" borderId="16" xfId="9" applyNumberFormat="1" applyFont="1" applyFill="1" applyBorder="1" applyAlignment="1">
      <alignment horizontal="right"/>
    </xf>
    <xf numFmtId="188" fontId="30" fillId="10" borderId="7" xfId="9" applyNumberFormat="1" applyFont="1" applyFill="1" applyBorder="1" applyAlignment="1">
      <alignment horizontal="right"/>
    </xf>
    <xf numFmtId="0" fontId="64" fillId="3" borderId="0" xfId="9" applyFont="1" applyFill="1" applyAlignment="1">
      <alignment horizontal="right"/>
    </xf>
    <xf numFmtId="187" fontId="32" fillId="10" borderId="16" xfId="9" applyNumberFormat="1" applyFont="1" applyFill="1" applyBorder="1" applyAlignment="1">
      <alignment horizontal="left" indent="3"/>
    </xf>
    <xf numFmtId="9" fontId="32" fillId="10" borderId="0" xfId="9" applyNumberFormat="1" applyFont="1" applyFill="1" applyAlignment="1">
      <alignment horizontal="right"/>
    </xf>
    <xf numFmtId="9" fontId="32" fillId="10" borderId="7" xfId="9" applyNumberFormat="1" applyFont="1" applyFill="1" applyBorder="1" applyAlignment="1">
      <alignment horizontal="right"/>
    </xf>
    <xf numFmtId="188" fontId="32" fillId="10" borderId="0" xfId="11" applyNumberFormat="1" applyFont="1" applyFill="1" applyBorder="1" applyAlignment="1" applyProtection="1">
      <alignment horizontal="right"/>
    </xf>
    <xf numFmtId="188" fontId="32" fillId="10" borderId="41" xfId="11" applyNumberFormat="1" applyFont="1" applyFill="1" applyBorder="1" applyAlignment="1" applyProtection="1">
      <alignment horizontal="right"/>
    </xf>
    <xf numFmtId="188" fontId="32" fillId="10" borderId="7" xfId="11" applyNumberFormat="1" applyFont="1" applyFill="1" applyBorder="1" applyAlignment="1" applyProtection="1">
      <alignment horizontal="right"/>
    </xf>
    <xf numFmtId="9" fontId="32" fillId="10" borderId="41" xfId="9" applyNumberFormat="1" applyFont="1" applyFill="1" applyBorder="1" applyAlignment="1">
      <alignment horizontal="right"/>
    </xf>
    <xf numFmtId="188" fontId="32" fillId="10" borderId="80" xfId="9" applyNumberFormat="1" applyFont="1" applyFill="1" applyBorder="1" applyAlignment="1">
      <alignment horizontal="right"/>
    </xf>
    <xf numFmtId="188" fontId="32" fillId="10" borderId="16" xfId="9" applyNumberFormat="1" applyFont="1" applyFill="1" applyBorder="1" applyAlignment="1">
      <alignment horizontal="right"/>
    </xf>
    <xf numFmtId="188" fontId="32" fillId="10" borderId="7" xfId="9" applyNumberFormat="1" applyFont="1" applyFill="1" applyBorder="1" applyAlignment="1">
      <alignment horizontal="right"/>
    </xf>
    <xf numFmtId="9" fontId="49" fillId="10" borderId="0" xfId="9" applyNumberFormat="1" applyFont="1" applyFill="1" applyAlignment="1">
      <alignment horizontal="right"/>
    </xf>
    <xf numFmtId="9" fontId="49" fillId="10" borderId="41" xfId="9" applyNumberFormat="1" applyFont="1" applyFill="1" applyBorder="1" applyAlignment="1">
      <alignment horizontal="right"/>
    </xf>
    <xf numFmtId="9" fontId="49" fillId="10" borderId="7" xfId="9" applyNumberFormat="1" applyFont="1" applyFill="1" applyBorder="1" applyAlignment="1">
      <alignment horizontal="right"/>
    </xf>
    <xf numFmtId="188" fontId="49" fillId="10" borderId="80" xfId="9" applyNumberFormat="1" applyFont="1" applyFill="1" applyBorder="1" applyAlignment="1">
      <alignment horizontal="right"/>
    </xf>
    <xf numFmtId="188" fontId="49" fillId="10" borderId="16" xfId="9" applyNumberFormat="1" applyFont="1" applyFill="1" applyBorder="1" applyAlignment="1">
      <alignment horizontal="right"/>
    </xf>
    <xf numFmtId="180" fontId="29" fillId="0" borderId="7" xfId="11" applyNumberFormat="1" applyFont="1" applyFill="1" applyBorder="1" applyProtection="1"/>
    <xf numFmtId="9" fontId="32" fillId="0" borderId="7" xfId="9" applyNumberFormat="1" applyFont="1" applyBorder="1"/>
    <xf numFmtId="9" fontId="32" fillId="0" borderId="0" xfId="9" applyNumberFormat="1" applyFont="1"/>
    <xf numFmtId="9" fontId="32" fillId="0" borderId="82" xfId="9" applyNumberFormat="1" applyFont="1" applyBorder="1"/>
    <xf numFmtId="165" fontId="32" fillId="3" borderId="80" xfId="9" applyNumberFormat="1" applyFont="1" applyFill="1" applyBorder="1" applyAlignment="1">
      <alignment horizontal="right"/>
    </xf>
    <xf numFmtId="165" fontId="32" fillId="3" borderId="16" xfId="9" applyNumberFormat="1" applyFont="1" applyFill="1" applyBorder="1" applyAlignment="1">
      <alignment horizontal="right"/>
    </xf>
    <xf numFmtId="165" fontId="32" fillId="3" borderId="7" xfId="9" applyNumberFormat="1" applyFont="1" applyFill="1" applyBorder="1" applyAlignment="1">
      <alignment horizontal="right"/>
    </xf>
    <xf numFmtId="0" fontId="15" fillId="3" borderId="16" xfId="9" applyFont="1" applyFill="1" applyBorder="1" applyAlignment="1">
      <alignment horizontal="left"/>
    </xf>
    <xf numFmtId="165" fontId="15" fillId="3" borderId="51" xfId="9" applyNumberFormat="1" applyFont="1" applyFill="1" applyBorder="1" applyAlignment="1">
      <alignment horizontal="right"/>
    </xf>
    <xf numFmtId="165" fontId="15" fillId="3" borderId="82" xfId="9" applyNumberFormat="1" applyFont="1" applyFill="1" applyBorder="1" applyAlignment="1">
      <alignment horizontal="right"/>
    </xf>
    <xf numFmtId="165" fontId="15" fillId="3" borderId="41" xfId="9" applyNumberFormat="1" applyFont="1" applyFill="1" applyBorder="1" applyAlignment="1">
      <alignment horizontal="right"/>
    </xf>
    <xf numFmtId="165" fontId="15" fillId="0" borderId="41" xfId="9" applyNumberFormat="1" applyFont="1" applyBorder="1" applyAlignment="1">
      <alignment horizontal="right"/>
    </xf>
    <xf numFmtId="165" fontId="15" fillId="0" borderId="7" xfId="9" applyNumberFormat="1" applyFont="1" applyBorder="1" applyAlignment="1">
      <alignment horizontal="right"/>
    </xf>
    <xf numFmtId="9" fontId="15" fillId="3" borderId="41" xfId="9" applyNumberFormat="1" applyFont="1" applyFill="1" applyBorder="1" applyAlignment="1">
      <alignment horizontal="right"/>
    </xf>
    <xf numFmtId="9" fontId="15" fillId="0" borderId="41" xfId="9" applyNumberFormat="1" applyFont="1" applyBorder="1" applyAlignment="1">
      <alignment horizontal="right"/>
    </xf>
    <xf numFmtId="9" fontId="15" fillId="0" borderId="0" xfId="9" applyNumberFormat="1" applyFont="1" applyAlignment="1">
      <alignment horizontal="right"/>
    </xf>
    <xf numFmtId="9" fontId="15" fillId="0" borderId="7" xfId="9" applyNumberFormat="1" applyFont="1" applyBorder="1" applyAlignment="1">
      <alignment horizontal="right"/>
    </xf>
    <xf numFmtId="3" fontId="29" fillId="3" borderId="7" xfId="9" applyNumberFormat="1" applyFont="1" applyFill="1" applyBorder="1" applyAlignment="1">
      <alignment horizontal="right"/>
    </xf>
    <xf numFmtId="193" fontId="29" fillId="3" borderId="7" xfId="9" applyNumberFormat="1" applyFont="1" applyFill="1" applyBorder="1" applyAlignment="1">
      <alignment horizontal="right"/>
    </xf>
    <xf numFmtId="193" fontId="29" fillId="0" borderId="0" xfId="9" applyNumberFormat="1" applyFont="1" applyAlignment="1">
      <alignment horizontal="right"/>
    </xf>
    <xf numFmtId="193" fontId="29" fillId="0" borderId="51" xfId="9" applyNumberFormat="1" applyFont="1" applyBorder="1" applyAlignment="1">
      <alignment horizontal="right"/>
    </xf>
    <xf numFmtId="3" fontId="29" fillId="0" borderId="7" xfId="9" applyNumberFormat="1" applyFont="1" applyBorder="1" applyAlignment="1">
      <alignment horizontal="right"/>
    </xf>
    <xf numFmtId="3" fontId="56" fillId="0" borderId="0" xfId="9" applyNumberFormat="1" applyFont="1"/>
    <xf numFmtId="3" fontId="29" fillId="0" borderId="16" xfId="9" applyNumberFormat="1" applyFont="1" applyBorder="1"/>
    <xf numFmtId="3" fontId="29" fillId="0" borderId="80" xfId="9" applyNumberFormat="1" applyFont="1" applyBorder="1"/>
    <xf numFmtId="3" fontId="29" fillId="0" borderId="7" xfId="9" applyNumberFormat="1" applyFont="1" applyBorder="1"/>
    <xf numFmtId="188" fontId="32" fillId="3" borderId="16" xfId="9" applyNumberFormat="1" applyFont="1" applyFill="1" applyBorder="1" applyAlignment="1">
      <alignment horizontal="left" indent="1"/>
    </xf>
    <xf numFmtId="9" fontId="15" fillId="3" borderId="82" xfId="9" applyNumberFormat="1" applyFont="1" applyFill="1" applyBorder="1" applyAlignment="1">
      <alignment horizontal="right"/>
    </xf>
    <xf numFmtId="188" fontId="32" fillId="0" borderId="82" xfId="9" applyNumberFormat="1" applyFont="1" applyBorder="1" applyAlignment="1">
      <alignment horizontal="right"/>
    </xf>
    <xf numFmtId="165" fontId="15" fillId="0" borderId="82" xfId="9" applyNumberFormat="1" applyFont="1" applyBorder="1" applyAlignment="1">
      <alignment horizontal="right"/>
    </xf>
    <xf numFmtId="188" fontId="32" fillId="3" borderId="68" xfId="9" applyNumberFormat="1" applyFont="1" applyFill="1" applyBorder="1" applyAlignment="1">
      <alignment horizontal="right"/>
    </xf>
    <xf numFmtId="188" fontId="15" fillId="0" borderId="80" xfId="9" applyNumberFormat="1" applyFont="1" applyBorder="1" applyAlignment="1">
      <alignment horizontal="right"/>
    </xf>
    <xf numFmtId="188" fontId="15" fillId="0" borderId="16" xfId="9" applyNumberFormat="1" applyFont="1" applyBorder="1" applyAlignment="1">
      <alignment horizontal="right"/>
    </xf>
    <xf numFmtId="188" fontId="15" fillId="0" borderId="7" xfId="9" applyNumberFormat="1" applyFont="1" applyBorder="1" applyAlignment="1">
      <alignment horizontal="right"/>
    </xf>
    <xf numFmtId="188" fontId="15" fillId="3" borderId="16" xfId="9" applyNumberFormat="1" applyFont="1" applyFill="1" applyBorder="1" applyAlignment="1">
      <alignment horizontal="left" indent="1"/>
    </xf>
    <xf numFmtId="3" fontId="15" fillId="3" borderId="7" xfId="9" applyNumberFormat="1" applyFont="1" applyFill="1" applyBorder="1" applyAlignment="1">
      <alignment horizontal="right"/>
    </xf>
    <xf numFmtId="3" fontId="15" fillId="0" borderId="51" xfId="9" applyNumberFormat="1" applyFont="1" applyBorder="1" applyAlignment="1">
      <alignment horizontal="right"/>
    </xf>
    <xf numFmtId="1" fontId="15" fillId="3" borderId="82" xfId="9" applyNumberFormat="1" applyFont="1" applyFill="1" applyBorder="1" applyAlignment="1">
      <alignment horizontal="right"/>
    </xf>
    <xf numFmtId="1" fontId="15" fillId="3" borderId="0" xfId="9" applyNumberFormat="1" applyFont="1" applyFill="1" applyAlignment="1">
      <alignment horizontal="right"/>
    </xf>
    <xf numFmtId="1" fontId="15" fillId="0" borderId="82" xfId="9" applyNumberFormat="1" applyFont="1" applyBorder="1" applyAlignment="1">
      <alignment horizontal="right"/>
    </xf>
    <xf numFmtId="1" fontId="15" fillId="0" borderId="0" xfId="9" applyNumberFormat="1" applyFont="1" applyAlignment="1">
      <alignment horizontal="right"/>
    </xf>
    <xf numFmtId="1" fontId="15" fillId="0" borderId="51" xfId="9" applyNumberFormat="1" applyFont="1" applyBorder="1" applyAlignment="1">
      <alignment horizontal="right"/>
    </xf>
    <xf numFmtId="3" fontId="15" fillId="0" borderId="0" xfId="9" applyNumberFormat="1" applyFont="1" applyAlignment="1">
      <alignment horizontal="right"/>
    </xf>
    <xf numFmtId="0" fontId="61" fillId="0" borderId="7" xfId="9" applyFont="1" applyBorder="1" applyAlignment="1">
      <alignment horizontal="right"/>
    </xf>
    <xf numFmtId="3" fontId="15" fillId="0" borderId="80" xfId="9" applyNumberFormat="1" applyFont="1" applyBorder="1"/>
    <xf numFmtId="3" fontId="15" fillId="0" borderId="16" xfId="9" applyNumberFormat="1" applyFont="1" applyBorder="1"/>
    <xf numFmtId="188" fontId="32" fillId="3" borderId="16" xfId="9" applyNumberFormat="1" applyFont="1" applyFill="1" applyBorder="1" applyAlignment="1">
      <alignment horizontal="left" indent="2"/>
    </xf>
    <xf numFmtId="165" fontId="15" fillId="0" borderId="53" xfId="9" applyNumberFormat="1" applyFont="1" applyBorder="1" applyAlignment="1">
      <alignment horizontal="right"/>
    </xf>
    <xf numFmtId="0" fontId="61" fillId="0" borderId="53" xfId="9" applyFont="1" applyBorder="1" applyAlignment="1">
      <alignment horizontal="right"/>
    </xf>
    <xf numFmtId="3" fontId="15" fillId="3" borderId="53" xfId="9" applyNumberFormat="1" applyFont="1" applyFill="1" applyBorder="1" applyAlignment="1">
      <alignment horizontal="right"/>
    </xf>
    <xf numFmtId="1" fontId="15" fillId="0" borderId="53" xfId="9" applyNumberFormat="1" applyFont="1" applyBorder="1" applyAlignment="1">
      <alignment horizontal="right"/>
    </xf>
    <xf numFmtId="1" fontId="15" fillId="0" borderId="7" xfId="9" applyNumberFormat="1" applyFont="1" applyBorder="1" applyAlignment="1">
      <alignment horizontal="right"/>
    </xf>
    <xf numFmtId="9" fontId="32" fillId="0" borderId="0" xfId="3" applyFont="1" applyFill="1" applyBorder="1" applyAlignment="1">
      <alignment horizontal="right"/>
    </xf>
    <xf numFmtId="3" fontId="15" fillId="0" borderId="7" xfId="9" applyNumberFormat="1" applyFont="1" applyBorder="1"/>
    <xf numFmtId="9" fontId="32" fillId="0" borderId="7" xfId="3" applyFont="1" applyFill="1" applyBorder="1"/>
    <xf numFmtId="9" fontId="32" fillId="0" borderId="16" xfId="3" applyFont="1" applyFill="1" applyBorder="1"/>
    <xf numFmtId="9" fontId="15" fillId="3" borderId="7" xfId="9" applyNumberFormat="1" applyFont="1" applyFill="1" applyBorder="1" applyAlignment="1">
      <alignment horizontal="right"/>
    </xf>
    <xf numFmtId="165" fontId="15" fillId="0" borderId="16" xfId="9" applyNumberFormat="1" applyFont="1" applyBorder="1" applyAlignment="1">
      <alignment horizontal="right"/>
    </xf>
    <xf numFmtId="188" fontId="49" fillId="3" borderId="80" xfId="9" applyNumberFormat="1" applyFont="1" applyFill="1" applyBorder="1" applyAlignment="1">
      <alignment horizontal="right"/>
    </xf>
    <xf numFmtId="188" fontId="49" fillId="3" borderId="16" xfId="9" applyNumberFormat="1" applyFont="1" applyFill="1" applyBorder="1" applyAlignment="1">
      <alignment horizontal="right"/>
    </xf>
    <xf numFmtId="3" fontId="15" fillId="3" borderId="16" xfId="9" applyNumberFormat="1" applyFont="1" applyFill="1" applyBorder="1" applyAlignment="1">
      <alignment horizontal="left" indent="1"/>
    </xf>
    <xf numFmtId="9" fontId="32" fillId="0" borderId="85" xfId="9" applyNumberFormat="1" applyFont="1" applyBorder="1" applyAlignment="1">
      <alignment horizontal="right"/>
    </xf>
    <xf numFmtId="3" fontId="56" fillId="0" borderId="16" xfId="9" applyNumberFormat="1" applyFont="1" applyBorder="1"/>
    <xf numFmtId="188" fontId="49" fillId="3" borderId="86" xfId="9" applyNumberFormat="1" applyFont="1" applyFill="1" applyBorder="1" applyAlignment="1">
      <alignment horizontal="right"/>
    </xf>
    <xf numFmtId="3" fontId="29" fillId="0" borderId="44" xfId="9" applyNumberFormat="1" applyFont="1" applyBorder="1"/>
    <xf numFmtId="165" fontId="30" fillId="0" borderId="67" xfId="9" applyNumberFormat="1" applyFont="1" applyBorder="1" applyAlignment="1">
      <alignment horizontal="right"/>
    </xf>
    <xf numFmtId="0" fontId="64" fillId="0" borderId="0" xfId="9" applyFont="1" applyAlignment="1">
      <alignment horizontal="right"/>
    </xf>
    <xf numFmtId="0" fontId="64" fillId="0" borderId="0" xfId="9" applyFont="1"/>
    <xf numFmtId="0" fontId="15" fillId="0" borderId="0" xfId="9" applyFont="1"/>
    <xf numFmtId="0" fontId="61" fillId="0" borderId="0" xfId="9" applyFont="1"/>
    <xf numFmtId="0" fontId="29" fillId="6" borderId="59" xfId="8" applyFont="1" applyFill="1" applyBorder="1"/>
    <xf numFmtId="181" fontId="29" fillId="0" borderId="16" xfId="8" applyNumberFormat="1" applyFont="1" applyBorder="1" applyAlignment="1">
      <alignment horizontal="left"/>
    </xf>
    <xf numFmtId="182" fontId="15" fillId="3" borderId="0" xfId="2" applyNumberFormat="1" applyFont="1" applyFill="1" applyBorder="1" applyAlignment="1" applyProtection="1"/>
    <xf numFmtId="182" fontId="15" fillId="3" borderId="7" xfId="2" applyNumberFormat="1" applyFont="1" applyFill="1" applyBorder="1" applyAlignment="1" applyProtection="1"/>
    <xf numFmtId="182" fontId="15" fillId="3" borderId="41" xfId="2" applyNumberFormat="1" applyFont="1" applyFill="1" applyBorder="1" applyAlignment="1" applyProtection="1"/>
    <xf numFmtId="182" fontId="15" fillId="0" borderId="7" xfId="2" applyNumberFormat="1" applyFont="1" applyFill="1" applyBorder="1" applyAlignment="1" applyProtection="1"/>
    <xf numFmtId="181" fontId="15" fillId="0" borderId="0" xfId="8" applyNumberFormat="1" applyFont="1"/>
    <xf numFmtId="182" fontId="15" fillId="3" borderId="87" xfId="2" applyNumberFormat="1" applyFont="1" applyFill="1" applyBorder="1" applyAlignment="1" applyProtection="1"/>
    <xf numFmtId="182" fontId="15" fillId="3" borderId="82" xfId="2" applyNumberFormat="1" applyFont="1" applyFill="1" applyBorder="1" applyAlignment="1" applyProtection="1"/>
    <xf numFmtId="182" fontId="15" fillId="3" borderId="68" xfId="2" applyNumberFormat="1" applyFont="1" applyFill="1" applyBorder="1" applyAlignment="1" applyProtection="1"/>
    <xf numFmtId="182" fontId="15" fillId="3" borderId="80" xfId="2" applyNumberFormat="1" applyFont="1" applyFill="1" applyBorder="1" applyAlignment="1" applyProtection="1"/>
    <xf numFmtId="202" fontId="15" fillId="0" borderId="16" xfId="1" applyNumberFormat="1" applyFont="1" applyFill="1" applyBorder="1" applyAlignment="1">
      <alignment horizontal="left" indent="1"/>
    </xf>
    <xf numFmtId="178" fontId="15" fillId="0" borderId="0" xfId="8" applyNumberFormat="1" applyFont="1"/>
    <xf numFmtId="178" fontId="15" fillId="0" borderId="7" xfId="8" applyNumberFormat="1" applyFont="1" applyBorder="1"/>
    <xf numFmtId="178" fontId="15" fillId="0" borderId="41" xfId="8" applyNumberFormat="1" applyFont="1" applyBorder="1"/>
    <xf numFmtId="178" fontId="15" fillId="3" borderId="87" xfId="8" applyNumberFormat="1" applyFont="1" applyFill="1" applyBorder="1"/>
    <xf numFmtId="178" fontId="15" fillId="3" borderId="82" xfId="8" applyNumberFormat="1" applyFont="1" applyFill="1" applyBorder="1"/>
    <xf numFmtId="178" fontId="15" fillId="3" borderId="68" xfId="8" applyNumberFormat="1" applyFont="1" applyFill="1" applyBorder="1"/>
    <xf numFmtId="178" fontId="15" fillId="3" borderId="80" xfId="8" applyNumberFormat="1" applyFont="1" applyFill="1" applyBorder="1"/>
    <xf numFmtId="179" fontId="27" fillId="0" borderId="0" xfId="8" applyNumberFormat="1" applyFont="1"/>
    <xf numFmtId="203" fontId="15" fillId="0" borderId="16" xfId="1" applyNumberFormat="1" applyFont="1" applyFill="1" applyBorder="1" applyAlignment="1">
      <alignment horizontal="left" indent="1"/>
    </xf>
    <xf numFmtId="178" fontId="15" fillId="3" borderId="87" xfId="8" applyNumberFormat="1" applyFont="1" applyFill="1" applyBorder="1" applyAlignment="1">
      <alignment vertical="center"/>
    </xf>
    <xf numFmtId="178" fontId="15" fillId="3" borderId="82" xfId="8" applyNumberFormat="1" applyFont="1" applyFill="1" applyBorder="1" applyAlignment="1">
      <alignment vertical="center"/>
    </xf>
    <xf numFmtId="178" fontId="15" fillId="3" borderId="68" xfId="8" applyNumberFormat="1" applyFont="1" applyFill="1" applyBorder="1" applyAlignment="1">
      <alignment vertical="center"/>
    </xf>
    <xf numFmtId="178" fontId="15" fillId="3" borderId="80" xfId="8" applyNumberFormat="1" applyFont="1" applyFill="1" applyBorder="1" applyAlignment="1">
      <alignment vertical="center"/>
    </xf>
    <xf numFmtId="181" fontId="29" fillId="3" borderId="16" xfId="8" applyNumberFormat="1" applyFont="1" applyFill="1" applyBorder="1" applyAlignment="1">
      <alignment horizontal="left"/>
    </xf>
    <xf numFmtId="178" fontId="29" fillId="0" borderId="7" xfId="8" applyNumberFormat="1" applyFont="1" applyBorder="1"/>
    <xf numFmtId="178" fontId="29" fillId="0" borderId="41" xfId="8" applyNumberFormat="1" applyFont="1" applyBorder="1"/>
    <xf numFmtId="178" fontId="29" fillId="3" borderId="87" xfId="8" applyNumberFormat="1" applyFont="1" applyFill="1" applyBorder="1"/>
    <xf numFmtId="178" fontId="29" fillId="3" borderId="82" xfId="8" applyNumberFormat="1" applyFont="1" applyFill="1" applyBorder="1"/>
    <xf numFmtId="178" fontId="29" fillId="3" borderId="68" xfId="8" applyNumberFormat="1" applyFont="1" applyFill="1" applyBorder="1"/>
    <xf numFmtId="178" fontId="29" fillId="3" borderId="80" xfId="8" applyNumberFormat="1" applyFont="1" applyFill="1" applyBorder="1"/>
    <xf numFmtId="179" fontId="34" fillId="0" borderId="0" xfId="8" applyNumberFormat="1" applyFont="1"/>
    <xf numFmtId="178" fontId="34" fillId="0" borderId="0" xfId="8" applyNumberFormat="1" applyFont="1"/>
    <xf numFmtId="178" fontId="15" fillId="3" borderId="0" xfId="8" applyNumberFormat="1" applyFont="1" applyFill="1"/>
    <xf numFmtId="178" fontId="15" fillId="3" borderId="7" xfId="8" applyNumberFormat="1" applyFont="1" applyFill="1" applyBorder="1"/>
    <xf numFmtId="178" fontId="15" fillId="3" borderId="41" xfId="8" applyNumberFormat="1" applyFont="1" applyFill="1" applyBorder="1"/>
    <xf numFmtId="178" fontId="51" fillId="0" borderId="0" xfId="8" applyNumberFormat="1" applyFont="1"/>
    <xf numFmtId="178" fontId="15" fillId="0" borderId="68" xfId="8" applyNumberFormat="1" applyFont="1" applyBorder="1"/>
    <xf numFmtId="178" fontId="15" fillId="3" borderId="51" xfId="8" applyNumberFormat="1" applyFont="1" applyFill="1" applyBorder="1"/>
    <xf numFmtId="178" fontId="15" fillId="3" borderId="16" xfId="8" applyNumberFormat="1" applyFont="1" applyFill="1" applyBorder="1"/>
    <xf numFmtId="178" fontId="27" fillId="0" borderId="16" xfId="8" applyNumberFormat="1" applyFont="1" applyBorder="1"/>
    <xf numFmtId="178" fontId="27" fillId="0" borderId="41" xfId="8" applyNumberFormat="1" applyFont="1" applyBorder="1"/>
    <xf numFmtId="169" fontId="29" fillId="3" borderId="88" xfId="8" applyNumberFormat="1" applyFont="1" applyFill="1" applyBorder="1" applyAlignment="1">
      <alignment horizontal="left" indent="2"/>
    </xf>
    <xf numFmtId="178" fontId="29" fillId="3" borderId="46" xfId="8" applyNumberFormat="1" applyFont="1" applyFill="1" applyBorder="1"/>
    <xf numFmtId="178" fontId="29" fillId="3" borderId="76" xfId="8" applyNumberFormat="1" applyFont="1" applyFill="1" applyBorder="1"/>
    <xf numFmtId="178" fontId="29" fillId="3" borderId="75" xfId="8" applyNumberFormat="1" applyFont="1" applyFill="1" applyBorder="1"/>
    <xf numFmtId="178" fontId="29" fillId="0" borderId="46" xfId="8" applyNumberFormat="1" applyFont="1" applyBorder="1"/>
    <xf numFmtId="178" fontId="29" fillId="0" borderId="76" xfId="8" applyNumberFormat="1" applyFont="1" applyBorder="1"/>
    <xf numFmtId="178" fontId="29" fillId="0" borderId="75" xfId="8" applyNumberFormat="1" applyFont="1" applyBorder="1"/>
    <xf numFmtId="178" fontId="29" fillId="3" borderId="89" xfId="8" applyNumberFormat="1" applyFont="1" applyFill="1" applyBorder="1"/>
    <xf numFmtId="178" fontId="29" fillId="3" borderId="90" xfId="8" applyNumberFormat="1" applyFont="1" applyFill="1" applyBorder="1"/>
    <xf numFmtId="178" fontId="29" fillId="3" borderId="91" xfId="8" applyNumberFormat="1" applyFont="1" applyFill="1" applyBorder="1"/>
    <xf numFmtId="178" fontId="29" fillId="3" borderId="92" xfId="8" applyNumberFormat="1" applyFont="1" applyFill="1" applyBorder="1"/>
    <xf numFmtId="178" fontId="29" fillId="3" borderId="7" xfId="8" applyNumberFormat="1" applyFont="1" applyFill="1" applyBorder="1"/>
    <xf numFmtId="178" fontId="29" fillId="3" borderId="41" xfId="8" applyNumberFormat="1" applyFont="1" applyFill="1" applyBorder="1"/>
    <xf numFmtId="179" fontId="31" fillId="0" borderId="0" xfId="8" applyNumberFormat="1" applyFont="1"/>
    <xf numFmtId="178" fontId="31" fillId="0" borderId="0" xfId="8" applyNumberFormat="1" applyFont="1"/>
    <xf numFmtId="203" fontId="15" fillId="3" borderId="16" xfId="1" applyNumberFormat="1" applyFont="1" applyFill="1" applyBorder="1" applyAlignment="1">
      <alignment horizontal="left" indent="1"/>
    </xf>
    <xf numFmtId="178" fontId="51" fillId="3" borderId="0" xfId="8" applyNumberFormat="1" applyFont="1" applyFill="1"/>
    <xf numFmtId="169" fontId="29" fillId="3" borderId="16" xfId="8" applyNumberFormat="1" applyFont="1" applyFill="1" applyBorder="1" applyAlignment="1">
      <alignment horizontal="left" indent="2"/>
    </xf>
    <xf numFmtId="179" fontId="51" fillId="0" borderId="0" xfId="8" applyNumberFormat="1" applyFont="1"/>
    <xf numFmtId="9" fontId="15" fillId="3" borderId="7" xfId="3" applyFont="1" applyFill="1" applyBorder="1" applyAlignment="1" applyProtection="1"/>
    <xf numFmtId="9" fontId="15" fillId="0" borderId="7" xfId="3" applyFont="1" applyFill="1" applyBorder="1" applyAlignment="1" applyProtection="1"/>
    <xf numFmtId="203" fontId="15" fillId="0" borderId="86" xfId="1" applyNumberFormat="1" applyFont="1" applyFill="1" applyBorder="1" applyAlignment="1">
      <alignment horizontal="left" indent="1"/>
    </xf>
    <xf numFmtId="174" fontId="15" fillId="3" borderId="16" xfId="8" applyNumberFormat="1" applyFont="1" applyFill="1" applyBorder="1" applyAlignment="1">
      <alignment horizontal="left" indent="1"/>
    </xf>
    <xf numFmtId="178" fontId="15" fillId="3" borderId="0" xfId="1" applyNumberFormat="1" applyFont="1" applyFill="1" applyBorder="1" applyAlignment="1" applyProtection="1"/>
    <xf numFmtId="178" fontId="15" fillId="3" borderId="7" xfId="1" applyNumberFormat="1" applyFont="1" applyFill="1" applyBorder="1" applyAlignment="1" applyProtection="1"/>
    <xf numFmtId="178" fontId="15" fillId="3" borderId="41" xfId="1" applyNumberFormat="1" applyFont="1" applyFill="1" applyBorder="1" applyAlignment="1" applyProtection="1"/>
    <xf numFmtId="178" fontId="15" fillId="3" borderId="48" xfId="1" applyNumberFormat="1" applyFont="1" applyFill="1" applyBorder="1" applyAlignment="1" applyProtection="1"/>
    <xf numFmtId="178" fontId="15" fillId="3" borderId="67" xfId="1" applyNumberFormat="1" applyFont="1" applyFill="1" applyBorder="1" applyAlignment="1" applyProtection="1"/>
    <xf numFmtId="178" fontId="15" fillId="3" borderId="64" xfId="1" applyNumberFormat="1" applyFont="1" applyFill="1" applyBorder="1" applyAlignment="1" applyProtection="1"/>
    <xf numFmtId="178" fontId="15" fillId="0" borderId="0" xfId="1" applyNumberFormat="1" applyFont="1" applyFill="1" applyBorder="1" applyAlignment="1" applyProtection="1"/>
    <xf numFmtId="179" fontId="15" fillId="3" borderId="0" xfId="1" applyNumberFormat="1" applyFont="1" applyFill="1" applyBorder="1" applyAlignment="1" applyProtection="1"/>
    <xf numFmtId="178" fontId="15" fillId="0" borderId="67" xfId="1" applyNumberFormat="1" applyFont="1" applyFill="1" applyBorder="1" applyAlignment="1" applyProtection="1"/>
    <xf numFmtId="178" fontId="15" fillId="0" borderId="64" xfId="1" applyNumberFormat="1" applyFont="1" applyFill="1" applyBorder="1" applyAlignment="1" applyProtection="1"/>
    <xf numFmtId="178" fontId="15" fillId="3" borderId="87" xfId="1" applyNumberFormat="1" applyFont="1" applyFill="1" applyBorder="1" applyAlignment="1" applyProtection="1"/>
    <xf numFmtId="178" fontId="15" fillId="3" borderId="82" xfId="1" applyNumberFormat="1" applyFont="1" applyFill="1" applyBorder="1" applyAlignment="1" applyProtection="1"/>
    <xf numFmtId="178" fontId="15" fillId="3" borderId="68" xfId="1" applyNumberFormat="1" applyFont="1" applyFill="1" applyBorder="1" applyAlignment="1" applyProtection="1"/>
    <xf numFmtId="178" fontId="15" fillId="3" borderId="80" xfId="1" applyNumberFormat="1" applyFont="1" applyFill="1" applyBorder="1" applyAlignment="1" applyProtection="1"/>
    <xf numFmtId="0" fontId="29" fillId="3" borderId="16" xfId="10" applyNumberFormat="1" applyFont="1" applyFill="1" applyBorder="1" applyAlignment="1" applyProtection="1">
      <alignment horizontal="left"/>
    </xf>
    <xf numFmtId="177" fontId="15" fillId="3" borderId="7" xfId="1" applyNumberFormat="1" applyFont="1" applyFill="1" applyBorder="1" applyAlignment="1" applyProtection="1"/>
    <xf numFmtId="177" fontId="15" fillId="3" borderId="0" xfId="1" applyNumberFormat="1" applyFont="1" applyFill="1" applyBorder="1" applyAlignment="1" applyProtection="1"/>
    <xf numFmtId="177" fontId="15" fillId="0" borderId="7" xfId="1" applyNumberFormat="1" applyFont="1" applyFill="1" applyBorder="1" applyAlignment="1" applyProtection="1"/>
    <xf numFmtId="178" fontId="15" fillId="0" borderId="41" xfId="1" applyNumberFormat="1" applyFont="1" applyFill="1" applyBorder="1" applyAlignment="1" applyProtection="1"/>
    <xf numFmtId="178" fontId="27" fillId="3" borderId="0" xfId="8" applyNumberFormat="1" applyFont="1" applyFill="1"/>
    <xf numFmtId="169" fontId="15" fillId="0" borderId="88" xfId="8" applyNumberFormat="1" applyFont="1" applyBorder="1" applyAlignment="1">
      <alignment horizontal="left" indent="2"/>
    </xf>
    <xf numFmtId="178" fontId="15" fillId="3" borderId="46" xfId="8" applyNumberFormat="1" applyFont="1" applyFill="1" applyBorder="1"/>
    <xf numFmtId="178" fontId="15" fillId="3" borderId="76" xfId="8" applyNumberFormat="1" applyFont="1" applyFill="1" applyBorder="1"/>
    <xf numFmtId="178" fontId="15" fillId="3" borderId="75" xfId="8" applyNumberFormat="1" applyFont="1" applyFill="1" applyBorder="1"/>
    <xf numFmtId="178" fontId="15" fillId="0" borderId="46" xfId="8" applyNumberFormat="1" applyFont="1" applyBorder="1"/>
    <xf numFmtId="178" fontId="15" fillId="0" borderId="75" xfId="8" applyNumberFormat="1" applyFont="1" applyBorder="1"/>
    <xf numFmtId="178" fontId="15" fillId="3" borderId="89" xfId="8" applyNumberFormat="1" applyFont="1" applyFill="1" applyBorder="1"/>
    <xf numFmtId="178" fontId="15" fillId="3" borderId="90" xfId="8" applyNumberFormat="1" applyFont="1" applyFill="1" applyBorder="1"/>
    <xf numFmtId="178" fontId="15" fillId="3" borderId="91" xfId="8" applyNumberFormat="1" applyFont="1" applyFill="1" applyBorder="1"/>
    <xf numFmtId="178" fontId="15" fillId="3" borderId="92" xfId="8" applyNumberFormat="1" applyFont="1" applyFill="1" applyBorder="1"/>
    <xf numFmtId="169" fontId="29" fillId="0" borderId="93" xfId="8" applyNumberFormat="1" applyFont="1" applyBorder="1" applyAlignment="1">
      <alignment horizontal="left" vertical="center" indent="2"/>
    </xf>
    <xf numFmtId="204" fontId="29" fillId="3" borderId="94" xfId="8" applyNumberFormat="1" applyFont="1" applyFill="1" applyBorder="1" applyAlignment="1">
      <alignment vertical="center"/>
    </xf>
    <xf numFmtId="178" fontId="29" fillId="3" borderId="94" xfId="8" applyNumberFormat="1" applyFont="1" applyFill="1" applyBorder="1" applyAlignment="1">
      <alignment vertical="center"/>
    </xf>
    <xf numFmtId="178" fontId="29" fillId="3" borderId="95" xfId="8" applyNumberFormat="1" applyFont="1" applyFill="1" applyBorder="1" applyAlignment="1">
      <alignment vertical="center"/>
    </xf>
    <xf numFmtId="178" fontId="29" fillId="3" borderId="96" xfId="8" applyNumberFormat="1" applyFont="1" applyFill="1" applyBorder="1" applyAlignment="1">
      <alignment vertical="center"/>
    </xf>
    <xf numFmtId="178" fontId="29" fillId="3" borderId="97" xfId="8" applyNumberFormat="1" applyFont="1" applyFill="1" applyBorder="1" applyAlignment="1">
      <alignment vertical="center"/>
    </xf>
    <xf numFmtId="178" fontId="29" fillId="3" borderId="85" xfId="8" applyNumberFormat="1" applyFont="1" applyFill="1" applyBorder="1" applyAlignment="1">
      <alignment vertical="center"/>
    </xf>
    <xf numFmtId="178" fontId="29" fillId="3" borderId="42" xfId="8" applyNumberFormat="1" applyFont="1" applyFill="1" applyBorder="1" applyAlignment="1">
      <alignment vertical="center"/>
    </xf>
    <xf numFmtId="178" fontId="29" fillId="3" borderId="44" xfId="8" applyNumberFormat="1" applyFont="1" applyFill="1" applyBorder="1" applyAlignment="1">
      <alignment vertical="center"/>
    </xf>
    <xf numFmtId="178" fontId="29" fillId="0" borderId="42" xfId="8" applyNumberFormat="1" applyFont="1" applyBorder="1" applyAlignment="1">
      <alignment vertical="center"/>
    </xf>
    <xf numFmtId="178" fontId="29" fillId="3" borderId="89" xfId="8" applyNumberFormat="1" applyFont="1" applyFill="1" applyBorder="1" applyAlignment="1">
      <alignment vertical="center"/>
    </xf>
    <xf numFmtId="178" fontId="29" fillId="3" borderId="90" xfId="8" applyNumberFormat="1" applyFont="1" applyFill="1" applyBorder="1" applyAlignment="1">
      <alignment vertical="center"/>
    </xf>
    <xf numFmtId="178" fontId="29" fillId="3" borderId="98" xfId="8" applyNumberFormat="1" applyFont="1" applyFill="1" applyBorder="1" applyAlignment="1">
      <alignment vertical="center"/>
    </xf>
    <xf numFmtId="178" fontId="29" fillId="3" borderId="99" xfId="8" applyNumberFormat="1" applyFont="1" applyFill="1" applyBorder="1" applyAlignment="1">
      <alignment vertical="center"/>
    </xf>
    <xf numFmtId="178" fontId="29" fillId="3" borderId="100" xfId="8" applyNumberFormat="1" applyFont="1" applyFill="1" applyBorder="1" applyAlignment="1">
      <alignment vertical="center"/>
    </xf>
    <xf numFmtId="178" fontId="65" fillId="0" borderId="0" xfId="8" applyNumberFormat="1" applyFont="1"/>
    <xf numFmtId="174" fontId="31" fillId="0" borderId="0" xfId="8" applyNumberFormat="1" applyFont="1" applyAlignment="1">
      <alignment horizontal="left"/>
    </xf>
    <xf numFmtId="9" fontId="27" fillId="3" borderId="0" xfId="3" applyFont="1" applyFill="1" applyBorder="1" applyAlignment="1" applyProtection="1"/>
    <xf numFmtId="0" fontId="29" fillId="3" borderId="59" xfId="8" applyFont="1" applyFill="1" applyBorder="1"/>
    <xf numFmtId="176" fontId="29" fillId="3" borderId="67" xfId="8" applyNumberFormat="1" applyFont="1" applyFill="1" applyBorder="1"/>
    <xf numFmtId="175" fontId="29" fillId="3" borderId="59" xfId="8" applyNumberFormat="1" applyFont="1" applyFill="1" applyBorder="1"/>
    <xf numFmtId="187" fontId="32" fillId="3" borderId="7" xfId="11" applyNumberFormat="1" applyFont="1" applyFill="1" applyBorder="1" applyAlignment="1" applyProtection="1">
      <alignment horizontal="right"/>
    </xf>
    <xf numFmtId="187" fontId="15" fillId="0" borderId="7" xfId="9" applyNumberFormat="1" applyFont="1" applyBorder="1" applyAlignment="1">
      <alignment horizontal="right"/>
    </xf>
    <xf numFmtId="187" fontId="15" fillId="0" borderId="16" xfId="9" applyNumberFormat="1" applyFont="1" applyBorder="1" applyAlignment="1">
      <alignment horizontal="right"/>
    </xf>
    <xf numFmtId="187" fontId="32" fillId="3" borderId="86" xfId="9" applyNumberFormat="1" applyFont="1" applyFill="1" applyBorder="1" applyAlignment="1">
      <alignment horizontal="left" indent="1"/>
    </xf>
    <xf numFmtId="188" fontId="32" fillId="0" borderId="85" xfId="11" applyNumberFormat="1" applyFont="1" applyFill="1" applyBorder="1" applyAlignment="1" applyProtection="1">
      <alignment horizontal="right"/>
    </xf>
    <xf numFmtId="188" fontId="32" fillId="0" borderId="42" xfId="11" applyNumberFormat="1" applyFont="1" applyFill="1" applyBorder="1" applyAlignment="1" applyProtection="1">
      <alignment horizontal="right"/>
    </xf>
    <xf numFmtId="188" fontId="32" fillId="0" borderId="44" xfId="11" applyNumberFormat="1" applyFont="1" applyFill="1" applyBorder="1" applyAlignment="1" applyProtection="1">
      <alignment horizontal="right"/>
    </xf>
    <xf numFmtId="188" fontId="32" fillId="0" borderId="86" xfId="9" applyNumberFormat="1" applyFont="1" applyBorder="1" applyAlignment="1">
      <alignment horizontal="right"/>
    </xf>
    <xf numFmtId="174" fontId="31" fillId="11" borderId="0" xfId="8" applyNumberFormat="1" applyFont="1" applyFill="1" applyAlignment="1">
      <alignment horizontal="left"/>
    </xf>
    <xf numFmtId="178" fontId="27" fillId="11" borderId="0" xfId="8" applyNumberFormat="1" applyFont="1" applyFill="1" applyAlignment="1">
      <alignment horizontal="right"/>
    </xf>
    <xf numFmtId="178" fontId="27" fillId="11" borderId="0" xfId="8" applyNumberFormat="1" applyFont="1" applyFill="1"/>
    <xf numFmtId="179" fontId="27" fillId="11" borderId="0" xfId="8" applyNumberFormat="1" applyFont="1" applyFill="1" applyAlignment="1">
      <alignment horizontal="right"/>
    </xf>
    <xf numFmtId="204" fontId="27" fillId="11" borderId="0" xfId="8" applyNumberFormat="1" applyFont="1" applyFill="1" applyAlignment="1">
      <alignment horizontal="right"/>
    </xf>
    <xf numFmtId="205" fontId="27" fillId="11" borderId="0" xfId="8" applyNumberFormat="1" applyFont="1" applyFill="1" applyAlignment="1">
      <alignment horizontal="right"/>
    </xf>
    <xf numFmtId="179" fontId="15" fillId="0" borderId="0" xfId="8" applyNumberFormat="1" applyFont="1"/>
    <xf numFmtId="206" fontId="15" fillId="0" borderId="0" xfId="1" applyNumberFormat="1" applyFont="1" applyFill="1" applyBorder="1" applyAlignment="1"/>
    <xf numFmtId="0" fontId="15" fillId="0" borderId="48" xfId="8" applyFont="1" applyBorder="1"/>
    <xf numFmtId="178" fontId="15" fillId="0" borderId="48" xfId="8" applyNumberFormat="1" applyFont="1" applyBorder="1"/>
    <xf numFmtId="178" fontId="15" fillId="0" borderId="8" xfId="8" applyNumberFormat="1" applyFont="1" applyBorder="1"/>
    <xf numFmtId="178" fontId="15" fillId="0" borderId="64" xfId="8" applyNumberFormat="1" applyFont="1" applyBorder="1"/>
    <xf numFmtId="0" fontId="15" fillId="0" borderId="41" xfId="8" applyFont="1" applyBorder="1"/>
    <xf numFmtId="178" fontId="48" fillId="0" borderId="41" xfId="8" applyNumberFormat="1" applyFont="1" applyBorder="1"/>
    <xf numFmtId="178" fontId="48" fillId="0" borderId="0" xfId="8" applyNumberFormat="1" applyFont="1"/>
    <xf numFmtId="178" fontId="48" fillId="0" borderId="7" xfId="8" applyNumberFormat="1" applyFont="1" applyBorder="1"/>
    <xf numFmtId="207" fontId="15" fillId="0" borderId="41" xfId="8" applyNumberFormat="1" applyFont="1" applyBorder="1"/>
    <xf numFmtId="207" fontId="15" fillId="0" borderId="0" xfId="8" applyNumberFormat="1" applyFont="1"/>
    <xf numFmtId="207" fontId="15" fillId="0" borderId="7" xfId="8" applyNumberFormat="1" applyFont="1" applyBorder="1"/>
    <xf numFmtId="207" fontId="41" fillId="0" borderId="41" xfId="8" applyNumberFormat="1" applyFont="1" applyBorder="1"/>
    <xf numFmtId="207" fontId="41" fillId="0" borderId="0" xfId="8" applyNumberFormat="1" applyFont="1"/>
    <xf numFmtId="207" fontId="41" fillId="0" borderId="7" xfId="8" applyNumberFormat="1" applyFont="1" applyBorder="1"/>
    <xf numFmtId="203" fontId="15" fillId="0" borderId="41" xfId="8" applyNumberFormat="1" applyFont="1" applyBorder="1" applyAlignment="1">
      <alignment horizontal="left" indent="1"/>
    </xf>
    <xf numFmtId="165" fontId="15" fillId="0" borderId="41" xfId="3" applyNumberFormat="1" applyFont="1" applyFill="1" applyBorder="1" applyAlignment="1"/>
    <xf numFmtId="165" fontId="15" fillId="0" borderId="0" xfId="3" applyNumberFormat="1" applyFont="1" applyFill="1" applyBorder="1" applyAlignment="1"/>
    <xf numFmtId="165" fontId="15" fillId="0" borderId="7" xfId="3" applyNumberFormat="1" applyFont="1" applyFill="1" applyBorder="1" applyAlignment="1"/>
    <xf numFmtId="165" fontId="41" fillId="0" borderId="41" xfId="3" applyNumberFormat="1" applyFont="1" applyFill="1" applyBorder="1" applyAlignment="1"/>
    <xf numFmtId="165" fontId="41" fillId="0" borderId="0" xfId="3" applyNumberFormat="1" applyFont="1" applyFill="1" applyBorder="1" applyAlignment="1"/>
    <xf numFmtId="203" fontId="15" fillId="3" borderId="41" xfId="8" applyNumberFormat="1" applyFont="1" applyFill="1" applyBorder="1" applyAlignment="1">
      <alignment horizontal="left" indent="1"/>
    </xf>
    <xf numFmtId="165" fontId="15" fillId="3" borderId="7" xfId="3" applyNumberFormat="1" applyFont="1" applyFill="1" applyBorder="1" applyAlignment="1"/>
    <xf numFmtId="9" fontId="48" fillId="0" borderId="41" xfId="3" applyFont="1" applyFill="1" applyBorder="1" applyAlignment="1"/>
    <xf numFmtId="9" fontId="15" fillId="0" borderId="0" xfId="3" applyFont="1" applyFill="1" applyBorder="1" applyAlignment="1"/>
    <xf numFmtId="9" fontId="15" fillId="0" borderId="7" xfId="3" applyFont="1" applyFill="1" applyBorder="1" applyAlignment="1"/>
    <xf numFmtId="9" fontId="48" fillId="0" borderId="0" xfId="3" applyFont="1" applyFill="1" applyBorder="1" applyAlignment="1"/>
    <xf numFmtId="0" fontId="15" fillId="12" borderId="41" xfId="8" applyFont="1" applyFill="1" applyBorder="1"/>
    <xf numFmtId="175" fontId="15" fillId="12" borderId="41" xfId="3" applyNumberFormat="1" applyFont="1" applyFill="1" applyBorder="1" applyAlignment="1"/>
    <xf numFmtId="175" fontId="15" fillId="12" borderId="0" xfId="3" applyNumberFormat="1" applyFont="1" applyFill="1" applyBorder="1" applyAlignment="1"/>
    <xf numFmtId="175" fontId="15" fillId="12" borderId="7" xfId="3" applyNumberFormat="1" applyFont="1" applyFill="1" applyBorder="1" applyAlignment="1"/>
    <xf numFmtId="175" fontId="15" fillId="12" borderId="41" xfId="8" applyNumberFormat="1" applyFont="1" applyFill="1" applyBorder="1" applyAlignment="1">
      <alignment horizontal="right"/>
    </xf>
    <xf numFmtId="175" fontId="15" fillId="12" borderId="0" xfId="8" applyNumberFormat="1" applyFont="1" applyFill="1" applyAlignment="1">
      <alignment horizontal="right"/>
    </xf>
    <xf numFmtId="175" fontId="15" fillId="12" borderId="7" xfId="8" applyNumberFormat="1" applyFont="1" applyFill="1" applyBorder="1" applyAlignment="1">
      <alignment horizontal="right"/>
    </xf>
    <xf numFmtId="9" fontId="29" fillId="0" borderId="7" xfId="3" applyFont="1" applyFill="1" applyBorder="1" applyAlignment="1" applyProtection="1"/>
    <xf numFmtId="175" fontId="15" fillId="12" borderId="16" xfId="8" applyNumberFormat="1" applyFont="1" applyFill="1" applyBorder="1" applyAlignment="1">
      <alignment horizontal="right"/>
    </xf>
    <xf numFmtId="0" fontId="29" fillId="12" borderId="41" xfId="8" applyFont="1" applyFill="1" applyBorder="1"/>
    <xf numFmtId="175" fontId="29" fillId="12" borderId="41" xfId="3" applyNumberFormat="1" applyFont="1" applyFill="1" applyBorder="1" applyAlignment="1"/>
    <xf numFmtId="175" fontId="29" fillId="12" borderId="0" xfId="3" applyNumberFormat="1" applyFont="1" applyFill="1" applyBorder="1" applyAlignment="1"/>
    <xf numFmtId="175" fontId="29" fillId="12" borderId="7" xfId="3" applyNumberFormat="1" applyFont="1" applyFill="1" applyBorder="1" applyAlignment="1"/>
    <xf numFmtId="175" fontId="29" fillId="12" borderId="41" xfId="8" applyNumberFormat="1" applyFont="1" applyFill="1" applyBorder="1" applyAlignment="1">
      <alignment horizontal="right"/>
    </xf>
    <xf numFmtId="175" fontId="29" fillId="12" borderId="0" xfId="8" applyNumberFormat="1" applyFont="1" applyFill="1" applyAlignment="1">
      <alignment horizontal="right"/>
    </xf>
    <xf numFmtId="175" fontId="29" fillId="12" borderId="7" xfId="8" applyNumberFormat="1" applyFont="1" applyFill="1" applyBorder="1" applyAlignment="1">
      <alignment horizontal="right"/>
    </xf>
    <xf numFmtId="175" fontId="29" fillId="0" borderId="41" xfId="8" applyNumberFormat="1" applyFont="1" applyBorder="1" applyAlignment="1">
      <alignment horizontal="right"/>
    </xf>
    <xf numFmtId="175" fontId="29" fillId="12" borderId="16" xfId="8" applyNumberFormat="1" applyFont="1" applyFill="1" applyBorder="1" applyAlignment="1">
      <alignment horizontal="right"/>
    </xf>
    <xf numFmtId="0" fontId="35" fillId="12" borderId="41" xfId="8" applyFont="1" applyFill="1" applyBorder="1" applyAlignment="1">
      <alignment horizontal="left" indent="1"/>
    </xf>
    <xf numFmtId="9" fontId="15" fillId="12" borderId="41" xfId="3" applyFont="1" applyFill="1" applyBorder="1" applyAlignment="1"/>
    <xf numFmtId="9" fontId="15" fillId="12" borderId="0" xfId="3" applyFont="1" applyFill="1" applyBorder="1" applyAlignment="1"/>
    <xf numFmtId="9" fontId="15" fillId="12" borderId="7" xfId="3" applyFont="1" applyFill="1" applyBorder="1" applyAlignment="1"/>
    <xf numFmtId="191" fontId="15" fillId="12" borderId="41" xfId="8" applyNumberFormat="1" applyFont="1" applyFill="1" applyBorder="1" applyAlignment="1">
      <alignment horizontal="right"/>
    </xf>
    <xf numFmtId="191" fontId="15" fillId="12" borderId="0" xfId="8" applyNumberFormat="1" applyFont="1" applyFill="1" applyAlignment="1">
      <alignment horizontal="right"/>
    </xf>
    <xf numFmtId="191" fontId="15" fillId="12" borderId="7" xfId="8" applyNumberFormat="1" applyFont="1" applyFill="1" applyBorder="1" applyAlignment="1">
      <alignment horizontal="right"/>
    </xf>
    <xf numFmtId="175" fontId="35" fillId="13" borderId="0" xfId="8" applyNumberFormat="1" applyFont="1" applyFill="1"/>
    <xf numFmtId="175" fontId="35" fillId="13" borderId="7" xfId="8" applyNumberFormat="1" applyFont="1" applyFill="1" applyBorder="1"/>
    <xf numFmtId="175" fontId="35" fillId="13" borderId="41" xfId="8" applyNumberFormat="1" applyFont="1" applyFill="1" applyBorder="1"/>
    <xf numFmtId="9" fontId="29" fillId="0" borderId="16" xfId="3" applyFont="1" applyFill="1" applyBorder="1" applyAlignment="1" applyProtection="1"/>
    <xf numFmtId="175" fontId="35" fillId="13" borderId="7" xfId="8" applyNumberFormat="1" applyFont="1" applyFill="1" applyBorder="1" applyAlignment="1">
      <alignment horizontal="right"/>
    </xf>
    <xf numFmtId="175" fontId="35" fillId="13" borderId="16" xfId="8" applyNumberFormat="1" applyFont="1" applyFill="1" applyBorder="1" applyAlignment="1">
      <alignment horizontal="right"/>
    </xf>
    <xf numFmtId="175" fontId="35" fillId="13" borderId="16" xfId="8" applyNumberFormat="1" applyFont="1" applyFill="1" applyBorder="1"/>
    <xf numFmtId="9" fontId="29" fillId="12" borderId="41" xfId="3" applyFont="1" applyFill="1" applyBorder="1" applyAlignment="1"/>
    <xf numFmtId="9" fontId="29" fillId="12" borderId="0" xfId="3" applyFont="1" applyFill="1" applyBorder="1" applyAlignment="1"/>
    <xf numFmtId="9" fontId="29" fillId="12" borderId="7" xfId="3" applyFont="1" applyFill="1" applyBorder="1" applyAlignment="1"/>
    <xf numFmtId="191" fontId="29" fillId="12" borderId="41" xfId="8" applyNumberFormat="1" applyFont="1" applyFill="1" applyBorder="1" applyAlignment="1">
      <alignment horizontal="right"/>
    </xf>
    <xf numFmtId="191" fontId="29" fillId="12" borderId="0" xfId="8" applyNumberFormat="1" applyFont="1" applyFill="1" applyAlignment="1">
      <alignment horizontal="right"/>
    </xf>
    <xf numFmtId="191" fontId="29" fillId="12" borderId="7" xfId="8" applyNumberFormat="1" applyFont="1" applyFill="1" applyBorder="1" applyAlignment="1">
      <alignment horizontal="right"/>
    </xf>
    <xf numFmtId="175" fontId="66" fillId="13" borderId="0" xfId="8" applyNumberFormat="1" applyFont="1" applyFill="1"/>
    <xf numFmtId="175" fontId="66" fillId="13" borderId="7" xfId="8" applyNumberFormat="1" applyFont="1" applyFill="1" applyBorder="1"/>
    <xf numFmtId="165" fontId="29" fillId="13" borderId="41" xfId="3" applyNumberFormat="1" applyFont="1" applyFill="1" applyBorder="1"/>
    <xf numFmtId="165" fontId="29" fillId="13" borderId="0" xfId="3" applyNumberFormat="1" applyFont="1" applyFill="1" applyBorder="1"/>
    <xf numFmtId="165" fontId="29" fillId="0" borderId="41" xfId="3" applyNumberFormat="1" applyFont="1" applyFill="1" applyBorder="1"/>
    <xf numFmtId="165" fontId="29" fillId="13" borderId="16" xfId="3" applyNumberFormat="1" applyFont="1" applyFill="1" applyBorder="1"/>
    <xf numFmtId="0" fontId="15" fillId="3" borderId="41" xfId="8" applyFont="1" applyFill="1" applyBorder="1" applyAlignment="1">
      <alignment horizontal="left"/>
    </xf>
    <xf numFmtId="9" fontId="15" fillId="3" borderId="41" xfId="3" applyFont="1" applyFill="1" applyBorder="1" applyAlignment="1"/>
    <xf numFmtId="9" fontId="15" fillId="3" borderId="0" xfId="3" applyFont="1" applyFill="1" applyBorder="1" applyAlignment="1"/>
    <xf numFmtId="9" fontId="15" fillId="3" borderId="7" xfId="3" applyFont="1" applyFill="1" applyBorder="1" applyAlignment="1"/>
    <xf numFmtId="191" fontId="41" fillId="3" borderId="41" xfId="8" applyNumberFormat="1" applyFont="1" applyFill="1" applyBorder="1" applyAlignment="1">
      <alignment horizontal="right"/>
    </xf>
    <xf numFmtId="191" fontId="41" fillId="3" borderId="0" xfId="8" applyNumberFormat="1" applyFont="1" applyFill="1" applyAlignment="1">
      <alignment horizontal="right"/>
    </xf>
    <xf numFmtId="191" fontId="41" fillId="3" borderId="7" xfId="8" applyNumberFormat="1" applyFont="1" applyFill="1" applyBorder="1" applyAlignment="1">
      <alignment horizontal="right"/>
    </xf>
    <xf numFmtId="9" fontId="41" fillId="3" borderId="41" xfId="3" applyFont="1" applyFill="1" applyBorder="1" applyAlignment="1">
      <alignment horizontal="right"/>
    </xf>
    <xf numFmtId="9" fontId="41" fillId="3" borderId="0" xfId="3" applyFont="1" applyFill="1" applyBorder="1" applyAlignment="1">
      <alignment horizontal="right"/>
    </xf>
    <xf numFmtId="9" fontId="47" fillId="3" borderId="16" xfId="3" applyFont="1" applyFill="1" applyBorder="1" applyAlignment="1" applyProtection="1"/>
    <xf numFmtId="193" fontId="15" fillId="3" borderId="87" xfId="1" applyNumberFormat="1" applyFont="1" applyFill="1" applyBorder="1" applyAlignment="1" applyProtection="1"/>
    <xf numFmtId="193" fontId="15" fillId="3" borderId="80" xfId="1" applyNumberFormat="1" applyFont="1" applyFill="1" applyBorder="1" applyAlignment="1" applyProtection="1"/>
    <xf numFmtId="0" fontId="15" fillId="0" borderId="85" xfId="8" applyFont="1" applyBorder="1"/>
    <xf numFmtId="165" fontId="15" fillId="0" borderId="85" xfId="3" applyNumberFormat="1" applyFont="1" applyFill="1" applyBorder="1" applyAlignment="1"/>
    <xf numFmtId="165" fontId="15" fillId="0" borderId="42" xfId="3" applyNumberFormat="1" applyFont="1" applyFill="1" applyBorder="1" applyAlignment="1"/>
    <xf numFmtId="165" fontId="15" fillId="0" borderId="44" xfId="3" applyNumberFormat="1" applyFont="1" applyFill="1" applyBorder="1" applyAlignment="1"/>
    <xf numFmtId="178" fontId="15" fillId="3" borderId="101" xfId="8" applyNumberFormat="1" applyFont="1" applyFill="1" applyBorder="1"/>
    <xf numFmtId="178" fontId="15" fillId="3" borderId="57" xfId="8" applyNumberFormat="1" applyFont="1" applyFill="1" applyBorder="1"/>
    <xf numFmtId="178" fontId="15" fillId="3" borderId="56" xfId="8" applyNumberFormat="1" applyFont="1" applyFill="1" applyBorder="1"/>
    <xf numFmtId="178" fontId="15" fillId="3" borderId="58" xfId="8" applyNumberFormat="1" applyFont="1" applyFill="1" applyBorder="1"/>
    <xf numFmtId="178" fontId="35" fillId="0" borderId="0" xfId="8" applyNumberFormat="1" applyFont="1"/>
    <xf numFmtId="9" fontId="27" fillId="0" borderId="0" xfId="3" applyFont="1" applyFill="1" applyBorder="1" applyAlignment="1"/>
    <xf numFmtId="178" fontId="55" fillId="0" borderId="0" xfId="8" applyNumberFormat="1" applyFont="1"/>
    <xf numFmtId="1" fontId="67" fillId="0" borderId="0" xfId="8" applyNumberFormat="1" applyFont="1"/>
    <xf numFmtId="1" fontId="27" fillId="0" borderId="0" xfId="8" applyNumberFormat="1" applyFont="1"/>
    <xf numFmtId="0" fontId="67" fillId="0" borderId="0" xfId="8" applyFont="1"/>
    <xf numFmtId="9" fontId="26" fillId="0" borderId="102" xfId="3" applyFont="1" applyFill="1" applyBorder="1" applyAlignment="1" applyProtection="1"/>
    <xf numFmtId="0" fontId="68" fillId="14" borderId="43" xfId="8" applyFont="1" applyFill="1" applyBorder="1"/>
    <xf numFmtId="0" fontId="69" fillId="14" borderId="42" xfId="8" applyFont="1" applyFill="1" applyBorder="1"/>
    <xf numFmtId="1" fontId="33" fillId="0" borderId="82" xfId="8" applyNumberFormat="1" applyFont="1" applyBorder="1" applyAlignment="1">
      <alignment horizontal="right"/>
    </xf>
    <xf numFmtId="1" fontId="33" fillId="0" borderId="16" xfId="8" applyNumberFormat="1" applyFont="1" applyBorder="1" applyAlignment="1">
      <alignment horizontal="right"/>
    </xf>
    <xf numFmtId="1" fontId="33" fillId="0" borderId="80" xfId="8" applyNumberFormat="1" applyFont="1" applyBorder="1" applyAlignment="1">
      <alignment horizontal="right"/>
    </xf>
    <xf numFmtId="0" fontId="15" fillId="3" borderId="51" xfId="8" applyFont="1" applyFill="1" applyBorder="1"/>
    <xf numFmtId="0" fontId="15" fillId="3" borderId="82" xfId="8" applyFont="1" applyFill="1" applyBorder="1"/>
    <xf numFmtId="0" fontId="15" fillId="0" borderId="51" xfId="8" applyFont="1" applyBorder="1"/>
    <xf numFmtId="0" fontId="15" fillId="0" borderId="87" xfId="8" applyFont="1" applyBorder="1"/>
    <xf numFmtId="0" fontId="15" fillId="0" borderId="82" xfId="8" applyFont="1" applyBorder="1"/>
    <xf numFmtId="0" fontId="15" fillId="0" borderId="80" xfId="8" applyFont="1" applyBorder="1"/>
    <xf numFmtId="0" fontId="27" fillId="0" borderId="53" xfId="8" applyFont="1" applyBorder="1"/>
    <xf numFmtId="178" fontId="15" fillId="3" borderId="53" xfId="8" applyNumberFormat="1" applyFont="1" applyFill="1" applyBorder="1"/>
    <xf numFmtId="178" fontId="15" fillId="0" borderId="51" xfId="8" applyNumberFormat="1" applyFont="1" applyBorder="1"/>
    <xf numFmtId="178" fontId="15" fillId="0" borderId="87" xfId="8" applyNumberFormat="1" applyFont="1" applyBorder="1"/>
    <xf numFmtId="178" fontId="15" fillId="0" borderId="82" xfId="8" applyNumberFormat="1" applyFont="1" applyBorder="1"/>
    <xf numFmtId="178" fontId="15" fillId="0" borderId="16" xfId="8" applyNumberFormat="1" applyFont="1" applyBorder="1"/>
    <xf numFmtId="178" fontId="15" fillId="0" borderId="80" xfId="8" applyNumberFormat="1" applyFont="1" applyBorder="1"/>
    <xf numFmtId="0" fontId="27" fillId="0" borderId="7" xfId="8" applyFont="1" applyBorder="1"/>
    <xf numFmtId="0" fontId="15" fillId="0" borderId="7" xfId="8" applyFont="1" applyBorder="1"/>
    <xf numFmtId="176" fontId="15" fillId="3" borderId="7" xfId="8" applyNumberFormat="1" applyFont="1" applyFill="1" applyBorder="1"/>
    <xf numFmtId="191" fontId="15" fillId="0" borderId="7" xfId="8" applyNumberFormat="1" applyFont="1" applyBorder="1"/>
    <xf numFmtId="0" fontId="29" fillId="3" borderId="16" xfId="8" applyFont="1" applyFill="1" applyBorder="1" applyAlignment="1">
      <alignment horizontal="left" indent="1"/>
    </xf>
    <xf numFmtId="178" fontId="15" fillId="0" borderId="53" xfId="8" applyNumberFormat="1" applyFont="1" applyBorder="1"/>
    <xf numFmtId="0" fontId="31" fillId="0" borderId="53" xfId="8" applyFont="1" applyBorder="1"/>
    <xf numFmtId="178" fontId="29" fillId="0" borderId="53" xfId="8" applyNumberFormat="1" applyFont="1" applyBorder="1"/>
    <xf numFmtId="0" fontId="15" fillId="3" borderId="16" xfId="8" applyFont="1" applyFill="1" applyBorder="1" applyAlignment="1">
      <alignment horizontal="left" indent="2"/>
    </xf>
    <xf numFmtId="0" fontId="15" fillId="0" borderId="16" xfId="8" applyFont="1" applyBorder="1" applyAlignment="1">
      <alignment horizontal="left" indent="2"/>
    </xf>
    <xf numFmtId="178" fontId="15" fillId="3" borderId="44" xfId="8" applyNumberFormat="1" applyFont="1" applyFill="1" applyBorder="1"/>
    <xf numFmtId="178" fontId="15" fillId="0" borderId="87" xfId="8" applyNumberFormat="1" applyFont="1" applyBorder="1" applyAlignment="1">
      <alignment horizontal="center"/>
    </xf>
    <xf numFmtId="178" fontId="15" fillId="0" borderId="82" xfId="8" applyNumberFormat="1" applyFont="1" applyBorder="1" applyAlignment="1">
      <alignment horizontal="center"/>
    </xf>
    <xf numFmtId="178" fontId="15" fillId="0" borderId="68" xfId="8" applyNumberFormat="1" applyFont="1" applyBorder="1" applyAlignment="1">
      <alignment horizontal="center"/>
    </xf>
    <xf numFmtId="178" fontId="15" fillId="0" borderId="80" xfId="8" applyNumberFormat="1" applyFont="1" applyBorder="1" applyAlignment="1">
      <alignment horizontal="center"/>
    </xf>
    <xf numFmtId="0" fontId="29" fillId="3" borderId="88" xfId="8" applyFont="1" applyFill="1" applyBorder="1"/>
    <xf numFmtId="178" fontId="29" fillId="0" borderId="89" xfId="8" applyNumberFormat="1" applyFont="1" applyBorder="1"/>
    <xf numFmtId="178" fontId="29" fillId="0" borderId="90" xfId="8" applyNumberFormat="1" applyFont="1" applyBorder="1"/>
    <xf numFmtId="178" fontId="29" fillId="0" borderId="91" xfId="8" applyNumberFormat="1" applyFont="1" applyBorder="1"/>
    <xf numFmtId="178" fontId="29" fillId="0" borderId="92" xfId="8" applyNumberFormat="1" applyFont="1" applyBorder="1"/>
    <xf numFmtId="178" fontId="29" fillId="3" borderId="78" xfId="8" applyNumberFormat="1" applyFont="1" applyFill="1" applyBorder="1"/>
    <xf numFmtId="0" fontId="15" fillId="3" borderId="7" xfId="8" applyFont="1" applyFill="1" applyBorder="1"/>
    <xf numFmtId="0" fontId="15" fillId="3" borderId="48" xfId="8" applyFont="1" applyFill="1" applyBorder="1"/>
    <xf numFmtId="0" fontId="15" fillId="3" borderId="67" xfId="8" applyFont="1" applyFill="1" applyBorder="1"/>
    <xf numFmtId="0" fontId="15" fillId="0" borderId="64" xfId="8" applyFont="1" applyBorder="1"/>
    <xf numFmtId="43" fontId="15" fillId="0" borderId="51" xfId="8" applyNumberFormat="1" applyFont="1" applyBorder="1"/>
    <xf numFmtId="0" fontId="15" fillId="3" borderId="80" xfId="8" applyFont="1" applyFill="1" applyBorder="1"/>
    <xf numFmtId="179" fontId="15" fillId="0" borderId="87" xfId="3" applyNumberFormat="1" applyFont="1" applyBorder="1"/>
    <xf numFmtId="165" fontId="15" fillId="0" borderId="87" xfId="3" applyNumberFormat="1" applyFont="1" applyBorder="1"/>
    <xf numFmtId="165" fontId="15" fillId="0" borderId="82" xfId="3" applyNumberFormat="1" applyFont="1" applyBorder="1"/>
    <xf numFmtId="165" fontId="15" fillId="0" borderId="68" xfId="3" applyNumberFormat="1" applyFont="1" applyBorder="1"/>
    <xf numFmtId="165" fontId="15" fillId="0" borderId="80" xfId="3" applyNumberFormat="1" applyFont="1" applyBorder="1"/>
    <xf numFmtId="167" fontId="15" fillId="3" borderId="0" xfId="8" applyNumberFormat="1" applyFont="1" applyFill="1"/>
    <xf numFmtId="167" fontId="15" fillId="3" borderId="82" xfId="8" applyNumberFormat="1" applyFont="1" applyFill="1" applyBorder="1"/>
    <xf numFmtId="167" fontId="15" fillId="3" borderId="41" xfId="8" applyNumberFormat="1" applyFont="1" applyFill="1" applyBorder="1"/>
    <xf numFmtId="9" fontId="15" fillId="0" borderId="0" xfId="3" applyFont="1" applyFill="1" applyBorder="1"/>
    <xf numFmtId="179" fontId="15" fillId="0" borderId="87" xfId="8" applyNumberFormat="1" applyFont="1" applyBorder="1"/>
    <xf numFmtId="0" fontId="15" fillId="0" borderId="68" xfId="8" applyFont="1" applyBorder="1"/>
    <xf numFmtId="178" fontId="41" fillId="3" borderId="41" xfId="8" applyNumberFormat="1" applyFont="1" applyFill="1" applyBorder="1"/>
    <xf numFmtId="178" fontId="41" fillId="3" borderId="0" xfId="8" applyNumberFormat="1" applyFont="1" applyFill="1"/>
    <xf numFmtId="178" fontId="15" fillId="10" borderId="0" xfId="8" applyNumberFormat="1" applyFont="1" applyFill="1"/>
    <xf numFmtId="178" fontId="15" fillId="10" borderId="53" xfId="8" applyNumberFormat="1" applyFont="1" applyFill="1" applyBorder="1"/>
    <xf numFmtId="178" fontId="15" fillId="10" borderId="82" xfId="8" applyNumberFormat="1" applyFont="1" applyFill="1" applyBorder="1"/>
    <xf numFmtId="178" fontId="15" fillId="10" borderId="41" xfId="8" applyNumberFormat="1" applyFont="1" applyFill="1" applyBorder="1"/>
    <xf numFmtId="178" fontId="41" fillId="0" borderId="41" xfId="8" applyNumberFormat="1" applyFont="1" applyBorder="1"/>
    <xf numFmtId="178" fontId="41" fillId="0" borderId="0" xfId="8" applyNumberFormat="1" applyFont="1"/>
    <xf numFmtId="178" fontId="15" fillId="3" borderId="43" xfId="8" applyNumberFormat="1" applyFont="1" applyFill="1" applyBorder="1"/>
    <xf numFmtId="179" fontId="29" fillId="3" borderId="75" xfId="8" applyNumberFormat="1" applyFont="1" applyFill="1" applyBorder="1"/>
    <xf numFmtId="179" fontId="29" fillId="3" borderId="46" xfId="8" applyNumberFormat="1" applyFont="1" applyFill="1" applyBorder="1"/>
    <xf numFmtId="179" fontId="29" fillId="3" borderId="76" xfId="8" applyNumberFormat="1" applyFont="1" applyFill="1" applyBorder="1"/>
    <xf numFmtId="178" fontId="29" fillId="0" borderId="104" xfId="8" applyNumberFormat="1" applyFont="1" applyBorder="1"/>
    <xf numFmtId="0" fontId="15" fillId="0" borderId="106" xfId="8" applyFont="1" applyBorder="1"/>
    <xf numFmtId="179" fontId="15" fillId="15" borderId="59" xfId="8" applyNumberFormat="1" applyFont="1" applyFill="1" applyBorder="1"/>
    <xf numFmtId="179" fontId="15" fillId="15" borderId="51" xfId="8" applyNumberFormat="1" applyFont="1" applyFill="1" applyBorder="1"/>
    <xf numFmtId="179" fontId="15" fillId="15" borderId="87" xfId="8" applyNumberFormat="1" applyFont="1" applyFill="1" applyBorder="1"/>
    <xf numFmtId="0" fontId="15" fillId="15" borderId="87" xfId="8" applyFont="1" applyFill="1" applyBorder="1"/>
    <xf numFmtId="0" fontId="15" fillId="15" borderId="82" xfId="8" applyFont="1" applyFill="1" applyBorder="1"/>
    <xf numFmtId="0" fontId="15" fillId="15" borderId="68" xfId="8" applyFont="1" applyFill="1" applyBorder="1"/>
    <xf numFmtId="0" fontId="15" fillId="15" borderId="80" xfId="8" applyFont="1" applyFill="1" applyBorder="1"/>
    <xf numFmtId="179" fontId="15" fillId="15" borderId="84" xfId="8" applyNumberFormat="1" applyFont="1" applyFill="1" applyBorder="1"/>
    <xf numFmtId="178" fontId="48" fillId="0" borderId="51" xfId="8" applyNumberFormat="1" applyFont="1" applyBorder="1"/>
    <xf numFmtId="178" fontId="48" fillId="0" borderId="82" xfId="8" applyNumberFormat="1" applyFont="1" applyBorder="1"/>
    <xf numFmtId="178" fontId="15" fillId="0" borderId="107" xfId="8" applyNumberFormat="1" applyFont="1" applyBorder="1"/>
    <xf numFmtId="178" fontId="15" fillId="0" borderId="60" xfId="8" applyNumberFormat="1" applyFont="1" applyBorder="1"/>
    <xf numFmtId="0" fontId="15" fillId="3" borderId="84" xfId="8" applyFont="1" applyFill="1" applyBorder="1" applyAlignment="1">
      <alignment horizontal="left" indent="1"/>
    </xf>
    <xf numFmtId="178" fontId="15" fillId="15" borderId="84" xfId="8" applyNumberFormat="1" applyFont="1" applyFill="1" applyBorder="1"/>
    <xf numFmtId="178" fontId="15" fillId="15" borderId="51" xfId="8" applyNumberFormat="1" applyFont="1" applyFill="1" applyBorder="1"/>
    <xf numFmtId="178" fontId="15" fillId="0" borderId="84" xfId="8" applyNumberFormat="1" applyFont="1" applyBorder="1"/>
    <xf numFmtId="178" fontId="15" fillId="3" borderId="108" xfId="8" applyNumberFormat="1" applyFont="1" applyFill="1" applyBorder="1"/>
    <xf numFmtId="178" fontId="15" fillId="0" borderId="108" xfId="8" applyNumberFormat="1" applyFont="1" applyBorder="1"/>
    <xf numFmtId="178" fontId="15" fillId="3" borderId="109" xfId="8" applyNumberFormat="1" applyFont="1" applyFill="1" applyBorder="1"/>
    <xf numFmtId="178" fontId="48" fillId="0" borderId="108" xfId="8" applyNumberFormat="1" applyFont="1" applyBorder="1"/>
    <xf numFmtId="0" fontId="15" fillId="0" borderId="110" xfId="8" applyFont="1" applyBorder="1"/>
    <xf numFmtId="178" fontId="15" fillId="0" borderId="111" xfId="8" applyNumberFormat="1" applyFont="1" applyBorder="1"/>
    <xf numFmtId="178" fontId="15" fillId="0" borderId="112" xfId="8" applyNumberFormat="1" applyFont="1" applyBorder="1"/>
    <xf numFmtId="0" fontId="15" fillId="3" borderId="111" xfId="8" applyFont="1" applyFill="1" applyBorder="1" applyAlignment="1">
      <alignment horizontal="left" indent="1"/>
    </xf>
    <xf numFmtId="178" fontId="48" fillId="3" borderId="0" xfId="8" applyNumberFormat="1" applyFont="1" applyFill="1"/>
    <xf numFmtId="178" fontId="48" fillId="3" borderId="51" xfId="8" applyNumberFormat="1" applyFont="1" applyFill="1" applyBorder="1"/>
    <xf numFmtId="178" fontId="48" fillId="3" borderId="108" xfId="8" applyNumberFormat="1" applyFont="1" applyFill="1" applyBorder="1"/>
    <xf numFmtId="178" fontId="15" fillId="3" borderId="113" xfId="8" applyNumberFormat="1" applyFont="1" applyFill="1" applyBorder="1"/>
    <xf numFmtId="178" fontId="15" fillId="3" borderId="114" xfId="8" applyNumberFormat="1" applyFont="1" applyFill="1" applyBorder="1"/>
    <xf numFmtId="178" fontId="15" fillId="3" borderId="115" xfId="8" applyNumberFormat="1" applyFont="1" applyFill="1" applyBorder="1"/>
    <xf numFmtId="178" fontId="48" fillId="3" borderId="113" xfId="8" applyNumberFormat="1" applyFont="1" applyFill="1" applyBorder="1"/>
    <xf numFmtId="0" fontId="15" fillId="0" borderId="116" xfId="8" applyFont="1" applyBorder="1"/>
    <xf numFmtId="178" fontId="15" fillId="0" borderId="117" xfId="8" applyNumberFormat="1" applyFont="1" applyBorder="1"/>
    <xf numFmtId="178" fontId="29" fillId="3" borderId="94" xfId="8" applyNumberFormat="1" applyFont="1" applyFill="1" applyBorder="1"/>
    <xf numFmtId="178" fontId="29" fillId="3" borderId="118" xfId="8" applyNumberFormat="1" applyFont="1" applyFill="1" applyBorder="1"/>
    <xf numFmtId="178" fontId="29" fillId="3" borderId="119" xfId="8" applyNumberFormat="1" applyFont="1" applyFill="1" applyBorder="1"/>
    <xf numFmtId="179" fontId="29" fillId="3" borderId="90" xfId="8" applyNumberFormat="1" applyFont="1" applyFill="1" applyBorder="1"/>
    <xf numFmtId="179" fontId="29" fillId="3" borderId="94" xfId="8" applyNumberFormat="1" applyFont="1" applyFill="1" applyBorder="1"/>
    <xf numFmtId="179" fontId="29" fillId="3" borderId="119" xfId="8" applyNumberFormat="1" applyFont="1" applyFill="1" applyBorder="1"/>
    <xf numFmtId="179" fontId="29" fillId="0" borderId="120" xfId="8" applyNumberFormat="1" applyFont="1" applyBorder="1"/>
    <xf numFmtId="179" fontId="29" fillId="0" borderId="89" xfId="8" applyNumberFormat="1" applyFont="1" applyBorder="1"/>
    <xf numFmtId="178" fontId="29" fillId="0" borderId="121" xfId="8" applyNumberFormat="1" applyFont="1" applyBorder="1"/>
    <xf numFmtId="0" fontId="29" fillId="0" borderId="84" xfId="8" applyFont="1" applyBorder="1"/>
    <xf numFmtId="0" fontId="15" fillId="3" borderId="113" xfId="8" applyFont="1" applyFill="1" applyBorder="1"/>
    <xf numFmtId="0" fontId="15" fillId="0" borderId="122" xfId="8" applyFont="1" applyBorder="1"/>
    <xf numFmtId="0" fontId="15" fillId="0" borderId="113" xfId="8" applyFont="1" applyBorder="1"/>
    <xf numFmtId="0" fontId="15" fillId="0" borderId="114" xfId="8" applyFont="1" applyBorder="1"/>
    <xf numFmtId="0" fontId="15" fillId="0" borderId="112" xfId="8" applyFont="1" applyBorder="1"/>
    <xf numFmtId="178" fontId="15" fillId="0" borderId="114" xfId="8" applyNumberFormat="1" applyFont="1" applyBorder="1"/>
    <xf numFmtId="0" fontId="15" fillId="3" borderId="64" xfId="8" applyFont="1" applyFill="1" applyBorder="1"/>
    <xf numFmtId="0" fontId="15" fillId="3" borderId="114" xfId="8" applyFont="1" applyFill="1" applyBorder="1"/>
    <xf numFmtId="0" fontId="15" fillId="0" borderId="84" xfId="8" applyFont="1" applyBorder="1"/>
    <xf numFmtId="0" fontId="29" fillId="0" borderId="16" xfId="8" applyFont="1" applyBorder="1" applyAlignment="1">
      <alignment wrapText="1"/>
    </xf>
    <xf numFmtId="178" fontId="29" fillId="3" borderId="51" xfId="8" applyNumberFormat="1" applyFont="1" applyFill="1" applyBorder="1"/>
    <xf numFmtId="0" fontId="29" fillId="0" borderId="80" xfId="8" applyFont="1" applyBorder="1"/>
    <xf numFmtId="178" fontId="29" fillId="0" borderId="87" xfId="8" applyNumberFormat="1" applyFont="1" applyBorder="1"/>
    <xf numFmtId="178" fontId="29" fillId="0" borderId="82" xfId="8" applyNumberFormat="1" applyFont="1" applyBorder="1"/>
    <xf numFmtId="178" fontId="29" fillId="0" borderId="68" xfId="8" applyNumberFormat="1" applyFont="1" applyBorder="1"/>
    <xf numFmtId="178" fontId="29" fillId="0" borderId="80" xfId="8" applyNumberFormat="1" applyFont="1" applyBorder="1"/>
    <xf numFmtId="178" fontId="29" fillId="3" borderId="53" xfId="8" applyNumberFormat="1" applyFont="1" applyFill="1" applyBorder="1"/>
    <xf numFmtId="0" fontId="15" fillId="0" borderId="16" xfId="8" applyFont="1" applyBorder="1" applyAlignment="1">
      <alignment wrapText="1"/>
    </xf>
    <xf numFmtId="0" fontId="15" fillId="0" borderId="123" xfId="8" applyFont="1" applyBorder="1"/>
    <xf numFmtId="178" fontId="15" fillId="3" borderId="102" xfId="8" applyNumberFormat="1" applyFont="1" applyFill="1" applyBorder="1"/>
    <xf numFmtId="178" fontId="15" fillId="3" borderId="124" xfId="8" applyNumberFormat="1" applyFont="1" applyFill="1" applyBorder="1"/>
    <xf numFmtId="178" fontId="15" fillId="3" borderId="125" xfId="8" applyNumberFormat="1" applyFont="1" applyFill="1" applyBorder="1"/>
    <xf numFmtId="178" fontId="15" fillId="0" borderId="120" xfId="8" applyNumberFormat="1" applyFont="1" applyBorder="1"/>
    <xf numFmtId="178" fontId="15" fillId="0" borderId="126" xfId="8" applyNumberFormat="1" applyFont="1" applyBorder="1"/>
    <xf numFmtId="178" fontId="15" fillId="0" borderId="43" xfId="8" applyNumberFormat="1" applyFont="1" applyBorder="1"/>
    <xf numFmtId="178" fontId="15" fillId="0" borderId="127" xfId="8" applyNumberFormat="1" applyFont="1" applyBorder="1"/>
    <xf numFmtId="178" fontId="15" fillId="0" borderId="44" xfId="8" applyNumberFormat="1" applyFont="1" applyBorder="1"/>
    <xf numFmtId="178" fontId="27" fillId="0" borderId="128" xfId="8" applyNumberFormat="1" applyFont="1" applyBorder="1"/>
    <xf numFmtId="178" fontId="27" fillId="0" borderId="48" xfId="8" applyNumberFormat="1" applyFont="1" applyBorder="1"/>
    <xf numFmtId="178" fontId="27" fillId="0" borderId="67" xfId="8" applyNumberFormat="1" applyFont="1" applyBorder="1"/>
    <xf numFmtId="178" fontId="27" fillId="0" borderId="64" xfId="8" applyNumberFormat="1" applyFont="1" applyBorder="1"/>
    <xf numFmtId="178" fontId="27" fillId="0" borderId="59" xfId="8" applyNumberFormat="1" applyFont="1" applyBorder="1"/>
    <xf numFmtId="0" fontId="33" fillId="3" borderId="16" xfId="8" applyFont="1" applyFill="1" applyBorder="1"/>
    <xf numFmtId="9" fontId="32" fillId="3" borderId="0" xfId="3" applyFont="1" applyFill="1" applyBorder="1" applyAlignment="1">
      <alignment horizontal="right"/>
    </xf>
    <xf numFmtId="9" fontId="32" fillId="3" borderId="41" xfId="3" applyFont="1" applyFill="1" applyBorder="1" applyAlignment="1">
      <alignment horizontal="right"/>
    </xf>
    <xf numFmtId="9" fontId="32" fillId="3" borderId="7" xfId="3" applyFont="1" applyFill="1" applyBorder="1" applyAlignment="1">
      <alignment horizontal="right"/>
    </xf>
    <xf numFmtId="0" fontId="32" fillId="3" borderId="0" xfId="8" applyFont="1" applyFill="1"/>
    <xf numFmtId="9" fontId="32" fillId="3" borderId="16" xfId="3" applyFont="1" applyFill="1" applyBorder="1" applyAlignment="1">
      <alignment horizontal="right"/>
    </xf>
    <xf numFmtId="0" fontId="39" fillId="3" borderId="0" xfId="8" applyFont="1" applyFill="1"/>
    <xf numFmtId="176" fontId="15" fillId="3" borderId="0" xfId="3" applyNumberFormat="1" applyFont="1" applyFill="1" applyBorder="1" applyAlignment="1">
      <alignment horizontal="right"/>
    </xf>
    <xf numFmtId="176" fontId="15" fillId="3" borderId="41" xfId="3" applyNumberFormat="1" applyFont="1" applyFill="1" applyBorder="1" applyAlignment="1">
      <alignment horizontal="right"/>
    </xf>
    <xf numFmtId="176" fontId="15" fillId="3" borderId="7" xfId="3" applyNumberFormat="1" applyFont="1" applyFill="1" applyBorder="1" applyAlignment="1">
      <alignment horizontal="right"/>
    </xf>
    <xf numFmtId="176" fontId="15" fillId="3" borderId="16" xfId="3" applyNumberFormat="1" applyFont="1" applyFill="1" applyBorder="1" applyAlignment="1">
      <alignment horizontal="right"/>
    </xf>
    <xf numFmtId="187" fontId="15" fillId="0" borderId="16" xfId="9" quotePrefix="1" applyNumberFormat="1" applyFont="1" applyBorder="1" applyAlignment="1">
      <alignment horizontal="left"/>
    </xf>
    <xf numFmtId="9" fontId="15" fillId="3" borderId="0" xfId="3" applyFont="1" applyFill="1" applyBorder="1" applyAlignment="1">
      <alignment horizontal="right"/>
    </xf>
    <xf numFmtId="9" fontId="15" fillId="3" borderId="41" xfId="3" applyFont="1" applyFill="1" applyBorder="1" applyAlignment="1">
      <alignment horizontal="right"/>
    </xf>
    <xf numFmtId="176" fontId="15" fillId="3" borderId="43" xfId="3" applyNumberFormat="1" applyFont="1" applyFill="1" applyBorder="1" applyAlignment="1">
      <alignment horizontal="right"/>
    </xf>
    <xf numFmtId="176" fontId="15" fillId="3" borderId="127" xfId="3" applyNumberFormat="1" applyFont="1" applyFill="1" applyBorder="1" applyAlignment="1">
      <alignment horizontal="right"/>
    </xf>
    <xf numFmtId="176" fontId="15" fillId="0" borderId="127" xfId="3" applyNumberFormat="1" applyFont="1" applyFill="1" applyBorder="1" applyAlignment="1">
      <alignment horizontal="right"/>
    </xf>
    <xf numFmtId="176" fontId="15" fillId="0" borderId="43" xfId="3" applyNumberFormat="1" applyFont="1" applyFill="1" applyBorder="1" applyAlignment="1">
      <alignment horizontal="right"/>
    </xf>
    <xf numFmtId="187" fontId="29" fillId="0" borderId="74" xfId="9" applyNumberFormat="1" applyFont="1" applyBorder="1" applyAlignment="1">
      <alignment horizontal="left"/>
    </xf>
    <xf numFmtId="9" fontId="15" fillId="3" borderId="46" xfId="3" applyFont="1" applyFill="1" applyBorder="1" applyAlignment="1">
      <alignment horizontal="right"/>
    </xf>
    <xf numFmtId="9" fontId="15" fillId="3" borderId="75" xfId="3" applyFont="1" applyFill="1" applyBorder="1" applyAlignment="1">
      <alignment horizontal="right"/>
    </xf>
    <xf numFmtId="176" fontId="29" fillId="3" borderId="75" xfId="3" applyNumberFormat="1" applyFont="1" applyFill="1" applyBorder="1" applyAlignment="1">
      <alignment horizontal="right"/>
    </xf>
    <xf numFmtId="176" fontId="29" fillId="3" borderId="46" xfId="3" applyNumberFormat="1" applyFont="1" applyFill="1" applyBorder="1" applyAlignment="1">
      <alignment horizontal="right"/>
    </xf>
    <xf numFmtId="176" fontId="29" fillId="3" borderId="76" xfId="3" applyNumberFormat="1" applyFont="1" applyFill="1" applyBorder="1" applyAlignment="1">
      <alignment horizontal="right"/>
    </xf>
    <xf numFmtId="176" fontId="29" fillId="3" borderId="74" xfId="3" applyNumberFormat="1" applyFont="1" applyFill="1" applyBorder="1" applyAlignment="1">
      <alignment horizontal="right"/>
    </xf>
    <xf numFmtId="187" fontId="32" fillId="0" borderId="16" xfId="9" applyNumberFormat="1" applyFont="1" applyBorder="1" applyAlignment="1">
      <alignment horizontal="left" indent="2"/>
    </xf>
    <xf numFmtId="176" fontId="29" fillId="3" borderId="41" xfId="3" applyNumberFormat="1" applyFont="1" applyFill="1" applyBorder="1" applyAlignment="1">
      <alignment horizontal="right"/>
    </xf>
    <xf numFmtId="176" fontId="29" fillId="3" borderId="0" xfId="3" applyNumberFormat="1" applyFont="1" applyFill="1" applyBorder="1" applyAlignment="1">
      <alignment horizontal="right"/>
    </xf>
    <xf numFmtId="176" fontId="29" fillId="3" borderId="7" xfId="3" applyNumberFormat="1" applyFont="1" applyFill="1" applyBorder="1" applyAlignment="1">
      <alignment horizontal="right"/>
    </xf>
    <xf numFmtId="165" fontId="32" fillId="3" borderId="48" xfId="3" applyNumberFormat="1" applyFont="1" applyFill="1" applyBorder="1" applyAlignment="1">
      <alignment horizontal="right"/>
    </xf>
    <xf numFmtId="165" fontId="32" fillId="3" borderId="0" xfId="3" applyNumberFormat="1" applyFont="1" applyFill="1" applyBorder="1" applyAlignment="1">
      <alignment horizontal="right"/>
    </xf>
    <xf numFmtId="165" fontId="32" fillId="3" borderId="7" xfId="3" applyNumberFormat="1" applyFont="1" applyFill="1" applyBorder="1" applyAlignment="1">
      <alignment horizontal="right"/>
    </xf>
    <xf numFmtId="176" fontId="29" fillId="3" borderId="16" xfId="3" applyNumberFormat="1" applyFont="1" applyFill="1" applyBorder="1" applyAlignment="1">
      <alignment horizontal="right"/>
    </xf>
    <xf numFmtId="165" fontId="32" fillId="3" borderId="41" xfId="3" applyNumberFormat="1" applyFont="1" applyFill="1" applyBorder="1" applyAlignment="1">
      <alignment horizontal="right"/>
    </xf>
    <xf numFmtId="176" fontId="35" fillId="3" borderId="0" xfId="3" applyNumberFormat="1" applyFont="1" applyFill="1" applyBorder="1" applyAlignment="1">
      <alignment horizontal="right"/>
    </xf>
    <xf numFmtId="176" fontId="35" fillId="3" borderId="41" xfId="3" applyNumberFormat="1" applyFont="1" applyFill="1" applyBorder="1" applyAlignment="1">
      <alignment horizontal="right"/>
    </xf>
    <xf numFmtId="176" fontId="35" fillId="0" borderId="7" xfId="8" applyNumberFormat="1" applyFont="1" applyBorder="1"/>
    <xf numFmtId="176" fontId="35" fillId="0" borderId="0" xfId="8" applyNumberFormat="1" applyFont="1"/>
    <xf numFmtId="176" fontId="35" fillId="0" borderId="41" xfId="8" applyNumberFormat="1" applyFont="1" applyBorder="1"/>
    <xf numFmtId="175" fontId="35" fillId="8" borderId="41" xfId="8" applyNumberFormat="1" applyFont="1" applyFill="1" applyBorder="1"/>
    <xf numFmtId="175" fontId="35" fillId="8" borderId="16" xfId="8" applyNumberFormat="1" applyFont="1" applyFill="1" applyBorder="1"/>
    <xf numFmtId="187" fontId="29" fillId="0" borderId="16" xfId="9" applyNumberFormat="1" applyFont="1" applyBorder="1" applyAlignment="1">
      <alignment horizontal="left"/>
    </xf>
    <xf numFmtId="188" fontId="29" fillId="3" borderId="0" xfId="3" applyNumberFormat="1" applyFont="1" applyFill="1" applyBorder="1" applyAlignment="1">
      <alignment horizontal="right"/>
    </xf>
    <xf numFmtId="188" fontId="29" fillId="3" borderId="41" xfId="3" applyNumberFormat="1" applyFont="1" applyFill="1" applyBorder="1" applyAlignment="1">
      <alignment horizontal="right"/>
    </xf>
    <xf numFmtId="187" fontId="29" fillId="3" borderId="41" xfId="3" applyNumberFormat="1" applyFont="1" applyFill="1" applyBorder="1" applyAlignment="1">
      <alignment horizontal="right"/>
    </xf>
    <xf numFmtId="187" fontId="29" fillId="3" borderId="0" xfId="3" applyNumberFormat="1" applyFont="1" applyFill="1" applyBorder="1" applyAlignment="1">
      <alignment horizontal="right"/>
    </xf>
    <xf numFmtId="187" fontId="29" fillId="3" borderId="7" xfId="3" applyNumberFormat="1" applyFont="1" applyFill="1" applyBorder="1" applyAlignment="1">
      <alignment horizontal="right"/>
    </xf>
    <xf numFmtId="188" fontId="29" fillId="3" borderId="0" xfId="8" applyNumberFormat="1" applyFont="1" applyFill="1"/>
    <xf numFmtId="187" fontId="29" fillId="3" borderId="16" xfId="3" applyNumberFormat="1" applyFont="1" applyFill="1" applyBorder="1" applyAlignment="1">
      <alignment horizontal="right"/>
    </xf>
    <xf numFmtId="0" fontId="31" fillId="3" borderId="0" xfId="8" applyFont="1" applyFill="1"/>
    <xf numFmtId="168" fontId="35" fillId="3" borderId="7" xfId="8" applyNumberFormat="1" applyFont="1" applyFill="1" applyBorder="1" applyAlignment="1">
      <alignment horizontal="right"/>
    </xf>
    <xf numFmtId="168" fontId="37" fillId="3" borderId="16" xfId="8" applyNumberFormat="1" applyFont="1" applyFill="1" applyBorder="1"/>
    <xf numFmtId="0" fontId="37" fillId="3" borderId="117" xfId="8" applyFont="1" applyFill="1" applyBorder="1" applyAlignment="1">
      <alignment horizontal="left" indent="1"/>
    </xf>
    <xf numFmtId="168" fontId="35" fillId="3" borderId="127" xfId="8" applyNumberFormat="1" applyFont="1" applyFill="1" applyBorder="1"/>
    <xf numFmtId="168" fontId="35" fillId="3" borderId="43" xfId="8" applyNumberFormat="1" applyFont="1" applyFill="1" applyBorder="1"/>
    <xf numFmtId="168" fontId="37" fillId="3" borderId="43" xfId="8" applyNumberFormat="1" applyFont="1" applyFill="1" applyBorder="1"/>
    <xf numFmtId="168" fontId="37" fillId="0" borderId="127" xfId="8" applyNumberFormat="1" applyFont="1" applyBorder="1"/>
    <xf numFmtId="168" fontId="37" fillId="3" borderId="127" xfId="8" applyNumberFormat="1" applyFont="1" applyFill="1" applyBorder="1"/>
    <xf numFmtId="168" fontId="37" fillId="3" borderId="44" xfId="8" applyNumberFormat="1" applyFont="1" applyFill="1" applyBorder="1"/>
    <xf numFmtId="168" fontId="35" fillId="3" borderId="127" xfId="8" applyNumberFormat="1" applyFont="1" applyFill="1" applyBorder="1" applyAlignment="1">
      <alignment horizontal="right"/>
    </xf>
    <xf numFmtId="168" fontId="35" fillId="3" borderId="43" xfId="8" applyNumberFormat="1" applyFont="1" applyFill="1" applyBorder="1" applyAlignment="1">
      <alignment horizontal="right"/>
    </xf>
    <xf numFmtId="168" fontId="35" fillId="3" borderId="44" xfId="8" applyNumberFormat="1" applyFont="1" applyFill="1" applyBorder="1" applyAlignment="1">
      <alignment horizontal="right"/>
    </xf>
    <xf numFmtId="168" fontId="29" fillId="0" borderId="117" xfId="8" applyNumberFormat="1" applyFont="1" applyBorder="1"/>
    <xf numFmtId="168" fontId="35" fillId="3" borderId="117" xfId="8" applyNumberFormat="1" applyFont="1" applyFill="1" applyBorder="1"/>
    <xf numFmtId="168" fontId="37" fillId="3" borderId="117" xfId="8" applyNumberFormat="1" applyFont="1" applyFill="1" applyBorder="1"/>
    <xf numFmtId="0" fontId="31" fillId="0" borderId="127" xfId="8" applyFont="1" applyBorder="1"/>
    <xf numFmtId="0" fontId="33" fillId="0" borderId="0" xfId="13" applyFont="1" applyAlignment="1">
      <alignment horizontal="right"/>
    </xf>
    <xf numFmtId="43" fontId="15" fillId="0" borderId="0" xfId="1" applyFont="1" applyFill="1" applyBorder="1" applyAlignment="1">
      <alignment horizontal="right"/>
    </xf>
    <xf numFmtId="178" fontId="29" fillId="0" borderId="48" xfId="9" applyNumberFormat="1" applyFont="1" applyBorder="1" applyAlignment="1">
      <alignment horizontal="right"/>
    </xf>
    <xf numFmtId="178" fontId="29" fillId="0" borderId="8" xfId="9" applyNumberFormat="1" applyFont="1" applyBorder="1" applyAlignment="1">
      <alignment horizontal="right"/>
    </xf>
    <xf numFmtId="178" fontId="29" fillId="0" borderId="64" xfId="9" applyNumberFormat="1" applyFont="1" applyBorder="1" applyAlignment="1">
      <alignment horizontal="right"/>
    </xf>
    <xf numFmtId="165" fontId="29" fillId="0" borderId="64" xfId="9" applyNumberFormat="1" applyFont="1" applyBorder="1" applyAlignment="1">
      <alignment horizontal="right"/>
    </xf>
    <xf numFmtId="176" fontId="29" fillId="0" borderId="8" xfId="1" applyNumberFormat="1" applyFont="1" applyFill="1" applyBorder="1" applyAlignment="1">
      <alignment horizontal="right"/>
    </xf>
    <xf numFmtId="176" fontId="29" fillId="0" borderId="48" xfId="1" applyNumberFormat="1" applyFont="1" applyFill="1" applyBorder="1" applyAlignment="1">
      <alignment horizontal="right"/>
    </xf>
    <xf numFmtId="165" fontId="29" fillId="0" borderId="41" xfId="9" applyNumberFormat="1" applyFont="1" applyBorder="1" applyAlignment="1">
      <alignment horizontal="right"/>
    </xf>
    <xf numFmtId="165" fontId="29" fillId="0" borderId="0" xfId="9" applyNumberFormat="1" applyFont="1" applyAlignment="1">
      <alignment horizontal="right"/>
    </xf>
    <xf numFmtId="176" fontId="29" fillId="0" borderId="0" xfId="9" applyNumberFormat="1" applyFont="1" applyAlignment="1">
      <alignment horizontal="right"/>
    </xf>
    <xf numFmtId="176" fontId="29" fillId="0" borderId="59" xfId="1" applyNumberFormat="1" applyFont="1" applyFill="1" applyBorder="1" applyAlignment="1">
      <alignment horizontal="right"/>
    </xf>
    <xf numFmtId="176" fontId="29" fillId="0" borderId="64" xfId="1" applyNumberFormat="1" applyFont="1" applyFill="1" applyBorder="1" applyAlignment="1">
      <alignment horizontal="right"/>
    </xf>
    <xf numFmtId="191" fontId="70" fillId="0" borderId="0" xfId="8" applyNumberFormat="1" applyFont="1" applyAlignment="1">
      <alignment horizontal="right"/>
    </xf>
    <xf numFmtId="0" fontId="56" fillId="0" borderId="0" xfId="9" applyFont="1" applyAlignment="1">
      <alignment horizontal="right"/>
    </xf>
    <xf numFmtId="189" fontId="15" fillId="0" borderId="41" xfId="1" applyNumberFormat="1" applyFont="1" applyFill="1" applyBorder="1" applyAlignment="1">
      <alignment horizontal="right"/>
    </xf>
    <xf numFmtId="189" fontId="15" fillId="0" borderId="0" xfId="1" applyNumberFormat="1" applyFont="1" applyFill="1" applyBorder="1" applyAlignment="1">
      <alignment horizontal="right"/>
    </xf>
    <xf numFmtId="176" fontId="15" fillId="0" borderId="0" xfId="9" applyNumberFormat="1" applyFont="1" applyAlignment="1">
      <alignment horizontal="right"/>
    </xf>
    <xf numFmtId="189" fontId="15" fillId="0" borderId="16" xfId="1" applyNumberFormat="1" applyFont="1" applyFill="1" applyBorder="1" applyAlignment="1">
      <alignment horizontal="right"/>
    </xf>
    <xf numFmtId="189" fontId="15" fillId="0" borderId="7" xfId="1" applyNumberFormat="1" applyFont="1" applyFill="1" applyBorder="1" applyAlignment="1">
      <alignment horizontal="right"/>
    </xf>
    <xf numFmtId="176" fontId="48" fillId="0" borderId="0" xfId="9" applyNumberFormat="1" applyFont="1" applyAlignment="1">
      <alignment horizontal="right"/>
    </xf>
    <xf numFmtId="176" fontId="48" fillId="3" borderId="0" xfId="8" applyNumberFormat="1" applyFont="1" applyFill="1"/>
    <xf numFmtId="176" fontId="48" fillId="0" borderId="0" xfId="8" applyNumberFormat="1" applyFont="1" applyAlignment="1">
      <alignment horizontal="right"/>
    </xf>
    <xf numFmtId="176" fontId="70" fillId="0" borderId="0" xfId="8" applyNumberFormat="1" applyFont="1" applyAlignment="1">
      <alignment horizontal="right"/>
    </xf>
    <xf numFmtId="9" fontId="15" fillId="3" borderId="0" xfId="3" applyFont="1" applyFill="1" applyBorder="1"/>
    <xf numFmtId="176" fontId="15" fillId="0" borderId="0" xfId="8" applyNumberFormat="1" applyFont="1" applyAlignment="1">
      <alignment horizontal="right"/>
    </xf>
    <xf numFmtId="165" fontId="61" fillId="0" borderId="41" xfId="3" applyNumberFormat="1" applyFont="1" applyFill="1" applyBorder="1" applyAlignment="1">
      <alignment horizontal="right"/>
    </xf>
    <xf numFmtId="165" fontId="61" fillId="0" borderId="0" xfId="3" applyNumberFormat="1" applyFont="1" applyFill="1" applyBorder="1" applyAlignment="1">
      <alignment horizontal="right"/>
    </xf>
    <xf numFmtId="184" fontId="15" fillId="0" borderId="0" xfId="9" applyNumberFormat="1" applyFont="1" applyAlignment="1">
      <alignment horizontal="right"/>
    </xf>
    <xf numFmtId="165" fontId="61" fillId="0" borderId="16" xfId="3" applyNumberFormat="1" applyFont="1" applyFill="1" applyBorder="1" applyAlignment="1">
      <alignment horizontal="right"/>
    </xf>
    <xf numFmtId="165" fontId="61" fillId="0" borderId="7" xfId="3" applyNumberFormat="1" applyFont="1" applyFill="1" applyBorder="1" applyAlignment="1">
      <alignment horizontal="right"/>
    </xf>
    <xf numFmtId="184" fontId="70" fillId="0" borderId="0" xfId="8" applyNumberFormat="1" applyFont="1" applyAlignment="1">
      <alignment horizontal="right"/>
    </xf>
    <xf numFmtId="44" fontId="29" fillId="3" borderId="0" xfId="2" applyFont="1" applyFill="1" applyBorder="1"/>
    <xf numFmtId="184" fontId="48" fillId="0" borderId="0" xfId="8" applyNumberFormat="1" applyFont="1" applyAlignment="1">
      <alignment horizontal="right"/>
    </xf>
    <xf numFmtId="208" fontId="41" fillId="0" borderId="41" xfId="9" applyNumberFormat="1" applyFont="1" applyBorder="1" applyAlignment="1">
      <alignment horizontal="right"/>
    </xf>
    <xf numFmtId="208" fontId="41" fillId="0" borderId="0" xfId="9" applyNumberFormat="1" applyFont="1" applyAlignment="1">
      <alignment horizontal="right"/>
    </xf>
    <xf numFmtId="208" fontId="41" fillId="0" borderId="16" xfId="9" applyNumberFormat="1" applyFont="1" applyBorder="1" applyAlignment="1">
      <alignment horizontal="right"/>
    </xf>
    <xf numFmtId="208" fontId="41" fillId="0" borderId="7" xfId="9" applyNumberFormat="1" applyFont="1" applyBorder="1" applyAlignment="1">
      <alignment horizontal="right"/>
    </xf>
    <xf numFmtId="191" fontId="71" fillId="0" borderId="0" xfId="8" applyNumberFormat="1" applyFont="1" applyAlignment="1">
      <alignment horizontal="right"/>
    </xf>
    <xf numFmtId="17" fontId="51" fillId="0" borderId="0" xfId="8" applyNumberFormat="1" applyFont="1" applyAlignment="1">
      <alignment horizontal="right"/>
    </xf>
    <xf numFmtId="0" fontId="29" fillId="0" borderId="117" xfId="8" applyFont="1" applyBorder="1"/>
    <xf numFmtId="165" fontId="29" fillId="0" borderId="43" xfId="9" applyNumberFormat="1" applyFont="1" applyBorder="1" applyAlignment="1">
      <alignment horizontal="right"/>
    </xf>
    <xf numFmtId="165" fontId="29" fillId="0" borderId="127" xfId="9" applyNumberFormat="1" applyFont="1" applyBorder="1" applyAlignment="1">
      <alignment horizontal="right"/>
    </xf>
    <xf numFmtId="165" fontId="29" fillId="0" borderId="44" xfId="9" applyNumberFormat="1" applyFont="1" applyBorder="1" applyAlignment="1">
      <alignment horizontal="right"/>
    </xf>
    <xf numFmtId="176" fontId="29" fillId="0" borderId="43" xfId="1" applyNumberFormat="1" applyFont="1" applyFill="1" applyBorder="1" applyAlignment="1">
      <alignment horizontal="right"/>
    </xf>
    <xf numFmtId="176" fontId="29" fillId="0" borderId="127" xfId="1" applyNumberFormat="1" applyFont="1" applyFill="1" applyBorder="1" applyAlignment="1">
      <alignment horizontal="right"/>
    </xf>
    <xf numFmtId="176" fontId="29" fillId="0" borderId="117" xfId="1" applyNumberFormat="1" applyFont="1" applyFill="1" applyBorder="1" applyAlignment="1">
      <alignment horizontal="right"/>
    </xf>
    <xf numFmtId="176" fontId="29" fillId="0" borderId="44" xfId="1" applyNumberFormat="1" applyFont="1" applyFill="1" applyBorder="1" applyAlignment="1">
      <alignment horizontal="right"/>
    </xf>
    <xf numFmtId="176" fontId="29" fillId="0" borderId="0" xfId="8" applyNumberFormat="1" applyFont="1" applyAlignment="1">
      <alignment horizontal="right"/>
    </xf>
    <xf numFmtId="9" fontId="30" fillId="3" borderId="0" xfId="3" applyFont="1" applyFill="1" applyBorder="1"/>
    <xf numFmtId="176" fontId="29" fillId="3" borderId="0" xfId="3" applyNumberFormat="1" applyFont="1" applyFill="1" applyBorder="1"/>
    <xf numFmtId="0" fontId="15" fillId="0" borderId="0" xfId="9" applyFont="1" applyAlignment="1">
      <alignment horizontal="left"/>
    </xf>
    <xf numFmtId="0" fontId="15" fillId="0" borderId="0" xfId="8" applyFont="1" applyAlignment="1">
      <alignment horizontal="left" indent="1"/>
    </xf>
    <xf numFmtId="165" fontId="15" fillId="0" borderId="0" xfId="3" applyNumberFormat="1" applyFont="1" applyBorder="1"/>
    <xf numFmtId="165" fontId="15" fillId="0" borderId="0" xfId="3" applyNumberFormat="1" applyFont="1" applyFill="1" applyBorder="1"/>
    <xf numFmtId="165" fontId="29" fillId="0" borderId="0" xfId="3" applyNumberFormat="1" applyFont="1" applyBorder="1"/>
    <xf numFmtId="0" fontId="44" fillId="0" borderId="0" xfId="8" applyFont="1"/>
    <xf numFmtId="0" fontId="41" fillId="0" borderId="0" xfId="8" applyFont="1"/>
    <xf numFmtId="165" fontId="41" fillId="0" borderId="0" xfId="3" applyNumberFormat="1" applyFont="1" applyBorder="1"/>
    <xf numFmtId="0" fontId="30" fillId="7" borderId="5" xfId="8" applyFont="1" applyFill="1" applyBorder="1" applyAlignment="1">
      <alignment horizontal="center"/>
    </xf>
    <xf numFmtId="0" fontId="30" fillId="7" borderId="3" xfId="8" applyFont="1" applyFill="1" applyBorder="1" applyAlignment="1">
      <alignment horizontal="center"/>
    </xf>
    <xf numFmtId="0" fontId="30" fillId="7" borderId="6" xfId="8" applyFont="1" applyFill="1" applyBorder="1" applyAlignment="1">
      <alignment horizontal="center"/>
    </xf>
    <xf numFmtId="0" fontId="30" fillId="7" borderId="2" xfId="8" applyFont="1" applyFill="1" applyBorder="1" applyAlignment="1">
      <alignment horizontal="center"/>
    </xf>
    <xf numFmtId="0" fontId="30" fillId="7" borderId="4" xfId="8" applyFont="1" applyFill="1" applyBorder="1" applyAlignment="1">
      <alignment horizontal="center"/>
    </xf>
    <xf numFmtId="0" fontId="30" fillId="7" borderId="8" xfId="8" applyFont="1" applyFill="1" applyBorder="1" applyAlignment="1">
      <alignment horizontal="center"/>
    </xf>
    <xf numFmtId="0" fontId="30" fillId="7" borderId="10" xfId="8" applyFont="1" applyFill="1" applyBorder="1" applyAlignment="1">
      <alignment horizontal="center"/>
    </xf>
    <xf numFmtId="0" fontId="30" fillId="7" borderId="48" xfId="8" applyFont="1" applyFill="1" applyBorder="1" applyAlignment="1">
      <alignment horizontal="center"/>
    </xf>
    <xf numFmtId="0" fontId="30" fillId="7" borderId="49" xfId="8" applyFont="1" applyFill="1" applyBorder="1" applyAlignment="1">
      <alignment horizontal="center"/>
    </xf>
    <xf numFmtId="0" fontId="29" fillId="7" borderId="2" xfId="8" applyFont="1" applyFill="1" applyBorder="1" applyAlignment="1">
      <alignment horizontal="center"/>
    </xf>
    <xf numFmtId="0" fontId="29" fillId="7" borderId="3" xfId="8" applyFont="1" applyFill="1" applyBorder="1" applyAlignment="1">
      <alignment horizontal="center"/>
    </xf>
    <xf numFmtId="0" fontId="29" fillId="7" borderId="4" xfId="8" applyFont="1" applyFill="1" applyBorder="1" applyAlignment="1">
      <alignment horizontal="center"/>
    </xf>
    <xf numFmtId="0" fontId="29" fillId="7" borderId="49" xfId="8" applyFont="1" applyFill="1" applyBorder="1" applyAlignment="1">
      <alignment horizontal="center"/>
    </xf>
    <xf numFmtId="0" fontId="29" fillId="7" borderId="6" xfId="8" applyFont="1" applyFill="1" applyBorder="1" applyAlignment="1">
      <alignment horizontal="center"/>
    </xf>
    <xf numFmtId="0" fontId="30" fillId="7" borderId="67" xfId="8" applyFont="1" applyFill="1" applyBorder="1" applyAlignment="1">
      <alignment horizontal="center"/>
    </xf>
    <xf numFmtId="0" fontId="30" fillId="7" borderId="64" xfId="8" applyFont="1" applyFill="1" applyBorder="1" applyAlignment="1">
      <alignment horizontal="center"/>
    </xf>
    <xf numFmtId="0" fontId="30" fillId="7" borderId="83" xfId="8" applyFont="1" applyFill="1" applyBorder="1" applyAlignment="1">
      <alignment horizontal="center"/>
    </xf>
    <xf numFmtId="0" fontId="30" fillId="7" borderId="103" xfId="8" applyFont="1" applyFill="1" applyBorder="1" applyAlignment="1">
      <alignment horizontal="center"/>
    </xf>
    <xf numFmtId="0" fontId="30" fillId="7" borderId="104" xfId="8" applyFont="1" applyFill="1" applyBorder="1" applyAlignment="1">
      <alignment horizontal="center"/>
    </xf>
    <xf numFmtId="0" fontId="30" fillId="7" borderId="105" xfId="8" applyFont="1" applyFill="1" applyBorder="1" applyAlignment="1">
      <alignment horizontal="center"/>
    </xf>
  </cellXfs>
  <cellStyles count="14">
    <cellStyle name="AFE" xfId="8" xr:uid="{C974826D-9084-48BB-9370-9F6494625EB9}"/>
    <cellStyle name="AFE 2 2" xfId="13" xr:uid="{AC2DED58-3F61-48AF-A360-6C408B0BE9FD}"/>
    <cellStyle name="Comma" xfId="1" builtinId="3"/>
    <cellStyle name="Comma 2 2" xfId="12" xr:uid="{78BD2E9F-02C2-4B3D-987F-275C53932789}"/>
    <cellStyle name="Currency" xfId="2" builtinId="4"/>
    <cellStyle name="Currency 2 2" xfId="11" xr:uid="{02BF38AB-CB62-436C-8B3B-6148C3E31C19}"/>
    <cellStyle name="Hyperlink" xfId="4" builtinId="8"/>
    <cellStyle name="Hyperlink 2" xfId="7" xr:uid="{6EC3FE60-9DAA-4596-8048-B48D572945FD}"/>
    <cellStyle name="Normal" xfId="0" builtinId="0"/>
    <cellStyle name="Normal 3 2" xfId="5" xr:uid="{99B94AC3-994E-4AA8-9D8F-24A52E343653}"/>
    <cellStyle name="Normal_Credit Suisse Software Short Interest Toolbox.1-12-10" xfId="6" xr:uid="{D4E41857-652D-45C7-B722-73D795DFE1CA}"/>
    <cellStyle name="Normal_IBM Model" xfId="9" xr:uid="{A7BE125D-BFFE-4667-BDD5-0CF308B9CC4A}"/>
    <cellStyle name="Normal_Model0804" xfId="10" xr:uid="{D473FE06-2103-439A-95F7-678B93599E18}"/>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1210308</xdr:colOff>
      <xdr:row>3</xdr:row>
      <xdr:rowOff>21167</xdr:rowOff>
    </xdr:from>
    <xdr:to>
      <xdr:col>12</xdr:col>
      <xdr:colOff>6968</xdr:colOff>
      <xdr:row>5</xdr:row>
      <xdr:rowOff>506669</xdr:rowOff>
    </xdr:to>
    <xdr:pic>
      <xdr:nvPicPr>
        <xdr:cNvPr id="2" name="Wells Fargo" descr="Wells Fargo">
          <a:extLst>
            <a:ext uri="{FF2B5EF4-FFF2-40B4-BE49-F238E27FC236}">
              <a16:creationId xmlns:a16="http://schemas.microsoft.com/office/drawing/2014/main" id="{EABC6AD4-C626-4DA1-8397-21511F33F439}"/>
            </a:ext>
          </a:extLst>
        </xdr:cNvPr>
        <xdr:cNvPicPr>
          <a:picLocks noChangeAspect="1"/>
        </xdr:cNvPicPr>
      </xdr:nvPicPr>
      <xdr:blipFill>
        <a:blip xmlns:r="http://schemas.openxmlformats.org/officeDocument/2006/relationships" r:embed="rId1"/>
        <a:stretch>
          <a:fillRect/>
        </a:stretch>
      </xdr:blipFill>
      <xdr:spPr>
        <a:xfrm>
          <a:off x="10173333" y="383117"/>
          <a:ext cx="930260" cy="1028427"/>
        </a:xfrm>
        <a:prstGeom prst="rect">
          <a:avLst/>
        </a:prstGeom>
      </xdr:spPr>
    </xdr:pic>
    <xdr:clientData/>
  </xdr:twoCellAnchor>
  <xdr:twoCellAnchor editAs="oneCell">
    <xdr:from>
      <xdr:col>2</xdr:col>
      <xdr:colOff>17319</xdr:colOff>
      <xdr:row>24</xdr:row>
      <xdr:rowOff>69273</xdr:rowOff>
    </xdr:from>
    <xdr:to>
      <xdr:col>10</xdr:col>
      <xdr:colOff>1882434</xdr:colOff>
      <xdr:row>41</xdr:row>
      <xdr:rowOff>1002</xdr:rowOff>
    </xdr:to>
    <xdr:pic>
      <xdr:nvPicPr>
        <xdr:cNvPr id="3" name="Picture 2">
          <a:extLst>
            <a:ext uri="{FF2B5EF4-FFF2-40B4-BE49-F238E27FC236}">
              <a16:creationId xmlns:a16="http://schemas.microsoft.com/office/drawing/2014/main" id="{3FDB0785-4EDA-45AD-A85E-BAB4E013EF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5919" y="4803198"/>
          <a:ext cx="10599540" cy="2684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28862</xdr:colOff>
      <xdr:row>44</xdr:row>
      <xdr:rowOff>150091</xdr:rowOff>
    </xdr:from>
    <xdr:to>
      <xdr:col>10</xdr:col>
      <xdr:colOff>1928276</xdr:colOff>
      <xdr:row>46</xdr:row>
      <xdr:rowOff>53297</xdr:rowOff>
    </xdr:to>
    <xdr:pic>
      <xdr:nvPicPr>
        <xdr:cNvPr id="4" name="Picture 3">
          <a:extLst>
            <a:ext uri="{FF2B5EF4-FFF2-40B4-BE49-F238E27FC236}">
              <a16:creationId xmlns:a16="http://schemas.microsoft.com/office/drawing/2014/main" id="{BA1B0EE9-7840-4573-8D51-08AB9B96DE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7462" y="7874866"/>
          <a:ext cx="10633839" cy="227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PVWA98A3936.ent.wfb.bank.corp\WHLSC\Equity%20Research\Software-MT\Administrative%20and%20Archive\PW%20Archive\Companies\ServiceNow\Model\NOW.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PVWA98A3936.ent.wfb.bank.corp\WHLSC\shared\Equity%20Research\Software-AN\RP\Initiation\Models\TENB_WFS_Current.xlsx" TargetMode="External"/><Relationship Id="rId1" Type="http://schemas.openxmlformats.org/officeDocument/2006/relationships/externalLinkPath" Target="file:///\\CPVWA98A3936.ent.wfb.bank.corp\WHLSC\shared\Equity%20Research\Software-AN\RP\Initiation\Models\TENB_WFS_Curr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isclaimer"/>
      <sheetName val="Valuation"/>
      <sheetName val="Variance"/>
      <sheetName val="IS"/>
      <sheetName val="BS"/>
      <sheetName val="Billings"/>
      <sheetName val="Rev"/>
      <sheetName val="CF"/>
      <sheetName val="StatsPull"/>
      <sheetName val="WFvsCon"/>
      <sheetName val="BM NOW Estimate Upload"/>
      <sheetName val="BM NOW Financials"/>
      <sheetName val="BM NOW DL"/>
      <sheetName val="BM NOW VAR"/>
      <sheetName val="BM NOW Charts"/>
      <sheetName val="IS (605)"/>
      <sheetName val="BS (605)"/>
      <sheetName val="Billings (605)"/>
      <sheetName val="Rev (605)"/>
      <sheetName val="CF (605)"/>
      <sheetName val="__APW_ACTIVE_FIELD_RESTORE__"/>
      <sheetName val="EUCT_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cell r="DJ1">
            <v>114</v>
          </cell>
          <cell r="DK1">
            <v>115</v>
          </cell>
          <cell r="DL1">
            <v>116</v>
          </cell>
          <cell r="DM1">
            <v>117</v>
          </cell>
          <cell r="DN1">
            <v>118</v>
          </cell>
          <cell r="DO1">
            <v>107</v>
          </cell>
          <cell r="DP1">
            <v>108</v>
          </cell>
          <cell r="DQ1">
            <v>109</v>
          </cell>
          <cell r="DR1">
            <v>110</v>
          </cell>
          <cell r="DS1">
            <v>111</v>
          </cell>
          <cell r="DT1">
            <v>112</v>
          </cell>
          <cell r="DU1">
            <v>113</v>
          </cell>
          <cell r="DV1">
            <v>114</v>
          </cell>
          <cell r="DW1">
            <v>115</v>
          </cell>
          <cell r="DX1">
            <v>116</v>
          </cell>
          <cell r="DY1">
            <v>117</v>
          </cell>
          <cell r="DZ1">
            <v>118</v>
          </cell>
          <cell r="EA1">
            <v>119</v>
          </cell>
          <cell r="EB1">
            <v>120</v>
          </cell>
          <cell r="EC1">
            <v>121</v>
          </cell>
          <cell r="ED1">
            <v>122</v>
          </cell>
          <cell r="EE1">
            <v>123</v>
          </cell>
          <cell r="EF1">
            <v>124</v>
          </cell>
          <cell r="EG1">
            <v>125</v>
          </cell>
          <cell r="EH1">
            <v>126</v>
          </cell>
          <cell r="EI1">
            <v>127</v>
          </cell>
          <cell r="EJ1">
            <v>128</v>
          </cell>
          <cell r="EK1">
            <v>129</v>
          </cell>
          <cell r="EL1">
            <v>130</v>
          </cell>
          <cell r="EM1">
            <v>131</v>
          </cell>
          <cell r="EN1">
            <v>132</v>
          </cell>
          <cell r="EO1">
            <v>133</v>
          </cell>
          <cell r="EP1">
            <v>134</v>
          </cell>
          <cell r="EQ1">
            <v>135</v>
          </cell>
          <cell r="ER1">
            <v>136</v>
          </cell>
        </row>
        <row r="2">
          <cell r="A2" t="str">
            <v>S E R V I C E N O W</v>
          </cell>
        </row>
        <row r="3">
          <cell r="A3" t="str">
            <v>R e v e n u e   B r e a k d o w n</v>
          </cell>
        </row>
        <row r="4">
          <cell r="A4" t="str">
            <v>(US$ in millions, unless otherwise stated)</v>
          </cell>
          <cell r="C4" t="str">
            <v>Fiscal 1999 by Quarter</v>
          </cell>
          <cell r="G4" t="str">
            <v>Fiscal 2000 by Quarter</v>
          </cell>
          <cell r="K4" t="str">
            <v>Fiscal 2001 by Quarter</v>
          </cell>
          <cell r="O4" t="str">
            <v>Fiscal 2002 by Quarter</v>
          </cell>
          <cell r="S4" t="str">
            <v>Fiscal 2003 by Quarter</v>
          </cell>
          <cell r="W4" t="str">
            <v>Fiscal 2004 by Quarter</v>
          </cell>
          <cell r="AA4" t="str">
            <v>Fiscal 2005 by Quarter</v>
          </cell>
          <cell r="AE4" t="str">
            <v>Fiscal 2006 by Quarter</v>
          </cell>
          <cell r="AI4" t="str">
            <v>Fiscal 2006 by Quarter</v>
          </cell>
          <cell r="AM4" t="str">
            <v>Fiscal 2007 by Quarter</v>
          </cell>
          <cell r="AQ4" t="str">
            <v>Fiscal 2008 by Quarter</v>
          </cell>
          <cell r="AU4" t="str">
            <v>Fiscal 2009 by Quarter</v>
          </cell>
          <cell r="AY4" t="str">
            <v>Fiscal 2010 by Quarter</v>
          </cell>
          <cell r="BC4" t="str">
            <v>Fiscal 2011 by Quarter</v>
          </cell>
          <cell r="BG4" t="str">
            <v>Fiscal 2012 by Quarter</v>
          </cell>
          <cell r="BK4" t="str">
            <v>Fiscal 2013 by Quarter</v>
          </cell>
          <cell r="BO4" t="str">
            <v>Fiscal 2014 by Quarter</v>
          </cell>
          <cell r="BS4" t="str">
            <v>Fiscal 2015 by Quarter</v>
          </cell>
          <cell r="BW4" t="str">
            <v>Fiscal 2016 by Quarter</v>
          </cell>
          <cell r="CA4" t="str">
            <v>Fiscal 2017 by Quarter</v>
          </cell>
          <cell r="CE4" t="str">
            <v>Fiscal 2018 by Quarter</v>
          </cell>
          <cell r="CI4" t="str">
            <v>Fiscal 2019 by Quarter</v>
          </cell>
          <cell r="CM4" t="str">
            <v>Fiscal 2020 by Quarter</v>
          </cell>
          <cell r="CQ4" t="str">
            <v>Fiscal 2021 by Quarter</v>
          </cell>
          <cell r="CU4" t="str">
            <v>Fiscal 2022 by Quarter</v>
          </cell>
          <cell r="CY4" t="str">
            <v>Fiscal 2023 by Quarter</v>
          </cell>
          <cell r="DC4" t="str">
            <v>Fiscal 2024 by Quarter</v>
          </cell>
          <cell r="DG4" t="str">
            <v>Fiscal 2025 by Quarter</v>
          </cell>
          <cell r="DK4" t="str">
            <v>Fiscal 2026 by Quarter</v>
          </cell>
          <cell r="DP4" t="str">
            <v xml:space="preserve"> Fiscal Year Ends December</v>
          </cell>
        </row>
        <row r="5">
          <cell r="C5">
            <v>35886</v>
          </cell>
          <cell r="D5">
            <v>35977</v>
          </cell>
          <cell r="E5">
            <v>36069</v>
          </cell>
          <cell r="F5">
            <v>36161</v>
          </cell>
          <cell r="G5">
            <v>36251</v>
          </cell>
          <cell r="H5">
            <v>36342</v>
          </cell>
          <cell r="I5">
            <v>36434</v>
          </cell>
          <cell r="J5">
            <v>36526</v>
          </cell>
          <cell r="K5">
            <v>36617</v>
          </cell>
          <cell r="L5">
            <v>36708</v>
          </cell>
          <cell r="M5">
            <v>36800</v>
          </cell>
          <cell r="N5">
            <v>36892</v>
          </cell>
          <cell r="O5">
            <v>36982</v>
          </cell>
          <cell r="P5">
            <v>37073</v>
          </cell>
          <cell r="Q5">
            <v>37165</v>
          </cell>
          <cell r="R5">
            <v>37257</v>
          </cell>
          <cell r="S5">
            <v>37348</v>
          </cell>
          <cell r="T5">
            <v>37439</v>
          </cell>
          <cell r="U5">
            <v>37531</v>
          </cell>
          <cell r="V5">
            <v>37623</v>
          </cell>
          <cell r="W5">
            <v>37715</v>
          </cell>
          <cell r="X5">
            <v>37806</v>
          </cell>
          <cell r="Y5">
            <v>37898</v>
          </cell>
          <cell r="Z5">
            <v>37990</v>
          </cell>
          <cell r="AA5">
            <v>38081</v>
          </cell>
          <cell r="AB5">
            <v>38172</v>
          </cell>
          <cell r="AC5">
            <v>38264</v>
          </cell>
          <cell r="AD5">
            <v>38356</v>
          </cell>
          <cell r="AE5">
            <v>38447</v>
          </cell>
          <cell r="AF5">
            <v>38538</v>
          </cell>
          <cell r="AG5">
            <v>38630</v>
          </cell>
          <cell r="AH5">
            <v>38722</v>
          </cell>
          <cell r="AI5">
            <v>38807</v>
          </cell>
          <cell r="AJ5">
            <v>38898</v>
          </cell>
          <cell r="AK5">
            <v>38990</v>
          </cell>
          <cell r="AL5">
            <v>39082</v>
          </cell>
          <cell r="AM5">
            <v>39172</v>
          </cell>
          <cell r="AN5">
            <v>39263</v>
          </cell>
          <cell r="AO5">
            <v>39355</v>
          </cell>
          <cell r="AP5">
            <v>39447</v>
          </cell>
          <cell r="AQ5">
            <v>39538</v>
          </cell>
          <cell r="AR5">
            <v>39629</v>
          </cell>
          <cell r="AS5">
            <v>39721</v>
          </cell>
          <cell r="AT5">
            <v>39813</v>
          </cell>
          <cell r="AU5">
            <v>39903</v>
          </cell>
          <cell r="AV5">
            <v>39994</v>
          </cell>
          <cell r="AW5">
            <v>40086</v>
          </cell>
          <cell r="AX5">
            <v>40178</v>
          </cell>
          <cell r="AY5">
            <v>40268</v>
          </cell>
          <cell r="AZ5">
            <v>40359</v>
          </cell>
          <cell r="BA5">
            <v>40451</v>
          </cell>
          <cell r="BB5">
            <v>40543</v>
          </cell>
          <cell r="BC5">
            <v>40633</v>
          </cell>
          <cell r="BD5">
            <v>40724</v>
          </cell>
          <cell r="BE5">
            <v>40816</v>
          </cell>
          <cell r="BF5">
            <v>40908</v>
          </cell>
          <cell r="BG5">
            <v>40999</v>
          </cell>
          <cell r="BH5">
            <v>41072</v>
          </cell>
          <cell r="BI5">
            <v>41164</v>
          </cell>
          <cell r="BJ5">
            <v>41255</v>
          </cell>
          <cell r="BK5">
            <v>41346</v>
          </cell>
          <cell r="BL5">
            <v>41438</v>
          </cell>
          <cell r="BM5">
            <v>41529</v>
          </cell>
          <cell r="BN5">
            <v>41621</v>
          </cell>
          <cell r="BO5">
            <v>41712</v>
          </cell>
          <cell r="BP5">
            <v>41804</v>
          </cell>
          <cell r="BQ5">
            <v>41894</v>
          </cell>
          <cell r="BR5">
            <v>41987</v>
          </cell>
          <cell r="BS5">
            <v>42078</v>
          </cell>
          <cell r="BT5">
            <v>42170</v>
          </cell>
          <cell r="BU5">
            <v>42262</v>
          </cell>
          <cell r="BV5">
            <v>42353</v>
          </cell>
          <cell r="BW5">
            <v>42445</v>
          </cell>
          <cell r="BX5">
            <v>42537</v>
          </cell>
          <cell r="BY5">
            <v>42629</v>
          </cell>
          <cell r="BZ5">
            <v>42720</v>
          </cell>
          <cell r="CA5">
            <v>42811</v>
          </cell>
          <cell r="CB5">
            <v>42903</v>
          </cell>
          <cell r="CC5">
            <v>42995</v>
          </cell>
          <cell r="CD5">
            <v>43086</v>
          </cell>
          <cell r="CE5">
            <v>43177</v>
          </cell>
          <cell r="CF5">
            <v>43269</v>
          </cell>
          <cell r="CG5">
            <v>43361</v>
          </cell>
          <cell r="CH5">
            <v>43452</v>
          </cell>
          <cell r="CI5">
            <v>43543</v>
          </cell>
          <cell r="CJ5">
            <v>43635</v>
          </cell>
          <cell r="CK5">
            <v>43727</v>
          </cell>
          <cell r="CL5">
            <v>43818</v>
          </cell>
          <cell r="CM5">
            <v>43910</v>
          </cell>
          <cell r="CN5">
            <v>44002</v>
          </cell>
          <cell r="CO5">
            <v>44094</v>
          </cell>
          <cell r="CP5">
            <v>44185</v>
          </cell>
          <cell r="CQ5" t="str">
            <v>Mar-21E</v>
          </cell>
          <cell r="CR5" t="str">
            <v>Jun-21E</v>
          </cell>
          <cell r="CS5" t="str">
            <v>Sep-21E</v>
          </cell>
          <cell r="CT5" t="str">
            <v>Dec-21E</v>
          </cell>
          <cell r="CU5" t="str">
            <v>Mar-22E</v>
          </cell>
          <cell r="CV5" t="str">
            <v>Jun-22E</v>
          </cell>
          <cell r="CW5" t="str">
            <v>Sep-22E</v>
          </cell>
          <cell r="CX5" t="str">
            <v>Dec-22E</v>
          </cell>
          <cell r="CY5" t="str">
            <v>Mar-23E</v>
          </cell>
          <cell r="CZ5" t="str">
            <v>Jun-23E</v>
          </cell>
          <cell r="DA5" t="str">
            <v>Sep-23E</v>
          </cell>
          <cell r="DB5" t="str">
            <v>Dec-23E</v>
          </cell>
          <cell r="DC5" t="str">
            <v>Mar-24E</v>
          </cell>
          <cell r="DD5" t="str">
            <v>Jun-24E</v>
          </cell>
          <cell r="DE5" t="str">
            <v>Sep-24E</v>
          </cell>
          <cell r="DF5" t="str">
            <v>Dec-24E</v>
          </cell>
          <cell r="DG5" t="str">
            <v>Mar-25E</v>
          </cell>
          <cell r="DH5" t="str">
            <v>Jun-25E</v>
          </cell>
          <cell r="DI5" t="str">
            <v>Sep-25E</v>
          </cell>
          <cell r="DJ5" t="str">
            <v>Dec-25E</v>
          </cell>
          <cell r="DK5" t="str">
            <v>Mar-26E</v>
          </cell>
          <cell r="DL5" t="str">
            <v>Jun-26E</v>
          </cell>
          <cell r="DM5" t="str">
            <v>Sep-26E</v>
          </cell>
          <cell r="DN5" t="str">
            <v>Dec-26E</v>
          </cell>
          <cell r="DP5">
            <v>1998</v>
          </cell>
          <cell r="DQ5">
            <v>1999</v>
          </cell>
          <cell r="DR5">
            <v>2000</v>
          </cell>
          <cell r="DS5">
            <v>2001</v>
          </cell>
          <cell r="DT5">
            <v>2002</v>
          </cell>
          <cell r="DU5">
            <v>2003</v>
          </cell>
          <cell r="DV5">
            <v>2004</v>
          </cell>
          <cell r="DW5">
            <v>2005</v>
          </cell>
          <cell r="DX5">
            <v>2006</v>
          </cell>
          <cell r="DY5">
            <v>2007</v>
          </cell>
          <cell r="DZ5">
            <v>2008</v>
          </cell>
          <cell r="EA5">
            <v>2009</v>
          </cell>
          <cell r="EB5">
            <v>2010</v>
          </cell>
          <cell r="EC5">
            <v>2011</v>
          </cell>
          <cell r="ED5">
            <v>2012</v>
          </cell>
          <cell r="EE5">
            <v>2013</v>
          </cell>
          <cell r="EF5">
            <v>2014</v>
          </cell>
          <cell r="EG5">
            <v>2015</v>
          </cell>
          <cell r="EH5">
            <v>2016</v>
          </cell>
          <cell r="EI5">
            <v>2017</v>
          </cell>
          <cell r="EJ5">
            <v>2018</v>
          </cell>
          <cell r="EK5">
            <v>2019</v>
          </cell>
          <cell r="EL5">
            <v>2020</v>
          </cell>
          <cell r="EM5" t="str">
            <v>2021E</v>
          </cell>
          <cell r="EN5" t="str">
            <v>2022E</v>
          </cell>
          <cell r="EO5" t="str">
            <v>2023E</v>
          </cell>
          <cell r="EP5" t="str">
            <v>2024E</v>
          </cell>
          <cell r="EQ5" t="str">
            <v>2025E</v>
          </cell>
          <cell r="ER5" t="str">
            <v>2026E</v>
          </cell>
        </row>
        <row r="6">
          <cell r="A6" t="str">
            <v>North America</v>
          </cell>
          <cell r="BE6">
            <v>24.5</v>
          </cell>
          <cell r="BF6">
            <v>27.4</v>
          </cell>
          <cell r="BG6">
            <v>33.9</v>
          </cell>
          <cell r="BH6">
            <v>40.700000000000003</v>
          </cell>
          <cell r="BI6">
            <v>45.5</v>
          </cell>
          <cell r="BJ6">
            <v>52.9</v>
          </cell>
          <cell r="BK6">
            <v>60.1</v>
          </cell>
          <cell r="BL6">
            <v>71.8</v>
          </cell>
          <cell r="BM6">
            <v>76.900000000000006</v>
          </cell>
          <cell r="BN6">
            <v>86.5</v>
          </cell>
          <cell r="BO6">
            <v>95</v>
          </cell>
          <cell r="BP6">
            <v>114.3</v>
          </cell>
          <cell r="BQ6">
            <v>120</v>
          </cell>
          <cell r="BR6">
            <v>135</v>
          </cell>
          <cell r="BS6">
            <v>149</v>
          </cell>
          <cell r="BT6">
            <v>174</v>
          </cell>
          <cell r="BU6">
            <v>181</v>
          </cell>
          <cell r="BV6">
            <v>199</v>
          </cell>
          <cell r="BW6">
            <v>211</v>
          </cell>
          <cell r="BX6">
            <v>234</v>
          </cell>
          <cell r="BY6">
            <v>239.62952000000001</v>
          </cell>
          <cell r="BZ6">
            <v>262.25287999999983</v>
          </cell>
          <cell r="CA6">
            <v>283.41244000000006</v>
          </cell>
          <cell r="CB6">
            <v>304.81544000000002</v>
          </cell>
          <cell r="CC6">
            <v>324.96551999999997</v>
          </cell>
          <cell r="CD6">
            <v>362.40138000000002</v>
          </cell>
          <cell r="CE6">
            <v>388.88652000000008</v>
          </cell>
          <cell r="CF6">
            <v>416.49696000000006</v>
          </cell>
          <cell r="CG6">
            <v>450.97498999999999</v>
          </cell>
          <cell r="CH6">
            <v>472.19106000000005</v>
          </cell>
          <cell r="CI6">
            <v>520.69115999999997</v>
          </cell>
          <cell r="CJ6">
            <v>542.0376</v>
          </cell>
          <cell r="CK6">
            <v>593.50810999999999</v>
          </cell>
          <cell r="CL6">
            <v>618.65309999999999</v>
          </cell>
          <cell r="CM6">
            <v>701.04779999999994</v>
          </cell>
          <cell r="CN6">
            <v>706.75572000000011</v>
          </cell>
          <cell r="CO6">
            <v>760.30151999999998</v>
          </cell>
          <cell r="CP6">
            <v>800.21119999999996</v>
          </cell>
          <cell r="DP6">
            <v>0</v>
          </cell>
          <cell r="DQ6">
            <v>0</v>
          </cell>
          <cell r="DR6">
            <v>0</v>
          </cell>
          <cell r="DS6">
            <v>0</v>
          </cell>
          <cell r="DT6">
            <v>0</v>
          </cell>
          <cell r="DU6">
            <v>0</v>
          </cell>
          <cell r="DV6">
            <v>0</v>
          </cell>
          <cell r="DW6">
            <v>0</v>
          </cell>
          <cell r="DX6">
            <v>0</v>
          </cell>
          <cell r="DY6">
            <v>0</v>
          </cell>
          <cell r="DZ6">
            <v>0</v>
          </cell>
          <cell r="EA6">
            <v>0</v>
          </cell>
          <cell r="EB6">
            <v>0</v>
          </cell>
          <cell r="EC6">
            <v>51.9</v>
          </cell>
          <cell r="ED6">
            <v>173</v>
          </cell>
          <cell r="EE6">
            <v>295.3</v>
          </cell>
          <cell r="EF6">
            <v>464.3</v>
          </cell>
          <cell r="EG6">
            <v>703</v>
          </cell>
          <cell r="EH6">
            <v>946.88239999999973</v>
          </cell>
          <cell r="EI6">
            <v>1275.5947800000001</v>
          </cell>
          <cell r="EJ6">
            <v>1728.5495300000002</v>
          </cell>
          <cell r="EK6">
            <v>2274.8899700000002</v>
          </cell>
          <cell r="EL6">
            <v>2968.3162400000001</v>
          </cell>
          <cell r="EM6">
            <v>0</v>
          </cell>
          <cell r="EN6">
            <v>0</v>
          </cell>
          <cell r="EO6">
            <v>0</v>
          </cell>
          <cell r="EP6">
            <v>0</v>
          </cell>
          <cell r="EQ6">
            <v>0</v>
          </cell>
          <cell r="ER6">
            <v>0</v>
          </cell>
        </row>
        <row r="7">
          <cell r="A7" t="str">
            <v>% revenues</v>
          </cell>
          <cell r="BC7">
            <v>0</v>
          </cell>
          <cell r="BD7">
            <v>0</v>
          </cell>
          <cell r="BE7">
            <v>0.71643711436675728</v>
          </cell>
          <cell r="BF7">
            <v>0.69937209658481803</v>
          </cell>
          <cell r="BG7">
            <v>0.71472243891126053</v>
          </cell>
          <cell r="BH7">
            <v>0.716877443900377</v>
          </cell>
          <cell r="BI7">
            <v>0.70712565078871703</v>
          </cell>
          <cell r="BJ7">
            <v>0.70381309704371886</v>
          </cell>
          <cell r="BK7">
            <v>0.69933324800148944</v>
          </cell>
          <cell r="BL7">
            <v>0.70239283128876362</v>
          </cell>
          <cell r="BM7">
            <v>0.69118003936760175</v>
          </cell>
          <cell r="BN7">
            <v>0.6907290585323006</v>
          </cell>
          <cell r="BO7">
            <v>0.68301100007189586</v>
          </cell>
          <cell r="BP7">
            <v>0.68542849775421721</v>
          </cell>
          <cell r="BQ7">
            <v>0.67147141769998664</v>
          </cell>
          <cell r="BR7">
            <v>0.68180440799175768</v>
          </cell>
          <cell r="BS7">
            <v>0.70294955747202359</v>
          </cell>
          <cell r="BT7">
            <v>0.70526435253489839</v>
          </cell>
          <cell r="BU7">
            <v>0.69308826345012453</v>
          </cell>
          <cell r="BV7">
            <v>0.69665674776824793</v>
          </cell>
          <cell r="BW7">
            <v>0.68981525374412755</v>
          </cell>
          <cell r="BX7">
            <v>0.68558972435777243</v>
          </cell>
          <cell r="BY7">
            <v>0.67</v>
          </cell>
          <cell r="BZ7">
            <v>0.6799999999999996</v>
          </cell>
          <cell r="CA7">
            <v>0.66098789330435137</v>
          </cell>
          <cell r="CB7">
            <v>0.68</v>
          </cell>
          <cell r="CC7">
            <v>0.66</v>
          </cell>
          <cell r="CD7">
            <v>0.66</v>
          </cell>
          <cell r="CE7">
            <v>0.66</v>
          </cell>
          <cell r="CF7">
            <v>0.66</v>
          </cell>
          <cell r="CG7">
            <v>0.67</v>
          </cell>
          <cell r="CH7">
            <v>0.66</v>
          </cell>
          <cell r="CI7">
            <v>0.66</v>
          </cell>
          <cell r="CJ7">
            <v>0.65</v>
          </cell>
          <cell r="CK7">
            <v>0.67</v>
          </cell>
          <cell r="CL7">
            <v>0.65</v>
          </cell>
          <cell r="CM7">
            <v>0.67</v>
          </cell>
          <cell r="CN7">
            <v>0.66</v>
          </cell>
          <cell r="CO7">
            <v>0.66</v>
          </cell>
          <cell r="CP7">
            <v>0.64</v>
          </cell>
          <cell r="DP7" t="str">
            <v>NA</v>
          </cell>
          <cell r="DQ7" t="str">
            <v>NA</v>
          </cell>
          <cell r="DR7" t="str">
            <v>NA</v>
          </cell>
          <cell r="DS7" t="str">
            <v>NA</v>
          </cell>
          <cell r="DT7" t="str">
            <v>NA</v>
          </cell>
          <cell r="DU7" t="str">
            <v>NA</v>
          </cell>
          <cell r="DV7" t="str">
            <v>NA</v>
          </cell>
          <cell r="DW7" t="str">
            <v>NA</v>
          </cell>
          <cell r="DX7" t="str">
            <v>NA</v>
          </cell>
          <cell r="DY7" t="str">
            <v>NA</v>
          </cell>
          <cell r="DZ7">
            <v>0</v>
          </cell>
          <cell r="EA7">
            <v>0</v>
          </cell>
          <cell r="EB7">
            <v>0</v>
          </cell>
          <cell r="EC7">
            <v>0.40524130515153595</v>
          </cell>
          <cell r="ED7">
            <v>0.70985425420168058</v>
          </cell>
          <cell r="EE7">
            <v>0.69539620864241136</v>
          </cell>
          <cell r="EF7">
            <v>0.6802302498084426</v>
          </cell>
          <cell r="EG7">
            <v>0.6991685563114135</v>
          </cell>
          <cell r="EH7">
            <v>0.68095904173495669</v>
          </cell>
          <cell r="EI7">
            <v>0.66489380733012471</v>
          </cell>
          <cell r="EJ7">
            <v>0.66258008613869279</v>
          </cell>
          <cell r="EK7">
            <v>0.65739962033696908</v>
          </cell>
          <cell r="EL7">
            <v>0.65678211052412183</v>
          </cell>
          <cell r="EM7">
            <v>0</v>
          </cell>
          <cell r="EN7">
            <v>0</v>
          </cell>
          <cell r="EO7">
            <v>0</v>
          </cell>
          <cell r="EP7">
            <v>0</v>
          </cell>
          <cell r="EQ7">
            <v>0</v>
          </cell>
          <cell r="ER7">
            <v>0</v>
          </cell>
        </row>
        <row r="8">
          <cell r="A8" t="str">
            <v>% growth y-o-y</v>
          </cell>
          <cell r="BC8" t="str">
            <v>NA</v>
          </cell>
          <cell r="BD8" t="str">
            <v>NA</v>
          </cell>
          <cell r="BE8" t="str">
            <v>NA</v>
          </cell>
          <cell r="BF8" t="str">
            <v>NA</v>
          </cell>
          <cell r="BG8" t="str">
            <v>NA</v>
          </cell>
          <cell r="BH8" t="str">
            <v>NA</v>
          </cell>
          <cell r="BI8">
            <v>0.85714285714285721</v>
          </cell>
          <cell r="BJ8">
            <v>0.93065693430656937</v>
          </cell>
          <cell r="BK8">
            <v>0.77286135693215341</v>
          </cell>
          <cell r="BL8">
            <v>0.76412776412776395</v>
          </cell>
          <cell r="BM8">
            <v>0.69010989010989032</v>
          </cell>
          <cell r="BN8">
            <v>0.63516068052930064</v>
          </cell>
          <cell r="BO8">
            <v>0.58069883527454236</v>
          </cell>
          <cell r="BP8">
            <v>0.59192200557103059</v>
          </cell>
          <cell r="BQ8">
            <v>0.56046814044213256</v>
          </cell>
          <cell r="BR8">
            <v>0.56069364161849711</v>
          </cell>
          <cell r="BS8">
            <v>0.56842105263157894</v>
          </cell>
          <cell r="BT8">
            <v>0.52230971128608927</v>
          </cell>
          <cell r="BU8">
            <v>0.5083333333333333</v>
          </cell>
          <cell r="BV8">
            <v>0.47407407407407409</v>
          </cell>
          <cell r="BW8">
            <v>0.41610738255033564</v>
          </cell>
          <cell r="BX8">
            <v>0.34482758620689657</v>
          </cell>
          <cell r="BY8">
            <v>0.32391999999999999</v>
          </cell>
          <cell r="BZ8">
            <v>0.3178536683417077</v>
          </cell>
          <cell r="CA8">
            <v>0.34318691943127999</v>
          </cell>
          <cell r="CB8">
            <v>0.30263008547008563</v>
          </cell>
          <cell r="CC8">
            <v>0.35611639166994102</v>
          </cell>
          <cell r="CD8">
            <v>0.38187759844620284</v>
          </cell>
          <cell r="CE8">
            <v>0.37215755243488946</v>
          </cell>
          <cell r="CF8">
            <v>0.36639062640658904</v>
          </cell>
          <cell r="CG8">
            <v>0.38776258478130243</v>
          </cell>
          <cell r="CH8">
            <v>0.30295050200967788</v>
          </cell>
          <cell r="CI8">
            <v>0.33892828170027567</v>
          </cell>
          <cell r="CJ8">
            <v>0.30142030328384606</v>
          </cell>
          <cell r="CK8">
            <v>0.31605548680205087</v>
          </cell>
          <cell r="CL8">
            <v>0.31017537689087105</v>
          </cell>
          <cell r="CM8">
            <v>0.34637930092763614</v>
          </cell>
          <cell r="CN8">
            <v>0.30388688902762495</v>
          </cell>
          <cell r="CO8">
            <v>0.28102970656963722</v>
          </cell>
          <cell r="CP8">
            <v>0.29347319200372546</v>
          </cell>
          <cell r="DQ8" t="str">
            <v>NA</v>
          </cell>
          <cell r="DR8" t="str">
            <v>NA</v>
          </cell>
          <cell r="DS8" t="str">
            <v>NA</v>
          </cell>
          <cell r="DT8" t="str">
            <v>NA</v>
          </cell>
          <cell r="DU8" t="str">
            <v>NA</v>
          </cell>
          <cell r="DV8" t="str">
            <v>NA</v>
          </cell>
          <cell r="DW8" t="str">
            <v>NA</v>
          </cell>
          <cell r="DX8" t="str">
            <v>NA</v>
          </cell>
          <cell r="DY8" t="str">
            <v>NA</v>
          </cell>
          <cell r="DZ8" t="str">
            <v>NA</v>
          </cell>
          <cell r="EA8" t="str">
            <v>NA</v>
          </cell>
          <cell r="EB8" t="str">
            <v>NA</v>
          </cell>
          <cell r="EC8" t="str">
            <v>NA</v>
          </cell>
          <cell r="ED8">
            <v>2.3333333333333335</v>
          </cell>
          <cell r="EE8">
            <v>0.70693641618497116</v>
          </cell>
          <cell r="EF8">
            <v>0.5722993565865222</v>
          </cell>
          <cell r="EG8">
            <v>0.51410725823820802</v>
          </cell>
          <cell r="EH8">
            <v>0.3469166429587478</v>
          </cell>
          <cell r="EI8">
            <v>0.34715227572082918</v>
          </cell>
          <cell r="EJ8">
            <v>0.35509297866521528</v>
          </cell>
          <cell r="EK8">
            <v>0.31606872150200971</v>
          </cell>
          <cell r="EL8">
            <v>0.304817498492026</v>
          </cell>
          <cell r="EM8">
            <v>-1</v>
          </cell>
          <cell r="EN8" t="str">
            <v>NA</v>
          </cell>
          <cell r="EO8" t="str">
            <v>NA</v>
          </cell>
          <cell r="EP8" t="str">
            <v>NA</v>
          </cell>
          <cell r="EQ8" t="str">
            <v>NA</v>
          </cell>
          <cell r="ER8" t="str">
            <v>NA</v>
          </cell>
        </row>
        <row r="9">
          <cell r="A9" t="str">
            <v>% growth seq</v>
          </cell>
          <cell r="BC9" t="str">
            <v>NA</v>
          </cell>
          <cell r="BD9" t="str">
            <v>NA</v>
          </cell>
          <cell r="BE9" t="str">
            <v>NA</v>
          </cell>
          <cell r="BF9">
            <v>0.11836734693877538</v>
          </cell>
          <cell r="BG9">
            <v>0.23722627737226287</v>
          </cell>
          <cell r="BH9">
            <v>0.20058997050147509</v>
          </cell>
          <cell r="BI9">
            <v>0.1179361179361178</v>
          </cell>
          <cell r="BJ9">
            <v>0.1626373626373625</v>
          </cell>
          <cell r="BK9">
            <v>0.13610586011342152</v>
          </cell>
          <cell r="BL9">
            <v>0.19467554076539084</v>
          </cell>
          <cell r="BM9">
            <v>7.1030640668523715E-2</v>
          </cell>
          <cell r="BN9">
            <v>0.12483745123537049</v>
          </cell>
          <cell r="BO9">
            <v>9.8265895953757232E-2</v>
          </cell>
          <cell r="BP9">
            <v>0.20315789473684198</v>
          </cell>
          <cell r="BQ9">
            <v>4.986876640419946E-2</v>
          </cell>
          <cell r="BR9">
            <v>0.125</v>
          </cell>
          <cell r="BS9">
            <v>0.10370370370370363</v>
          </cell>
          <cell r="BT9">
            <v>0.16778523489932895</v>
          </cell>
          <cell r="BU9">
            <v>4.022988505747116E-2</v>
          </cell>
          <cell r="BV9">
            <v>9.9447513812154664E-2</v>
          </cell>
          <cell r="BW9">
            <v>6.0301507537688481E-2</v>
          </cell>
          <cell r="BX9">
            <v>0.1090047393364928</v>
          </cell>
          <cell r="BY9">
            <v>2.4057777777777734E-2</v>
          </cell>
          <cell r="BZ9">
            <v>9.4409737164268481E-2</v>
          </cell>
          <cell r="CA9">
            <v>8.0683804120665004E-2</v>
          </cell>
          <cell r="CB9">
            <v>7.5518915118898633E-2</v>
          </cell>
          <cell r="CC9">
            <v>6.6105837683287705E-2</v>
          </cell>
          <cell r="CD9">
            <v>0.11519948331749186</v>
          </cell>
          <cell r="CE9">
            <v>7.3082337600370195E-2</v>
          </cell>
          <cell r="CF9">
            <v>7.099870676926523E-2</v>
          </cell>
          <cell r="CG9">
            <v>8.2780988365437125E-2</v>
          </cell>
          <cell r="CH9">
            <v>4.7044892666886051E-2</v>
          </cell>
          <cell r="CI9">
            <v>0.10271287220050263</v>
          </cell>
          <cell r="CJ9">
            <v>4.0996355690002595E-2</v>
          </cell>
          <cell r="CK9">
            <v>9.4957453136092385E-2</v>
          </cell>
          <cell r="CL9">
            <v>4.2366716774940194E-2</v>
          </cell>
          <cell r="CM9">
            <v>0.13318400893812687</v>
          </cell>
          <cell r="CN9">
            <v>8.1419840416019351E-3</v>
          </cell>
          <cell r="CO9">
            <v>7.5762810946899517E-2</v>
          </cell>
          <cell r="CP9">
            <v>5.2491911366953525E-2</v>
          </cell>
        </row>
        <row r="10">
          <cell r="DW10" t="e">
            <v>#REF!</v>
          </cell>
          <cell r="DX10" t="e">
            <v>#REF!</v>
          </cell>
        </row>
        <row r="11">
          <cell r="A11" t="str">
            <v>EMEA</v>
          </cell>
          <cell r="BE11">
            <v>8.6</v>
          </cell>
          <cell r="BF11">
            <v>10.3</v>
          </cell>
          <cell r="BG11">
            <v>11.9</v>
          </cell>
          <cell r="BH11">
            <v>14</v>
          </cell>
          <cell r="BI11">
            <v>16.100000000000001</v>
          </cell>
          <cell r="BJ11">
            <v>18.600000000000001</v>
          </cell>
          <cell r="BK11">
            <v>20.3</v>
          </cell>
          <cell r="BL11">
            <v>24.5</v>
          </cell>
          <cell r="BM11">
            <v>27.6</v>
          </cell>
          <cell r="BN11">
            <v>31.8</v>
          </cell>
          <cell r="BO11">
            <v>36</v>
          </cell>
          <cell r="BP11">
            <v>42.157000000000011</v>
          </cell>
          <cell r="BQ11">
            <v>46.711999999999989</v>
          </cell>
          <cell r="BR11">
            <v>49</v>
          </cell>
          <cell r="BS11">
            <v>48</v>
          </cell>
          <cell r="BT11">
            <v>56</v>
          </cell>
          <cell r="BU11">
            <v>62</v>
          </cell>
          <cell r="BV11">
            <v>67</v>
          </cell>
          <cell r="BW11">
            <v>74</v>
          </cell>
          <cell r="BX11">
            <v>82</v>
          </cell>
          <cell r="BY11">
            <v>89.414000000000001</v>
          </cell>
          <cell r="BZ11">
            <v>92.559840000000008</v>
          </cell>
          <cell r="CA11">
            <v>100.02792000000001</v>
          </cell>
          <cell r="CB11">
            <v>107.58192000000001</v>
          </cell>
          <cell r="CC11">
            <v>128.01671999999999</v>
          </cell>
          <cell r="CD11">
            <v>142.76417999999998</v>
          </cell>
          <cell r="CE11">
            <v>153.19772000000003</v>
          </cell>
          <cell r="CF11">
            <v>164.07456000000002</v>
          </cell>
          <cell r="CG11">
            <v>161.54327999999998</v>
          </cell>
          <cell r="CH11">
            <v>178.86025000000001</v>
          </cell>
          <cell r="CI11">
            <v>197.23149999999998</v>
          </cell>
          <cell r="CJ11">
            <v>216.81504000000001</v>
          </cell>
          <cell r="CK11">
            <v>212.59992</v>
          </cell>
          <cell r="CL11">
            <v>247.46124</v>
          </cell>
          <cell r="CM11">
            <v>251.12159999999997</v>
          </cell>
          <cell r="CN11">
            <v>267.71050000000002</v>
          </cell>
          <cell r="CO11">
            <v>287.99299999999999</v>
          </cell>
          <cell r="CP11">
            <v>325.08580000000001</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cell r="EG11">
            <v>0</v>
          </cell>
          <cell r="EH11">
            <v>0</v>
          </cell>
          <cell r="EI11">
            <v>0</v>
          </cell>
          <cell r="EJ11">
            <v>0</v>
          </cell>
          <cell r="EK11">
            <v>874.10769999999991</v>
          </cell>
          <cell r="EL11">
            <v>1131.9109000000001</v>
          </cell>
          <cell r="EM11">
            <v>0</v>
          </cell>
          <cell r="EN11">
            <v>0</v>
          </cell>
          <cell r="EO11">
            <v>0</v>
          </cell>
          <cell r="EP11">
            <v>0</v>
          </cell>
          <cell r="EQ11">
            <v>0</v>
          </cell>
          <cell r="ER11">
            <v>0</v>
          </cell>
        </row>
        <row r="12">
          <cell r="A12" t="str">
            <v>% revenues</v>
          </cell>
          <cell r="BC12">
            <v>0</v>
          </cell>
          <cell r="BD12">
            <v>0</v>
          </cell>
          <cell r="BE12">
            <v>0.2514840483083311</v>
          </cell>
          <cell r="BF12">
            <v>0.26290264944611774</v>
          </cell>
          <cell r="BG12">
            <v>0.25089076764141599</v>
          </cell>
          <cell r="BH12">
            <v>0.24659174974460141</v>
          </cell>
          <cell r="BI12">
            <v>0.25021369181754605</v>
          </cell>
          <cell r="BJ12">
            <v>0.24746547457491819</v>
          </cell>
          <cell r="BK12">
            <v>0.23621405880915533</v>
          </cell>
          <cell r="BL12">
            <v>0.23967443407485667</v>
          </cell>
          <cell r="BM12">
            <v>0.24806981907081677</v>
          </cell>
          <cell r="BN12">
            <v>0.25393276371476481</v>
          </cell>
          <cell r="BO12">
            <v>0.25882522107987632</v>
          </cell>
          <cell r="BP12">
            <v>0.25280497970100213</v>
          </cell>
          <cell r="BQ12">
            <v>0.26138144053001472</v>
          </cell>
          <cell r="BR12">
            <v>0.24746974808589722</v>
          </cell>
          <cell r="BS12">
            <v>0.22645354871581966</v>
          </cell>
          <cell r="BT12">
            <v>0.22698163070088684</v>
          </cell>
          <cell r="BU12">
            <v>0.2374114493586062</v>
          </cell>
          <cell r="BV12">
            <v>0.23455277437423422</v>
          </cell>
          <cell r="BW12">
            <v>0.24192572880125801</v>
          </cell>
          <cell r="BX12">
            <v>0.24024939058691172</v>
          </cell>
          <cell r="BY12">
            <v>0.25</v>
          </cell>
          <cell r="BZ12">
            <v>0.24000000000000002</v>
          </cell>
          <cell r="CA12">
            <v>0.23328984469565339</v>
          </cell>
          <cell r="CB12">
            <v>0.24</v>
          </cell>
          <cell r="CC12">
            <v>0.26</v>
          </cell>
          <cell r="CD12">
            <v>0.26</v>
          </cell>
          <cell r="CE12">
            <v>0.26</v>
          </cell>
          <cell r="CF12">
            <v>0.26</v>
          </cell>
          <cell r="CG12">
            <v>0.24</v>
          </cell>
          <cell r="CH12">
            <v>0.25</v>
          </cell>
          <cell r="CI12">
            <v>0.25</v>
          </cell>
          <cell r="CJ12">
            <v>0.26</v>
          </cell>
          <cell r="CK12">
            <v>0.24</v>
          </cell>
          <cell r="CL12">
            <v>0.26</v>
          </cell>
          <cell r="CM12">
            <v>0.24</v>
          </cell>
          <cell r="CN12">
            <v>0.25</v>
          </cell>
          <cell r="CO12">
            <v>0.25</v>
          </cell>
          <cell r="CP12">
            <v>0.26</v>
          </cell>
          <cell r="DP12" t="str">
            <v>NA</v>
          </cell>
          <cell r="DQ12" t="str">
            <v>NA</v>
          </cell>
          <cell r="DR12" t="str">
            <v>NA</v>
          </cell>
          <cell r="DS12" t="str">
            <v>NA</v>
          </cell>
          <cell r="DT12" t="str">
            <v>NA</v>
          </cell>
          <cell r="DU12" t="str">
            <v>NA</v>
          </cell>
          <cell r="DV12" t="str">
            <v>NA</v>
          </cell>
          <cell r="DW12" t="str">
            <v>NA</v>
          </cell>
          <cell r="DX12" t="str">
            <v>NA</v>
          </cell>
          <cell r="DY12" t="str">
            <v>NA</v>
          </cell>
          <cell r="DZ12">
            <v>0</v>
          </cell>
          <cell r="EA12">
            <v>0</v>
          </cell>
          <cell r="EB12">
            <v>0</v>
          </cell>
          <cell r="EC12">
            <v>0</v>
          </cell>
          <cell r="ED12">
            <v>0</v>
          </cell>
          <cell r="EE12">
            <v>0</v>
          </cell>
          <cell r="EF12">
            <v>0</v>
          </cell>
          <cell r="EG12">
            <v>0</v>
          </cell>
          <cell r="EH12">
            <v>0</v>
          </cell>
          <cell r="EI12">
            <v>0</v>
          </cell>
          <cell r="EJ12">
            <v>0</v>
          </cell>
          <cell r="EK12">
            <v>0.252600379663031</v>
          </cell>
          <cell r="EL12">
            <v>0.25045135683631142</v>
          </cell>
          <cell r="EM12">
            <v>0</v>
          </cell>
          <cell r="EN12">
            <v>0</v>
          </cell>
          <cell r="EO12">
            <v>0</v>
          </cell>
          <cell r="EP12">
            <v>0</v>
          </cell>
          <cell r="EQ12">
            <v>0</v>
          </cell>
          <cell r="ER12">
            <v>0</v>
          </cell>
        </row>
        <row r="13">
          <cell r="A13" t="str">
            <v>% growth y-o-y</v>
          </cell>
          <cell r="BC13" t="str">
            <v>NA</v>
          </cell>
          <cell r="BD13" t="str">
            <v>NA</v>
          </cell>
          <cell r="BE13" t="str">
            <v>NA</v>
          </cell>
          <cell r="BF13" t="str">
            <v>NA</v>
          </cell>
          <cell r="BG13" t="str">
            <v>NA</v>
          </cell>
          <cell r="BH13" t="str">
            <v>NA</v>
          </cell>
          <cell r="BI13">
            <v>0.87209302325581417</v>
          </cell>
          <cell r="BJ13">
            <v>0.80582524271844669</v>
          </cell>
          <cell r="BK13">
            <v>0.70588235294117641</v>
          </cell>
          <cell r="BL13">
            <v>0.75</v>
          </cell>
          <cell r="BM13">
            <v>0.71428571428571419</v>
          </cell>
          <cell r="BN13">
            <v>0.70967741935483852</v>
          </cell>
          <cell r="BO13">
            <v>0.77339901477832496</v>
          </cell>
          <cell r="BP13">
            <v>0.72069387755102077</v>
          </cell>
          <cell r="BQ13">
            <v>0.69246376811594157</v>
          </cell>
          <cell r="BR13">
            <v>0.54088050314465397</v>
          </cell>
          <cell r="BS13">
            <v>0.33333333333333326</v>
          </cell>
          <cell r="BT13">
            <v>0.32836776810494062</v>
          </cell>
          <cell r="BU13">
            <v>0.32728206884740563</v>
          </cell>
          <cell r="BV13">
            <v>0.36734693877551017</v>
          </cell>
          <cell r="BW13">
            <v>0.54166666666666674</v>
          </cell>
          <cell r="BX13">
            <v>0.46428571428571419</v>
          </cell>
          <cell r="BY13">
            <v>0.44216129032258067</v>
          </cell>
          <cell r="BZ13">
            <v>0.38149014925373148</v>
          </cell>
          <cell r="CA13">
            <v>0.35172864864864883</v>
          </cell>
          <cell r="CB13">
            <v>0.31197463414634163</v>
          </cell>
          <cell r="CC13">
            <v>0.43173015411456817</v>
          </cell>
          <cell r="CD13">
            <v>0.54239873361924529</v>
          </cell>
          <cell r="CE13">
            <v>0.53154959135409419</v>
          </cell>
          <cell r="CF13">
            <v>0.52511276987806133</v>
          </cell>
          <cell r="CG13">
            <v>0.26189204035222891</v>
          </cell>
          <cell r="CH13">
            <v>0.25283702116315188</v>
          </cell>
          <cell r="CI13">
            <v>0.28743104009641884</v>
          </cell>
          <cell r="CJ13">
            <v>0.32144215410359767</v>
          </cell>
          <cell r="CK13">
            <v>0.31605548680205087</v>
          </cell>
          <cell r="CL13">
            <v>0.3835451979967599</v>
          </cell>
          <cell r="CM13">
            <v>0.27323272398171694</v>
          </cell>
          <cell r="CN13">
            <v>0.23474137218525071</v>
          </cell>
          <cell r="CO13">
            <v>0.35462421622736273</v>
          </cell>
          <cell r="CP13">
            <v>0.31368371062878375</v>
          </cell>
          <cell r="DQ13" t="str">
            <v>NA</v>
          </cell>
          <cell r="DR13" t="str">
            <v>NA</v>
          </cell>
          <cell r="DS13" t="str">
            <v>NA</v>
          </cell>
          <cell r="DT13" t="str">
            <v>NA</v>
          </cell>
          <cell r="DU13" t="str">
            <v>NA</v>
          </cell>
          <cell r="DV13" t="str">
            <v>NA</v>
          </cell>
          <cell r="DW13" t="str">
            <v>NA</v>
          </cell>
          <cell r="DX13" t="str">
            <v>NA</v>
          </cell>
          <cell r="DY13" t="str">
            <v>NA</v>
          </cell>
          <cell r="DZ13" t="str">
            <v>NA</v>
          </cell>
          <cell r="EA13" t="str">
            <v>NA</v>
          </cell>
          <cell r="EB13" t="str">
            <v>NA</v>
          </cell>
          <cell r="EC13" t="str">
            <v>NA</v>
          </cell>
          <cell r="ED13" t="str">
            <v>NA</v>
          </cell>
          <cell r="EE13" t="str">
            <v>NA</v>
          </cell>
          <cell r="EF13" t="str">
            <v>NA</v>
          </cell>
          <cell r="EG13" t="str">
            <v>NA</v>
          </cell>
          <cell r="EH13" t="str">
            <v>NA</v>
          </cell>
          <cell r="EI13" t="str">
            <v>NA</v>
          </cell>
          <cell r="EJ13" t="str">
            <v>NA</v>
          </cell>
          <cell r="EK13" t="str">
            <v>NA</v>
          </cell>
          <cell r="EL13">
            <v>0.2949329928108404</v>
          </cell>
          <cell r="EM13">
            <v>-1</v>
          </cell>
          <cell r="EN13" t="str">
            <v>NA</v>
          </cell>
          <cell r="EO13" t="str">
            <v>NA</v>
          </cell>
          <cell r="EP13" t="str">
            <v>NA</v>
          </cell>
          <cell r="EQ13" t="str">
            <v>NA</v>
          </cell>
          <cell r="ER13" t="str">
            <v>NA</v>
          </cell>
        </row>
        <row r="14">
          <cell r="A14" t="str">
            <v>% growth seq</v>
          </cell>
          <cell r="BC14" t="str">
            <v>NA</v>
          </cell>
          <cell r="BD14" t="str">
            <v>NA</v>
          </cell>
          <cell r="BE14" t="str">
            <v>NA</v>
          </cell>
          <cell r="BF14">
            <v>0.19767441860465129</v>
          </cell>
          <cell r="BG14">
            <v>0.15533980582524265</v>
          </cell>
          <cell r="BH14">
            <v>0.17647058823529416</v>
          </cell>
          <cell r="BI14">
            <v>0.15000000000000013</v>
          </cell>
          <cell r="BJ14">
            <v>0.15527950310559002</v>
          </cell>
          <cell r="BK14">
            <v>9.139784946236551E-2</v>
          </cell>
          <cell r="BL14">
            <v>0.2068965517241379</v>
          </cell>
          <cell r="BM14">
            <v>0.12653061224489792</v>
          </cell>
          <cell r="BN14">
            <v>0.15217391304347827</v>
          </cell>
          <cell r="BO14">
            <v>0.13207547169811318</v>
          </cell>
          <cell r="BP14">
            <v>0.171027777777778</v>
          </cell>
          <cell r="BQ14">
            <v>0.10804848542353529</v>
          </cell>
          <cell r="BR14">
            <v>4.8980989895530236E-2</v>
          </cell>
          <cell r="BS14">
            <v>-2.0408163265306145E-2</v>
          </cell>
          <cell r="BT14">
            <v>0.16666666666666674</v>
          </cell>
          <cell r="BU14">
            <v>0.10714285714285721</v>
          </cell>
          <cell r="BV14">
            <v>8.0645161290322509E-2</v>
          </cell>
          <cell r="BW14">
            <v>0.10447761194029859</v>
          </cell>
          <cell r="BX14">
            <v>0.10810810810810811</v>
          </cell>
          <cell r="BY14">
            <v>9.0414634146341433E-2</v>
          </cell>
          <cell r="BZ14">
            <v>3.5182857270673606E-2</v>
          </cell>
          <cell r="CA14">
            <v>8.0683804120663893E-2</v>
          </cell>
          <cell r="CB14">
            <v>7.5518915118898855E-2</v>
          </cell>
          <cell r="CC14">
            <v>0.18994641478791219</v>
          </cell>
          <cell r="CD14">
            <v>0.11519948331749164</v>
          </cell>
          <cell r="CE14">
            <v>7.3082337600370417E-2</v>
          </cell>
          <cell r="CF14">
            <v>7.099870676926523E-2</v>
          </cell>
          <cell r="CG14">
            <v>-1.5427620223391392E-2</v>
          </cell>
          <cell r="CH14">
            <v>0.10719709294004698</v>
          </cell>
          <cell r="CI14">
            <v>0.10271287220050285</v>
          </cell>
          <cell r="CJ14">
            <v>9.9292151608642687E-2</v>
          </cell>
          <cell r="CK14">
            <v>-1.9441086743797853E-2</v>
          </cell>
          <cell r="CL14">
            <v>0.1639761670653499</v>
          </cell>
          <cell r="CM14">
            <v>1.4791649795337536E-2</v>
          </cell>
          <cell r="CN14">
            <v>6.6059231862173773E-2</v>
          </cell>
          <cell r="CO14">
            <v>7.5762810946899517E-2</v>
          </cell>
          <cell r="CP14">
            <v>0.1287975749410577</v>
          </cell>
        </row>
        <row r="15">
          <cell r="DW15" t="e">
            <v>#REF!</v>
          </cell>
          <cell r="DX15" t="e">
            <v>#REF!</v>
          </cell>
        </row>
        <row r="16">
          <cell r="A16" t="str">
            <v>APAC &amp; Other</v>
          </cell>
          <cell r="BE16">
            <v>1.1000000000000001</v>
          </cell>
          <cell r="BF16">
            <v>1.5</v>
          </cell>
          <cell r="BG16">
            <v>1.6</v>
          </cell>
          <cell r="BH16">
            <v>2.1</v>
          </cell>
          <cell r="BI16">
            <v>2.7</v>
          </cell>
          <cell r="BJ16">
            <v>3.7</v>
          </cell>
          <cell r="BK16">
            <v>5.5</v>
          </cell>
          <cell r="BL16">
            <v>5.9</v>
          </cell>
          <cell r="BM16">
            <v>6.8</v>
          </cell>
          <cell r="BN16">
            <v>6.9</v>
          </cell>
          <cell r="BO16">
            <v>7.8</v>
          </cell>
          <cell r="BP16">
            <v>10.3</v>
          </cell>
          <cell r="BQ16">
            <v>12</v>
          </cell>
          <cell r="BR16">
            <v>14</v>
          </cell>
          <cell r="BS16">
            <v>15</v>
          </cell>
          <cell r="BT16">
            <v>17</v>
          </cell>
          <cell r="BU16">
            <v>18</v>
          </cell>
          <cell r="BV16">
            <v>20</v>
          </cell>
          <cell r="BW16">
            <v>21</v>
          </cell>
          <cell r="BX16">
            <v>25</v>
          </cell>
          <cell r="BY16">
            <v>28.612480000000001</v>
          </cell>
          <cell r="BZ16">
            <v>30.853280000000005</v>
          </cell>
          <cell r="CA16">
            <v>33.342640000000003</v>
          </cell>
          <cell r="CB16">
            <v>35.860639999999982</v>
          </cell>
          <cell r="CC16">
            <v>39.389759999999974</v>
          </cell>
          <cell r="CD16">
            <v>43.927439999999976</v>
          </cell>
          <cell r="CE16">
            <v>47.137759999999986</v>
          </cell>
          <cell r="CF16">
            <v>50.484479999999976</v>
          </cell>
          <cell r="CG16">
            <v>60.578729999999979</v>
          </cell>
          <cell r="CH16">
            <v>64.389689999999987</v>
          </cell>
          <cell r="CI16">
            <v>71.003339999999966</v>
          </cell>
          <cell r="CJ16">
            <v>75.051359999999974</v>
          </cell>
          <cell r="CK16">
            <v>79.724969999999971</v>
          </cell>
          <cell r="CL16">
            <v>85.659659999999974</v>
          </cell>
          <cell r="CM16">
            <v>94.170599999999965</v>
          </cell>
          <cell r="CN16">
            <v>96.375779999999978</v>
          </cell>
          <cell r="CO16">
            <v>103.67747999999996</v>
          </cell>
          <cell r="CP16">
            <v>125.03299999999996</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cell r="EG16">
            <v>0</v>
          </cell>
          <cell r="EH16">
            <v>0</v>
          </cell>
          <cell r="EI16">
            <v>0</v>
          </cell>
          <cell r="EJ16">
            <v>0</v>
          </cell>
          <cell r="EK16">
            <v>311.43932999999987</v>
          </cell>
          <cell r="EL16">
            <v>419.25685999999985</v>
          </cell>
          <cell r="EM16">
            <v>0</v>
          </cell>
          <cell r="EN16">
            <v>0</v>
          </cell>
          <cell r="EO16">
            <v>0</v>
          </cell>
          <cell r="EP16">
            <v>0</v>
          </cell>
          <cell r="EQ16">
            <v>0</v>
          </cell>
          <cell r="ER16">
            <v>0</v>
          </cell>
        </row>
        <row r="17">
          <cell r="A17" t="str">
            <v>% revenues</v>
          </cell>
          <cell r="BC17">
            <v>0</v>
          </cell>
          <cell r="BD17">
            <v>0</v>
          </cell>
          <cell r="BE17">
            <v>3.2166564318507472E-2</v>
          </cell>
          <cell r="BF17">
            <v>3.8286793608657922E-2</v>
          </cell>
          <cell r="BG17">
            <v>3.3733212455988704E-2</v>
          </cell>
          <cell r="BH17">
            <v>3.6988762461690208E-2</v>
          </cell>
          <cell r="BI17">
            <v>4.19613023544953E-2</v>
          </cell>
          <cell r="BJ17">
            <v>4.9227003006838563E-2</v>
          </cell>
          <cell r="BK17">
            <v>6.3998882928588879E-2</v>
          </cell>
          <cell r="BL17">
            <v>5.7717516777210383E-2</v>
          </cell>
          <cell r="BM17">
            <v>6.1118651075418619E-2</v>
          </cell>
          <cell r="BN17">
            <v>5.5098618541882936E-2</v>
          </cell>
          <cell r="BO17">
            <v>5.6078797900639868E-2</v>
          </cell>
          <cell r="BP17">
            <v>6.1766522544780732E-2</v>
          </cell>
          <cell r="BQ17">
            <v>6.7147141769998656E-2</v>
          </cell>
          <cell r="BR17">
            <v>7.0705642310256347E-2</v>
          </cell>
          <cell r="BS17">
            <v>7.0766733973693652E-2</v>
          </cell>
          <cell r="BT17">
            <v>6.8905137891340645E-2</v>
          </cell>
          <cell r="BU17">
            <v>6.8925904652498565E-2</v>
          </cell>
          <cell r="BV17">
            <v>7.0015753544547532E-2</v>
          </cell>
          <cell r="BW17">
            <v>6.8654598713870515E-2</v>
          </cell>
          <cell r="BX17">
            <v>7.3246765422838936E-2</v>
          </cell>
          <cell r="BY17">
            <v>0.08</v>
          </cell>
          <cell r="BZ17">
            <v>8.0000000000000016E-2</v>
          </cell>
          <cell r="CA17">
            <v>7.7763281565217807E-2</v>
          </cell>
          <cell r="CB17">
            <v>7.999999999999996E-2</v>
          </cell>
          <cell r="CC17">
            <v>7.999999999999996E-2</v>
          </cell>
          <cell r="CD17">
            <v>7.999999999999996E-2</v>
          </cell>
          <cell r="CE17">
            <v>7.999999999999996E-2</v>
          </cell>
          <cell r="CF17">
            <v>7.999999999999996E-2</v>
          </cell>
          <cell r="CG17">
            <v>8.9999999999999969E-2</v>
          </cell>
          <cell r="CH17">
            <v>8.9999999999999969E-2</v>
          </cell>
          <cell r="CI17">
            <v>8.9999999999999969E-2</v>
          </cell>
          <cell r="CJ17">
            <v>8.9999999999999969E-2</v>
          </cell>
          <cell r="CK17">
            <v>8.9999999999999969E-2</v>
          </cell>
          <cell r="CL17">
            <v>8.9999999999999969E-2</v>
          </cell>
          <cell r="CM17">
            <v>8.9999999999999969E-2</v>
          </cell>
          <cell r="CN17">
            <v>8.9999999999999969E-2</v>
          </cell>
          <cell r="CO17">
            <v>8.9999999999999969E-2</v>
          </cell>
          <cell r="CP17">
            <v>9.9999999999999978E-2</v>
          </cell>
          <cell r="DP17" t="str">
            <v>NA</v>
          </cell>
          <cell r="DQ17" t="str">
            <v>NA</v>
          </cell>
          <cell r="DR17" t="str">
            <v>NA</v>
          </cell>
          <cell r="DS17" t="str">
            <v>NA</v>
          </cell>
          <cell r="DT17" t="str">
            <v>NA</v>
          </cell>
          <cell r="DU17" t="str">
            <v>NA</v>
          </cell>
          <cell r="DV17" t="str">
            <v>NA</v>
          </cell>
          <cell r="DW17" t="str">
            <v>NA</v>
          </cell>
          <cell r="DX17" t="str">
            <v>NA</v>
          </cell>
          <cell r="DY17" t="str">
            <v>NA</v>
          </cell>
          <cell r="DZ17">
            <v>0</v>
          </cell>
          <cell r="EA17">
            <v>0</v>
          </cell>
          <cell r="EB17">
            <v>0</v>
          </cell>
          <cell r="EC17">
            <v>0</v>
          </cell>
          <cell r="ED17">
            <v>0</v>
          </cell>
          <cell r="EE17">
            <v>0</v>
          </cell>
          <cell r="EF17">
            <v>0</v>
          </cell>
          <cell r="EG17">
            <v>0</v>
          </cell>
          <cell r="EH17">
            <v>0</v>
          </cell>
          <cell r="EI17">
            <v>0</v>
          </cell>
          <cell r="EJ17">
            <v>0</v>
          </cell>
          <cell r="EK17">
            <v>8.9999999999999969E-2</v>
          </cell>
          <cell r="EL17">
            <v>9.2766532639566801E-2</v>
          </cell>
          <cell r="EM17">
            <v>0</v>
          </cell>
          <cell r="EN17">
            <v>0</v>
          </cell>
          <cell r="EO17">
            <v>0</v>
          </cell>
          <cell r="EP17">
            <v>0</v>
          </cell>
          <cell r="EQ17">
            <v>0</v>
          </cell>
          <cell r="ER17">
            <v>0</v>
          </cell>
        </row>
        <row r="18">
          <cell r="A18" t="str">
            <v>% growth y-o-y</v>
          </cell>
          <cell r="BC18" t="str">
            <v>NA</v>
          </cell>
          <cell r="BD18" t="str">
            <v>NA</v>
          </cell>
          <cell r="BE18" t="str">
            <v>NA</v>
          </cell>
          <cell r="BF18" t="str">
            <v>NA</v>
          </cell>
          <cell r="BG18" t="str">
            <v>NA</v>
          </cell>
          <cell r="BH18" t="str">
            <v>NA</v>
          </cell>
          <cell r="BI18">
            <v>1.4545454545454546</v>
          </cell>
          <cell r="BJ18">
            <v>1.4666666666666668</v>
          </cell>
          <cell r="BK18">
            <v>2.4375</v>
          </cell>
          <cell r="BL18">
            <v>1.8095238095238098</v>
          </cell>
          <cell r="BM18">
            <v>1.5185185185185182</v>
          </cell>
          <cell r="BN18">
            <v>0.86486486486486491</v>
          </cell>
          <cell r="BO18">
            <v>0.41818181818181821</v>
          </cell>
          <cell r="BP18">
            <v>0.74576271186440679</v>
          </cell>
          <cell r="BQ18">
            <v>0.76470588235294112</v>
          </cell>
          <cell r="BR18">
            <v>1.0289855072463765</v>
          </cell>
          <cell r="BS18">
            <v>0.92307692307692313</v>
          </cell>
          <cell r="BT18">
            <v>0.65048543689320382</v>
          </cell>
          <cell r="BU18">
            <v>0.5</v>
          </cell>
          <cell r="BV18">
            <v>0.4285714285714286</v>
          </cell>
          <cell r="BW18">
            <v>0.39999999999999991</v>
          </cell>
          <cell r="BX18">
            <v>0.47058823529411775</v>
          </cell>
          <cell r="BY18">
            <v>0.58958222222222223</v>
          </cell>
          <cell r="BZ18">
            <v>0.54266400000000026</v>
          </cell>
          <cell r="CA18">
            <v>0.58774476190476199</v>
          </cell>
          <cell r="CB18">
            <v>0.4344255999999993</v>
          </cell>
          <cell r="CC18">
            <v>0.37666360972554536</v>
          </cell>
          <cell r="CD18">
            <v>0.42375267718699505</v>
          </cell>
          <cell r="CE18">
            <v>0.41373808432685544</v>
          </cell>
          <cell r="CF18">
            <v>0.40779640296436437</v>
          </cell>
          <cell r="CG18">
            <v>0.53793092417927957</v>
          </cell>
          <cell r="CH18">
            <v>0.465819314760888</v>
          </cell>
          <cell r="CI18">
            <v>0.50629431691281024</v>
          </cell>
          <cell r="CJ18">
            <v>0.48662242336654771</v>
          </cell>
          <cell r="CK18">
            <v>0.31605548680205087</v>
          </cell>
          <cell r="CL18">
            <v>0.33033192115073073</v>
          </cell>
          <cell r="CM18">
            <v>0.32628408748095517</v>
          </cell>
          <cell r="CN18">
            <v>0.28413102707266069</v>
          </cell>
          <cell r="CO18">
            <v>0.30043924757826801</v>
          </cell>
          <cell r="CP18">
            <v>0.45964856736531523</v>
          </cell>
          <cell r="DQ18" t="str">
            <v>NA</v>
          </cell>
          <cell r="DR18" t="str">
            <v>NA</v>
          </cell>
          <cell r="DS18" t="str">
            <v>NA</v>
          </cell>
          <cell r="DT18" t="str">
            <v>NA</v>
          </cell>
          <cell r="DU18" t="str">
            <v>NA</v>
          </cell>
          <cell r="DV18" t="str">
            <v>NA</v>
          </cell>
          <cell r="DW18" t="str">
            <v>NA</v>
          </cell>
          <cell r="DX18" t="str">
            <v>NA</v>
          </cell>
          <cell r="DY18" t="str">
            <v>NA</v>
          </cell>
          <cell r="DZ18" t="str">
            <v>NA</v>
          </cell>
          <cell r="EA18" t="str">
            <v>NA</v>
          </cell>
          <cell r="EB18" t="str">
            <v>NA</v>
          </cell>
          <cell r="EC18" t="str">
            <v>NA</v>
          </cell>
          <cell r="ED18" t="str">
            <v>NA</v>
          </cell>
          <cell r="EE18" t="str">
            <v>NA</v>
          </cell>
          <cell r="EF18" t="str">
            <v>NA</v>
          </cell>
          <cell r="EG18" t="str">
            <v>NA</v>
          </cell>
          <cell r="EH18" t="str">
            <v>NA</v>
          </cell>
          <cell r="EI18" t="str">
            <v>NA</v>
          </cell>
          <cell r="EJ18" t="str">
            <v>NA</v>
          </cell>
          <cell r="EK18" t="str">
            <v>NA</v>
          </cell>
          <cell r="EL18">
            <v>0.34619111850773643</v>
          </cell>
          <cell r="EM18">
            <v>-1</v>
          </cell>
          <cell r="EN18" t="str">
            <v>NA</v>
          </cell>
          <cell r="EO18" t="str">
            <v>NA</v>
          </cell>
          <cell r="EP18" t="str">
            <v>NA</v>
          </cell>
          <cell r="EQ18" t="str">
            <v>NA</v>
          </cell>
          <cell r="ER18" t="str">
            <v>NA</v>
          </cell>
        </row>
        <row r="19">
          <cell r="A19" t="str">
            <v>% growth seq</v>
          </cell>
          <cell r="BC19" t="str">
            <v>NA</v>
          </cell>
          <cell r="BD19" t="str">
            <v>NA</v>
          </cell>
          <cell r="BE19" t="str">
            <v>NA</v>
          </cell>
          <cell r="BF19">
            <v>0.36363636363636354</v>
          </cell>
          <cell r="BG19">
            <v>6.6666666666666652E-2</v>
          </cell>
          <cell r="BH19">
            <v>0.3125</v>
          </cell>
          <cell r="BI19">
            <v>0.28571428571428581</v>
          </cell>
          <cell r="BJ19">
            <v>0.37037037037037024</v>
          </cell>
          <cell r="BK19">
            <v>0.4864864864864864</v>
          </cell>
          <cell r="BL19">
            <v>7.2727272727272751E-2</v>
          </cell>
          <cell r="BM19">
            <v>0.15254237288135575</v>
          </cell>
          <cell r="BN19">
            <v>1.4705882352941346E-2</v>
          </cell>
          <cell r="BO19">
            <v>0.13043478260869557</v>
          </cell>
          <cell r="BP19">
            <v>0.32051282051282071</v>
          </cell>
          <cell r="BQ19">
            <v>0.16504854368932032</v>
          </cell>
          <cell r="BR19">
            <v>0.16666666666666674</v>
          </cell>
          <cell r="BS19">
            <v>7.1428571428571397E-2</v>
          </cell>
          <cell r="BT19">
            <v>0.1333333333333333</v>
          </cell>
          <cell r="BU19">
            <v>5.8823529411764719E-2</v>
          </cell>
          <cell r="BV19">
            <v>0.11111111111111116</v>
          </cell>
          <cell r="BW19">
            <v>5.0000000000000044E-2</v>
          </cell>
          <cell r="BX19">
            <v>0.19047619047619047</v>
          </cell>
          <cell r="BY19">
            <v>0.14449920000000005</v>
          </cell>
          <cell r="BZ19">
            <v>7.831547632361846E-2</v>
          </cell>
          <cell r="CA19">
            <v>8.0683804120663893E-2</v>
          </cell>
          <cell r="CB19">
            <v>7.5518915118898189E-2</v>
          </cell>
          <cell r="CC19">
            <v>9.8412075188841985E-2</v>
          </cell>
          <cell r="CD19">
            <v>0.11519948331749186</v>
          </cell>
          <cell r="CE19">
            <v>7.3082337600370417E-2</v>
          </cell>
          <cell r="CF19">
            <v>7.0998706769265008E-2</v>
          </cell>
          <cell r="CG19">
            <v>0.19994758785274214</v>
          </cell>
          <cell r="CH19">
            <v>6.2909209222445028E-2</v>
          </cell>
          <cell r="CI19">
            <v>0.10271287220050263</v>
          </cell>
          <cell r="CJ19">
            <v>5.7011684239079541E-2</v>
          </cell>
          <cell r="CK19">
            <v>6.2272156027552317E-2</v>
          </cell>
          <cell r="CL19">
            <v>7.4439538829553786E-2</v>
          </cell>
          <cell r="CM19">
            <v>9.9357620611615793E-2</v>
          </cell>
          <cell r="CN19">
            <v>2.3416862587686715E-2</v>
          </cell>
          <cell r="CO19">
            <v>7.5762810946899517E-2</v>
          </cell>
          <cell r="CP19">
            <v>0.20598031510796755</v>
          </cell>
        </row>
        <row r="20">
          <cell r="AG20" t="str">
            <v>Ex. Alias</v>
          </cell>
          <cell r="AH20" t="e">
            <v>#REF!</v>
          </cell>
          <cell r="AI20" t="e">
            <v>#REF!</v>
          </cell>
          <cell r="AM20" t="e">
            <v>#REF!</v>
          </cell>
          <cell r="AQ20" t="e">
            <v>#REF!</v>
          </cell>
        </row>
        <row r="22">
          <cell r="A22" t="str">
            <v>(US$ in millions, unless otherwise stated)</v>
          </cell>
          <cell r="C22" t="str">
            <v>Fiscal 1999 by Quarter</v>
          </cell>
          <cell r="G22" t="str">
            <v>Fiscal 2000 by Quarter</v>
          </cell>
          <cell r="K22" t="str">
            <v>Fiscal 2001 by Quarter</v>
          </cell>
          <cell r="O22" t="str">
            <v>Fiscal 2002 by Quarter</v>
          </cell>
          <cell r="S22" t="str">
            <v>Fiscal 2003 by Quarter</v>
          </cell>
          <cell r="W22" t="str">
            <v>Fiscal 2004 by Quarter</v>
          </cell>
          <cell r="AA22" t="str">
            <v>Fiscal 2005 by Quarter</v>
          </cell>
          <cell r="AE22" t="str">
            <v>Fiscal 2006 by Quarter</v>
          </cell>
          <cell r="AI22" t="str">
            <v>Fiscal 2006 by Quarter</v>
          </cell>
          <cell r="AM22" t="str">
            <v>Fiscal 2007 by Quarter</v>
          </cell>
          <cell r="AQ22" t="str">
            <v>Fiscal 2008 by Quarter</v>
          </cell>
          <cell r="AU22" t="str">
            <v>Fiscal 2009 by Quarter</v>
          </cell>
          <cell r="AY22" t="str">
            <v>Fiscal 2010 by Quarter</v>
          </cell>
          <cell r="BC22" t="str">
            <v>Fiscal 2011 by Quarter</v>
          </cell>
          <cell r="BG22" t="str">
            <v>Fiscal 2012 by Quarter</v>
          </cell>
          <cell r="BK22" t="str">
            <v>Fiscal 2013 by Quarter</v>
          </cell>
          <cell r="BO22" t="str">
            <v>Fiscal 2014 by Quarter</v>
          </cell>
          <cell r="BS22" t="str">
            <v>Fiscal 2015 by Quarter</v>
          </cell>
          <cell r="BW22" t="str">
            <v>Fiscal 2016 by Quarter</v>
          </cell>
          <cell r="CA22" t="str">
            <v>Fiscal 2017 by Quarter</v>
          </cell>
          <cell r="CE22" t="str">
            <v>Fiscal 2018 by Quarter</v>
          </cell>
          <cell r="CI22" t="str">
            <v>Fiscal 2019 by Quarter</v>
          </cell>
          <cell r="CM22" t="str">
            <v>Fiscal 2020 by Quarter</v>
          </cell>
          <cell r="CQ22" t="str">
            <v>Fiscal 2021 by Quarter</v>
          </cell>
          <cell r="CU22" t="str">
            <v>Fiscal 2022 by Quarter</v>
          </cell>
          <cell r="CY22" t="str">
            <v>Fiscal 2023 by Quarter</v>
          </cell>
          <cell r="DC22" t="str">
            <v>Fiscal 2024 by Quarter</v>
          </cell>
          <cell r="DG22" t="str">
            <v>Fiscal 2025 by Quarter</v>
          </cell>
          <cell r="DK22" t="str">
            <v>Fiscal 2026 by Quarter</v>
          </cell>
          <cell r="DP22" t="str">
            <v xml:space="preserve"> Fiscal Year Ends December</v>
          </cell>
        </row>
        <row r="23">
          <cell r="C23">
            <v>35886</v>
          </cell>
          <cell r="D23">
            <v>35977</v>
          </cell>
          <cell r="E23">
            <v>36069</v>
          </cell>
          <cell r="F23">
            <v>36161</v>
          </cell>
          <cell r="G23">
            <v>36251</v>
          </cell>
          <cell r="H23">
            <v>36342</v>
          </cell>
          <cell r="I23">
            <v>36434</v>
          </cell>
          <cell r="J23">
            <v>36526</v>
          </cell>
          <cell r="K23">
            <v>36617</v>
          </cell>
          <cell r="L23">
            <v>36708</v>
          </cell>
          <cell r="M23">
            <v>36800</v>
          </cell>
          <cell r="N23">
            <v>36892</v>
          </cell>
          <cell r="O23">
            <v>36982</v>
          </cell>
          <cell r="P23">
            <v>37073</v>
          </cell>
          <cell r="Q23">
            <v>37165</v>
          </cell>
          <cell r="R23">
            <v>37257</v>
          </cell>
          <cell r="S23">
            <v>37348</v>
          </cell>
          <cell r="T23">
            <v>37439</v>
          </cell>
          <cell r="U23">
            <v>37531</v>
          </cell>
          <cell r="V23">
            <v>37623</v>
          </cell>
          <cell r="W23">
            <v>37715</v>
          </cell>
          <cell r="X23">
            <v>37806</v>
          </cell>
          <cell r="Y23">
            <v>37898</v>
          </cell>
          <cell r="Z23">
            <v>37990</v>
          </cell>
          <cell r="AA23">
            <v>38081</v>
          </cell>
          <cell r="AB23">
            <v>38172</v>
          </cell>
          <cell r="AC23">
            <v>38264</v>
          </cell>
          <cell r="AD23">
            <v>38356</v>
          </cell>
          <cell r="AE23">
            <v>38447</v>
          </cell>
          <cell r="AF23">
            <v>38538</v>
          </cell>
          <cell r="AG23">
            <v>38630</v>
          </cell>
          <cell r="AH23">
            <v>38722</v>
          </cell>
          <cell r="AI23">
            <v>38807</v>
          </cell>
          <cell r="AJ23">
            <v>38898</v>
          </cell>
          <cell r="AK23">
            <v>38990</v>
          </cell>
          <cell r="AL23">
            <v>39082</v>
          </cell>
          <cell r="AM23">
            <v>39172</v>
          </cell>
          <cell r="AN23">
            <v>39263</v>
          </cell>
          <cell r="AO23">
            <v>39355</v>
          </cell>
          <cell r="AP23">
            <v>39447</v>
          </cell>
          <cell r="AQ23">
            <v>39538</v>
          </cell>
          <cell r="AR23">
            <v>39629</v>
          </cell>
          <cell r="AS23">
            <v>39721</v>
          </cell>
          <cell r="AT23">
            <v>39813</v>
          </cell>
          <cell r="AU23">
            <v>39903</v>
          </cell>
          <cell r="AV23">
            <v>39994</v>
          </cell>
          <cell r="AW23">
            <v>40086</v>
          </cell>
          <cell r="AX23">
            <v>40178</v>
          </cell>
          <cell r="AY23">
            <v>40268</v>
          </cell>
          <cell r="AZ23">
            <v>40359</v>
          </cell>
          <cell r="BA23">
            <v>40451</v>
          </cell>
          <cell r="BB23">
            <v>40543</v>
          </cell>
          <cell r="BC23">
            <v>40633</v>
          </cell>
          <cell r="BD23">
            <v>40724</v>
          </cell>
          <cell r="BE23">
            <v>40816</v>
          </cell>
          <cell r="BF23">
            <v>40908</v>
          </cell>
          <cell r="BG23">
            <v>40999</v>
          </cell>
          <cell r="BH23">
            <v>41072</v>
          </cell>
          <cell r="BI23">
            <v>41164</v>
          </cell>
          <cell r="BJ23">
            <v>41255</v>
          </cell>
          <cell r="BK23">
            <v>41346</v>
          </cell>
          <cell r="BL23">
            <v>41438</v>
          </cell>
          <cell r="BM23">
            <v>41529</v>
          </cell>
          <cell r="BN23">
            <v>41621</v>
          </cell>
          <cell r="BO23">
            <v>41712</v>
          </cell>
          <cell r="BP23">
            <v>41804</v>
          </cell>
          <cell r="BQ23">
            <v>41894</v>
          </cell>
          <cell r="BR23">
            <v>41987</v>
          </cell>
          <cell r="BS23">
            <v>42078</v>
          </cell>
          <cell r="BT23">
            <v>42170</v>
          </cell>
          <cell r="BU23">
            <v>42262</v>
          </cell>
          <cell r="BV23">
            <v>42353</v>
          </cell>
          <cell r="BW23">
            <v>42445</v>
          </cell>
          <cell r="BX23">
            <v>42537</v>
          </cell>
          <cell r="BY23">
            <v>42629</v>
          </cell>
          <cell r="BZ23">
            <v>42720</v>
          </cell>
          <cell r="CA23">
            <v>42811</v>
          </cell>
          <cell r="CB23">
            <v>42903</v>
          </cell>
          <cell r="CC23">
            <v>42995</v>
          </cell>
          <cell r="CD23">
            <v>43086</v>
          </cell>
          <cell r="CE23">
            <v>43177</v>
          </cell>
          <cell r="CF23">
            <v>43269</v>
          </cell>
          <cell r="CG23">
            <v>43361</v>
          </cell>
          <cell r="CH23">
            <v>43452</v>
          </cell>
          <cell r="CI23">
            <v>43543</v>
          </cell>
          <cell r="CJ23">
            <v>43635</v>
          </cell>
          <cell r="CK23">
            <v>43727</v>
          </cell>
          <cell r="CL23">
            <v>43818</v>
          </cell>
          <cell r="CM23">
            <v>43910</v>
          </cell>
          <cell r="CN23">
            <v>44002</v>
          </cell>
          <cell r="CO23">
            <v>44094</v>
          </cell>
          <cell r="CP23">
            <v>44185</v>
          </cell>
          <cell r="CQ23" t="str">
            <v>Mar-21E</v>
          </cell>
          <cell r="CR23" t="str">
            <v>Jun-21E</v>
          </cell>
          <cell r="CS23" t="str">
            <v>Sep-21E</v>
          </cell>
          <cell r="CT23" t="str">
            <v>Dec-21E</v>
          </cell>
          <cell r="CU23" t="str">
            <v>Mar-22E</v>
          </cell>
          <cell r="CV23" t="str">
            <v>Jun-22E</v>
          </cell>
          <cell r="CW23" t="str">
            <v>Sep-22E</v>
          </cell>
          <cell r="CX23" t="str">
            <v>Dec-22E</v>
          </cell>
          <cell r="CY23" t="str">
            <v>Mar-23E</v>
          </cell>
          <cell r="CZ23" t="str">
            <v>Jun-23E</v>
          </cell>
          <cell r="DA23" t="str">
            <v>Sep-23E</v>
          </cell>
          <cell r="DB23" t="str">
            <v>Dec-23E</v>
          </cell>
          <cell r="DC23" t="str">
            <v>Mar-24E</v>
          </cell>
          <cell r="DD23" t="str">
            <v>Jun-24E</v>
          </cell>
          <cell r="DE23" t="str">
            <v>Sep-24E</v>
          </cell>
          <cell r="DF23" t="str">
            <v>Dec-24E</v>
          </cell>
          <cell r="DG23" t="str">
            <v>Mar-25E</v>
          </cell>
          <cell r="DH23" t="str">
            <v>Jun-25E</v>
          </cell>
          <cell r="DI23" t="str">
            <v>Sep-25E</v>
          </cell>
          <cell r="DJ23" t="str">
            <v>Dec-25E</v>
          </cell>
          <cell r="DK23" t="str">
            <v>Mar-26E</v>
          </cell>
          <cell r="DL23" t="str">
            <v>Jun-26E</v>
          </cell>
          <cell r="DM23" t="str">
            <v>Sep-26E</v>
          </cell>
          <cell r="DN23" t="str">
            <v>Dec-26E</v>
          </cell>
          <cell r="DP23">
            <v>1998</v>
          </cell>
          <cell r="DQ23">
            <v>1999</v>
          </cell>
          <cell r="DR23">
            <v>2000</v>
          </cell>
          <cell r="DS23">
            <v>2001</v>
          </cell>
          <cell r="DT23">
            <v>2002</v>
          </cell>
          <cell r="DU23">
            <v>2003</v>
          </cell>
          <cell r="DV23">
            <v>2004</v>
          </cell>
          <cell r="DW23">
            <v>2005</v>
          </cell>
          <cell r="DX23">
            <v>2006</v>
          </cell>
          <cell r="DY23">
            <v>2007</v>
          </cell>
          <cell r="DZ23">
            <v>2008</v>
          </cell>
          <cell r="EA23">
            <v>2009</v>
          </cell>
          <cell r="EB23">
            <v>2010</v>
          </cell>
          <cell r="EC23">
            <v>2011</v>
          </cell>
          <cell r="ED23">
            <v>2012</v>
          </cell>
          <cell r="EE23">
            <v>2013</v>
          </cell>
          <cell r="EF23">
            <v>2014</v>
          </cell>
          <cell r="EG23">
            <v>2015</v>
          </cell>
          <cell r="EH23">
            <v>2016</v>
          </cell>
          <cell r="EI23">
            <v>2017</v>
          </cell>
          <cell r="EJ23">
            <v>2018</v>
          </cell>
          <cell r="EK23">
            <v>2019</v>
          </cell>
          <cell r="EL23">
            <v>2020</v>
          </cell>
          <cell r="EM23" t="str">
            <v>2021E</v>
          </cell>
          <cell r="EN23" t="str">
            <v>2022E</v>
          </cell>
          <cell r="EO23" t="str">
            <v>2023E</v>
          </cell>
          <cell r="EP23" t="str">
            <v>2024E</v>
          </cell>
          <cell r="EQ23" t="str">
            <v>2025E</v>
          </cell>
          <cell r="ER23" t="str">
            <v>2026E</v>
          </cell>
        </row>
        <row r="24">
          <cell r="A24" t="str">
            <v>Subscription and support</v>
          </cell>
          <cell r="AW24">
            <v>7.0659999999999998</v>
          </cell>
          <cell r="AX24">
            <v>8.7430000000000003</v>
          </cell>
          <cell r="AY24">
            <v>11.098000000000001</v>
          </cell>
          <cell r="AZ24">
            <v>13.17</v>
          </cell>
          <cell r="BA24">
            <v>14.816000000000001</v>
          </cell>
          <cell r="BB24">
            <v>18.375</v>
          </cell>
          <cell r="BC24">
            <v>21.224</v>
          </cell>
          <cell r="BD24">
            <v>24.776022999999999</v>
          </cell>
          <cell r="BE24">
            <v>30.331</v>
          </cell>
          <cell r="BF24">
            <v>34.555</v>
          </cell>
          <cell r="BG24">
            <v>39.540999999999997</v>
          </cell>
          <cell r="BH24">
            <v>46.82</v>
          </cell>
          <cell r="BI24">
            <v>55.279000000000003</v>
          </cell>
          <cell r="BJ24">
            <v>62.886000000000003</v>
          </cell>
          <cell r="BK24">
            <v>71.558000000000007</v>
          </cell>
          <cell r="BL24">
            <v>80.376000000000005</v>
          </cell>
          <cell r="BM24">
            <v>92.992000000000004</v>
          </cell>
          <cell r="BN24">
            <v>104.878</v>
          </cell>
          <cell r="BO24">
            <v>117.375</v>
          </cell>
          <cell r="BP24">
            <v>132.72399999999999</v>
          </cell>
          <cell r="BQ24">
            <v>150.36699999999999</v>
          </cell>
          <cell r="BR24">
            <v>166.751</v>
          </cell>
          <cell r="BS24">
            <v>179.90700000000001</v>
          </cell>
          <cell r="BT24">
            <v>200.46100000000001</v>
          </cell>
          <cell r="BU24">
            <v>223.208</v>
          </cell>
          <cell r="BV24">
            <v>244.702</v>
          </cell>
          <cell r="BW24">
            <v>267.42200000000003</v>
          </cell>
          <cell r="BX24">
            <v>290.67899999999997</v>
          </cell>
          <cell r="BY24">
            <v>318.93400000000003</v>
          </cell>
          <cell r="BZ24">
            <v>344.60399999999998</v>
          </cell>
          <cell r="CA24">
            <v>387.584</v>
          </cell>
          <cell r="CB24">
            <v>402.67200000000003</v>
          </cell>
          <cell r="CC24">
            <v>449.50599999999997</v>
          </cell>
          <cell r="CD24">
            <v>499.738</v>
          </cell>
          <cell r="CE24">
            <v>543.32500000000005</v>
          </cell>
          <cell r="CF24">
            <v>585.28200000000004</v>
          </cell>
          <cell r="CG24">
            <v>626.56700000000001</v>
          </cell>
          <cell r="CH24">
            <v>666.13900000000001</v>
          </cell>
          <cell r="CI24">
            <v>739.98599999999999</v>
          </cell>
          <cell r="CJ24">
            <v>780.98900000000003</v>
          </cell>
          <cell r="CK24">
            <v>834.91</v>
          </cell>
          <cell r="CL24">
            <v>899.19399999999996</v>
          </cell>
          <cell r="CM24">
            <v>994.702</v>
          </cell>
          <cell r="CN24">
            <v>1015.528</v>
          </cell>
          <cell r="CO24">
            <v>1091.386</v>
          </cell>
          <cell r="CP24">
            <v>1184.181</v>
          </cell>
          <cell r="CQ24">
            <v>1279.2170818399061</v>
          </cell>
          <cell r="CR24">
            <v>1358.1011990049717</v>
          </cell>
          <cell r="CS24">
            <v>1393.6787924043736</v>
          </cell>
          <cell r="CT24">
            <v>1466.9192528949336</v>
          </cell>
          <cell r="CU24">
            <v>1562.998778027737</v>
          </cell>
          <cell r="CV24">
            <v>1670.8857950521058</v>
          </cell>
          <cell r="CW24">
            <v>1774.9844693650821</v>
          </cell>
          <cell r="CX24">
            <v>1892.6456412524244</v>
          </cell>
          <cell r="CY24">
            <v>2017.8864337488289</v>
          </cell>
          <cell r="CZ24">
            <v>2163.2800526255714</v>
          </cell>
          <cell r="DA24">
            <v>2301.9508408604738</v>
          </cell>
          <cell r="DB24">
            <v>2436.3189978260903</v>
          </cell>
          <cell r="DC24">
            <v>2572.9909999542747</v>
          </cell>
          <cell r="DD24">
            <v>2763.1951830369871</v>
          </cell>
          <cell r="DE24">
            <v>2943.9355198678641</v>
          </cell>
          <cell r="DF24">
            <v>3098.7981874561851</v>
          </cell>
          <cell r="DG24">
            <v>3249.0022480938346</v>
          </cell>
          <cell r="DH24">
            <v>3492.7553410798009</v>
          </cell>
          <cell r="DI24">
            <v>3724.6696618311089</v>
          </cell>
          <cell r="DJ24">
            <v>3904.5617742435579</v>
          </cell>
          <cell r="DK24">
            <v>4070.6400200499838</v>
          </cell>
          <cell r="DL24">
            <v>4378.1754835995844</v>
          </cell>
          <cell r="DM24">
            <v>4672.1763937007227</v>
          </cell>
          <cell r="DN24">
            <v>4882.5475949222791</v>
          </cell>
          <cell r="DP24">
            <v>0</v>
          </cell>
          <cell r="DQ24">
            <v>0</v>
          </cell>
          <cell r="DR24">
            <v>0</v>
          </cell>
          <cell r="DS24">
            <v>0</v>
          </cell>
          <cell r="DT24">
            <v>0</v>
          </cell>
          <cell r="DU24">
            <v>0</v>
          </cell>
          <cell r="DV24">
            <v>0</v>
          </cell>
          <cell r="DW24">
            <v>0</v>
          </cell>
          <cell r="DX24">
            <v>0</v>
          </cell>
          <cell r="DY24">
            <v>0</v>
          </cell>
          <cell r="DZ24">
            <v>0</v>
          </cell>
          <cell r="EA24">
            <v>15.809000000000001</v>
          </cell>
          <cell r="EB24">
            <v>57.459000000000003</v>
          </cell>
          <cell r="EC24">
            <v>110.88602299999999</v>
          </cell>
          <cell r="ED24">
            <v>204.52599999999998</v>
          </cell>
          <cell r="EE24">
            <v>349.80400000000003</v>
          </cell>
          <cell r="EF24">
            <v>567.21699999999998</v>
          </cell>
          <cell r="EG24">
            <v>848.27800000000002</v>
          </cell>
          <cell r="EH24">
            <v>1221.6390000000001</v>
          </cell>
          <cell r="EI24">
            <v>1739.5000000000002</v>
          </cell>
          <cell r="EJ24">
            <v>2421.3130000000001</v>
          </cell>
          <cell r="EK24">
            <v>3255.0789999999997</v>
          </cell>
          <cell r="EL24">
            <v>4285.7970000000005</v>
          </cell>
          <cell r="EM24">
            <v>5497.9163261441845</v>
          </cell>
          <cell r="EN24">
            <v>6901.514683697349</v>
          </cell>
          <cell r="EO24">
            <v>8919.4363250609658</v>
          </cell>
          <cell r="EP24">
            <v>11378.91989031531</v>
          </cell>
          <cell r="EQ24">
            <v>14370.989025248302</v>
          </cell>
          <cell r="ER24">
            <v>18003.539492272568</v>
          </cell>
        </row>
        <row r="25">
          <cell r="A25" t="str">
            <v>% of revenues</v>
          </cell>
          <cell r="C25" t="str">
            <v>NA</v>
          </cell>
          <cell r="D25" t="str">
            <v>NA</v>
          </cell>
          <cell r="E25" t="str">
            <v>NA</v>
          </cell>
          <cell r="F25" t="str">
            <v>NA</v>
          </cell>
          <cell r="G25" t="str">
            <v>NA</v>
          </cell>
          <cell r="H25" t="str">
            <v>NA</v>
          </cell>
          <cell r="I25" t="str">
            <v>NA</v>
          </cell>
          <cell r="J25" t="str">
            <v>NA</v>
          </cell>
          <cell r="K25" t="str">
            <v>NA</v>
          </cell>
          <cell r="L25" t="str">
            <v>NA</v>
          </cell>
          <cell r="M25" t="str">
            <v>NA</v>
          </cell>
          <cell r="N25" t="str">
            <v>NA</v>
          </cell>
          <cell r="O25" t="str">
            <v>NA</v>
          </cell>
          <cell r="P25" t="str">
            <v>NA</v>
          </cell>
          <cell r="Q25" t="str">
            <v>NA</v>
          </cell>
          <cell r="R25" t="str">
            <v>NA</v>
          </cell>
          <cell r="S25" t="str">
            <v>NA</v>
          </cell>
          <cell r="T25" t="str">
            <v>NA</v>
          </cell>
          <cell r="U25" t="str">
            <v>NA</v>
          </cell>
          <cell r="V25" t="str">
            <v>NA</v>
          </cell>
          <cell r="W25" t="str">
            <v>NA</v>
          </cell>
          <cell r="X25" t="str">
            <v>NA</v>
          </cell>
          <cell r="Y25" t="str">
            <v>NA</v>
          </cell>
          <cell r="Z25" t="str">
            <v>NA</v>
          </cell>
          <cell r="AA25" t="str">
            <v>NA</v>
          </cell>
          <cell r="AB25" t="str">
            <v>NA</v>
          </cell>
          <cell r="AC25" t="str">
            <v>NA</v>
          </cell>
          <cell r="AD25" t="str">
            <v>NA</v>
          </cell>
          <cell r="AE25" t="str">
            <v>NA</v>
          </cell>
          <cell r="AF25" t="str">
            <v>NA</v>
          </cell>
          <cell r="AG25" t="str">
            <v>NA</v>
          </cell>
          <cell r="AH25" t="str">
            <v>NA</v>
          </cell>
          <cell r="AI25" t="str">
            <v>NA</v>
          </cell>
          <cell r="AJ25" t="str">
            <v>NA</v>
          </cell>
          <cell r="AK25" t="str">
            <v>NA</v>
          </cell>
          <cell r="AL25" t="str">
            <v>NA</v>
          </cell>
          <cell r="AM25" t="str">
            <v>NA</v>
          </cell>
          <cell r="AN25">
            <v>0</v>
          </cell>
          <cell r="AO25" t="str">
            <v>NA</v>
          </cell>
          <cell r="AP25" t="str">
            <v>NA</v>
          </cell>
          <cell r="AQ25" t="str">
            <v>NA</v>
          </cell>
          <cell r="AR25">
            <v>0</v>
          </cell>
          <cell r="AS25" t="str">
            <v>NA</v>
          </cell>
          <cell r="AT25" t="str">
            <v>NA</v>
          </cell>
          <cell r="AU25" t="str">
            <v>NA</v>
          </cell>
          <cell r="AV25" t="str">
            <v>NA</v>
          </cell>
          <cell r="AW25">
            <v>0.9302264349657714</v>
          </cell>
          <cell r="AX25">
            <v>0.93598115833422535</v>
          </cell>
          <cell r="AY25">
            <v>0.93709364181372967</v>
          </cell>
          <cell r="AZ25">
            <v>0.90527907616167169</v>
          </cell>
          <cell r="BA25">
            <v>0.89306811332127789</v>
          </cell>
          <cell r="BB25">
            <v>0.86045422617653944</v>
          </cell>
          <cell r="BC25">
            <v>0.84182135491036014</v>
          </cell>
          <cell r="BD25">
            <v>0.84029698515247209</v>
          </cell>
          <cell r="BE25">
            <v>0.88694914758604548</v>
          </cell>
          <cell r="BF25">
            <v>0.8820001020981163</v>
          </cell>
          <cell r="BG25">
            <v>0.8336530960764057</v>
          </cell>
          <cell r="BH25">
            <v>0.82467326593158841</v>
          </cell>
          <cell r="BI25">
            <v>0.85910327142746146</v>
          </cell>
          <cell r="BJ25">
            <v>0.83667278678055401</v>
          </cell>
          <cell r="BK25">
            <v>0.83266037538253879</v>
          </cell>
          <cell r="BL25">
            <v>0.78628866584492574</v>
          </cell>
          <cell r="BM25">
            <v>0.83581552953019533</v>
          </cell>
          <cell r="BN25">
            <v>0.83748303122255052</v>
          </cell>
          <cell r="BO25">
            <v>0.84387806456251346</v>
          </cell>
          <cell r="BP25">
            <v>0.79591261536247349</v>
          </cell>
          <cell r="BQ25">
            <v>0.84139285554411569</v>
          </cell>
          <cell r="BR25">
            <v>0.84215975434839696</v>
          </cell>
          <cell r="BS25">
            <v>0.84876205393368687</v>
          </cell>
          <cell r="BT25">
            <v>0.81251722628447287</v>
          </cell>
          <cell r="BU25">
            <v>0.8547118514263834</v>
          </cell>
          <cell r="BV25">
            <v>0.85664974619289347</v>
          </cell>
          <cell r="BW25">
            <v>0.87427381415527061</v>
          </cell>
          <cell r="BX25">
            <v>0.85165186105381585</v>
          </cell>
          <cell r="BY25">
            <v>0.89173395665108379</v>
          </cell>
          <cell r="BZ25">
            <v>0.8935296344505349</v>
          </cell>
          <cell r="CA25">
            <v>0.90394173113386866</v>
          </cell>
          <cell r="CB25">
            <v>0.89830410165574293</v>
          </cell>
          <cell r="CC25">
            <v>0.91293980973735311</v>
          </cell>
          <cell r="CD25">
            <v>0.91011540850092798</v>
          </cell>
          <cell r="CE25">
            <v>0.92210575979851395</v>
          </cell>
          <cell r="CF25">
            <v>0.92746444055678101</v>
          </cell>
          <cell r="CG25">
            <v>0.93087177628187323</v>
          </cell>
          <cell r="CH25">
            <v>0.93108865720583522</v>
          </cell>
          <cell r="CI25">
            <v>0.93796629848680368</v>
          </cell>
          <cell r="CJ25">
            <v>0.93654545367332453</v>
          </cell>
          <cell r="CK25">
            <v>0.94251399530159752</v>
          </cell>
          <cell r="CL25">
            <v>0.94475579286679401</v>
          </cell>
          <cell r="CM25">
            <v>0.95064892864652029</v>
          </cell>
          <cell r="CN25">
            <v>0.94834532078495237</v>
          </cell>
          <cell r="CO25">
            <v>0.94740670780192571</v>
          </cell>
          <cell r="CP25">
            <v>0.94709476698151696</v>
          </cell>
          <cell r="CQ25">
            <v>0.95354020794502059</v>
          </cell>
          <cell r="CR25">
            <v>0.95485353727887223</v>
          </cell>
          <cell r="CS25">
            <v>0.95462152563071978</v>
          </cell>
          <cell r="CT25">
            <v>0.95552699758735293</v>
          </cell>
          <cell r="CU25">
            <v>0.95692779926253668</v>
          </cell>
          <cell r="CV25">
            <v>0.95857525907173924</v>
          </cell>
          <cell r="CW25">
            <v>0.95973509578674066</v>
          </cell>
          <cell r="CX25">
            <v>0.96087920160370976</v>
          </cell>
          <cell r="CY25">
            <v>0.9619432530786225</v>
          </cell>
          <cell r="CZ25">
            <v>0.96335500170858701</v>
          </cell>
          <cell r="DA25">
            <v>0.96434749085452898</v>
          </cell>
          <cell r="DB25">
            <v>0.96509333721329504</v>
          </cell>
          <cell r="DC25">
            <v>0.96574832155570522</v>
          </cell>
          <cell r="DD25">
            <v>0.96710760487107073</v>
          </cell>
          <cell r="DE25">
            <v>0.96807786262813211</v>
          </cell>
          <cell r="DF25">
            <v>0.96861933105235998</v>
          </cell>
          <cell r="DG25">
            <v>0.96903511895407746</v>
          </cell>
          <cell r="DH25">
            <v>0.97034930108904238</v>
          </cell>
          <cell r="DI25">
            <v>0.97130297297986556</v>
          </cell>
          <cell r="DJ25">
            <v>0.97171805883547213</v>
          </cell>
          <cell r="DK25">
            <v>0.97196408014049784</v>
          </cell>
          <cell r="DL25">
            <v>0.97317987125798022</v>
          </cell>
          <cell r="DM25">
            <v>0.97407907372986957</v>
          </cell>
          <cell r="DN25">
            <v>0.97439589982332442</v>
          </cell>
          <cell r="DP25" t="str">
            <v>NA</v>
          </cell>
          <cell r="DQ25" t="str">
            <v>NA</v>
          </cell>
          <cell r="DR25" t="str">
            <v>NA</v>
          </cell>
          <cell r="DS25" t="str">
            <v>NA</v>
          </cell>
          <cell r="DT25" t="str">
            <v>NA</v>
          </cell>
          <cell r="DU25" t="str">
            <v>NA</v>
          </cell>
          <cell r="DV25" t="str">
            <v>NA</v>
          </cell>
          <cell r="DW25" t="str">
            <v>NA</v>
          </cell>
          <cell r="DX25" t="str">
            <v>NA</v>
          </cell>
          <cell r="DY25" t="str">
            <v>NA</v>
          </cell>
          <cell r="DZ25">
            <v>0</v>
          </cell>
          <cell r="EA25">
            <v>0.56460714285714286</v>
          </cell>
          <cell r="EB25">
            <v>0.89310805769709034</v>
          </cell>
          <cell r="EC25">
            <v>0.86581111143705658</v>
          </cell>
          <cell r="ED25">
            <v>0.83921185661764697</v>
          </cell>
          <cell r="EE25">
            <v>0.8237466148592959</v>
          </cell>
          <cell r="EF25">
            <v>0.83101047082833379</v>
          </cell>
          <cell r="EG25">
            <v>0.84365477185026072</v>
          </cell>
          <cell r="EH25">
            <v>0.87855273557313029</v>
          </cell>
          <cell r="EI25">
            <v>0.90670077675510086</v>
          </cell>
          <cell r="EJ25">
            <v>0.9281271657334208</v>
          </cell>
          <cell r="EK25">
            <v>0.94065547212678624</v>
          </cell>
          <cell r="EL25">
            <v>0.94829343349816064</v>
          </cell>
          <cell r="EM25">
            <v>0.95466831031136801</v>
          </cell>
          <cell r="EN25">
            <v>0.95913007927097271</v>
          </cell>
          <cell r="EO25">
            <v>0.96376516765999609</v>
          </cell>
          <cell r="EP25">
            <v>0.96746175671884393</v>
          </cell>
          <cell r="EQ25">
            <v>0.97067018710259412</v>
          </cell>
          <cell r="ER25">
            <v>0.97346723423019332</v>
          </cell>
        </row>
        <row r="26">
          <cell r="A26" t="str">
            <v>% growth y-o-y</v>
          </cell>
          <cell r="C26" t="str">
            <v>NA</v>
          </cell>
          <cell r="D26" t="str">
            <v>NA</v>
          </cell>
          <cell r="E26" t="str">
            <v>NA</v>
          </cell>
          <cell r="F26" t="str">
            <v>NA</v>
          </cell>
          <cell r="G26" t="str">
            <v>NA</v>
          </cell>
          <cell r="H26" t="str">
            <v>NA</v>
          </cell>
          <cell r="I26" t="str">
            <v>NA</v>
          </cell>
          <cell r="J26" t="str">
            <v>NA</v>
          </cell>
          <cell r="K26" t="str">
            <v>NA</v>
          </cell>
          <cell r="L26" t="str">
            <v>NA</v>
          </cell>
          <cell r="M26" t="str">
            <v>NA</v>
          </cell>
          <cell r="N26" t="str">
            <v>NA</v>
          </cell>
          <cell r="O26" t="str">
            <v>NA</v>
          </cell>
          <cell r="P26" t="str">
            <v>NA</v>
          </cell>
          <cell r="Q26" t="str">
            <v>NA</v>
          </cell>
          <cell r="R26" t="str">
            <v>NA</v>
          </cell>
          <cell r="S26" t="str">
            <v>NA</v>
          </cell>
          <cell r="T26" t="str">
            <v>NA</v>
          </cell>
          <cell r="U26" t="str">
            <v>NA</v>
          </cell>
          <cell r="V26" t="str">
            <v>NA</v>
          </cell>
          <cell r="W26" t="str">
            <v>NA</v>
          </cell>
          <cell r="X26" t="str">
            <v>NA</v>
          </cell>
          <cell r="Y26" t="str">
            <v>NA</v>
          </cell>
          <cell r="Z26" t="str">
            <v>NA</v>
          </cell>
          <cell r="AA26" t="str">
            <v>NA</v>
          </cell>
          <cell r="AB26" t="str">
            <v>NA</v>
          </cell>
          <cell r="AC26" t="str">
            <v>NA</v>
          </cell>
          <cell r="AD26" t="str">
            <v>NA</v>
          </cell>
          <cell r="AE26" t="str">
            <v>NA</v>
          </cell>
          <cell r="AF26" t="str">
            <v>NA</v>
          </cell>
          <cell r="AG26" t="str">
            <v>NA</v>
          </cell>
          <cell r="AH26" t="str">
            <v>NA</v>
          </cell>
          <cell r="AI26" t="str">
            <v>NA</v>
          </cell>
          <cell r="AJ26" t="str">
            <v>NA</v>
          </cell>
          <cell r="AK26" t="str">
            <v>NA</v>
          </cell>
          <cell r="AL26" t="str">
            <v>NA</v>
          </cell>
          <cell r="AM26" t="str">
            <v>NA</v>
          </cell>
          <cell r="AN26" t="str">
            <v>NA</v>
          </cell>
          <cell r="AO26" t="str">
            <v>NA</v>
          </cell>
          <cell r="AP26" t="str">
            <v>NA</v>
          </cell>
          <cell r="AQ26" t="str">
            <v>NA</v>
          </cell>
          <cell r="AR26" t="str">
            <v>NA</v>
          </cell>
          <cell r="AS26" t="str">
            <v>NA</v>
          </cell>
          <cell r="AT26" t="str">
            <v>NA</v>
          </cell>
          <cell r="AU26" t="str">
            <v>NA</v>
          </cell>
          <cell r="AV26" t="str">
            <v>NA</v>
          </cell>
          <cell r="AW26" t="str">
            <v>NA</v>
          </cell>
          <cell r="AX26" t="str">
            <v>NA</v>
          </cell>
          <cell r="AY26" t="str">
            <v>NA</v>
          </cell>
          <cell r="AZ26" t="str">
            <v>NA</v>
          </cell>
          <cell r="BA26" t="str">
            <v>NA</v>
          </cell>
          <cell r="BB26" t="str">
            <v>NA</v>
          </cell>
          <cell r="BC26">
            <v>0.91241665164894559</v>
          </cell>
          <cell r="BD26">
            <v>0.8812470007593014</v>
          </cell>
          <cell r="BE26">
            <v>1.0471787257019436</v>
          </cell>
          <cell r="BF26">
            <v>0.8805442176870748</v>
          </cell>
          <cell r="BG26">
            <v>0.86303241613267989</v>
          </cell>
          <cell r="BH26">
            <v>0.88973024443834281</v>
          </cell>
          <cell r="BI26">
            <v>0.8225248096007387</v>
          </cell>
          <cell r="BJ26">
            <v>0.81988134857473605</v>
          </cell>
          <cell r="BK26">
            <v>0.80971649680078928</v>
          </cell>
          <cell r="BL26">
            <v>0.71670226398974801</v>
          </cell>
          <cell r="BM26">
            <v>0.68223014164510931</v>
          </cell>
          <cell r="BN26">
            <v>0.66774798842349647</v>
          </cell>
          <cell r="BO26">
            <v>0.64027781659632721</v>
          </cell>
          <cell r="BP26">
            <v>0.65128894197272791</v>
          </cell>
          <cell r="BQ26">
            <v>0.6169885581555401</v>
          </cell>
          <cell r="BR26">
            <v>0.58995213486145803</v>
          </cell>
          <cell r="BS26">
            <v>0.53275399361022369</v>
          </cell>
          <cell r="BT26">
            <v>0.51035984448931648</v>
          </cell>
          <cell r="BU26">
            <v>0.48442144885513461</v>
          </cell>
          <cell r="BV26">
            <v>0.46746946045301074</v>
          </cell>
          <cell r="BW26">
            <v>0.4864457747614046</v>
          </cell>
          <cell r="BX26">
            <v>0.45005262869086726</v>
          </cell>
          <cell r="BY26">
            <v>0.4288645568259204</v>
          </cell>
          <cell r="BZ26">
            <v>0.40825984258404091</v>
          </cell>
          <cell r="CA26">
            <v>0.44933475929429867</v>
          </cell>
          <cell r="CB26">
            <v>0.3852806704302687</v>
          </cell>
          <cell r="CC26">
            <v>0.40940131814105718</v>
          </cell>
          <cell r="CD26">
            <v>0.45018049703427709</v>
          </cell>
          <cell r="CE26">
            <v>0.40182515274108344</v>
          </cell>
          <cell r="CF26">
            <v>0.45349564906425077</v>
          </cell>
          <cell r="CG26">
            <v>0.39390130498814258</v>
          </cell>
          <cell r="CH26">
            <v>0.33297647967534982</v>
          </cell>
          <cell r="CI26">
            <v>0.36195831224405262</v>
          </cell>
          <cell r="CJ26">
            <v>0.3343806917007528</v>
          </cell>
          <cell r="CK26">
            <v>0.33251511809590983</v>
          </cell>
          <cell r="CL26">
            <v>0.34985941372596407</v>
          </cell>
          <cell r="CM26">
            <v>0.34421732303043573</v>
          </cell>
          <cell r="CN26">
            <v>0.30031024764753411</v>
          </cell>
          <cell r="CO26">
            <v>0.30718999652657164</v>
          </cell>
          <cell r="CP26">
            <v>0.31693605606798991</v>
          </cell>
          <cell r="CQ26">
            <v>0.28603047127673031</v>
          </cell>
          <cell r="CR26">
            <v>0.33733506019033621</v>
          </cell>
          <cell r="CS26">
            <v>0.27698063966770103</v>
          </cell>
          <cell r="CT26">
            <v>0.23876270003904265</v>
          </cell>
          <cell r="CU26">
            <v>0.22184013973583427</v>
          </cell>
          <cell r="CV26">
            <v>0.23031022745307883</v>
          </cell>
          <cell r="CW26">
            <v>0.27359652671680568</v>
          </cell>
          <cell r="CX26">
            <v>0.29021801133043201</v>
          </cell>
          <cell r="CY26">
            <v>0.29103519600641659</v>
          </cell>
          <cell r="CZ26">
            <v>0.2946905521799057</v>
          </cell>
          <cell r="DA26">
            <v>0.29688506045570606</v>
          </cell>
          <cell r="DB26">
            <v>0.28725575708609652</v>
          </cell>
          <cell r="DC26">
            <v>0.2750920750154271</v>
          </cell>
          <cell r="DD26">
            <v>0.27731736798631279</v>
          </cell>
          <cell r="DE26">
            <v>0.27888722365913554</v>
          </cell>
          <cell r="DF26">
            <v>0.2719180822467091</v>
          </cell>
          <cell r="DG26">
            <v>0.26273362330127603</v>
          </cell>
          <cell r="DH26">
            <v>0.26402773228670906</v>
          </cell>
          <cell r="DI26">
            <v>0.26520082953389124</v>
          </cell>
          <cell r="DJ26">
            <v>0.26002454436983746</v>
          </cell>
          <cell r="DK26">
            <v>0.25288925929127881</v>
          </cell>
          <cell r="DL26">
            <v>0.25350190782216431</v>
          </cell>
          <cell r="DM26">
            <v>0.2543867826935835</v>
          </cell>
          <cell r="DN26">
            <v>0.25047262080216148</v>
          </cell>
          <cell r="DP26" t="str">
            <v>NA</v>
          </cell>
          <cell r="DQ26" t="str">
            <v>NA</v>
          </cell>
          <cell r="DR26" t="str">
            <v>NA</v>
          </cell>
          <cell r="DS26" t="str">
            <v>NA</v>
          </cell>
          <cell r="DT26" t="str">
            <v>NA</v>
          </cell>
          <cell r="DU26" t="str">
            <v>NA</v>
          </cell>
          <cell r="DV26" t="str">
            <v>NA</v>
          </cell>
          <cell r="DW26" t="str">
            <v>NA</v>
          </cell>
          <cell r="DX26" t="str">
            <v>NA</v>
          </cell>
          <cell r="DY26" t="str">
            <v>NA</v>
          </cell>
          <cell r="DZ26" t="str">
            <v>NA</v>
          </cell>
          <cell r="EA26" t="str">
            <v>NA</v>
          </cell>
          <cell r="EB26">
            <v>2.6345752419507873</v>
          </cell>
          <cell r="EC26">
            <v>0.92982862562870894</v>
          </cell>
          <cell r="ED26">
            <v>0.84447051545892293</v>
          </cell>
          <cell r="EE26">
            <v>0.7103155589020469</v>
          </cell>
          <cell r="EF26">
            <v>0.62152805571119818</v>
          </cell>
          <cell r="EG26">
            <v>0.4955087735381698</v>
          </cell>
          <cell r="EH26">
            <v>0.44013990696446226</v>
          </cell>
          <cell r="EI26">
            <v>0.42390673513206445</v>
          </cell>
          <cell r="EJ26">
            <v>0.39195918367346927</v>
          </cell>
          <cell r="EK26">
            <v>0.34434457668215535</v>
          </cell>
          <cell r="EL26">
            <v>0.31664915045072672</v>
          </cell>
          <cell r="EM26">
            <v>0.28282238429495932</v>
          </cell>
          <cell r="EN26">
            <v>0.25529642036904932</v>
          </cell>
          <cell r="EO26">
            <v>0.29238822691058242</v>
          </cell>
          <cell r="EP26">
            <v>0.2757442819950322</v>
          </cell>
          <cell r="EQ26">
            <v>0.26294843129000012</v>
          </cell>
          <cell r="ER26">
            <v>0.25276969181747067</v>
          </cell>
        </row>
        <row r="27">
          <cell r="A27" t="str">
            <v>% growth seq</v>
          </cell>
          <cell r="C27" t="str">
            <v>NA</v>
          </cell>
          <cell r="D27" t="str">
            <v>NA</v>
          </cell>
          <cell r="E27" t="str">
            <v>NA</v>
          </cell>
          <cell r="F27" t="str">
            <v>NA</v>
          </cell>
          <cell r="G27" t="str">
            <v>NA</v>
          </cell>
          <cell r="H27" t="str">
            <v>NA</v>
          </cell>
          <cell r="I27" t="str">
            <v>NA</v>
          </cell>
          <cell r="J27" t="str">
            <v>NA</v>
          </cell>
          <cell r="K27" t="str">
            <v>NA</v>
          </cell>
          <cell r="L27" t="str">
            <v>NA</v>
          </cell>
          <cell r="M27" t="str">
            <v>NA</v>
          </cell>
          <cell r="N27" t="str">
            <v>NA</v>
          </cell>
          <cell r="O27" t="str">
            <v>NA</v>
          </cell>
          <cell r="P27" t="str">
            <v>NA</v>
          </cell>
          <cell r="Q27" t="str">
            <v>NA</v>
          </cell>
          <cell r="R27" t="str">
            <v>NA</v>
          </cell>
          <cell r="S27" t="str">
            <v>NA</v>
          </cell>
          <cell r="T27" t="str">
            <v>NA</v>
          </cell>
          <cell r="U27" t="str">
            <v>NA</v>
          </cell>
          <cell r="V27" t="str">
            <v>NA</v>
          </cell>
          <cell r="W27" t="str">
            <v>NA</v>
          </cell>
          <cell r="X27" t="str">
            <v>NA</v>
          </cell>
          <cell r="Y27" t="str">
            <v>NA</v>
          </cell>
          <cell r="Z27" t="str">
            <v>NA</v>
          </cell>
          <cell r="AA27" t="str">
            <v>NA</v>
          </cell>
          <cell r="AB27" t="str">
            <v>NA</v>
          </cell>
          <cell r="AC27" t="str">
            <v>NA</v>
          </cell>
          <cell r="AD27" t="str">
            <v>NA</v>
          </cell>
          <cell r="AE27" t="str">
            <v>NA</v>
          </cell>
          <cell r="AF27" t="str">
            <v>NA</v>
          </cell>
          <cell r="AG27" t="str">
            <v>NA</v>
          </cell>
          <cell r="AH27" t="str">
            <v>NA</v>
          </cell>
          <cell r="AI27" t="str">
            <v>NA</v>
          </cell>
          <cell r="AJ27" t="str">
            <v>NA</v>
          </cell>
          <cell r="AK27" t="str">
            <v>NA</v>
          </cell>
          <cell r="AL27" t="str">
            <v>NA</v>
          </cell>
          <cell r="AM27" t="str">
            <v>NA</v>
          </cell>
          <cell r="AN27" t="str">
            <v>NA</v>
          </cell>
          <cell r="AO27" t="str">
            <v>NA</v>
          </cell>
          <cell r="AP27" t="str">
            <v>NA</v>
          </cell>
          <cell r="AQ27" t="str">
            <v>NA</v>
          </cell>
          <cell r="AR27" t="str">
            <v>NA</v>
          </cell>
          <cell r="AS27" t="str">
            <v>NA</v>
          </cell>
          <cell r="AT27" t="str">
            <v>NA</v>
          </cell>
          <cell r="AU27" t="str">
            <v>NA</v>
          </cell>
          <cell r="AV27" t="str">
            <v>NA</v>
          </cell>
          <cell r="AW27" t="str">
            <v>NA</v>
          </cell>
          <cell r="AX27">
            <v>0.23733371072742715</v>
          </cell>
          <cell r="AY27">
            <v>0.26935834381791146</v>
          </cell>
          <cell r="AZ27">
            <v>0.18670030636150647</v>
          </cell>
          <cell r="BA27">
            <v>0.1249810174639332</v>
          </cell>
          <cell r="BB27">
            <v>0.24021328293736488</v>
          </cell>
          <cell r="BC27">
            <v>0.1550476190476191</v>
          </cell>
          <cell r="BD27">
            <v>0.16735879193365988</v>
          </cell>
          <cell r="BE27">
            <v>0.22420777539639847</v>
          </cell>
          <cell r="BF27">
            <v>0.13926345982658006</v>
          </cell>
          <cell r="BG27">
            <v>0.14429170886991738</v>
          </cell>
          <cell r="BH27">
            <v>0.18408740294883796</v>
          </cell>
          <cell r="BI27">
            <v>0.18067065356685186</v>
          </cell>
          <cell r="BJ27">
            <v>0.13761102769586997</v>
          </cell>
          <cell r="BK27">
            <v>0.13790032757688531</v>
          </cell>
          <cell r="BL27">
            <v>0.12322870957824428</v>
          </cell>
          <cell r="BM27">
            <v>0.15696227729670542</v>
          </cell>
          <cell r="BN27">
            <v>0.1278174466620785</v>
          </cell>
          <cell r="BO27">
            <v>0.11915749728255687</v>
          </cell>
          <cell r="BP27">
            <v>0.13076890308839184</v>
          </cell>
          <cell r="BQ27">
            <v>0.13292999005454931</v>
          </cell>
          <cell r="BR27">
            <v>0.10896007767661797</v>
          </cell>
          <cell r="BS27">
            <v>7.8896078584236307E-2</v>
          </cell>
          <cell r="BT27">
            <v>0.11424791697932823</v>
          </cell>
          <cell r="BU27">
            <v>0.1134734437122431</v>
          </cell>
          <cell r="BV27">
            <v>9.6295831690620393E-2</v>
          </cell>
          <cell r="BW27">
            <v>9.2847626909465575E-2</v>
          </cell>
          <cell r="BX27">
            <v>8.6967414797585629E-2</v>
          </cell>
          <cell r="BY27">
            <v>9.7203444349265089E-2</v>
          </cell>
          <cell r="BZ27">
            <v>8.0486871891989997E-2</v>
          </cell>
          <cell r="CA27">
            <v>0.12472287030910856</v>
          </cell>
          <cell r="CB27">
            <v>3.8928335535006742E-2</v>
          </cell>
          <cell r="CC27">
            <v>0.11630806214487222</v>
          </cell>
          <cell r="CD27">
            <v>0.11174934261166714</v>
          </cell>
          <cell r="CE27">
            <v>8.7219703124437276E-2</v>
          </cell>
          <cell r="CF27">
            <v>7.7222656789214472E-2</v>
          </cell>
          <cell r="CG27">
            <v>7.0538646327753085E-2</v>
          </cell>
          <cell r="CH27">
            <v>6.315685313781283E-2</v>
          </cell>
          <cell r="CI27">
            <v>0.11085824430036362</v>
          </cell>
          <cell r="CJ27">
            <v>5.5410507766363137E-2</v>
          </cell>
          <cell r="CK27">
            <v>6.9041945533163673E-2</v>
          </cell>
          <cell r="CL27">
            <v>7.6995125223077832E-2</v>
          </cell>
          <cell r="CM27">
            <v>0.10621512154218116</v>
          </cell>
          <cell r="CN27">
            <v>2.093692382241108E-2</v>
          </cell>
          <cell r="CO27">
            <v>7.4698088088166914E-2</v>
          </cell>
          <cell r="CP27">
            <v>8.5024913275413061E-2</v>
          </cell>
          <cell r="CQ27">
            <v>8.0254692348472156E-2</v>
          </cell>
          <cell r="CR27">
            <v>6.1665934801000466E-2</v>
          </cell>
          <cell r="CS27">
            <v>2.6196570200709868E-2</v>
          </cell>
          <cell r="CT27">
            <v>5.2551894231098739E-2</v>
          </cell>
          <cell r="CU27">
            <v>6.5497487297404122E-2</v>
          </cell>
          <cell r="CV27">
            <v>6.9025656667822677E-2</v>
          </cell>
          <cell r="CW27">
            <v>6.2301489797350396E-2</v>
          </cell>
          <cell r="CX27">
            <v>6.6288564163848873E-2</v>
          </cell>
          <cell r="CY27">
            <v>6.6172340858021705E-2</v>
          </cell>
          <cell r="CZ27">
            <v>7.2052428940032165E-2</v>
          </cell>
          <cell r="DA27">
            <v>6.4102097214180809E-2</v>
          </cell>
          <cell r="DB27">
            <v>5.837142765194292E-2</v>
          </cell>
          <cell r="DC27">
            <v>5.6097745102400731E-2</v>
          </cell>
          <cell r="DD27">
            <v>7.392337675728089E-2</v>
          </cell>
          <cell r="DE27">
            <v>6.5409905872891638E-2</v>
          </cell>
          <cell r="DF27">
            <v>5.2603960427527241E-2</v>
          </cell>
          <cell r="DG27">
            <v>4.847171437161335E-2</v>
          </cell>
          <cell r="DH27">
            <v>7.5023984095109242E-2</v>
          </cell>
          <cell r="DI27">
            <v>6.6398673283428522E-2</v>
          </cell>
          <cell r="DJ27">
            <v>4.8297467626702506E-2</v>
          </cell>
          <cell r="DK27">
            <v>4.2534413695785478E-2</v>
          </cell>
          <cell r="DL27">
            <v>7.5549658538910602E-2</v>
          </cell>
          <cell r="DM27">
            <v>6.7151467820887989E-2</v>
          </cell>
          <cell r="DN27">
            <v>4.5026382459615544E-2</v>
          </cell>
        </row>
        <row r="29">
          <cell r="A29" t="str">
            <v>Enterprise Service Management</v>
          </cell>
          <cell r="AW29">
            <v>7.0659999999999998</v>
          </cell>
          <cell r="AX29">
            <v>8.7430000000000003</v>
          </cell>
          <cell r="AY29">
            <v>9.2839077681208408</v>
          </cell>
          <cell r="AZ29">
            <v>11.140493333653588</v>
          </cell>
          <cell r="BA29">
            <v>11.800535763149909</v>
          </cell>
          <cell r="BB29">
            <v>14.758725049943529</v>
          </cell>
          <cell r="BC29">
            <v>19.170085709537791</v>
          </cell>
          <cell r="BD29">
            <v>22.470944774021913</v>
          </cell>
          <cell r="BE29">
            <v>27.008821227197888</v>
          </cell>
          <cell r="BF29">
            <v>30.554313719115989</v>
          </cell>
          <cell r="BG29">
            <v>36.9870796225646</v>
          </cell>
          <cell r="BH29">
            <v>43.876111535527301</v>
          </cell>
          <cell r="BI29">
            <v>51.034557829703992</v>
          </cell>
          <cell r="BJ29">
            <v>57.705711028395001</v>
          </cell>
          <cell r="BK29">
            <v>67.524157011043414</v>
          </cell>
          <cell r="BL29">
            <v>75.531498838485646</v>
          </cell>
          <cell r="BM29">
            <v>86.604650015876757</v>
          </cell>
          <cell r="BN29">
            <v>97.280734160412763</v>
          </cell>
          <cell r="BO29">
            <v>110.42530602654755</v>
          </cell>
          <cell r="BP29">
            <v>124.49353291264691</v>
          </cell>
          <cell r="BQ29">
            <v>140.15465071379083</v>
          </cell>
          <cell r="BR29">
            <v>154.51677922598523</v>
          </cell>
          <cell r="BS29">
            <v>167.20400000000001</v>
          </cell>
          <cell r="BT29">
            <v>186.08199999999999</v>
          </cell>
          <cell r="BU29">
            <v>205.79499999999999</v>
          </cell>
          <cell r="BV29">
            <v>224.52199999999993</v>
          </cell>
          <cell r="BW29">
            <v>244.60599999999999</v>
          </cell>
          <cell r="BX29">
            <v>264.66699999999997</v>
          </cell>
          <cell r="BY29">
            <v>290.005</v>
          </cell>
          <cell r="BZ29">
            <v>309.56799999999998</v>
          </cell>
          <cell r="CA29">
            <v>333.63600000000002</v>
          </cell>
          <cell r="CB29">
            <v>363.74599999999998</v>
          </cell>
          <cell r="CC29">
            <v>397.85988696080648</v>
          </cell>
          <cell r="CD29">
            <v>439.27552906650851</v>
          </cell>
          <cell r="CE29">
            <v>460.65359856332969</v>
          </cell>
          <cell r="CF29">
            <v>517.936130718865</v>
          </cell>
          <cell r="CG29">
            <v>547.1125581388302</v>
          </cell>
          <cell r="CH29">
            <v>575.23383908818266</v>
          </cell>
          <cell r="CI29">
            <v>625.63740852476303</v>
          </cell>
          <cell r="CJ29">
            <v>678.30167456276843</v>
          </cell>
          <cell r="CK29">
            <v>717.1717799076232</v>
          </cell>
          <cell r="CL29">
            <v>766.94566743437213</v>
          </cell>
          <cell r="CM29">
            <v>835.55971784441829</v>
          </cell>
          <cell r="CN29">
            <v>865.65114695496038</v>
          </cell>
          <cell r="CO29">
            <v>920.26646870632089</v>
          </cell>
          <cell r="CP29">
            <v>990.59804526053688</v>
          </cell>
          <cell r="CQ29">
            <v>1049.6779099284315</v>
          </cell>
          <cell r="CR29">
            <v>1135.548617307913</v>
          </cell>
          <cell r="CS29">
            <v>1153.848065979955</v>
          </cell>
          <cell r="CT29">
            <v>1204.503236539761</v>
          </cell>
          <cell r="CU29">
            <v>1256.0727015035075</v>
          </cell>
          <cell r="CV29">
            <v>1361.614218481448</v>
          </cell>
          <cell r="CW29">
            <v>1438.711302949135</v>
          </cell>
          <cell r="CX29">
            <v>1522.8971651881652</v>
          </cell>
          <cell r="CY29">
            <v>1590.6553459852905</v>
          </cell>
          <cell r="CZ29">
            <v>1723.0358091991056</v>
          </cell>
          <cell r="DA29">
            <v>1825.019815650408</v>
          </cell>
          <cell r="DB29">
            <v>1918.9085847794806</v>
          </cell>
          <cell r="DC29">
            <v>1987.9400437505701</v>
          </cell>
          <cell r="DD29">
            <v>2151.3473671255497</v>
          </cell>
          <cell r="DE29">
            <v>2282.7040523791702</v>
          </cell>
          <cell r="DF29">
            <v>2388.2862896062616</v>
          </cell>
          <cell r="DG29">
            <v>2458.2892040040178</v>
          </cell>
          <cell r="DH29">
            <v>2657.595686789417</v>
          </cell>
          <cell r="DI29">
            <v>2823.614469933525</v>
          </cell>
          <cell r="DJ29">
            <v>2943.1641594566618</v>
          </cell>
          <cell r="DK29">
            <v>3013.5366516341164</v>
          </cell>
          <cell r="DL29">
            <v>3254.2575165514563</v>
          </cell>
          <cell r="DM29">
            <v>3461.0722482621632</v>
          </cell>
          <cell r="DN29">
            <v>3597.1980176758593</v>
          </cell>
          <cell r="DP29">
            <v>0</v>
          </cell>
          <cell r="DQ29">
            <v>0</v>
          </cell>
          <cell r="DR29">
            <v>0</v>
          </cell>
          <cell r="DS29">
            <v>0</v>
          </cell>
          <cell r="DT29">
            <v>0</v>
          </cell>
          <cell r="DU29">
            <v>0</v>
          </cell>
          <cell r="DV29">
            <v>0</v>
          </cell>
          <cell r="DW29">
            <v>0</v>
          </cell>
          <cell r="DX29">
            <v>0</v>
          </cell>
          <cell r="DY29">
            <v>0</v>
          </cell>
          <cell r="DZ29">
            <v>0</v>
          </cell>
          <cell r="EA29">
            <v>15.809000000000001</v>
          </cell>
          <cell r="EB29">
            <v>46.983661914867866</v>
          </cell>
          <cell r="EC29">
            <v>99.204165429873584</v>
          </cell>
          <cell r="ED29">
            <v>189.60346001619089</v>
          </cell>
          <cell r="EE29">
            <v>326.94104002581855</v>
          </cell>
          <cell r="EF29">
            <v>529.59026887897051</v>
          </cell>
          <cell r="EG29">
            <v>783.60299999999995</v>
          </cell>
          <cell r="EH29">
            <v>1108.846</v>
          </cell>
          <cell r="EI29">
            <v>1534.517416027315</v>
          </cell>
          <cell r="EJ29">
            <v>2100.9361265092075</v>
          </cell>
          <cell r="EK29">
            <v>2788.0565304295269</v>
          </cell>
          <cell r="EL29">
            <v>3612.0753787662366</v>
          </cell>
          <cell r="EM29">
            <v>4543.577829756061</v>
          </cell>
          <cell r="EN29">
            <v>5579.2953881222547</v>
          </cell>
          <cell r="EO29">
            <v>7057.6195556142839</v>
          </cell>
          <cell r="EP29">
            <v>8810.2777528615516</v>
          </cell>
          <cell r="EQ29">
            <v>10882.663520183622</v>
          </cell>
          <cell r="ER29">
            <v>13326.064434123595</v>
          </cell>
        </row>
        <row r="30">
          <cell r="A30" t="str">
            <v>% of revenues</v>
          </cell>
          <cell r="AU30" t="str">
            <v>NA</v>
          </cell>
          <cell r="AV30" t="str">
            <v>NA</v>
          </cell>
          <cell r="AW30">
            <v>0.9302264349657714</v>
          </cell>
          <cell r="AX30">
            <v>0.93598115833422535</v>
          </cell>
          <cell r="AY30">
            <v>0.78391520460363429</v>
          </cell>
          <cell r="AZ30">
            <v>0.76577490608012011</v>
          </cell>
          <cell r="BA30">
            <v>0.71130414485532911</v>
          </cell>
          <cell r="BB30">
            <v>0.69111332474565812</v>
          </cell>
          <cell r="BC30">
            <v>0.760355612785094</v>
          </cell>
          <cell r="BD30">
            <v>0.76211856709764558</v>
          </cell>
          <cell r="BE30">
            <v>0.78980089561066424</v>
          </cell>
          <cell r="BF30">
            <v>0.77988446881198603</v>
          </cell>
          <cell r="BG30">
            <v>0.7798081343965888</v>
          </cell>
          <cell r="BH30">
            <v>0.7728205082524976</v>
          </cell>
          <cell r="BI30">
            <v>0.79313944874821651</v>
          </cell>
          <cell r="BJ30">
            <v>0.76775113792069127</v>
          </cell>
          <cell r="BK30">
            <v>0.78572193080025843</v>
          </cell>
          <cell r="BL30">
            <v>0.73889670363019355</v>
          </cell>
          <cell r="BM30">
            <v>0.77840579203369398</v>
          </cell>
          <cell r="BN30">
            <v>0.7768165308665077</v>
          </cell>
          <cell r="BO30">
            <v>0.79391261792039358</v>
          </cell>
          <cell r="BP30">
            <v>0.74655656381829194</v>
          </cell>
          <cell r="BQ30">
            <v>0.78424868343362975</v>
          </cell>
          <cell r="BR30">
            <v>0.78037200877752577</v>
          </cell>
          <cell r="BS30">
            <v>0.78883206582249821</v>
          </cell>
          <cell r="BT30">
            <v>0.75423563935861471</v>
          </cell>
          <cell r="BU30">
            <v>0.78803369710894122</v>
          </cell>
          <cell r="BV30">
            <v>0.78600385086644475</v>
          </cell>
          <cell r="BW30">
            <v>0.79968222728595284</v>
          </cell>
          <cell r="BX30">
            <v>0.77544006656666042</v>
          </cell>
          <cell r="BY30">
            <v>0.81084897219674767</v>
          </cell>
          <cell r="BZ30">
            <v>0.8026841878724077</v>
          </cell>
          <cell r="CA30">
            <v>0.7781216546828027</v>
          </cell>
          <cell r="CB30">
            <v>0.81146571840324089</v>
          </cell>
          <cell r="CC30">
            <v>0.80804734420480151</v>
          </cell>
          <cell r="CD30">
            <v>0.80000205623912257</v>
          </cell>
          <cell r="CE30">
            <v>0.78179972669610032</v>
          </cell>
          <cell r="CF30">
            <v>0.82074511726196242</v>
          </cell>
          <cell r="CG30">
            <v>0.81282869800167024</v>
          </cell>
          <cell r="CH30">
            <v>0.80402694154819565</v>
          </cell>
          <cell r="CI30">
            <v>0.79302419811840796</v>
          </cell>
          <cell r="CJ30">
            <v>0.81340498973834929</v>
          </cell>
          <cell r="CK30">
            <v>0.80960156136384986</v>
          </cell>
          <cell r="CL30">
            <v>0.80580649128298543</v>
          </cell>
          <cell r="CM30">
            <v>0.79855469335437657</v>
          </cell>
          <cell r="CN30">
            <v>0.80838363358456267</v>
          </cell>
          <cell r="CO30">
            <v>0.79886183753278805</v>
          </cell>
          <cell r="CP30">
            <v>0.79226927711927009</v>
          </cell>
          <cell r="CQ30">
            <v>0.78243959271465935</v>
          </cell>
          <cell r="CR30">
            <v>0.79838130971609855</v>
          </cell>
          <cell r="CS30">
            <v>0.79034581504361801</v>
          </cell>
          <cell r="CT30">
            <v>0.78459353432286127</v>
          </cell>
          <cell r="CU30">
            <v>0.76901588335225834</v>
          </cell>
          <cell r="CV30">
            <v>0.78114836220503958</v>
          </cell>
          <cell r="CW30">
            <v>0.77791200654238113</v>
          </cell>
          <cell r="CX30">
            <v>0.77316121957316386</v>
          </cell>
          <cell r="CY30">
            <v>0.75827863870482304</v>
          </cell>
          <cell r="CZ30">
            <v>0.76730479851665412</v>
          </cell>
          <cell r="DA30">
            <v>0.76454859449752277</v>
          </cell>
          <cell r="DB30">
            <v>0.76013276239463301</v>
          </cell>
          <cell r="DC30">
            <v>0.7461548682601713</v>
          </cell>
          <cell r="DD30">
            <v>0.75296324061325803</v>
          </cell>
          <cell r="DE30">
            <v>0.75063983063697981</v>
          </cell>
          <cell r="DF30">
            <v>0.74652821134472447</v>
          </cell>
          <cell r="DG30">
            <v>0.73320003783412535</v>
          </cell>
          <cell r="DH30">
            <v>0.73832715590554876</v>
          </cell>
          <cell r="DI30">
            <v>0.7363297629586566</v>
          </cell>
          <cell r="DJ30">
            <v>0.73245755329749473</v>
          </cell>
          <cell r="DK30">
            <v>0.7195549999872658</v>
          </cell>
          <cell r="DL30">
            <v>0.72335563589472229</v>
          </cell>
          <cell r="DM30">
            <v>0.72158192790940212</v>
          </cell>
          <cell r="DN30">
            <v>0.7178824028097861</v>
          </cell>
          <cell r="DP30" t="str">
            <v>NA</v>
          </cell>
          <cell r="DQ30" t="str">
            <v>NA</v>
          </cell>
          <cell r="DR30" t="str">
            <v>NA</v>
          </cell>
          <cell r="DS30" t="str">
            <v>NA</v>
          </cell>
          <cell r="DT30" t="str">
            <v>NA</v>
          </cell>
          <cell r="DU30" t="str">
            <v>NA</v>
          </cell>
          <cell r="DV30" t="str">
            <v>NA</v>
          </cell>
          <cell r="DW30" t="str">
            <v>NA</v>
          </cell>
          <cell r="DX30" t="str">
            <v>NA</v>
          </cell>
          <cell r="DY30" t="str">
            <v>NA</v>
          </cell>
          <cell r="DZ30">
            <v>0</v>
          </cell>
          <cell r="EA30">
            <v>0.56460714285714286</v>
          </cell>
          <cell r="EB30">
            <v>0.73028571740344239</v>
          </cell>
          <cell r="EC30">
            <v>0.77459779335781997</v>
          </cell>
          <cell r="ED30">
            <v>0.77798163412630839</v>
          </cell>
          <cell r="EE30">
            <v>0.76990707647667145</v>
          </cell>
          <cell r="EF30">
            <v>0.77588481778087959</v>
          </cell>
          <cell r="EG30">
            <v>0.77933225921947724</v>
          </cell>
          <cell r="EH30">
            <v>0.79743662950292449</v>
          </cell>
          <cell r="EI30">
            <v>0.79985520727576698</v>
          </cell>
          <cell r="EJ30">
            <v>0.8053216963209392</v>
          </cell>
          <cell r="EK30">
            <v>0.8056949253604464</v>
          </cell>
          <cell r="EL30">
            <v>0.79922295969323864</v>
          </cell>
          <cell r="EM30">
            <v>0.78895521724745432</v>
          </cell>
          <cell r="EN30">
            <v>0.77537617075952292</v>
          </cell>
          <cell r="EO30">
            <v>0.76259167579746978</v>
          </cell>
          <cell r="EP30">
            <v>0.74906993582219483</v>
          </cell>
          <cell r="EQ30">
            <v>0.73505567478705214</v>
          </cell>
          <cell r="ER30">
            <v>0.72055203886033958</v>
          </cell>
        </row>
        <row r="31">
          <cell r="A31" t="str">
            <v>% of subscription revenues</v>
          </cell>
          <cell r="AU31" t="str">
            <v>NA</v>
          </cell>
          <cell r="AV31" t="str">
            <v>NA</v>
          </cell>
          <cell r="AW31">
            <v>1</v>
          </cell>
          <cell r="AX31">
            <v>1</v>
          </cell>
          <cell r="AY31">
            <v>0.83653881493249593</v>
          </cell>
          <cell r="AZ31">
            <v>0.84589926603292243</v>
          </cell>
          <cell r="BA31">
            <v>0.79647244621692148</v>
          </cell>
          <cell r="BB31">
            <v>0.80319592108536209</v>
          </cell>
          <cell r="BC31">
            <v>0.90322680501026154</v>
          </cell>
          <cell r="BD31">
            <v>0.90696334815405655</v>
          </cell>
          <cell r="BE31">
            <v>0.89046919742830399</v>
          </cell>
          <cell r="BF31">
            <v>0.88422265139968137</v>
          </cell>
          <cell r="BG31">
            <v>0.93541082983648882</v>
          </cell>
          <cell r="BH31">
            <v>0.93712327072890433</v>
          </cell>
          <cell r="BI31">
            <v>0.92321781923884272</v>
          </cell>
          <cell r="BJ31">
            <v>0.91762412982849917</v>
          </cell>
          <cell r="BK31">
            <v>0.94362834359601178</v>
          </cell>
          <cell r="BL31">
            <v>0.93972701849414808</v>
          </cell>
          <cell r="BM31">
            <v>0.93131290880803463</v>
          </cell>
          <cell r="BN31">
            <v>0.92756091992994494</v>
          </cell>
          <cell r="BO31">
            <v>0.9407906796723966</v>
          </cell>
          <cell r="BP31">
            <v>0.93798810247315423</v>
          </cell>
          <cell r="BQ31">
            <v>0.93208383963097519</v>
          </cell>
          <cell r="BR31">
            <v>0.92663179966528075</v>
          </cell>
          <cell r="BS31">
            <v>0.92939129661436182</v>
          </cell>
          <cell r="BT31">
            <v>0.92827033687350646</v>
          </cell>
          <cell r="BU31">
            <v>0.92198756316977881</v>
          </cell>
          <cell r="BV31">
            <v>0.9175323454650961</v>
          </cell>
          <cell r="BW31">
            <v>0.91468166418619246</v>
          </cell>
          <cell r="BX31">
            <v>0.91051297135327969</v>
          </cell>
          <cell r="BY31">
            <v>0.90929471301272358</v>
          </cell>
          <cell r="BZ31">
            <v>0.89832967696254251</v>
          </cell>
          <cell r="CA31">
            <v>0.86080952774108332</v>
          </cell>
          <cell r="CB31">
            <v>0.90333075058608481</v>
          </cell>
          <cell r="CC31">
            <v>0.88510473043920768</v>
          </cell>
          <cell r="CD31">
            <v>0.87901166024298438</v>
          </cell>
          <cell r="CE31">
            <v>0.84784171271951347</v>
          </cell>
          <cell r="CF31">
            <v>0.88493432348656709</v>
          </cell>
          <cell r="CG31">
            <v>0.87319082897572042</v>
          </cell>
          <cell r="CH31">
            <v>0.86353424598797346</v>
          </cell>
          <cell r="CI31">
            <v>0.84547195288122079</v>
          </cell>
          <cell r="CJ31">
            <v>0.86851629736496727</v>
          </cell>
          <cell r="CK31">
            <v>0.85898094394320734</v>
          </cell>
          <cell r="CL31">
            <v>0.85292569504953564</v>
          </cell>
          <cell r="CM31">
            <v>0.84001009130816895</v>
          </cell>
          <cell r="CN31">
            <v>0.85241484917694088</v>
          </cell>
          <cell r="CO31">
            <v>0.84320897345789747</v>
          </cell>
          <cell r="CP31">
            <v>0.83652587337622952</v>
          </cell>
          <cell r="CQ31">
            <v>0.82056276829783503</v>
          </cell>
          <cell r="CR31">
            <v>0.83612960369955169</v>
          </cell>
          <cell r="CS31">
            <v>0.82791535055888821</v>
          </cell>
          <cell r="CT31">
            <v>0.82111079676860177</v>
          </cell>
          <cell r="CU31">
            <v>0.80362999585225348</v>
          </cell>
          <cell r="CV31">
            <v>0.81490561623871294</v>
          </cell>
          <cell r="CW31">
            <v>0.81054867114627027</v>
          </cell>
          <cell r="CX31">
            <v>0.80463935350328719</v>
          </cell>
          <cell r="CY31">
            <v>0.7882779324851158</v>
          </cell>
          <cell r="CZ31">
            <v>0.79649225587221517</v>
          </cell>
          <cell r="DA31">
            <v>0.79281441777801476</v>
          </cell>
          <cell r="DB31">
            <v>0.78762616327817037</v>
          </cell>
          <cell r="DC31">
            <v>0.77261834331558032</v>
          </cell>
          <cell r="DD31">
            <v>0.77857234998543801</v>
          </cell>
          <cell r="DE31">
            <v>0.77539200059708757</v>
          </cell>
          <cell r="DF31">
            <v>0.77071372355707179</v>
          </cell>
          <cell r="DG31">
            <v>0.75662896369070776</v>
          </cell>
          <cell r="DH31">
            <v>0.76088801741487266</v>
          </cell>
          <cell r="DI31">
            <v>0.75808453535323439</v>
          </cell>
          <cell r="DJ31">
            <v>0.75377579601153821</v>
          </cell>
          <cell r="DK31">
            <v>0.7403102796589498</v>
          </cell>
          <cell r="DL31">
            <v>0.74329079059113423</v>
          </cell>
          <cell r="DM31">
            <v>0.74078372831311878</v>
          </cell>
          <cell r="DN31">
            <v>0.73674612438327292</v>
          </cell>
          <cell r="DP31" t="str">
            <v>NA</v>
          </cell>
          <cell r="DQ31" t="str">
            <v>NA</v>
          </cell>
          <cell r="DR31" t="str">
            <v>NA</v>
          </cell>
          <cell r="DS31" t="str">
            <v>NA</v>
          </cell>
          <cell r="DT31" t="str">
            <v>NA</v>
          </cell>
          <cell r="DU31" t="str">
            <v>NA</v>
          </cell>
          <cell r="DV31" t="str">
            <v>NA</v>
          </cell>
          <cell r="DW31" t="str">
            <v>NA</v>
          </cell>
          <cell r="DX31" t="str">
            <v>NA</v>
          </cell>
          <cell r="DY31" t="str">
            <v>NA</v>
          </cell>
          <cell r="DZ31" t="str">
            <v>NA</v>
          </cell>
          <cell r="EA31">
            <v>1</v>
          </cell>
          <cell r="EB31">
            <v>0.81769021241002915</v>
          </cell>
          <cell r="EC31">
            <v>0.89464986430141502</v>
          </cell>
          <cell r="ED31">
            <v>0.92703842062227249</v>
          </cell>
          <cell r="EE31">
            <v>0.93464065598397539</v>
          </cell>
          <cell r="EF31">
            <v>0.93366430991837435</v>
          </cell>
          <cell r="EG31">
            <v>0.92375730597752148</v>
          </cell>
          <cell r="EH31">
            <v>0.90767076034736927</v>
          </cell>
          <cell r="EI31">
            <v>0.88216005520397511</v>
          </cell>
          <cell r="EJ31">
            <v>0.86768465147182849</v>
          </cell>
          <cell r="EK31">
            <v>0.85652499691390815</v>
          </cell>
          <cell r="EL31">
            <v>0.84280132231326776</v>
          </cell>
          <cell r="EM31">
            <v>0.8264181482992079</v>
          </cell>
          <cell r="EN31">
            <v>0.8084160715185581</v>
          </cell>
          <cell r="EO31">
            <v>0.79126295635795618</v>
          </cell>
          <cell r="EP31">
            <v>0.77426309683048644</v>
          </cell>
          <cell r="EQ31">
            <v>0.75726614925833824</v>
          </cell>
          <cell r="ER31">
            <v>0.74019136291746257</v>
          </cell>
        </row>
        <row r="32">
          <cell r="A32" t="str">
            <v>% growth y-o-y</v>
          </cell>
          <cell r="AU32" t="str">
            <v>NA</v>
          </cell>
          <cell r="AV32" t="str">
            <v>NA</v>
          </cell>
          <cell r="AW32" t="str">
            <v>NA</v>
          </cell>
          <cell r="AX32" t="str">
            <v>NA</v>
          </cell>
          <cell r="AY32" t="str">
            <v>NA</v>
          </cell>
          <cell r="AZ32" t="str">
            <v>NA</v>
          </cell>
          <cell r="BA32">
            <v>0.67004468768042869</v>
          </cell>
          <cell r="BB32">
            <v>0.6880618837862893</v>
          </cell>
          <cell r="BC32">
            <v>1.0648724856319869</v>
          </cell>
          <cell r="BD32">
            <v>1.0170511395703552</v>
          </cell>
          <cell r="BE32">
            <v>1.2887792359004249</v>
          </cell>
          <cell r="BF32">
            <v>1.0702542811604787</v>
          </cell>
          <cell r="BG32">
            <v>0.92941649729621334</v>
          </cell>
          <cell r="BH32">
            <v>0.95257084100225975</v>
          </cell>
          <cell r="BI32">
            <v>0.88955146914416927</v>
          </cell>
          <cell r="BJ32">
            <v>0.88862730018681524</v>
          </cell>
          <cell r="BK32">
            <v>0.82561472006157377</v>
          </cell>
          <cell r="BL32">
            <v>0.72147203102367885</v>
          </cell>
          <cell r="BM32">
            <v>0.69698051083083268</v>
          </cell>
          <cell r="BN32">
            <v>0.68580773768724979</v>
          </cell>
          <cell r="BO32">
            <v>0.63534519962222924</v>
          </cell>
          <cell r="BP32">
            <v>0.64823331758396918</v>
          </cell>
          <cell r="BQ32">
            <v>0.6183270839163606</v>
          </cell>
          <cell r="BR32">
            <v>0.588359509820229</v>
          </cell>
          <cell r="BS32">
            <v>0.51418190283124221</v>
          </cell>
          <cell r="BT32">
            <v>0.494712180194675</v>
          </cell>
          <cell r="BU32">
            <v>0.46834228441161763</v>
          </cell>
          <cell r="BV32">
            <v>0.45305902132240305</v>
          </cell>
          <cell r="BW32">
            <v>0.46291954737924912</v>
          </cell>
          <cell r="BX32">
            <v>0.42231381863909445</v>
          </cell>
          <cell r="BY32">
            <v>0.40919361500522378</v>
          </cell>
          <cell r="BZ32">
            <v>0.3787869340198291</v>
          </cell>
          <cell r="CA32">
            <v>0.36397308324407418</v>
          </cell>
          <cell r="CB32">
            <v>0.37435343280424083</v>
          </cell>
          <cell r="CC32">
            <v>0.37190699112362369</v>
          </cell>
          <cell r="CD32">
            <v>0.41899527427417738</v>
          </cell>
          <cell r="CE32">
            <v>0.38070711363081222</v>
          </cell>
          <cell r="CF32">
            <v>0.42389505511776093</v>
          </cell>
          <cell r="CG32">
            <v>0.37513877641232707</v>
          </cell>
          <cell r="CH32">
            <v>0.30950576807816987</v>
          </cell>
          <cell r="CI32">
            <v>0.35815157088966432</v>
          </cell>
          <cell r="CJ32">
            <v>0.3096241685655825</v>
          </cell>
          <cell r="CK32">
            <v>0.31083041183938676</v>
          </cell>
          <cell r="CL32">
            <v>0.33327633967097037</v>
          </cell>
          <cell r="CM32">
            <v>0.33553349985041114</v>
          </cell>
          <cell r="CN32">
            <v>0.2762037592092883</v>
          </cell>
          <cell r="CO32">
            <v>0.28318834411590732</v>
          </cell>
          <cell r="CP32">
            <v>0.29161437025172687</v>
          </cell>
          <cell r="CQ32">
            <v>0.25625719803295044</v>
          </cell>
          <cell r="CR32">
            <v>0.31178549384743692</v>
          </cell>
          <cell r="CS32">
            <v>0.25381952425366006</v>
          </cell>
          <cell r="CT32">
            <v>0.21593540619491636</v>
          </cell>
          <cell r="CU32">
            <v>0.19662678391426591</v>
          </cell>
          <cell r="CV32">
            <v>0.19908051291496176</v>
          </cell>
          <cell r="CW32">
            <v>0.24688106291294742</v>
          </cell>
          <cell r="CX32">
            <v>0.26433629980361939</v>
          </cell>
          <cell r="CY32">
            <v>0.26637203728835979</v>
          </cell>
          <cell r="CZ32">
            <v>0.26543611678845136</v>
          </cell>
          <cell r="DA32">
            <v>0.2685100978281052</v>
          </cell>
          <cell r="DB32">
            <v>0.26003818816117197</v>
          </cell>
          <cell r="DC32">
            <v>0.24976164620953245</v>
          </cell>
          <cell r="DD32">
            <v>0.24857960330234219</v>
          </cell>
          <cell r="DE32">
            <v>0.25078316016292179</v>
          </cell>
          <cell r="DF32">
            <v>0.24460660010060953</v>
          </cell>
          <cell r="DG32">
            <v>0.23660128067346431</v>
          </cell>
          <cell r="DH32">
            <v>0.2353168657929352</v>
          </cell>
          <cell r="DI32">
            <v>0.23696037906910705</v>
          </cell>
          <cell r="DJ32">
            <v>0.23233306336229842</v>
          </cell>
          <cell r="DK32">
            <v>0.22586742305409846</v>
          </cell>
          <cell r="DL32">
            <v>0.22451188972347169</v>
          </cell>
          <cell r="DM32">
            <v>0.22575949553893793</v>
          </cell>
          <cell r="DN32">
            <v>0.22222133145979162</v>
          </cell>
          <cell r="DQ32" t="str">
            <v>NA</v>
          </cell>
          <cell r="DR32" t="str">
            <v>NA</v>
          </cell>
          <cell r="DS32" t="str">
            <v>NA</v>
          </cell>
          <cell r="DT32" t="str">
            <v>NA</v>
          </cell>
          <cell r="DU32" t="str">
            <v>NA</v>
          </cell>
          <cell r="DV32" t="str">
            <v>NA</v>
          </cell>
          <cell r="DW32" t="str">
            <v>NA</v>
          </cell>
          <cell r="DX32" t="str">
            <v>NA</v>
          </cell>
          <cell r="DY32" t="str">
            <v>NA</v>
          </cell>
          <cell r="DZ32" t="str">
            <v>NA</v>
          </cell>
          <cell r="EA32" t="str">
            <v>NA</v>
          </cell>
          <cell r="EB32">
            <v>1.9719566016109726</v>
          </cell>
          <cell r="EC32">
            <v>1.1114609076156463</v>
          </cell>
          <cell r="ED32">
            <v>0.91124494817931456</v>
          </cell>
          <cell r="EE32">
            <v>0.72434110642231908</v>
          </cell>
          <cell r="EF32">
            <v>0.61983417204872393</v>
          </cell>
          <cell r="EG32">
            <v>0.47964010301533699</v>
          </cell>
          <cell r="EH32">
            <v>0.41506094284988704</v>
          </cell>
          <cell r="EI32">
            <v>0.38388686618999834</v>
          </cell>
          <cell r="EJ32">
            <v>0.3691184632809732</v>
          </cell>
          <cell r="EK32">
            <v>0.32705439982223461</v>
          </cell>
          <cell r="EL32">
            <v>0.29555313507569436</v>
          </cell>
          <cell r="EM32">
            <v>0.25788566220564157</v>
          </cell>
          <cell r="EN32">
            <v>0.22795197907324072</v>
          </cell>
          <cell r="EO32">
            <v>0.26496610497433593</v>
          </cell>
          <cell r="EP32">
            <v>0.24833560146395839</v>
          </cell>
          <cell r="EQ32">
            <v>0.23522365871484197</v>
          </cell>
          <cell r="ER32">
            <v>0.22452232483420076</v>
          </cell>
        </row>
        <row r="33">
          <cell r="A33" t="str">
            <v>% growth seq</v>
          </cell>
          <cell r="AU33" t="str">
            <v>NA</v>
          </cell>
          <cell r="AV33" t="str">
            <v>NA</v>
          </cell>
          <cell r="AW33" t="str">
            <v>NA</v>
          </cell>
          <cell r="AX33">
            <v>0.23733371072742715</v>
          </cell>
          <cell r="AY33">
            <v>6.1867524662111428E-2</v>
          </cell>
          <cell r="AZ33">
            <v>0.19997888948314468</v>
          </cell>
          <cell r="BA33">
            <v>5.9247145501397425E-2</v>
          </cell>
          <cell r="BB33">
            <v>0.25068262544750697</v>
          </cell>
          <cell r="BC33">
            <v>0.29889849188640727</v>
          </cell>
          <cell r="BD33">
            <v>0.17218801806618056</v>
          </cell>
          <cell r="BE33">
            <v>0.20194417719463664</v>
          </cell>
          <cell r="BF33">
            <v>0.13127164869926977</v>
          </cell>
          <cell r="BG33">
            <v>0.21053544067736718</v>
          </cell>
          <cell r="BH33">
            <v>0.18625509186618583</v>
          </cell>
          <cell r="BI33">
            <v>0.16315133779301205</v>
          </cell>
          <cell r="BJ33">
            <v>0.13071835012173172</v>
          </cell>
          <cell r="BK33">
            <v>0.17014686774792698</v>
          </cell>
          <cell r="BL33">
            <v>0.11858484699235339</v>
          </cell>
          <cell r="BM33">
            <v>0.1466030907326441</v>
          </cell>
          <cell r="BN33">
            <v>0.12327379814569794</v>
          </cell>
          <cell r="BO33">
            <v>0.13511999040282552</v>
          </cell>
          <cell r="BP33">
            <v>0.12740038848266533</v>
          </cell>
          <cell r="BQ33">
            <v>0.12579864539737029</v>
          </cell>
          <cell r="BR33">
            <v>0.10247343515930307</v>
          </cell>
          <cell r="BS33">
            <v>8.2109016493667308E-2</v>
          </cell>
          <cell r="BT33">
            <v>0.11290399751202118</v>
          </cell>
          <cell r="BU33">
            <v>0.10593716748530224</v>
          </cell>
          <cell r="BV33">
            <v>9.0998323574430717E-2</v>
          </cell>
          <cell r="BW33">
            <v>8.9452258575997368E-2</v>
          </cell>
          <cell r="BX33">
            <v>8.2013523789277398E-2</v>
          </cell>
          <cell r="BY33">
            <v>9.5735395799249723E-2</v>
          </cell>
          <cell r="BZ33">
            <v>6.7457457630040851E-2</v>
          </cell>
          <cell r="CA33">
            <v>7.7747053959065671E-2</v>
          </cell>
          <cell r="CB33">
            <v>9.0248054766272068E-2</v>
          </cell>
          <cell r="CC33">
            <v>9.3784912990951153E-2</v>
          </cell>
          <cell r="CD33">
            <v>0.10409604854128429</v>
          </cell>
          <cell r="CE33">
            <v>4.8666652436230917E-2</v>
          </cell>
          <cell r="CF33">
            <v>0.12435055828107289</v>
          </cell>
          <cell r="CG33">
            <v>5.6332095193803111E-2</v>
          </cell>
          <cell r="CH33">
            <v>5.1399443370511388E-2</v>
          </cell>
          <cell r="CI33">
            <v>8.7622747501218567E-2</v>
          </cell>
          <cell r="CJ33">
            <v>8.4176977463969793E-2</v>
          </cell>
          <cell r="CK33">
            <v>5.7305041108604682E-2</v>
          </cell>
          <cell r="CL33">
            <v>6.940302019853628E-2</v>
          </cell>
          <cell r="CM33">
            <v>8.9464030274240436E-2</v>
          </cell>
          <cell r="CN33">
            <v>3.6013499056862353E-2</v>
          </cell>
          <cell r="CO33">
            <v>6.3091606755766305E-2</v>
          </cell>
          <cell r="CP33">
            <v>7.6425230023957846E-2</v>
          </cell>
          <cell r="CQ33">
            <v>5.9640602917156116E-2</v>
          </cell>
          <cell r="CR33">
            <v>8.1806720487560103E-2</v>
          </cell>
          <cell r="CS33">
            <v>1.6115072831866195E-2</v>
          </cell>
          <cell r="CT33">
            <v>4.3901075066399731E-2</v>
          </cell>
          <cell r="CU33">
            <v>4.2813886587712791E-2</v>
          </cell>
          <cell r="CV33">
            <v>8.4025006555439319E-2</v>
          </cell>
          <cell r="CW33">
            <v>5.6621826814991838E-2</v>
          </cell>
          <cell r="CX33">
            <v>5.8514770869223298E-2</v>
          </cell>
          <cell r="CY33">
            <v>4.4492945647287563E-2</v>
          </cell>
          <cell r="CZ33">
            <v>8.3223850815913547E-2</v>
          </cell>
          <cell r="DA33">
            <v>5.9188558883582321E-2</v>
          </cell>
          <cell r="DB33">
            <v>5.144534230474207E-2</v>
          </cell>
          <cell r="DC33">
            <v>3.597433432662589E-2</v>
          </cell>
          <cell r="DD33">
            <v>8.2199321799808933E-2</v>
          </cell>
          <cell r="DE33">
            <v>6.1057868785331593E-2</v>
          </cell>
          <cell r="DF33">
            <v>4.6253143116405049E-2</v>
          </cell>
          <cell r="DG33">
            <v>2.9310939271563363E-2</v>
          </cell>
          <cell r="DH33">
            <v>8.1075278881252988E-2</v>
          </cell>
          <cell r="DI33">
            <v>6.2469541160593778E-2</v>
          </cell>
          <cell r="DJ33">
            <v>4.2339239579669341E-2</v>
          </cell>
          <cell r="DK33">
            <v>2.391048829245257E-2</v>
          </cell>
          <cell r="DL33">
            <v>7.9879853057969852E-2</v>
          </cell>
          <cell r="DM33">
            <v>6.3552048557567353E-2</v>
          </cell>
          <cell r="DN33">
            <v>3.9330519460275992E-2</v>
          </cell>
        </row>
        <row r="35">
          <cell r="A35" t="str">
            <v>ITSM</v>
          </cell>
          <cell r="AW35">
            <v>7.0659999999999998</v>
          </cell>
          <cell r="AX35">
            <v>8.7430000000000003</v>
          </cell>
          <cell r="AY35">
            <v>9.2839077681208408</v>
          </cell>
          <cell r="AZ35">
            <v>11.140493333653588</v>
          </cell>
          <cell r="BA35">
            <v>11.800535763149909</v>
          </cell>
          <cell r="BB35">
            <v>14.758725049943529</v>
          </cell>
          <cell r="BC35">
            <v>19.170085709537791</v>
          </cell>
          <cell r="BD35">
            <v>22.470944774021913</v>
          </cell>
          <cell r="BE35">
            <v>27.008821227197888</v>
          </cell>
          <cell r="BF35">
            <v>30.554313719115989</v>
          </cell>
          <cell r="BG35">
            <v>36.9870796225646</v>
          </cell>
          <cell r="BH35">
            <v>43.876111535527301</v>
          </cell>
          <cell r="BI35">
            <v>51.034557829703992</v>
          </cell>
          <cell r="BJ35">
            <v>57.705711028395001</v>
          </cell>
          <cell r="BK35">
            <v>67.277568785525958</v>
          </cell>
          <cell r="BL35">
            <v>74.396151485925742</v>
          </cell>
          <cell r="BM35">
            <v>83.954175912664851</v>
          </cell>
          <cell r="BN35">
            <v>92.931520907780651</v>
          </cell>
          <cell r="BO35">
            <v>104.18052616260026</v>
          </cell>
          <cell r="BP35">
            <v>116.14170456739832</v>
          </cell>
          <cell r="BQ35">
            <v>129.6584436665089</v>
          </cell>
          <cell r="BR35">
            <v>141.70811698476447</v>
          </cell>
          <cell r="BS35">
            <v>152.77637181063719</v>
          </cell>
          <cell r="BT35">
            <v>169.15268933291648</v>
          </cell>
          <cell r="BU35">
            <v>186.1435662505169</v>
          </cell>
          <cell r="BV35">
            <v>201.81724595505844</v>
          </cell>
          <cell r="BW35">
            <v>217.96256979585218</v>
          </cell>
          <cell r="BX35">
            <v>232.94070773376927</v>
          </cell>
          <cell r="BY35">
            <v>250.91577622366142</v>
          </cell>
          <cell r="BZ35">
            <v>262.7138505772802</v>
          </cell>
          <cell r="CA35">
            <v>277.48266634220431</v>
          </cell>
          <cell r="CB35">
            <v>295.56443709601757</v>
          </cell>
          <cell r="CC35">
            <v>316.72672816915258</v>
          </cell>
          <cell r="CD35">
            <v>340.33932847364639</v>
          </cell>
          <cell r="CE35">
            <v>345.28311635664062</v>
          </cell>
          <cell r="CF35">
            <v>378.99796391818558</v>
          </cell>
          <cell r="CG35">
            <v>392.94146283243157</v>
          </cell>
          <cell r="CH35">
            <v>401.8624891720205</v>
          </cell>
          <cell r="CI35">
            <v>421.14864474648499</v>
          </cell>
          <cell r="CJ35">
            <v>448.09713214695228</v>
          </cell>
          <cell r="CK35">
            <v>464.89225704396955</v>
          </cell>
          <cell r="CL35">
            <v>484.47154705850357</v>
          </cell>
          <cell r="CM35">
            <v>514.98555830420196</v>
          </cell>
          <cell r="CN35">
            <v>531.69642729950795</v>
          </cell>
          <cell r="CO35">
            <v>560.57903976336843</v>
          </cell>
          <cell r="CP35">
            <v>593.50675505067966</v>
          </cell>
          <cell r="CQ35">
            <v>616.88284951997628</v>
          </cell>
          <cell r="CR35">
            <v>663.87197668608871</v>
          </cell>
          <cell r="CS35">
            <v>670.78874665126079</v>
          </cell>
          <cell r="CT35">
            <v>691.67316947964139</v>
          </cell>
          <cell r="CU35">
            <v>707.90094069822919</v>
          </cell>
          <cell r="CV35">
            <v>762.89204338928641</v>
          </cell>
          <cell r="CW35">
            <v>799.50986758205238</v>
          </cell>
          <cell r="CX35">
            <v>835.37540029157526</v>
          </cell>
          <cell r="CY35">
            <v>856.30605738714451</v>
          </cell>
          <cell r="CZ35">
            <v>922.50585354328746</v>
          </cell>
          <cell r="DA35">
            <v>969.50970709205603</v>
          </cell>
          <cell r="DB35">
            <v>1008.1944284235115</v>
          </cell>
          <cell r="DC35">
            <v>1026.5653499475102</v>
          </cell>
          <cell r="DD35">
            <v>1104.9780889515089</v>
          </cell>
          <cell r="DE35">
            <v>1163.5601207059408</v>
          </cell>
          <cell r="DF35">
            <v>1205.4952780452709</v>
          </cell>
          <cell r="DG35">
            <v>1220.6274424618173</v>
          </cell>
          <cell r="DH35">
            <v>1312.2995721171899</v>
          </cell>
          <cell r="DI35">
            <v>1383.7334379511055</v>
          </cell>
          <cell r="DJ35">
            <v>1429.3245793262126</v>
          </cell>
          <cell r="DK35">
            <v>1440.2822198422341</v>
          </cell>
          <cell r="DL35">
            <v>1546.2185442910138</v>
          </cell>
          <cell r="DM35">
            <v>1631.7979158849557</v>
          </cell>
          <cell r="DN35">
            <v>1681.4069665632283</v>
          </cell>
          <cell r="DP35">
            <v>0</v>
          </cell>
          <cell r="DQ35">
            <v>0</v>
          </cell>
          <cell r="DR35">
            <v>0</v>
          </cell>
          <cell r="DS35">
            <v>0</v>
          </cell>
          <cell r="DT35">
            <v>0</v>
          </cell>
          <cell r="DU35">
            <v>0</v>
          </cell>
          <cell r="DV35">
            <v>0</v>
          </cell>
          <cell r="DW35">
            <v>0</v>
          </cell>
          <cell r="DX35">
            <v>0</v>
          </cell>
          <cell r="DY35">
            <v>0</v>
          </cell>
          <cell r="DZ35">
            <v>0</v>
          </cell>
          <cell r="EA35">
            <v>15.809000000000001</v>
          </cell>
          <cell r="EB35">
            <v>46.983661914867866</v>
          </cell>
          <cell r="EC35">
            <v>99.204165429873584</v>
          </cell>
          <cell r="ED35">
            <v>189.60346001619089</v>
          </cell>
          <cell r="EE35">
            <v>318.55941709189722</v>
          </cell>
          <cell r="EF35">
            <v>491.68879138127193</v>
          </cell>
          <cell r="EG35">
            <v>709.88987334912895</v>
          </cell>
          <cell r="EH35">
            <v>964.53290433056304</v>
          </cell>
          <cell r="EI35">
            <v>1230.1131600810209</v>
          </cell>
          <cell r="EJ35">
            <v>1519.0850322792783</v>
          </cell>
          <cell r="EK35">
            <v>1818.6095809959104</v>
          </cell>
          <cell r="EL35">
            <v>2200.7677804177583</v>
          </cell>
          <cell r="EM35">
            <v>2643.2167423369669</v>
          </cell>
          <cell r="EN35">
            <v>3105.6782519611434</v>
          </cell>
          <cell r="EO35">
            <v>3756.5160464459996</v>
          </cell>
          <cell r="EP35">
            <v>4500.5988376502301</v>
          </cell>
          <cell r="EQ35">
            <v>5345.9850318563258</v>
          </cell>
          <cell r="ER35">
            <v>6299.7056465814312</v>
          </cell>
        </row>
        <row r="36">
          <cell r="A36" t="str">
            <v>% of revenues</v>
          </cell>
          <cell r="AU36" t="str">
            <v>NA</v>
          </cell>
          <cell r="AV36" t="str">
            <v>NA</v>
          </cell>
          <cell r="AW36">
            <v>0.9302264349657714</v>
          </cell>
          <cell r="AX36">
            <v>0.93598115833422535</v>
          </cell>
          <cell r="AY36">
            <v>0.78391520460363429</v>
          </cell>
          <cell r="AZ36">
            <v>0.76577490608012011</v>
          </cell>
          <cell r="BA36">
            <v>0.71130414485532911</v>
          </cell>
          <cell r="BB36">
            <v>0.69111332474565812</v>
          </cell>
          <cell r="BC36">
            <v>0.760355612785094</v>
          </cell>
          <cell r="BD36">
            <v>0.76211856709764558</v>
          </cell>
          <cell r="BE36">
            <v>0.78980089561066424</v>
          </cell>
          <cell r="BF36">
            <v>0.77988446881198603</v>
          </cell>
          <cell r="BG36">
            <v>0.7798081343965888</v>
          </cell>
          <cell r="BH36">
            <v>0.7728205082524976</v>
          </cell>
          <cell r="BI36">
            <v>0.79313944874821651</v>
          </cell>
          <cell r="BJ36">
            <v>0.76775113792069127</v>
          </cell>
          <cell r="BK36">
            <v>0.78285259062272017</v>
          </cell>
          <cell r="BL36">
            <v>0.72779002060149223</v>
          </cell>
          <cell r="BM36">
            <v>0.75458323293095253</v>
          </cell>
          <cell r="BN36">
            <v>0.74208672768330786</v>
          </cell>
          <cell r="BO36">
            <v>0.74901521434035701</v>
          </cell>
          <cell r="BP36">
            <v>0.6964727391797545</v>
          </cell>
          <cell r="BQ36">
            <v>0.72551615821270488</v>
          </cell>
          <cell r="BR36">
            <v>0.71568310228462284</v>
          </cell>
          <cell r="BS36">
            <v>0.72076565742596477</v>
          </cell>
          <cell r="BT36">
            <v>0.68561702253974799</v>
          </cell>
          <cell r="BU36">
            <v>0.7127840943921766</v>
          </cell>
          <cell r="BV36">
            <v>0.70651932769143522</v>
          </cell>
          <cell r="BW36">
            <v>0.71257775066562978</v>
          </cell>
          <cell r="BX36">
            <v>0.68248613507221922</v>
          </cell>
          <cell r="BY36">
            <v>0.701556177510405</v>
          </cell>
          <cell r="BZ36">
            <v>0.68119525853272056</v>
          </cell>
          <cell r="CA36">
            <v>0.64715819479909864</v>
          </cell>
          <cell r="CB36">
            <v>0.65936232503606751</v>
          </cell>
          <cell r="CC36">
            <v>0.64326713982345185</v>
          </cell>
          <cell r="CD36">
            <v>0.61982092008757428</v>
          </cell>
          <cell r="CE36">
            <v>0.58599834418375518</v>
          </cell>
          <cell r="CF36">
            <v>0.60057738761407153</v>
          </cell>
          <cell r="CG36">
            <v>0.58378133141646982</v>
          </cell>
          <cell r="CH36">
            <v>0.5616989928897288</v>
          </cell>
          <cell r="CI36">
            <v>0.53382528240479465</v>
          </cell>
          <cell r="CJ36">
            <v>0.53734858226720617</v>
          </cell>
          <cell r="CK36">
            <v>0.52480801352395945</v>
          </cell>
          <cell r="CL36">
            <v>0.50901952255315186</v>
          </cell>
          <cell r="CM36">
            <v>0.49217802846512798</v>
          </cell>
          <cell r="CN36">
            <v>0.49652182796295613</v>
          </cell>
          <cell r="CO36">
            <v>0.48662557749959934</v>
          </cell>
          <cell r="CP36">
            <v>0.47468008849718052</v>
          </cell>
          <cell r="CQ36">
            <v>0.45983016405859023</v>
          </cell>
          <cell r="CR36">
            <v>0.46675498534532128</v>
          </cell>
          <cell r="CS36">
            <v>0.45946697344760101</v>
          </cell>
          <cell r="CT36">
            <v>0.45054449018943182</v>
          </cell>
          <cell r="CU36">
            <v>0.43340410677289387</v>
          </cell>
          <cell r="CV36">
            <v>0.43766572215837701</v>
          </cell>
          <cell r="CW36">
            <v>0.43229543277118221</v>
          </cell>
          <cell r="CX36">
            <v>0.42411259148351688</v>
          </cell>
          <cell r="CY36">
            <v>0.40820822257257389</v>
          </cell>
          <cell r="CZ36">
            <v>0.41081164088660638</v>
          </cell>
          <cell r="DA36">
            <v>0.40615300587559444</v>
          </cell>
          <cell r="DB36">
            <v>0.39937369710423781</v>
          </cell>
          <cell r="DC36">
            <v>0.38531178838039915</v>
          </cell>
          <cell r="DD36">
            <v>0.38673804861891381</v>
          </cell>
          <cell r="DE36">
            <v>0.38262278065889727</v>
          </cell>
          <cell r="DF36">
            <v>0.37681254446761192</v>
          </cell>
          <cell r="DG36">
            <v>0.36405972313455814</v>
          </cell>
          <cell r="DH36">
            <v>0.36458006595723669</v>
          </cell>
          <cell r="DI36">
            <v>0.36084392016467165</v>
          </cell>
          <cell r="DJ36">
            <v>0.35571226323798422</v>
          </cell>
          <cell r="DK36">
            <v>0.34390232888598232</v>
          </cell>
          <cell r="DL36">
            <v>0.34369311360555105</v>
          </cell>
          <cell r="DM36">
            <v>0.34020552061403297</v>
          </cell>
          <cell r="DN36">
            <v>0.33555352452834875</v>
          </cell>
          <cell r="DP36" t="str">
            <v>NA</v>
          </cell>
          <cell r="DQ36" t="str">
            <v>NA</v>
          </cell>
          <cell r="DR36" t="str">
            <v>NA</v>
          </cell>
          <cell r="DS36" t="str">
            <v>NA</v>
          </cell>
          <cell r="DT36" t="str">
            <v>NA</v>
          </cell>
          <cell r="DU36" t="str">
            <v>NA</v>
          </cell>
          <cell r="DV36" t="str">
            <v>NA</v>
          </cell>
          <cell r="DW36" t="str">
            <v>NA</v>
          </cell>
          <cell r="DX36" t="str">
            <v>NA</v>
          </cell>
          <cell r="DY36" t="str">
            <v>NA</v>
          </cell>
          <cell r="DZ36">
            <v>0</v>
          </cell>
          <cell r="EA36">
            <v>0.56460714285714286</v>
          </cell>
          <cell r="EB36">
            <v>0.73028571740344239</v>
          </cell>
          <cell r="EC36">
            <v>0.77459779335781997</v>
          </cell>
          <cell r="ED36">
            <v>0.77798163412630839</v>
          </cell>
          <cell r="EE36">
            <v>0.75016935615659297</v>
          </cell>
          <cell r="EF36">
            <v>0.72035664309561453</v>
          </cell>
          <cell r="EG36">
            <v>0.70602087893257848</v>
          </cell>
          <cell r="EH36">
            <v>0.69365256155862121</v>
          </cell>
          <cell r="EI36">
            <v>0.64118686849217199</v>
          </cell>
          <cell r="EJ36">
            <v>0.58228906610480702</v>
          </cell>
          <cell r="EK36">
            <v>0.52554332906390444</v>
          </cell>
          <cell r="EL36">
            <v>0.48695111663582802</v>
          </cell>
          <cell r="EM36">
            <v>0.45897302023206055</v>
          </cell>
          <cell r="EN36">
            <v>0.43160806931701284</v>
          </cell>
          <cell r="EO36">
            <v>0.40590001266652331</v>
          </cell>
          <cell r="EP36">
            <v>0.38265119182935253</v>
          </cell>
          <cell r="EQ36">
            <v>0.36108776382772223</v>
          </cell>
          <cell r="ER36">
            <v>0.34063063181960179</v>
          </cell>
        </row>
        <row r="37">
          <cell r="A37" t="str">
            <v>% of subscription revenues</v>
          </cell>
          <cell r="AU37" t="str">
            <v>NA</v>
          </cell>
          <cell r="AV37" t="str">
            <v>NA</v>
          </cell>
          <cell r="AW37">
            <v>1</v>
          </cell>
          <cell r="AX37">
            <v>1</v>
          </cell>
          <cell r="AY37">
            <v>0.83653881493249593</v>
          </cell>
          <cell r="AZ37">
            <v>0.84589926603292243</v>
          </cell>
          <cell r="BA37">
            <v>0.79647244621692148</v>
          </cell>
          <cell r="BB37">
            <v>0.80319592108536209</v>
          </cell>
          <cell r="BC37">
            <v>0.90322680501026154</v>
          </cell>
          <cell r="BD37">
            <v>0.90696334815405655</v>
          </cell>
          <cell r="BE37">
            <v>0.89046919742830399</v>
          </cell>
          <cell r="BF37">
            <v>0.88422265139968137</v>
          </cell>
          <cell r="BG37">
            <v>0.93541082983648882</v>
          </cell>
          <cell r="BH37">
            <v>0.93712327072890433</v>
          </cell>
          <cell r="BI37">
            <v>0.92321781923884272</v>
          </cell>
          <cell r="BJ37">
            <v>0.91762412982849917</v>
          </cell>
          <cell r="BK37">
            <v>0.94018235257449834</v>
          </cell>
          <cell r="BL37">
            <v>0.92560156621287126</v>
          </cell>
          <cell r="BM37">
            <v>0.9028107354682644</v>
          </cell>
          <cell r="BN37">
            <v>0.88609165800054013</v>
          </cell>
          <cell r="BO37">
            <v>0.88758701735974666</v>
          </cell>
          <cell r="BP37">
            <v>0.87506181675807182</v>
          </cell>
          <cell r="BQ37">
            <v>0.86227991292310757</v>
          </cell>
          <cell r="BR37">
            <v>0.84981869364960017</v>
          </cell>
          <cell r="BS37">
            <v>0.8491963726293984</v>
          </cell>
          <cell r="BT37">
            <v>0.84381844514851501</v>
          </cell>
          <cell r="BU37">
            <v>0.83394666074028212</v>
          </cell>
          <cell r="BV37">
            <v>0.82474702272583977</v>
          </cell>
          <cell r="BW37">
            <v>0.81505100476345305</v>
          </cell>
          <cell r="BX37">
            <v>0.8013675144532949</v>
          </cell>
          <cell r="BY37">
            <v>0.78673260368496745</v>
          </cell>
          <cell r="BZ37">
            <v>0.762364483805412</v>
          </cell>
          <cell r="CA37">
            <v>0.71592910528351095</v>
          </cell>
          <cell r="CB37">
            <v>0.73400791983554248</v>
          </cell>
          <cell r="CC37">
            <v>0.70461067965533852</v>
          </cell>
          <cell r="CD37">
            <v>0.681035519559542</v>
          </cell>
          <cell r="CE37">
            <v>0.63550014513714737</v>
          </cell>
          <cell r="CF37">
            <v>0.64754761622292423</v>
          </cell>
          <cell r="CG37">
            <v>0.62713399019168192</v>
          </cell>
          <cell r="CH37">
            <v>0.60327122293098057</v>
          </cell>
          <cell r="CI37">
            <v>0.56913055753282493</v>
          </cell>
          <cell r="CJ37">
            <v>0.57375600955577133</v>
          </cell>
          <cell r="CK37">
            <v>0.55681721029089315</v>
          </cell>
          <cell r="CL37">
            <v>0.53878423016446242</v>
          </cell>
          <cell r="CM37">
            <v>0.51772848381143499</v>
          </cell>
          <cell r="CN37">
            <v>0.52356648689106355</v>
          </cell>
          <cell r="CO37">
            <v>0.51363957368279278</v>
          </cell>
          <cell r="CP37">
            <v>0.50119597852919417</v>
          </cell>
          <cell r="CQ37">
            <v>0.48223468735479186</v>
          </cell>
          <cell r="CR37">
            <v>0.488823643755327</v>
          </cell>
          <cell r="CS37">
            <v>0.48130799600818819</v>
          </cell>
          <cell r="CT37">
            <v>0.47151413966013417</v>
          </cell>
          <cell r="CU37">
            <v>0.45291202440445338</v>
          </cell>
          <cell r="CV37">
            <v>0.45657940575495526</v>
          </cell>
          <cell r="CW37">
            <v>0.45043203553664879</v>
          </cell>
          <cell r="CX37">
            <v>0.44137971846582996</v>
          </cell>
          <cell r="CY37">
            <v>0.42435790392638661</v>
          </cell>
          <cell r="CZ37">
            <v>0.42643847819132008</v>
          </cell>
          <cell r="DA37">
            <v>0.42116872779509545</v>
          </cell>
          <cell r="DB37">
            <v>0.41381872789364449</v>
          </cell>
          <cell r="DC37">
            <v>0.39897743519730677</v>
          </cell>
          <cell r="DD37">
            <v>0.39989143573167485</v>
          </cell>
          <cell r="DE37">
            <v>0.39523967588738701</v>
          </cell>
          <cell r="DF37">
            <v>0.38902026047551885</v>
          </cell>
          <cell r="DG37">
            <v>0.37569301257884641</v>
          </cell>
          <cell r="DH37">
            <v>0.37572043958609669</v>
          </cell>
          <cell r="DI37">
            <v>0.3715050094592387</v>
          </cell>
          <cell r="DJ37">
            <v>0.3660653005299474</v>
          </cell>
          <cell r="DK37">
            <v>0.3538220556836536</v>
          </cell>
          <cell r="DL37">
            <v>0.35316504559560652</v>
          </cell>
          <cell r="DM37">
            <v>0.34925862775323141</v>
          </cell>
          <cell r="DN37">
            <v>0.34437082975122396</v>
          </cell>
          <cell r="DP37" t="str">
            <v>NA</v>
          </cell>
          <cell r="DQ37" t="str">
            <v>NA</v>
          </cell>
          <cell r="DR37" t="str">
            <v>NA</v>
          </cell>
          <cell r="DS37" t="str">
            <v>NA</v>
          </cell>
          <cell r="DT37" t="str">
            <v>NA</v>
          </cell>
          <cell r="DU37" t="str">
            <v>NA</v>
          </cell>
          <cell r="DV37" t="str">
            <v>NA</v>
          </cell>
          <cell r="DW37" t="str">
            <v>NA</v>
          </cell>
          <cell r="DX37" t="str">
            <v>NA</v>
          </cell>
          <cell r="DY37" t="str">
            <v>NA</v>
          </cell>
          <cell r="DZ37" t="str">
            <v>NA</v>
          </cell>
          <cell r="EA37">
            <v>1</v>
          </cell>
          <cell r="EB37">
            <v>0.81769021241002915</v>
          </cell>
          <cell r="EC37">
            <v>0.89464986430141502</v>
          </cell>
          <cell r="ED37">
            <v>0.92703842062227249</v>
          </cell>
          <cell r="EE37">
            <v>0.91067974377622096</v>
          </cell>
          <cell r="EF37">
            <v>0.86684424370438817</v>
          </cell>
          <cell r="EG37">
            <v>0.83685993665888891</v>
          </cell>
          <cell r="EH37">
            <v>0.78954003951295182</v>
          </cell>
          <cell r="EI37">
            <v>0.70716479452774972</v>
          </cell>
          <cell r="EJ37">
            <v>0.62738069480454539</v>
          </cell>
          <cell r="EK37">
            <v>0.55869906106607869</v>
          </cell>
          <cell r="EL37">
            <v>0.51350257149784695</v>
          </cell>
          <cell r="EM37">
            <v>0.48076700072129247</v>
          </cell>
          <cell r="EN37">
            <v>0.44999951377301689</v>
          </cell>
          <cell r="EO37">
            <v>0.42116070001994471</v>
          </cell>
          <cell r="EP37">
            <v>0.39552074195378822</v>
          </cell>
          <cell r="EQ37">
            <v>0.37199840751836899</v>
          </cell>
          <cell r="ER37">
            <v>0.34991484031711512</v>
          </cell>
        </row>
        <row r="38">
          <cell r="A38" t="str">
            <v>% growth y-o-y</v>
          </cell>
          <cell r="AU38" t="str">
            <v>NA</v>
          </cell>
          <cell r="AV38" t="str">
            <v>NA</v>
          </cell>
          <cell r="AW38" t="str">
            <v>NA</v>
          </cell>
          <cell r="AX38" t="str">
            <v>NA</v>
          </cell>
          <cell r="AY38" t="str">
            <v>NA</v>
          </cell>
          <cell r="AZ38" t="str">
            <v>NA</v>
          </cell>
          <cell r="BA38">
            <v>0.67004468768042869</v>
          </cell>
          <cell r="BB38">
            <v>0.6880618837862893</v>
          </cell>
          <cell r="BC38">
            <v>1.0648724856319869</v>
          </cell>
          <cell r="BD38">
            <v>1.0170511395703552</v>
          </cell>
          <cell r="BE38">
            <v>1.2887792359004249</v>
          </cell>
          <cell r="BF38">
            <v>1.0702542811604787</v>
          </cell>
          <cell r="BG38">
            <v>0.92941649729621334</v>
          </cell>
          <cell r="BH38">
            <v>0.95257084100225975</v>
          </cell>
          <cell r="BI38">
            <v>0.88955146914416927</v>
          </cell>
          <cell r="BJ38">
            <v>0.88862730018681524</v>
          </cell>
          <cell r="BK38">
            <v>0.81894784535738596</v>
          </cell>
          <cell r="BL38">
            <v>0.6955958238388058</v>
          </cell>
          <cell r="BM38">
            <v>0.64504562169049362</v>
          </cell>
          <cell r="BN38">
            <v>0.61043888467212959</v>
          </cell>
          <cell r="BO38">
            <v>0.54851799854297911</v>
          </cell>
          <cell r="BP38">
            <v>0.56112516908041932</v>
          </cell>
          <cell r="BQ38">
            <v>0.54439540686325016</v>
          </cell>
          <cell r="BR38">
            <v>0.52486600456465804</v>
          </cell>
          <cell r="BS38">
            <v>0.46645805543533858</v>
          </cell>
          <cell r="BT38">
            <v>0.45643367266712787</v>
          </cell>
          <cell r="BU38">
            <v>0.43564553905406966</v>
          </cell>
          <cell r="BV38">
            <v>0.42417562415818777</v>
          </cell>
          <cell r="BW38">
            <v>0.42667722248314544</v>
          </cell>
          <cell r="BX38">
            <v>0.37710318796829134</v>
          </cell>
          <cell r="BY38">
            <v>0.34796910405150605</v>
          </cell>
          <cell r="BZ38">
            <v>0.30174133203553133</v>
          </cell>
          <cell r="CA38">
            <v>0.27307485226522954</v>
          </cell>
          <cell r="CB38">
            <v>0.26883978318560664</v>
          </cell>
          <cell r="CC38">
            <v>0.26228303750350301</v>
          </cell>
          <cell r="CD38">
            <v>0.2954753916696593</v>
          </cell>
          <cell r="CE38">
            <v>0.24434120843722074</v>
          </cell>
          <cell r="CF38">
            <v>0.28228540497605148</v>
          </cell>
          <cell r="CG38">
            <v>0.24063246920725745</v>
          </cell>
          <cell r="CH38">
            <v>0.18077005961753856</v>
          </cell>
          <cell r="CI38">
            <v>0.21971977428367317</v>
          </cell>
          <cell r="CJ38">
            <v>0.18232068456094175</v>
          </cell>
          <cell r="CK38">
            <v>0.1831081751793171</v>
          </cell>
          <cell r="CL38">
            <v>0.20556548598672908</v>
          </cell>
          <cell r="CM38">
            <v>0.22281186162715327</v>
          </cell>
          <cell r="CN38">
            <v>0.18656511982571566</v>
          </cell>
          <cell r="CO38">
            <v>0.20582571825959417</v>
          </cell>
          <cell r="CP38">
            <v>0.22506008588985149</v>
          </cell>
          <cell r="CQ38">
            <v>0.19786436643255079</v>
          </cell>
          <cell r="CR38">
            <v>0.2485921337818684</v>
          </cell>
          <cell r="CS38">
            <v>0.19659976394125267</v>
          </cell>
          <cell r="CT38">
            <v>0.16540066914753027</v>
          </cell>
          <cell r="CU38">
            <v>0.14754518017331519</v>
          </cell>
          <cell r="CV38">
            <v>0.14915536455912082</v>
          </cell>
          <cell r="CW38">
            <v>0.19189517053379102</v>
          </cell>
          <cell r="CX38">
            <v>0.20776030812362389</v>
          </cell>
          <cell r="CY38">
            <v>0.20964107851380698</v>
          </cell>
          <cell r="CZ38">
            <v>0.20922201448698785</v>
          </cell>
          <cell r="DA38">
            <v>0.21263007050073313</v>
          </cell>
          <cell r="DB38">
            <v>0.20687588845878913</v>
          </cell>
          <cell r="DC38">
            <v>0.19882995231854328</v>
          </cell>
          <cell r="DD38">
            <v>0.19780062609614557</v>
          </cell>
          <cell r="DE38">
            <v>0.2001531415254405</v>
          </cell>
          <cell r="DF38">
            <v>0.19569722273735812</v>
          </cell>
          <cell r="DG38">
            <v>0.18904017413429131</v>
          </cell>
          <cell r="DH38">
            <v>0.18762497214981355</v>
          </cell>
          <cell r="DI38">
            <v>0.18922384269373538</v>
          </cell>
          <cell r="DJ38">
            <v>0.18567414187128506</v>
          </cell>
          <cell r="DK38">
            <v>0.17995235052016123</v>
          </cell>
          <cell r="DL38">
            <v>0.17825119899752173</v>
          </cell>
          <cell r="DM38">
            <v>0.1792718677819618</v>
          </cell>
          <cell r="DN38">
            <v>0.17636469062600746</v>
          </cell>
          <cell r="DQ38" t="str">
            <v>NA</v>
          </cell>
          <cell r="DR38" t="str">
            <v>NA</v>
          </cell>
          <cell r="DS38" t="str">
            <v>NA</v>
          </cell>
          <cell r="DT38" t="str">
            <v>NA</v>
          </cell>
          <cell r="DU38" t="str">
            <v>NA</v>
          </cell>
          <cell r="DV38" t="str">
            <v>NA</v>
          </cell>
          <cell r="DW38" t="str">
            <v>NA</v>
          </cell>
          <cell r="DX38" t="str">
            <v>NA</v>
          </cell>
          <cell r="DY38" t="str">
            <v>NA</v>
          </cell>
          <cell r="DZ38" t="str">
            <v>NA</v>
          </cell>
          <cell r="EA38" t="str">
            <v>NA</v>
          </cell>
          <cell r="EB38">
            <v>1.9719566016109726</v>
          </cell>
          <cell r="EC38">
            <v>1.1114609076156463</v>
          </cell>
          <cell r="ED38">
            <v>0.91124494817931456</v>
          </cell>
          <cell r="EE38">
            <v>0.68013504112580181</v>
          </cell>
          <cell r="EF38">
            <v>0.54347592631182762</v>
          </cell>
          <cell r="EG38">
            <v>0.44377884099183507</v>
          </cell>
          <cell r="EH38">
            <v>0.35870779474578995</v>
          </cell>
          <cell r="EI38">
            <v>0.27534597789049475</v>
          </cell>
          <cell r="EJ38">
            <v>0.23491486927855032</v>
          </cell>
          <cell r="EK38">
            <v>0.19717431371647254</v>
          </cell>
          <cell r="EL38">
            <v>0.21013757071078976</v>
          </cell>
          <cell r="EM38">
            <v>0.20104300229041949</v>
          </cell>
          <cell r="EN38">
            <v>0.17496162997790976</v>
          </cell>
          <cell r="EO38">
            <v>0.20956381881280572</v>
          </cell>
          <cell r="EP38">
            <v>0.19807789505070783</v>
          </cell>
          <cell r="EQ38">
            <v>0.18783860208422243</v>
          </cell>
          <cell r="ER38">
            <v>0.17839941732757492</v>
          </cell>
        </row>
        <row r="39">
          <cell r="A39" t="str">
            <v>% growth seq</v>
          </cell>
          <cell r="AU39" t="str">
            <v>NA</v>
          </cell>
          <cell r="AV39" t="str">
            <v>NA</v>
          </cell>
          <cell r="AW39" t="str">
            <v>NA</v>
          </cell>
          <cell r="AX39">
            <v>0.23733371072742715</v>
          </cell>
          <cell r="AY39">
            <v>6.1867524662111428E-2</v>
          </cell>
          <cell r="AZ39">
            <v>0.19997888948314468</v>
          </cell>
          <cell r="BA39">
            <v>5.9247145501397425E-2</v>
          </cell>
          <cell r="BB39">
            <v>0.25068262544750697</v>
          </cell>
          <cell r="BC39">
            <v>0.29889849188640727</v>
          </cell>
          <cell r="BD39">
            <v>0.17218801806618056</v>
          </cell>
          <cell r="BE39">
            <v>0.20194417719463664</v>
          </cell>
          <cell r="BF39">
            <v>0.13127164869926977</v>
          </cell>
          <cell r="BG39">
            <v>0.21053544067736718</v>
          </cell>
          <cell r="BH39">
            <v>0.18625509186618583</v>
          </cell>
          <cell r="BI39">
            <v>0.16315133779301205</v>
          </cell>
          <cell r="BJ39">
            <v>0.13071835012173172</v>
          </cell>
          <cell r="BK39">
            <v>0.16587366460870689</v>
          </cell>
          <cell r="BL39">
            <v>0.10580915495167642</v>
          </cell>
          <cell r="BM39">
            <v>0.12847471590714332</v>
          </cell>
          <cell r="BN39">
            <v>0.10693148848789469</v>
          </cell>
          <cell r="BO39">
            <v>0.12104617620519109</v>
          </cell>
          <cell r="BP39">
            <v>0.11481203681127128</v>
          </cell>
          <cell r="BQ39">
            <v>0.11638144238934145</v>
          </cell>
          <cell r="BR39">
            <v>9.293396540566401E-2</v>
          </cell>
          <cell r="BS39">
            <v>7.8106004520988037E-2</v>
          </cell>
          <cell r="BT39">
            <v>0.10719142841392615</v>
          </cell>
          <cell r="BU39">
            <v>0.10044698068122315</v>
          </cell>
          <cell r="BV39">
            <v>8.4202102819108449E-2</v>
          </cell>
          <cell r="BW39">
            <v>7.9999723335779871E-2</v>
          </cell>
          <cell r="BX39">
            <v>6.8718853663479518E-2</v>
          </cell>
          <cell r="BY39">
            <v>7.7165853339967061E-2</v>
          </cell>
          <cell r="BZ39">
            <v>4.7020058009832777E-2</v>
          </cell>
          <cell r="CA39">
            <v>5.6216357578679377E-2</v>
          </cell>
          <cell r="CB39">
            <v>6.516360460337367E-2</v>
          </cell>
          <cell r="CC39">
            <v>7.1599585122821052E-2</v>
          </cell>
          <cell r="CD39">
            <v>7.455196610967163E-2</v>
          </cell>
          <cell r="CE39">
            <v>1.4526055231894874E-2</v>
          </cell>
          <cell r="CF39">
            <v>9.764406646145174E-2</v>
          </cell>
          <cell r="CG39">
            <v>3.6790432249540928E-2</v>
          </cell>
          <cell r="CH39">
            <v>2.2703194199165777E-2</v>
          </cell>
          <cell r="CI39">
            <v>4.7991927821381841E-2</v>
          </cell>
          <cell r="CJ39">
            <v>6.3988066295901813E-2</v>
          </cell>
          <cell r="CK39">
            <v>3.7480991713888745E-2</v>
          </cell>
          <cell r="CL39">
            <v>4.2115758474940979E-2</v>
          </cell>
          <cell r="CM39">
            <v>6.2984114198173069E-2</v>
          </cell>
          <cell r="CN39">
            <v>3.2449199255865091E-2</v>
          </cell>
          <cell r="CO39">
            <v>5.4321622228224564E-2</v>
          </cell>
          <cell r="CP39">
            <v>5.8738755735873838E-2</v>
          </cell>
          <cell r="CQ39">
            <v>3.9386400020502865E-2</v>
          </cell>
          <cell r="CR39">
            <v>7.6171881261858365E-2</v>
          </cell>
          <cell r="CS39">
            <v>1.0418831051883126E-2</v>
          </cell>
          <cell r="CT39">
            <v>3.1134128192580324E-2</v>
          </cell>
          <cell r="CU39">
            <v>2.3461617328305984E-2</v>
          </cell>
          <cell r="CV39">
            <v>7.7681917807338241E-2</v>
          </cell>
          <cell r="CW39">
            <v>4.79986972076476E-2</v>
          </cell>
          <cell r="CX39">
            <v>4.4859399694453517E-2</v>
          </cell>
          <cell r="CY39">
            <v>2.5055390771937747E-2</v>
          </cell>
          <cell r="CZ39">
            <v>7.7308569272695582E-2</v>
          </cell>
          <cell r="DA39">
            <v>5.0952363465478046E-2</v>
          </cell>
          <cell r="DB39">
            <v>3.9901324399820748E-2</v>
          </cell>
          <cell r="DC39">
            <v>1.8221605878862901E-2</v>
          </cell>
          <cell r="DD39">
            <v>7.6383582407109296E-2</v>
          </cell>
          <cell r="DE39">
            <v>5.3016464616071346E-2</v>
          </cell>
          <cell r="DF39">
            <v>3.6040387250370731E-2</v>
          </cell>
          <cell r="DG39">
            <v>1.2552653413195891E-2</v>
          </cell>
          <cell r="DH39">
            <v>7.5102464901562582E-2</v>
          </cell>
          <cell r="DI39">
            <v>5.4434115008258566E-2</v>
          </cell>
          <cell r="DJ39">
            <v>3.2947921994725959E-2</v>
          </cell>
          <cell r="DK39">
            <v>7.6663066419713211E-3</v>
          </cell>
          <cell r="DL39">
            <v>7.3552476722502202E-2</v>
          </cell>
          <cell r="DM39">
            <v>5.5347526331203323E-2</v>
          </cell>
          <cell r="DN39">
            <v>3.0401467115104497E-2</v>
          </cell>
        </row>
        <row r="41">
          <cell r="A41" t="str">
            <v>ITSM Pro</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row>
        <row r="42">
          <cell r="A42" t="str">
            <v>ITSM Pro Penetration</v>
          </cell>
          <cell r="CL42">
            <v>0.1</v>
          </cell>
          <cell r="CO42">
            <v>0.15</v>
          </cell>
          <cell r="CP42">
            <v>0.2</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0.1</v>
          </cell>
          <cell r="EL42">
            <v>0.35</v>
          </cell>
          <cell r="EM42">
            <v>0</v>
          </cell>
          <cell r="EN42">
            <v>0</v>
          </cell>
          <cell r="EO42">
            <v>0</v>
          </cell>
          <cell r="EP42">
            <v>0</v>
          </cell>
          <cell r="EQ42">
            <v>0</v>
          </cell>
          <cell r="ER42">
            <v>0</v>
          </cell>
        </row>
        <row r="43">
          <cell r="A43" t="str">
            <v>% growth y-o-y</v>
          </cell>
          <cell r="AU43" t="str">
            <v>NA</v>
          </cell>
          <cell r="AV43" t="str">
            <v>NA</v>
          </cell>
          <cell r="AW43" t="str">
            <v>NA</v>
          </cell>
          <cell r="AX43" t="str">
            <v>NA</v>
          </cell>
          <cell r="AY43" t="str">
            <v>NA</v>
          </cell>
          <cell r="AZ43" t="str">
            <v>NA</v>
          </cell>
          <cell r="BA43" t="str">
            <v>NA</v>
          </cell>
          <cell r="BB43" t="str">
            <v>NA</v>
          </cell>
          <cell r="BC43" t="str">
            <v>NA</v>
          </cell>
          <cell r="BD43" t="str">
            <v>NA</v>
          </cell>
          <cell r="BE43" t="str">
            <v>NA</v>
          </cell>
          <cell r="BF43" t="str">
            <v>NA</v>
          </cell>
          <cell r="BG43" t="str">
            <v>NA</v>
          </cell>
          <cell r="BH43" t="str">
            <v>NA</v>
          </cell>
          <cell r="BI43" t="str">
            <v>NA</v>
          </cell>
          <cell r="BJ43" t="str">
            <v>NA</v>
          </cell>
          <cell r="BK43" t="str">
            <v>NA</v>
          </cell>
          <cell r="BL43" t="str">
            <v>NA</v>
          </cell>
          <cell r="BM43" t="str">
            <v>NA</v>
          </cell>
          <cell r="BN43" t="str">
            <v>NA</v>
          </cell>
          <cell r="BO43" t="str">
            <v>NA</v>
          </cell>
          <cell r="BP43" t="str">
            <v>NA</v>
          </cell>
          <cell r="BQ43" t="str">
            <v>NA</v>
          </cell>
          <cell r="BR43" t="str">
            <v>NA</v>
          </cell>
          <cell r="BS43" t="str">
            <v>NA</v>
          </cell>
          <cell r="BT43" t="str">
            <v>NA</v>
          </cell>
          <cell r="BU43" t="str">
            <v>NA</v>
          </cell>
          <cell r="BV43" t="str">
            <v>NA</v>
          </cell>
          <cell r="BW43" t="str">
            <v>NA</v>
          </cell>
          <cell r="BX43" t="str">
            <v>NA</v>
          </cell>
          <cell r="BY43" t="str">
            <v>NA</v>
          </cell>
          <cell r="BZ43" t="str">
            <v>NA</v>
          </cell>
          <cell r="CA43" t="str">
            <v>NA</v>
          </cell>
          <cell r="CB43" t="str">
            <v>NA</v>
          </cell>
          <cell r="CC43" t="str">
            <v>NA</v>
          </cell>
          <cell r="CD43" t="str">
            <v>NA</v>
          </cell>
          <cell r="CE43" t="str">
            <v>NA</v>
          </cell>
          <cell r="CF43" t="str">
            <v>NA</v>
          </cell>
          <cell r="CG43" t="str">
            <v>NA</v>
          </cell>
          <cell r="CH43" t="str">
            <v>NA</v>
          </cell>
          <cell r="CI43" t="str">
            <v>NA</v>
          </cell>
          <cell r="CJ43" t="str">
            <v>NA</v>
          </cell>
          <cell r="CK43" t="str">
            <v>NA</v>
          </cell>
          <cell r="CL43" t="str">
            <v>NA</v>
          </cell>
          <cell r="CM43" t="str">
            <v>NA</v>
          </cell>
          <cell r="CN43" t="str">
            <v>NA</v>
          </cell>
          <cell r="CO43" t="str">
            <v>NA</v>
          </cell>
          <cell r="CP43" t="str">
            <v>NA</v>
          </cell>
          <cell r="CQ43" t="str">
            <v>NA</v>
          </cell>
          <cell r="CR43" t="str">
            <v>NA</v>
          </cell>
          <cell r="CS43" t="str">
            <v>NA</v>
          </cell>
          <cell r="CT43" t="str">
            <v>NA</v>
          </cell>
          <cell r="CU43" t="str">
            <v>NA</v>
          </cell>
          <cell r="CV43" t="str">
            <v>NA</v>
          </cell>
          <cell r="CW43" t="str">
            <v>NA</v>
          </cell>
          <cell r="CX43" t="str">
            <v>NA</v>
          </cell>
          <cell r="CY43" t="str">
            <v>NA</v>
          </cell>
          <cell r="CZ43" t="str">
            <v>NA</v>
          </cell>
          <cell r="DA43" t="str">
            <v>NA</v>
          </cell>
          <cell r="DB43" t="str">
            <v>NA</v>
          </cell>
          <cell r="DC43" t="str">
            <v>NA</v>
          </cell>
          <cell r="DD43" t="str">
            <v>NA</v>
          </cell>
          <cell r="DE43" t="str">
            <v>NA</v>
          </cell>
          <cell r="DF43" t="str">
            <v>NA</v>
          </cell>
          <cell r="DG43" t="str">
            <v>NA</v>
          </cell>
          <cell r="DH43" t="str">
            <v>NA</v>
          </cell>
          <cell r="DI43" t="str">
            <v>NA</v>
          </cell>
          <cell r="DJ43" t="str">
            <v>NA</v>
          </cell>
          <cell r="DK43" t="str">
            <v>NA</v>
          </cell>
          <cell r="DL43" t="str">
            <v>NA</v>
          </cell>
          <cell r="DM43" t="str">
            <v>NA</v>
          </cell>
          <cell r="DN43" t="str">
            <v>NA</v>
          </cell>
          <cell r="DQ43" t="str">
            <v>NA</v>
          </cell>
          <cell r="DR43" t="str">
            <v>NA</v>
          </cell>
          <cell r="DS43" t="str">
            <v>NA</v>
          </cell>
          <cell r="DT43" t="str">
            <v>NA</v>
          </cell>
          <cell r="DU43" t="str">
            <v>NA</v>
          </cell>
          <cell r="DV43" t="str">
            <v>NA</v>
          </cell>
          <cell r="DW43" t="str">
            <v>NA</v>
          </cell>
          <cell r="DX43" t="str">
            <v>NA</v>
          </cell>
          <cell r="DY43" t="str">
            <v>NA</v>
          </cell>
          <cell r="DZ43" t="str">
            <v>NA</v>
          </cell>
          <cell r="EA43" t="str">
            <v>NA</v>
          </cell>
          <cell r="EB43" t="str">
            <v>NA</v>
          </cell>
          <cell r="EC43" t="str">
            <v>NA</v>
          </cell>
          <cell r="ED43" t="str">
            <v>NA</v>
          </cell>
          <cell r="EE43" t="str">
            <v>NA</v>
          </cell>
          <cell r="EF43" t="str">
            <v>NA</v>
          </cell>
          <cell r="EG43" t="str">
            <v>NA</v>
          </cell>
          <cell r="EH43" t="str">
            <v>NA</v>
          </cell>
          <cell r="EI43" t="str">
            <v>NA</v>
          </cell>
          <cell r="EJ43" t="str">
            <v>NA</v>
          </cell>
          <cell r="EK43" t="str">
            <v>NA</v>
          </cell>
          <cell r="EL43" t="str">
            <v>NA</v>
          </cell>
          <cell r="EM43" t="str">
            <v>NA</v>
          </cell>
          <cell r="EN43" t="str">
            <v>NA</v>
          </cell>
          <cell r="EO43" t="str">
            <v>NA</v>
          </cell>
          <cell r="EP43" t="str">
            <v>NA</v>
          </cell>
          <cell r="EQ43" t="str">
            <v>NA</v>
          </cell>
          <cell r="ER43" t="str">
            <v>NA</v>
          </cell>
        </row>
        <row r="44">
          <cell r="A44" t="str">
            <v>% growth seq</v>
          </cell>
          <cell r="AU44" t="str">
            <v>NA</v>
          </cell>
          <cell r="AV44" t="str">
            <v>NA</v>
          </cell>
          <cell r="AW44" t="str">
            <v>NA</v>
          </cell>
          <cell r="AX44" t="str">
            <v>NA</v>
          </cell>
          <cell r="AY44" t="str">
            <v>NA</v>
          </cell>
          <cell r="AZ44" t="str">
            <v>NA</v>
          </cell>
          <cell r="BA44" t="str">
            <v>NA</v>
          </cell>
          <cell r="BB44" t="str">
            <v>NA</v>
          </cell>
          <cell r="BC44" t="str">
            <v>NA</v>
          </cell>
          <cell r="BD44" t="str">
            <v>NA</v>
          </cell>
          <cell r="BE44" t="str">
            <v>NA</v>
          </cell>
          <cell r="BF44" t="str">
            <v>NA</v>
          </cell>
          <cell r="BG44" t="str">
            <v>NA</v>
          </cell>
          <cell r="BH44" t="str">
            <v>NA</v>
          </cell>
          <cell r="BI44" t="str">
            <v>NA</v>
          </cell>
          <cell r="BJ44" t="str">
            <v>NA</v>
          </cell>
          <cell r="BK44" t="str">
            <v>NA</v>
          </cell>
          <cell r="BL44" t="str">
            <v>NA</v>
          </cell>
          <cell r="BM44" t="str">
            <v>NA</v>
          </cell>
          <cell r="BN44" t="str">
            <v>NA</v>
          </cell>
          <cell r="BO44" t="str">
            <v>NA</v>
          </cell>
          <cell r="BP44" t="str">
            <v>NA</v>
          </cell>
          <cell r="BQ44" t="str">
            <v>NA</v>
          </cell>
          <cell r="BR44" t="str">
            <v>NA</v>
          </cell>
          <cell r="BS44" t="str">
            <v>NA</v>
          </cell>
          <cell r="BT44" t="str">
            <v>NA</v>
          </cell>
          <cell r="BU44" t="str">
            <v>NA</v>
          </cell>
          <cell r="BV44" t="str">
            <v>NA</v>
          </cell>
          <cell r="BW44" t="str">
            <v>NA</v>
          </cell>
          <cell r="BX44" t="str">
            <v>NA</v>
          </cell>
          <cell r="BY44" t="str">
            <v>NA</v>
          </cell>
          <cell r="BZ44" t="str">
            <v>NA</v>
          </cell>
          <cell r="CA44" t="str">
            <v>NA</v>
          </cell>
          <cell r="CB44" t="str">
            <v>NA</v>
          </cell>
          <cell r="CC44" t="str">
            <v>NA</v>
          </cell>
          <cell r="CD44" t="str">
            <v>NA</v>
          </cell>
          <cell r="CE44" t="str">
            <v>NA</v>
          </cell>
          <cell r="CF44" t="str">
            <v>NA</v>
          </cell>
          <cell r="CG44" t="str">
            <v>NA</v>
          </cell>
          <cell r="CH44" t="str">
            <v>NA</v>
          </cell>
          <cell r="CI44" t="str">
            <v>NA</v>
          </cell>
          <cell r="CJ44" t="str">
            <v>NA</v>
          </cell>
          <cell r="CK44" t="str">
            <v>NA</v>
          </cell>
          <cell r="CL44" t="str">
            <v>NA</v>
          </cell>
          <cell r="CM44" t="str">
            <v>NA</v>
          </cell>
          <cell r="CN44" t="str">
            <v>NA</v>
          </cell>
          <cell r="CO44" t="str">
            <v>NA</v>
          </cell>
          <cell r="CP44" t="str">
            <v>NA</v>
          </cell>
          <cell r="CQ44" t="str">
            <v>NA</v>
          </cell>
          <cell r="CR44" t="str">
            <v>NA</v>
          </cell>
          <cell r="CS44" t="str">
            <v>NA</v>
          </cell>
          <cell r="CT44" t="str">
            <v>NA</v>
          </cell>
          <cell r="CU44" t="str">
            <v>NA</v>
          </cell>
          <cell r="CV44" t="str">
            <v>NA</v>
          </cell>
          <cell r="CW44" t="str">
            <v>NA</v>
          </cell>
          <cell r="CX44" t="str">
            <v>NA</v>
          </cell>
          <cell r="CY44" t="str">
            <v>NA</v>
          </cell>
          <cell r="CZ44" t="str">
            <v>NA</v>
          </cell>
          <cell r="DA44" t="str">
            <v>NA</v>
          </cell>
          <cell r="DB44" t="str">
            <v>NA</v>
          </cell>
          <cell r="DC44" t="str">
            <v>NA</v>
          </cell>
          <cell r="DD44" t="str">
            <v>NA</v>
          </cell>
          <cell r="DE44" t="str">
            <v>NA</v>
          </cell>
          <cell r="DF44" t="str">
            <v>NA</v>
          </cell>
          <cell r="DG44" t="str">
            <v>NA</v>
          </cell>
          <cell r="DH44" t="str">
            <v>NA</v>
          </cell>
          <cell r="DI44" t="str">
            <v>NA</v>
          </cell>
          <cell r="DJ44" t="str">
            <v>NA</v>
          </cell>
          <cell r="DK44" t="str">
            <v>NA</v>
          </cell>
          <cell r="DL44" t="str">
            <v>NA</v>
          </cell>
          <cell r="DM44" t="str">
            <v>NA</v>
          </cell>
          <cell r="DN44" t="str">
            <v>NA</v>
          </cell>
        </row>
        <row r="46">
          <cell r="A46" t="str">
            <v>Other Service Management</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0.24658822551745629</v>
          </cell>
          <cell r="BL46">
            <v>1.1353473525599043</v>
          </cell>
          <cell r="BM46">
            <v>2.6504741032119057</v>
          </cell>
          <cell r="BN46">
            <v>4.3492132526321114</v>
          </cell>
          <cell r="BO46">
            <v>6.2447798639472865</v>
          </cell>
          <cell r="BP46">
            <v>8.3518283452485917</v>
          </cell>
          <cell r="BQ46">
            <v>10.496207047281928</v>
          </cell>
          <cell r="BR46">
            <v>12.808662241220759</v>
          </cell>
          <cell r="BS46">
            <v>14.427628189362821</v>
          </cell>
          <cell r="BT46">
            <v>16.929310667083513</v>
          </cell>
          <cell r="BU46">
            <v>19.65143374948309</v>
          </cell>
          <cell r="BV46">
            <v>22.704754044941495</v>
          </cell>
          <cell r="BW46">
            <v>26.643430204147819</v>
          </cell>
          <cell r="BX46">
            <v>31.726292266230701</v>
          </cell>
          <cell r="BY46">
            <v>39.089223776338571</v>
          </cell>
          <cell r="BZ46">
            <v>46.854149422719786</v>
          </cell>
          <cell r="CA46">
            <v>56.153333657795713</v>
          </cell>
          <cell r="CB46">
            <v>68.18156290398241</v>
          </cell>
          <cell r="CC46">
            <v>81.133158791653898</v>
          </cell>
          <cell r="CD46">
            <v>98.936200592862122</v>
          </cell>
          <cell r="CE46">
            <v>115.37048220668908</v>
          </cell>
          <cell r="CF46">
            <v>138.93816680067943</v>
          </cell>
          <cell r="CG46">
            <v>154.17109530639863</v>
          </cell>
          <cell r="CH46">
            <v>173.37134991616216</v>
          </cell>
          <cell r="CI46">
            <v>204.48876377827804</v>
          </cell>
          <cell r="CJ46">
            <v>230.20454241581615</v>
          </cell>
          <cell r="CK46">
            <v>252.27952286365365</v>
          </cell>
          <cell r="CL46">
            <v>282.47412037586855</v>
          </cell>
          <cell r="CM46">
            <v>320.57415954021633</v>
          </cell>
          <cell r="CN46">
            <v>333.95471965545244</v>
          </cell>
          <cell r="CO46">
            <v>359.68742894295247</v>
          </cell>
          <cell r="CP46">
            <v>397.09129020985722</v>
          </cell>
          <cell r="CQ46">
            <v>432.79506040845524</v>
          </cell>
          <cell r="CR46">
            <v>471.67664062182428</v>
          </cell>
          <cell r="CS46">
            <v>483.05931932869419</v>
          </cell>
          <cell r="CT46">
            <v>512.83006706011963</v>
          </cell>
          <cell r="CU46">
            <v>548.17176080527827</v>
          </cell>
          <cell r="CV46">
            <v>598.72217509216159</v>
          </cell>
          <cell r="CW46">
            <v>639.20143536708258</v>
          </cell>
          <cell r="CX46">
            <v>687.52176489658996</v>
          </cell>
          <cell r="CY46">
            <v>734.34928859814602</v>
          </cell>
          <cell r="CZ46">
            <v>800.52995565581818</v>
          </cell>
          <cell r="DA46">
            <v>855.51010855835193</v>
          </cell>
          <cell r="DB46">
            <v>910.71415635596918</v>
          </cell>
          <cell r="DC46">
            <v>961.37469380305993</v>
          </cell>
          <cell r="DD46">
            <v>1046.3692781740408</v>
          </cell>
          <cell r="DE46">
            <v>1119.1439316732294</v>
          </cell>
          <cell r="DF46">
            <v>1182.7910115609907</v>
          </cell>
          <cell r="DG46">
            <v>1237.6617615422006</v>
          </cell>
          <cell r="DH46">
            <v>1345.2961146722271</v>
          </cell>
          <cell r="DI46">
            <v>1439.8810319824195</v>
          </cell>
          <cell r="DJ46">
            <v>1513.8395801304491</v>
          </cell>
          <cell r="DK46">
            <v>1573.2544317918823</v>
          </cell>
          <cell r="DL46">
            <v>1708.0389722604425</v>
          </cell>
          <cell r="DM46">
            <v>1829.2743323772074</v>
          </cell>
          <cell r="DN46">
            <v>1915.7910511126311</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8.3816229339213777</v>
          </cell>
          <cell r="EF46">
            <v>37.901477497698565</v>
          </cell>
          <cell r="EG46">
            <v>73.713126650870919</v>
          </cell>
          <cell r="EH46">
            <v>144.31309566943688</v>
          </cell>
          <cell r="EI46">
            <v>304.40425594629414</v>
          </cell>
          <cell r="EJ46">
            <v>581.85109422992923</v>
          </cell>
          <cell r="EK46">
            <v>969.4469494336164</v>
          </cell>
          <cell r="EL46">
            <v>1411.3075983484785</v>
          </cell>
          <cell r="EM46">
            <v>1900.3610874190936</v>
          </cell>
          <cell r="EN46">
            <v>2473.6171361611123</v>
          </cell>
          <cell r="EO46">
            <v>3301.1035091682852</v>
          </cell>
          <cell r="EP46">
            <v>4309.6789152113215</v>
          </cell>
          <cell r="EQ46">
            <v>5536.6784883272958</v>
          </cell>
          <cell r="ER46">
            <v>7026.3587875421636</v>
          </cell>
        </row>
        <row r="47">
          <cell r="A47" t="str">
            <v>% of revenues</v>
          </cell>
          <cell r="AU47" t="str">
            <v>NA</v>
          </cell>
          <cell r="AV47" t="str">
            <v>NA</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2.8693401775382104E-3</v>
          </cell>
          <cell r="BL47">
            <v>1.1106683028701299E-2</v>
          </cell>
          <cell r="BM47">
            <v>2.3822559102741402E-2</v>
          </cell>
          <cell r="BN47">
            <v>3.4729803183199806E-2</v>
          </cell>
          <cell r="BO47">
            <v>4.489740358003657E-2</v>
          </cell>
          <cell r="BP47">
            <v>5.0083824638537465E-2</v>
          </cell>
          <cell r="BQ47">
            <v>5.873252522092489E-2</v>
          </cell>
          <cell r="BR47">
            <v>6.4688906492902959E-2</v>
          </cell>
          <cell r="BS47">
            <v>6.8066408396533468E-2</v>
          </cell>
          <cell r="BT47">
            <v>6.8618616818866676E-2</v>
          </cell>
          <cell r="BU47">
            <v>7.524960271676466E-2</v>
          </cell>
          <cell r="BV47">
            <v>7.9484523175009619E-2</v>
          </cell>
          <cell r="BW47">
            <v>8.7104476620323126E-2</v>
          </cell>
          <cell r="BX47">
            <v>9.2953931494441172E-2</v>
          </cell>
          <cell r="BY47">
            <v>0.10929279468634266</v>
          </cell>
          <cell r="BZ47">
            <v>0.12148892933968715</v>
          </cell>
          <cell r="CA47">
            <v>0.13096345988370414</v>
          </cell>
          <cell r="CB47">
            <v>0.15210339336717338</v>
          </cell>
          <cell r="CC47">
            <v>0.16478020438134969</v>
          </cell>
          <cell r="CD47">
            <v>0.18018113615154832</v>
          </cell>
          <cell r="CE47">
            <v>0.19580138251234519</v>
          </cell>
          <cell r="CF47">
            <v>0.22016772964789086</v>
          </cell>
          <cell r="CG47">
            <v>0.22904736658520039</v>
          </cell>
          <cell r="CH47">
            <v>0.2423279486584668</v>
          </cell>
          <cell r="CI47">
            <v>0.25919891571361325</v>
          </cell>
          <cell r="CJ47">
            <v>0.27605640747114313</v>
          </cell>
          <cell r="CK47">
            <v>0.28479354783989042</v>
          </cell>
          <cell r="CL47">
            <v>0.29678696872983351</v>
          </cell>
          <cell r="CM47">
            <v>0.30637666488924858</v>
          </cell>
          <cell r="CN47">
            <v>0.31186180562160654</v>
          </cell>
          <cell r="CO47">
            <v>0.31223626003318872</v>
          </cell>
          <cell r="CP47">
            <v>0.31758918862208957</v>
          </cell>
          <cell r="CQ47">
            <v>0.32260942865606917</v>
          </cell>
          <cell r="CR47">
            <v>0.33162632437077733</v>
          </cell>
          <cell r="CS47">
            <v>0.33087884159601705</v>
          </cell>
          <cell r="CT47">
            <v>0.3340490441334294</v>
          </cell>
          <cell r="CU47">
            <v>0.33561177657936453</v>
          </cell>
          <cell r="CV47">
            <v>0.34348264004666257</v>
          </cell>
          <cell r="CW47">
            <v>0.34561657377119887</v>
          </cell>
          <cell r="CX47">
            <v>0.34904862808964693</v>
          </cell>
          <cell r="CY47">
            <v>0.35007041613224915</v>
          </cell>
          <cell r="CZ47">
            <v>0.35649315763004774</v>
          </cell>
          <cell r="DA47">
            <v>0.35839558862192833</v>
          </cell>
          <cell r="DB47">
            <v>0.36075906529039525</v>
          </cell>
          <cell r="DC47">
            <v>0.36084307987977216</v>
          </cell>
          <cell r="DD47">
            <v>0.36622519199434422</v>
          </cell>
          <cell r="DE47">
            <v>0.36801704997808254</v>
          </cell>
          <cell r="DF47">
            <v>0.36971566687711249</v>
          </cell>
          <cell r="DG47">
            <v>0.36914031469956721</v>
          </cell>
          <cell r="DH47">
            <v>0.37374708994831207</v>
          </cell>
          <cell r="DI47">
            <v>0.37548584279398495</v>
          </cell>
          <cell r="DJ47">
            <v>0.37674529005951052</v>
          </cell>
          <cell r="DK47">
            <v>0.37565267110128348</v>
          </cell>
          <cell r="DL47">
            <v>0.37966252228917124</v>
          </cell>
          <cell r="DM47">
            <v>0.38137640729536915</v>
          </cell>
          <cell r="DN47">
            <v>0.38232887828143736</v>
          </cell>
          <cell r="DP47" t="str">
            <v>NA</v>
          </cell>
          <cell r="DQ47" t="str">
            <v>NA</v>
          </cell>
          <cell r="DR47" t="str">
            <v>NA</v>
          </cell>
          <cell r="DS47" t="str">
            <v>NA</v>
          </cell>
          <cell r="DT47" t="str">
            <v>NA</v>
          </cell>
          <cell r="DU47" t="str">
            <v>NA</v>
          </cell>
          <cell r="DV47" t="str">
            <v>NA</v>
          </cell>
          <cell r="DW47" t="str">
            <v>NA</v>
          </cell>
          <cell r="DX47" t="str">
            <v>NA</v>
          </cell>
          <cell r="DY47" t="str">
            <v>NA</v>
          </cell>
          <cell r="DZ47">
            <v>0</v>
          </cell>
          <cell r="EA47">
            <v>0</v>
          </cell>
          <cell r="EB47">
            <v>0</v>
          </cell>
          <cell r="EC47">
            <v>0</v>
          </cell>
          <cell r="ED47">
            <v>0</v>
          </cell>
          <cell r="EE47">
            <v>1.9737720320078599E-2</v>
          </cell>
          <cell r="EF47">
            <v>5.5528174685265046E-2</v>
          </cell>
          <cell r="EG47">
            <v>7.3311380286898722E-2</v>
          </cell>
          <cell r="EH47">
            <v>0.10378406794430321</v>
          </cell>
          <cell r="EI47">
            <v>0.15866833878359493</v>
          </cell>
          <cell r="EJ47">
            <v>0.2230326302161322</v>
          </cell>
          <cell r="EK47">
            <v>0.28015159629654185</v>
          </cell>
          <cell r="EL47">
            <v>0.31227184305741068</v>
          </cell>
          <cell r="EM47">
            <v>0.32998219701539372</v>
          </cell>
          <cell r="EN47">
            <v>0.34376810144251019</v>
          </cell>
          <cell r="EO47">
            <v>0.35669166313094652</v>
          </cell>
          <cell r="EP47">
            <v>0.3664187439928423</v>
          </cell>
          <cell r="EQ47">
            <v>0.37396791095932991</v>
          </cell>
          <cell r="ER47">
            <v>0.37992140704073785</v>
          </cell>
        </row>
        <row r="48">
          <cell r="A48" t="str">
            <v>% of subscription revenues</v>
          </cell>
          <cell r="AU48" t="str">
            <v>NA</v>
          </cell>
          <cell r="AV48" t="str">
            <v>NA</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3.4459910215134055E-3</v>
          </cell>
          <cell r="BL48">
            <v>1.4125452281276802E-2</v>
          </cell>
          <cell r="BM48">
            <v>2.8502173339770148E-2</v>
          </cell>
          <cell r="BN48">
            <v>4.1469261929404748E-2</v>
          </cell>
          <cell r="BO48">
            <v>5.3203662312649939E-2</v>
          </cell>
          <cell r="BP48">
            <v>6.2926285715082367E-2</v>
          </cell>
          <cell r="BQ48">
            <v>6.98039267078676E-2</v>
          </cell>
          <cell r="BR48">
            <v>7.6813106015680616E-2</v>
          </cell>
          <cell r="BS48">
            <v>8.0194923984963459E-2</v>
          </cell>
          <cell r="BT48">
            <v>8.4451891724991457E-2</v>
          </cell>
          <cell r="BU48">
            <v>8.8040902429496651E-2</v>
          </cell>
          <cell r="BV48">
            <v>9.2785322739256298E-2</v>
          </cell>
          <cell r="BW48">
            <v>9.9630659422739409E-2</v>
          </cell>
          <cell r="BX48">
            <v>0.10914545689998488</v>
          </cell>
          <cell r="BY48">
            <v>0.12256210932775612</v>
          </cell>
          <cell r="BZ48">
            <v>0.13596519315713046</v>
          </cell>
          <cell r="CA48">
            <v>0.14488042245757232</v>
          </cell>
          <cell r="CB48">
            <v>0.16932283075054239</v>
          </cell>
          <cell r="CC48">
            <v>0.18049405078386918</v>
          </cell>
          <cell r="CD48">
            <v>0.19797614068344238</v>
          </cell>
          <cell r="CE48">
            <v>0.21234156758236611</v>
          </cell>
          <cell r="CF48">
            <v>0.23738670726364286</v>
          </cell>
          <cell r="CG48">
            <v>0.24605683878403845</v>
          </cell>
          <cell r="CH48">
            <v>0.26026302305699284</v>
          </cell>
          <cell r="CI48">
            <v>0.27634139534839586</v>
          </cell>
          <cell r="CJ48">
            <v>0.29476028780919594</v>
          </cell>
          <cell r="CK48">
            <v>0.30216373365231419</v>
          </cell>
          <cell r="CL48">
            <v>0.31414146488507327</v>
          </cell>
          <cell r="CM48">
            <v>0.32228160749673401</v>
          </cell>
          <cell r="CN48">
            <v>0.32884836228587733</v>
          </cell>
          <cell r="CO48">
            <v>0.32956939977510474</v>
          </cell>
          <cell r="CP48">
            <v>0.3353298948470354</v>
          </cell>
          <cell r="CQ48">
            <v>0.33832808094304317</v>
          </cell>
          <cell r="CR48">
            <v>0.34730595994422475</v>
          </cell>
          <cell r="CS48">
            <v>0.34660735455070002</v>
          </cell>
          <cell r="CT48">
            <v>0.34959665710846766</v>
          </cell>
          <cell r="CU48">
            <v>0.35071797144780009</v>
          </cell>
          <cell r="CV48">
            <v>0.35832621048375762</v>
          </cell>
          <cell r="CW48">
            <v>0.36011663560962148</v>
          </cell>
          <cell r="CX48">
            <v>0.36325963503745728</v>
          </cell>
          <cell r="CY48">
            <v>0.36392002855872918</v>
          </cell>
          <cell r="CZ48">
            <v>0.37005377768089504</v>
          </cell>
          <cell r="DA48">
            <v>0.37164568998291925</v>
          </cell>
          <cell r="DB48">
            <v>0.37380743538452593</v>
          </cell>
          <cell r="DC48">
            <v>0.37364090811827355</v>
          </cell>
          <cell r="DD48">
            <v>0.37868091425376321</v>
          </cell>
          <cell r="DE48">
            <v>0.38015232470970056</v>
          </cell>
          <cell r="DF48">
            <v>0.381693463081553</v>
          </cell>
          <cell r="DG48">
            <v>0.38093595111186135</v>
          </cell>
          <cell r="DH48">
            <v>0.38516757782877592</v>
          </cell>
          <cell r="DI48">
            <v>0.38657952589399575</v>
          </cell>
          <cell r="DJ48">
            <v>0.38771049548159081</v>
          </cell>
          <cell r="DK48">
            <v>0.3864882239752962</v>
          </cell>
          <cell r="DL48">
            <v>0.39012574499552766</v>
          </cell>
          <cell r="DM48">
            <v>0.39152510055988737</v>
          </cell>
          <cell r="DN48">
            <v>0.3923752946320489</v>
          </cell>
          <cell r="DP48" t="str">
            <v>NA</v>
          </cell>
          <cell r="DQ48" t="str">
            <v>NA</v>
          </cell>
          <cell r="DR48" t="str">
            <v>NA</v>
          </cell>
          <cell r="DS48" t="str">
            <v>NA</v>
          </cell>
          <cell r="DT48" t="str">
            <v>NA</v>
          </cell>
          <cell r="DU48" t="str">
            <v>NA</v>
          </cell>
          <cell r="DV48" t="str">
            <v>NA</v>
          </cell>
          <cell r="DW48" t="str">
            <v>NA</v>
          </cell>
          <cell r="DX48" t="str">
            <v>NA</v>
          </cell>
          <cell r="DY48" t="str">
            <v>NA</v>
          </cell>
          <cell r="DZ48" t="str">
            <v>NA</v>
          </cell>
          <cell r="EA48">
            <v>0</v>
          </cell>
          <cell r="EB48">
            <v>0</v>
          </cell>
          <cell r="EC48">
            <v>0</v>
          </cell>
          <cell r="ED48">
            <v>0</v>
          </cell>
          <cell r="EE48">
            <v>2.3960912207754561E-2</v>
          </cell>
          <cell r="EF48">
            <v>6.6820066213986118E-2</v>
          </cell>
          <cell r="EG48">
            <v>8.689736931863247E-2</v>
          </cell>
          <cell r="EH48">
            <v>0.11813072083441742</v>
          </cell>
          <cell r="EI48">
            <v>0.17499526067622542</v>
          </cell>
          <cell r="EJ48">
            <v>0.24030395666728308</v>
          </cell>
          <cell r="EK48">
            <v>0.29782593584782935</v>
          </cell>
          <cell r="EL48">
            <v>0.32929875081542087</v>
          </cell>
          <cell r="EM48">
            <v>0.34565114757791532</v>
          </cell>
          <cell r="EN48">
            <v>0.35841655774554132</v>
          </cell>
          <cell r="EO48">
            <v>0.37010225633801153</v>
          </cell>
          <cell r="EP48">
            <v>0.37874235487669827</v>
          </cell>
          <cell r="EQ48">
            <v>0.3852677417399693</v>
          </cell>
          <cell r="ER48">
            <v>0.39027652260034751</v>
          </cell>
        </row>
        <row r="49">
          <cell r="A49" t="str">
            <v>% growth y-o-y</v>
          </cell>
          <cell r="AU49" t="str">
            <v>NA</v>
          </cell>
          <cell r="AV49" t="str">
            <v>NA</v>
          </cell>
          <cell r="AW49" t="str">
            <v>NA</v>
          </cell>
          <cell r="AX49" t="str">
            <v>NA</v>
          </cell>
          <cell r="AY49" t="str">
            <v>NA</v>
          </cell>
          <cell r="AZ49" t="str">
            <v>NA</v>
          </cell>
          <cell r="BA49" t="str">
            <v>NA</v>
          </cell>
          <cell r="BB49" t="str">
            <v>NA</v>
          </cell>
          <cell r="BC49" t="str">
            <v>NA</v>
          </cell>
          <cell r="BD49" t="str">
            <v>NA</v>
          </cell>
          <cell r="BE49" t="str">
            <v>NA</v>
          </cell>
          <cell r="BF49" t="str">
            <v>NA</v>
          </cell>
          <cell r="BG49" t="str">
            <v>NA</v>
          </cell>
          <cell r="BH49" t="str">
            <v>NA</v>
          </cell>
          <cell r="BI49" t="str">
            <v>NA</v>
          </cell>
          <cell r="BJ49" t="str">
            <v>NA</v>
          </cell>
          <cell r="BK49" t="str">
            <v>NA</v>
          </cell>
          <cell r="BL49" t="str">
            <v>NA</v>
          </cell>
          <cell r="BM49" t="str">
            <v>NA</v>
          </cell>
          <cell r="BN49" t="str">
            <v>NA</v>
          </cell>
          <cell r="BO49">
            <v>24.324728505762376</v>
          </cell>
          <cell r="BP49">
            <v>6.3561878013961586</v>
          </cell>
          <cell r="BQ49">
            <v>2.960124354568257</v>
          </cell>
          <cell r="BR49">
            <v>1.9450527019959418</v>
          </cell>
          <cell r="BS49">
            <v>1.3103501650486056</v>
          </cell>
          <cell r="BT49">
            <v>1.0270185122656055</v>
          </cell>
          <cell r="BU49">
            <v>0.87224143549759492</v>
          </cell>
          <cell r="BV49">
            <v>0.77260931839339109</v>
          </cell>
          <cell r="BW49">
            <v>0.84669509460962167</v>
          </cell>
          <cell r="BX49">
            <v>0.87404513332711664</v>
          </cell>
          <cell r="BY49">
            <v>0.98912833916592846</v>
          </cell>
          <cell r="BZ49">
            <v>1.0636272619371825</v>
          </cell>
          <cell r="CA49">
            <v>1.1075864942140154</v>
          </cell>
          <cell r="CB49">
            <v>1.1490555004611904</v>
          </cell>
          <cell r="CC49">
            <v>1.0755888951871513</v>
          </cell>
          <cell r="CD49">
            <v>1.1115782019700378</v>
          </cell>
          <cell r="CE49">
            <v>1.0545615850657923</v>
          </cell>
          <cell r="CF49">
            <v>1.0377674092971576</v>
          </cell>
          <cell r="CG49">
            <v>0.90022301118957637</v>
          </cell>
          <cell r="CH49">
            <v>0.75235504170624323</v>
          </cell>
          <cell r="CI49">
            <v>0.77245305616328586</v>
          </cell>
          <cell r="CJ49">
            <v>0.65688484105355571</v>
          </cell>
          <cell r="CK49">
            <v>0.63636070926443744</v>
          </cell>
          <cell r="CL49">
            <v>0.62930103798848913</v>
          </cell>
          <cell r="CM49">
            <v>0.56768593842059079</v>
          </cell>
          <cell r="CN49">
            <v>0.45068692455352766</v>
          </cell>
          <cell r="CO49">
            <v>0.42574960052286226</v>
          </cell>
          <cell r="CP49">
            <v>0.40576166652532852</v>
          </cell>
          <cell r="CQ49">
            <v>0.35006221658411829</v>
          </cell>
          <cell r="CR49">
            <v>0.41239698935371294</v>
          </cell>
          <cell r="CS49">
            <v>0.34299750410601337</v>
          </cell>
          <cell r="CT49">
            <v>0.29146642020049374</v>
          </cell>
          <cell r="CU49">
            <v>0.26658506750963129</v>
          </cell>
          <cell r="CV49">
            <v>0.26934879434107595</v>
          </cell>
          <cell r="CW49">
            <v>0.32323590455801265</v>
          </cell>
          <cell r="CX49">
            <v>0.34064246435065404</v>
          </cell>
          <cell r="CY49">
            <v>0.33963356215097296</v>
          </cell>
          <cell r="CZ49">
            <v>0.33706414921510497</v>
          </cell>
          <cell r="DA49">
            <v>0.33840454858654523</v>
          </cell>
          <cell r="DB49">
            <v>0.32463320123829043</v>
          </cell>
          <cell r="DC49">
            <v>0.30915180109767593</v>
          </cell>
          <cell r="DD49">
            <v>0.30709571925615653</v>
          </cell>
          <cell r="DE49">
            <v>0.30815979902228796</v>
          </cell>
          <cell r="DF49">
            <v>0.29875109913046671</v>
          </cell>
          <cell r="DG49">
            <v>0.28738749784039852</v>
          </cell>
          <cell r="DH49">
            <v>0.28568005840139565</v>
          </cell>
          <cell r="DI49">
            <v>0.28659146623764187</v>
          </cell>
          <cell r="DJ49">
            <v>0.27988762624477204</v>
          </cell>
          <cell r="DK49">
            <v>0.27115055233791274</v>
          </cell>
          <cell r="DL49">
            <v>0.26963792850661394</v>
          </cell>
          <cell r="DM49">
            <v>0.27043435655143933</v>
          </cell>
          <cell r="DN49">
            <v>0.26551787670100779</v>
          </cell>
          <cell r="DQ49" t="str">
            <v>NA</v>
          </cell>
          <cell r="DR49" t="str">
            <v>NA</v>
          </cell>
          <cell r="DS49" t="str">
            <v>NA</v>
          </cell>
          <cell r="DT49" t="str">
            <v>NA</v>
          </cell>
          <cell r="DU49" t="str">
            <v>NA</v>
          </cell>
          <cell r="DV49" t="str">
            <v>NA</v>
          </cell>
          <cell r="DW49" t="str">
            <v>NA</v>
          </cell>
          <cell r="DX49" t="str">
            <v>NA</v>
          </cell>
          <cell r="DY49" t="str">
            <v>NA</v>
          </cell>
          <cell r="DZ49" t="str">
            <v>NA</v>
          </cell>
          <cell r="EA49" t="str">
            <v>NA</v>
          </cell>
          <cell r="EB49" t="str">
            <v>NA</v>
          </cell>
          <cell r="EC49" t="str">
            <v>NA</v>
          </cell>
          <cell r="ED49" t="str">
            <v>NA</v>
          </cell>
          <cell r="EE49" t="str">
            <v>NA</v>
          </cell>
          <cell r="EF49">
            <v>3.521973583935277</v>
          </cell>
          <cell r="EG49">
            <v>0.94486155995757404</v>
          </cell>
          <cell r="EH49">
            <v>0.95776657735534831</v>
          </cell>
          <cell r="EI49">
            <v>1.1093321748399161</v>
          </cell>
          <cell r="EJ49">
            <v>0.91144204742191537</v>
          </cell>
          <cell r="EK49">
            <v>0.66614269363309209</v>
          </cell>
          <cell r="EL49">
            <v>0.4557863111261653</v>
          </cell>
          <cell r="EM49">
            <v>0.34652508754498923</v>
          </cell>
          <cell r="EN49">
            <v>0.30165638127255368</v>
          </cell>
          <cell r="EO49">
            <v>0.33452483850891168</v>
          </cell>
          <cell r="EP49">
            <v>0.30552674378185363</v>
          </cell>
          <cell r="EQ49">
            <v>0.28470788595994723</v>
          </cell>
          <cell r="ER49">
            <v>0.2690566740249567</v>
          </cell>
        </row>
        <row r="50">
          <cell r="A50" t="str">
            <v>% growth seq</v>
          </cell>
          <cell r="AU50" t="str">
            <v>NA</v>
          </cell>
          <cell r="AV50" t="str">
            <v>NA</v>
          </cell>
          <cell r="AW50" t="str">
            <v>NA</v>
          </cell>
          <cell r="AX50" t="str">
            <v>NA</v>
          </cell>
          <cell r="AY50" t="str">
            <v>NA</v>
          </cell>
          <cell r="AZ50" t="str">
            <v>NA</v>
          </cell>
          <cell r="BA50" t="str">
            <v>NA</v>
          </cell>
          <cell r="BB50" t="str">
            <v>NA</v>
          </cell>
          <cell r="BC50" t="str">
            <v>NA</v>
          </cell>
          <cell r="BD50" t="str">
            <v>NA</v>
          </cell>
          <cell r="BE50" t="str">
            <v>NA</v>
          </cell>
          <cell r="BF50" t="str">
            <v>NA</v>
          </cell>
          <cell r="BG50" t="str">
            <v>NA</v>
          </cell>
          <cell r="BH50" t="str">
            <v>NA</v>
          </cell>
          <cell r="BI50" t="str">
            <v>NA</v>
          </cell>
          <cell r="BJ50" t="str">
            <v>NA</v>
          </cell>
          <cell r="BK50" t="str">
            <v>NA</v>
          </cell>
          <cell r="BL50">
            <v>3.60422370199315</v>
          </cell>
          <cell r="BM50">
            <v>1.3345050281183077</v>
          </cell>
          <cell r="BN50">
            <v>0.64091897648108853</v>
          </cell>
          <cell r="BO50">
            <v>0.43584126627223729</v>
          </cell>
          <cell r="BP50">
            <v>0.33740956882496942</v>
          </cell>
          <cell r="BQ50">
            <v>0.25675560049713986</v>
          </cell>
          <cell r="BR50">
            <v>0.22031341259961712</v>
          </cell>
          <cell r="BS50">
            <v>0.12639617765326938</v>
          </cell>
          <cell r="BT50">
            <v>0.17339526947091199</v>
          </cell>
          <cell r="BU50">
            <v>0.16079349808922427</v>
          </cell>
          <cell r="BV50">
            <v>0.15537392000920636</v>
          </cell>
          <cell r="BW50">
            <v>0.17347363250049574</v>
          </cell>
          <cell r="BX50">
            <v>0.19077356117950561</v>
          </cell>
          <cell r="BY50">
            <v>0.2320766463449917</v>
          </cell>
          <cell r="BZ50">
            <v>0.19864619698796537</v>
          </cell>
          <cell r="CA50">
            <v>0.19847087930629925</v>
          </cell>
          <cell r="CB50">
            <v>0.2142032976971231</v>
          </cell>
          <cell r="CC50">
            <v>0.18995745090077709</v>
          </cell>
          <cell r="CD50">
            <v>0.21942991085710828</v>
          </cell>
          <cell r="CE50">
            <v>0.16610989218654737</v>
          </cell>
          <cell r="CF50">
            <v>0.20427828802663983</v>
          </cell>
          <cell r="CG50">
            <v>0.1096381855071713</v>
          </cell>
          <cell r="CH50">
            <v>0.12453861452826209</v>
          </cell>
          <cell r="CI50">
            <v>0.17948417588698162</v>
          </cell>
          <cell r="CJ50">
            <v>0.12575643845850171</v>
          </cell>
          <cell r="CK50">
            <v>9.5892896882823875E-2</v>
          </cell>
          <cell r="CL50">
            <v>0.11968707237699117</v>
          </cell>
          <cell r="CM50">
            <v>0.13487975151015852</v>
          </cell>
          <cell r="CN50">
            <v>4.1739359574169077E-2</v>
          </cell>
          <cell r="CO50">
            <v>7.7054486051429283E-2</v>
          </cell>
          <cell r="CP50">
            <v>0.10398990416992615</v>
          </cell>
          <cell r="CQ50">
            <v>8.9913254404872633E-2</v>
          </cell>
          <cell r="CR50">
            <v>8.9838317878845775E-2</v>
          </cell>
          <cell r="CS50">
            <v>2.413237740979457E-2</v>
          </cell>
          <cell r="CT50">
            <v>6.1629589866515344E-2</v>
          </cell>
          <cell r="CU50">
            <v>6.8915018863384025E-2</v>
          </cell>
          <cell r="CV50">
            <v>9.2216377969969621E-2</v>
          </cell>
          <cell r="CW50">
            <v>6.7609422130874064E-2</v>
          </cell>
          <cell r="CX50">
            <v>7.5594838897315331E-2</v>
          </cell>
          <cell r="CY50">
            <v>6.8110605500030008E-2</v>
          </cell>
          <cell r="CZ50">
            <v>9.0121510410950956E-2</v>
          </cell>
          <cell r="DA50">
            <v>6.867969463740109E-2</v>
          </cell>
          <cell r="DB50">
            <v>6.4527639411115167E-2</v>
          </cell>
          <cell r="DC50">
            <v>5.5627264705973456E-2</v>
          </cell>
          <cell r="DD50">
            <v>8.840942550167874E-2</v>
          </cell>
          <cell r="DE50">
            <v>6.954968481699253E-2</v>
          </cell>
          <cell r="DF50">
            <v>5.6871219229686298E-2</v>
          </cell>
          <cell r="DG50">
            <v>4.6390908829104127E-2</v>
          </cell>
          <cell r="DH50">
            <v>8.696588718706777E-2</v>
          </cell>
          <cell r="DI50">
            <v>7.0307879639745607E-2</v>
          </cell>
          <cell r="DJ50">
            <v>5.1364346432291041E-2</v>
          </cell>
          <cell r="DK50">
            <v>3.9247785856090012E-2</v>
          </cell>
          <cell r="DL50">
            <v>8.5672436539743435E-2</v>
          </cell>
          <cell r="DM50">
            <v>7.097927042983132E-2</v>
          </cell>
          <cell r="DN50">
            <v>4.7295650086005558E-2</v>
          </cell>
        </row>
        <row r="52">
          <cell r="A52" t="str">
            <v>ITOM</v>
          </cell>
          <cell r="AW52">
            <v>0</v>
          </cell>
          <cell r="AX52">
            <v>0</v>
          </cell>
          <cell r="AY52">
            <v>1.8140922318791604</v>
          </cell>
          <cell r="AZ52">
            <v>2.0295066663464114</v>
          </cell>
          <cell r="BA52">
            <v>3.0154642368500912</v>
          </cell>
          <cell r="BB52">
            <v>3.6162749500564706</v>
          </cell>
          <cell r="BC52">
            <v>2.0539142904622105</v>
          </cell>
          <cell r="BD52">
            <v>2.3050782259780855</v>
          </cell>
          <cell r="BE52">
            <v>3.3221787728021113</v>
          </cell>
          <cell r="BF52">
            <v>4.0006862808840111</v>
          </cell>
          <cell r="BG52">
            <v>2.5539203774353947</v>
          </cell>
          <cell r="BH52">
            <v>2.9438884644726997</v>
          </cell>
          <cell r="BI52">
            <v>4.2444421702960113</v>
          </cell>
          <cell r="BJ52">
            <v>5.1802889716050053</v>
          </cell>
          <cell r="BK52">
            <v>4.0338429889565948</v>
          </cell>
          <cell r="BL52">
            <v>4.8445011615143629</v>
          </cell>
          <cell r="BM52">
            <v>6.3873499841232437</v>
          </cell>
          <cell r="BN52">
            <v>7.5972658395872328</v>
          </cell>
          <cell r="BO52">
            <v>6.9496939734524554</v>
          </cell>
          <cell r="BP52">
            <v>8.2304670873530696</v>
          </cell>
          <cell r="BQ52">
            <v>10.212349286209173</v>
          </cell>
          <cell r="BR52">
            <v>12.234220774014783</v>
          </cell>
          <cell r="BS52">
            <v>12.703000000000003</v>
          </cell>
          <cell r="BT52">
            <v>14.379000000000019</v>
          </cell>
          <cell r="BU52">
            <v>17.413000000000011</v>
          </cell>
          <cell r="BV52">
            <v>20.180000000000064</v>
          </cell>
          <cell r="BW52">
            <v>22.816000000000031</v>
          </cell>
          <cell r="BX52">
            <v>26.012</v>
          </cell>
          <cell r="BY52">
            <v>28.92900000000003</v>
          </cell>
          <cell r="BZ52">
            <v>35.036000000000001</v>
          </cell>
          <cell r="CA52">
            <v>53.947999999999979</v>
          </cell>
          <cell r="CB52">
            <v>38.926000000000045</v>
          </cell>
          <cell r="CC52">
            <v>51.646113039193509</v>
          </cell>
          <cell r="CD52">
            <v>60.46247093349146</v>
          </cell>
          <cell r="CE52">
            <v>82.671401436670365</v>
          </cell>
          <cell r="CF52">
            <v>67.345869281135037</v>
          </cell>
          <cell r="CG52">
            <v>79.454441861169826</v>
          </cell>
          <cell r="CH52">
            <v>90.905160911817333</v>
          </cell>
          <cell r="CI52">
            <v>114.34859147523694</v>
          </cell>
          <cell r="CJ52">
            <v>102.68732543723164</v>
          </cell>
          <cell r="CK52">
            <v>117.73822009237672</v>
          </cell>
          <cell r="CL52">
            <v>132.24833256562778</v>
          </cell>
          <cell r="CM52">
            <v>159.14228215558168</v>
          </cell>
          <cell r="CN52">
            <v>149.87685304503967</v>
          </cell>
          <cell r="CO52">
            <v>171.11953129367905</v>
          </cell>
          <cell r="CP52">
            <v>193.58295473946319</v>
          </cell>
          <cell r="CQ52">
            <v>229.53917191147448</v>
          </cell>
          <cell r="CR52">
            <v>222.55258169705866</v>
          </cell>
          <cell r="CS52">
            <v>239.83072642441863</v>
          </cell>
          <cell r="CT52">
            <v>262.4160163551727</v>
          </cell>
          <cell r="CU52">
            <v>306.92607652422953</v>
          </cell>
          <cell r="CV52">
            <v>309.27157657065766</v>
          </cell>
          <cell r="CW52">
            <v>336.27316641594712</v>
          </cell>
          <cell r="CX52">
            <v>369.74847606425919</v>
          </cell>
          <cell r="CY52">
            <v>427.23108776353848</v>
          </cell>
          <cell r="CZ52">
            <v>440.2442434264658</v>
          </cell>
          <cell r="DA52">
            <v>476.93102521006574</v>
          </cell>
          <cell r="DB52">
            <v>517.41041304660962</v>
          </cell>
          <cell r="DC52">
            <v>585.05095620370446</v>
          </cell>
          <cell r="DD52">
            <v>611.84781591143769</v>
          </cell>
          <cell r="DE52">
            <v>661.23146748869385</v>
          </cell>
          <cell r="DF52">
            <v>710.51189784992368</v>
          </cell>
          <cell r="DG52">
            <v>790.71304408981678</v>
          </cell>
          <cell r="DH52">
            <v>835.15965429038386</v>
          </cell>
          <cell r="DI52">
            <v>901.05519189758388</v>
          </cell>
          <cell r="DJ52">
            <v>961.39761478689627</v>
          </cell>
          <cell r="DK52">
            <v>1057.1033684158674</v>
          </cell>
          <cell r="DL52">
            <v>1123.917967048128</v>
          </cell>
          <cell r="DM52">
            <v>1211.1041454385595</v>
          </cell>
          <cell r="DN52">
            <v>1285.3495772464198</v>
          </cell>
          <cell r="DP52">
            <v>0</v>
          </cell>
          <cell r="DQ52">
            <v>0</v>
          </cell>
          <cell r="DR52">
            <v>0</v>
          </cell>
          <cell r="DS52">
            <v>0</v>
          </cell>
          <cell r="DT52">
            <v>0</v>
          </cell>
          <cell r="DU52">
            <v>0</v>
          </cell>
          <cell r="DV52">
            <v>0</v>
          </cell>
          <cell r="DW52">
            <v>0</v>
          </cell>
          <cell r="DX52">
            <v>0</v>
          </cell>
          <cell r="DY52">
            <v>0</v>
          </cell>
          <cell r="DZ52">
            <v>0</v>
          </cell>
          <cell r="EA52">
            <v>0</v>
          </cell>
          <cell r="EB52">
            <v>10.475338085132133</v>
          </cell>
          <cell r="EC52">
            <v>11.681857570126418</v>
          </cell>
          <cell r="ED52">
            <v>14.922539983809111</v>
          </cell>
          <cell r="EE52">
            <v>22.862959974181436</v>
          </cell>
          <cell r="EF52">
            <v>37.626731121029479</v>
          </cell>
          <cell r="EG52">
            <v>64.675000000000097</v>
          </cell>
          <cell r="EH52">
            <v>112.79300000000006</v>
          </cell>
          <cell r="EI52">
            <v>204.98258397268498</v>
          </cell>
          <cell r="EJ52">
            <v>320.37687349079255</v>
          </cell>
          <cell r="EK52">
            <v>467.02246957047305</v>
          </cell>
          <cell r="EL52">
            <v>673.72162123376359</v>
          </cell>
          <cell r="EM52">
            <v>954.33849638812455</v>
          </cell>
          <cell r="EN52">
            <v>1322.2192955750934</v>
          </cell>
          <cell r="EO52">
            <v>1861.8167694466795</v>
          </cell>
          <cell r="EP52">
            <v>2568.6421374537595</v>
          </cell>
          <cell r="EQ52">
            <v>3488.3255050646808</v>
          </cell>
          <cell r="ER52">
            <v>4677.4750581489752</v>
          </cell>
        </row>
        <row r="53">
          <cell r="A53" t="str">
            <v>% of revenues</v>
          </cell>
          <cell r="AU53" t="str">
            <v>NA</v>
          </cell>
          <cell r="AV53" t="str">
            <v>NA</v>
          </cell>
          <cell r="AW53">
            <v>0</v>
          </cell>
          <cell r="AX53">
            <v>0</v>
          </cell>
          <cell r="AY53">
            <v>0.15317843721009544</v>
          </cell>
          <cell r="AZ53">
            <v>0.13950417008155153</v>
          </cell>
          <cell r="BA53">
            <v>0.18176396846594883</v>
          </cell>
          <cell r="BB53">
            <v>0.16934090143088132</v>
          </cell>
          <cell r="BC53">
            <v>8.1465742125266166E-2</v>
          </cell>
          <cell r="BD53">
            <v>7.8178418054826393E-2</v>
          </cell>
          <cell r="BE53">
            <v>9.7148251975381197E-2</v>
          </cell>
          <cell r="BF53">
            <v>0.10211563328613026</v>
          </cell>
          <cell r="BG53">
            <v>5.3844961679816887E-2</v>
          </cell>
          <cell r="BH53">
            <v>5.1852757679090776E-2</v>
          </cell>
          <cell r="BI53">
            <v>6.5963822679244874E-2</v>
          </cell>
          <cell r="BJ53">
            <v>6.8921648859862766E-2</v>
          </cell>
          <cell r="BK53">
            <v>4.6938444582280393E-2</v>
          </cell>
          <cell r="BL53">
            <v>4.7391962214732276E-2</v>
          </cell>
          <cell r="BM53">
            <v>5.7409737496501349E-2</v>
          </cell>
          <cell r="BN53">
            <v>6.0666500356042742E-2</v>
          </cell>
          <cell r="BO53">
            <v>4.9965446642119889E-2</v>
          </cell>
          <cell r="BP53">
            <v>4.9356051544181469E-2</v>
          </cell>
          <cell r="BQ53">
            <v>5.7144172110486002E-2</v>
          </cell>
          <cell r="BR53">
            <v>6.1787745570871209E-2</v>
          </cell>
          <cell r="BS53">
            <v>5.9929988111188708E-2</v>
          </cell>
          <cell r="BT53">
            <v>5.828158692585815E-2</v>
          </cell>
          <cell r="BU53">
            <v>6.6678154317442132E-2</v>
          </cell>
          <cell r="BV53">
            <v>7.0645895326448674E-2</v>
          </cell>
          <cell r="BW53">
            <v>7.4591586869317703E-2</v>
          </cell>
          <cell r="BX53">
            <v>7.6211794487155454E-2</v>
          </cell>
          <cell r="BY53">
            <v>8.088498445433609E-2</v>
          </cell>
          <cell r="BZ53">
            <v>9.0845446578127195E-2</v>
          </cell>
          <cell r="CA53">
            <v>0.12582007645106591</v>
          </cell>
          <cell r="CB53">
            <v>8.6838383252501997E-2</v>
          </cell>
          <cell r="CC53">
            <v>0.10489246553255163</v>
          </cell>
          <cell r="CD53">
            <v>0.11011335226180531</v>
          </cell>
          <cell r="CE53">
            <v>0.1403060331024136</v>
          </cell>
          <cell r="CF53">
            <v>0.10671932329481858</v>
          </cell>
          <cell r="CG53">
            <v>0.11804307828020305</v>
          </cell>
          <cell r="CH53">
            <v>0.1270617156576396</v>
          </cell>
          <cell r="CI53">
            <v>0.14494210036839572</v>
          </cell>
          <cell r="CJ53">
            <v>0.1231404639349753</v>
          </cell>
          <cell r="CK53">
            <v>0.13291243393774754</v>
          </cell>
          <cell r="CL53">
            <v>0.13894930158380853</v>
          </cell>
          <cell r="CM53">
            <v>0.15209423529214375</v>
          </cell>
          <cell r="CN53">
            <v>0.13996168720038965</v>
          </cell>
          <cell r="CO53">
            <v>0.14854487026913765</v>
          </cell>
          <cell r="CP53">
            <v>0.15482548986224692</v>
          </cell>
          <cell r="CQ53">
            <v>0.17110061523036119</v>
          </cell>
          <cell r="CR53">
            <v>0.15647222756277365</v>
          </cell>
          <cell r="CS53">
            <v>0.16427571058710172</v>
          </cell>
          <cell r="CT53">
            <v>0.1709334632644918</v>
          </cell>
          <cell r="CU53">
            <v>0.18791191591027834</v>
          </cell>
          <cell r="CV53">
            <v>0.17742689686669963</v>
          </cell>
          <cell r="CW53">
            <v>0.18182308924435961</v>
          </cell>
          <cell r="CX53">
            <v>0.18771798203054599</v>
          </cell>
          <cell r="CY53">
            <v>0.20366461437379946</v>
          </cell>
          <cell r="CZ53">
            <v>0.19605020319193289</v>
          </cell>
          <cell r="DA53">
            <v>0.19979889635700618</v>
          </cell>
          <cell r="DB53">
            <v>0.20496057481866195</v>
          </cell>
          <cell r="DC53">
            <v>0.21959345329553387</v>
          </cell>
          <cell r="DD53">
            <v>0.2141443642578128</v>
          </cell>
          <cell r="DE53">
            <v>0.21743803199115222</v>
          </cell>
          <cell r="DF53">
            <v>0.22209111970763559</v>
          </cell>
          <cell r="DG53">
            <v>0.23583508111995213</v>
          </cell>
          <cell r="DH53">
            <v>0.23202214518349359</v>
          </cell>
          <cell r="DI53">
            <v>0.23497321002120897</v>
          </cell>
          <cell r="DJ53">
            <v>0.23926050553797745</v>
          </cell>
          <cell r="DK53">
            <v>0.25240908015323199</v>
          </cell>
          <cell r="DL53">
            <v>0.2498242353632579</v>
          </cell>
          <cell r="DM53">
            <v>0.25249714582046751</v>
          </cell>
          <cell r="DN53">
            <v>0.25651349701353837</v>
          </cell>
          <cell r="DP53" t="str">
            <v>NA</v>
          </cell>
          <cell r="DQ53" t="str">
            <v>NA</v>
          </cell>
          <cell r="DR53" t="str">
            <v>NA</v>
          </cell>
          <cell r="DS53" t="str">
            <v>NA</v>
          </cell>
          <cell r="DT53" t="str">
            <v>NA</v>
          </cell>
          <cell r="DU53" t="str">
            <v>NA</v>
          </cell>
          <cell r="DV53" t="str">
            <v>NA</v>
          </cell>
          <cell r="DW53" t="str">
            <v>NA</v>
          </cell>
          <cell r="DX53" t="str">
            <v>NA</v>
          </cell>
          <cell r="DY53" t="str">
            <v>NA</v>
          </cell>
          <cell r="DZ53">
            <v>0</v>
          </cell>
          <cell r="EA53">
            <v>0</v>
          </cell>
          <cell r="EB53">
            <v>0.16282234029364792</v>
          </cell>
          <cell r="EC53">
            <v>9.1213318079236619E-2</v>
          </cell>
          <cell r="ED53">
            <v>6.1230222491338589E-2</v>
          </cell>
          <cell r="EE53">
            <v>5.3839538382624362E-2</v>
          </cell>
          <cell r="EF53">
            <v>5.5125653047454197E-2</v>
          </cell>
          <cell r="EG53">
            <v>6.432251263078341E-2</v>
          </cell>
          <cell r="EH53">
            <v>8.1116106070205793E-2</v>
          </cell>
          <cell r="EI53">
            <v>0.1068455694793338</v>
          </cell>
          <cell r="EJ53">
            <v>0.12280546941248156</v>
          </cell>
          <cell r="EK53">
            <v>0.13496054676633992</v>
          </cell>
          <cell r="EL53">
            <v>0.14907047380492192</v>
          </cell>
          <cell r="EM53">
            <v>0.16571309306391382</v>
          </cell>
          <cell r="EN53">
            <v>0.18375390851144963</v>
          </cell>
          <cell r="EO53">
            <v>0.20117349186252603</v>
          </cell>
          <cell r="EP53">
            <v>0.21839182089664919</v>
          </cell>
          <cell r="EQ53">
            <v>0.23561451231554198</v>
          </cell>
          <cell r="ER53">
            <v>0.25291519536985385</v>
          </cell>
        </row>
        <row r="54">
          <cell r="A54" t="str">
            <v>% of subscription revenues</v>
          </cell>
          <cell r="AU54" t="str">
            <v>NA</v>
          </cell>
          <cell r="AV54" t="str">
            <v>NA</v>
          </cell>
          <cell r="AW54">
            <v>0</v>
          </cell>
          <cell r="AX54">
            <v>0</v>
          </cell>
          <cell r="AY54">
            <v>0.16346118506750407</v>
          </cell>
          <cell r="AZ54">
            <v>0.15410073396707755</v>
          </cell>
          <cell r="BA54">
            <v>0.20352755378307849</v>
          </cell>
          <cell r="BB54">
            <v>0.19680407891463786</v>
          </cell>
          <cell r="BC54">
            <v>9.6773194989738534E-2</v>
          </cell>
          <cell r="BD54">
            <v>9.3036651845943383E-2</v>
          </cell>
          <cell r="BE54">
            <v>0.10953080257169599</v>
          </cell>
          <cell r="BF54">
            <v>0.11577734860031866</v>
          </cell>
          <cell r="BG54">
            <v>6.4589170163511164E-2</v>
          </cell>
          <cell r="BH54">
            <v>6.287672927109568E-2</v>
          </cell>
          <cell r="BI54">
            <v>7.678218076115724E-2</v>
          </cell>
          <cell r="BJ54">
            <v>8.2375870171500887E-2</v>
          </cell>
          <cell r="BK54">
            <v>5.6371656403988293E-2</v>
          </cell>
          <cell r="BL54">
            <v>6.027298150585203E-2</v>
          </cell>
          <cell r="BM54">
            <v>6.8687091191965366E-2</v>
          </cell>
          <cell r="BN54">
            <v>7.2439080070055048E-2</v>
          </cell>
          <cell r="BO54">
            <v>5.9209320327603454E-2</v>
          </cell>
          <cell r="BP54">
            <v>6.2011897526845709E-2</v>
          </cell>
          <cell r="BQ54">
            <v>6.7916160369024953E-2</v>
          </cell>
          <cell r="BR54">
            <v>7.336820033471933E-2</v>
          </cell>
          <cell r="BS54">
            <v>7.0608703385638141E-2</v>
          </cell>
          <cell r="BT54">
            <v>7.1729663126493523E-2</v>
          </cell>
          <cell r="BU54">
            <v>7.8012436830221188E-2</v>
          </cell>
          <cell r="BV54">
            <v>8.2467654534903942E-2</v>
          </cell>
          <cell r="BW54">
            <v>8.5318335813807503E-2</v>
          </cell>
          <cell r="BX54">
            <v>8.9487028646720271E-2</v>
          </cell>
          <cell r="BY54">
            <v>9.0705286987276451E-2</v>
          </cell>
          <cell r="BZ54">
            <v>0.1016703230374575</v>
          </cell>
          <cell r="CA54">
            <v>0.13919047225891673</v>
          </cell>
          <cell r="CB54">
            <v>9.6669249413915151E-2</v>
          </cell>
          <cell r="CC54">
            <v>0.11489526956079232</v>
          </cell>
          <cell r="CD54">
            <v>0.12098833975701559</v>
          </cell>
          <cell r="CE54">
            <v>0.15215828728048655</v>
          </cell>
          <cell r="CF54">
            <v>0.1150656765134329</v>
          </cell>
          <cell r="CG54">
            <v>0.12680917102427966</v>
          </cell>
          <cell r="CH54">
            <v>0.13646575401202651</v>
          </cell>
          <cell r="CI54">
            <v>0.15452804711877921</v>
          </cell>
          <cell r="CJ54">
            <v>0.13148370263503281</v>
          </cell>
          <cell r="CK54">
            <v>0.14101905605679263</v>
          </cell>
          <cell r="CL54">
            <v>0.14707430495046428</v>
          </cell>
          <cell r="CM54">
            <v>0.159989908691831</v>
          </cell>
          <cell r="CN54">
            <v>0.1475851508230592</v>
          </cell>
          <cell r="CO54">
            <v>0.15679102654210247</v>
          </cell>
          <cell r="CP54">
            <v>0.1634741266237705</v>
          </cell>
          <cell r="CQ54">
            <v>0.17943723170216491</v>
          </cell>
          <cell r="CR54">
            <v>0.16387039630044825</v>
          </cell>
          <cell r="CS54">
            <v>0.17208464944111179</v>
          </cell>
          <cell r="CT54">
            <v>0.17888920323139829</v>
          </cell>
          <cell r="CU54">
            <v>0.19637000414774658</v>
          </cell>
          <cell r="CV54">
            <v>0.18509438376128703</v>
          </cell>
          <cell r="CW54">
            <v>0.18945132885372973</v>
          </cell>
          <cell r="CX54">
            <v>0.19536064649671281</v>
          </cell>
          <cell r="CY54">
            <v>0.2117220675148842</v>
          </cell>
          <cell r="CZ54">
            <v>0.20350774412778488</v>
          </cell>
          <cell r="DA54">
            <v>0.20718558222198524</v>
          </cell>
          <cell r="DB54">
            <v>0.21237383672182961</v>
          </cell>
          <cell r="DC54">
            <v>0.22738165668441962</v>
          </cell>
          <cell r="DD54">
            <v>0.22142765001456205</v>
          </cell>
          <cell r="DE54">
            <v>0.2246079994029124</v>
          </cell>
          <cell r="DF54">
            <v>0.22928627644292821</v>
          </cell>
          <cell r="DG54">
            <v>0.24337103630929224</v>
          </cell>
          <cell r="DH54">
            <v>0.23911198258512734</v>
          </cell>
          <cell r="DI54">
            <v>0.24191546464676555</v>
          </cell>
          <cell r="DJ54">
            <v>0.24622420398846184</v>
          </cell>
          <cell r="DK54">
            <v>0.25968972034105026</v>
          </cell>
          <cell r="DL54">
            <v>0.25670920940886582</v>
          </cell>
          <cell r="DM54">
            <v>0.25921627168688122</v>
          </cell>
          <cell r="DN54">
            <v>0.26325387561672714</v>
          </cell>
          <cell r="DP54" t="str">
            <v>NA</v>
          </cell>
          <cell r="DQ54" t="str">
            <v>NA</v>
          </cell>
          <cell r="DR54" t="str">
            <v>NA</v>
          </cell>
          <cell r="DS54" t="str">
            <v>NA</v>
          </cell>
          <cell r="DT54" t="str">
            <v>NA</v>
          </cell>
          <cell r="DU54" t="str">
            <v>NA</v>
          </cell>
          <cell r="DV54" t="str">
            <v>NA</v>
          </cell>
          <cell r="DW54" t="str">
            <v>NA</v>
          </cell>
          <cell r="DX54" t="str">
            <v>NA</v>
          </cell>
          <cell r="DY54" t="str">
            <v>NA</v>
          </cell>
          <cell r="DZ54" t="str">
            <v>NA</v>
          </cell>
          <cell r="EA54">
            <v>0</v>
          </cell>
          <cell r="EB54">
            <v>0.1823097875899708</v>
          </cell>
          <cell r="EC54">
            <v>0.10535013569858501</v>
          </cell>
          <cell r="ED54">
            <v>7.2961579377727584E-2</v>
          </cell>
          <cell r="EE54">
            <v>6.5359344016024501E-2</v>
          </cell>
          <cell r="EF54">
            <v>6.6335690081625695E-2</v>
          </cell>
          <cell r="EG54">
            <v>7.6242694022478588E-2</v>
          </cell>
          <cell r="EH54">
            <v>9.2329239652630651E-2</v>
          </cell>
          <cell r="EI54">
            <v>0.11783994479602469</v>
          </cell>
          <cell r="EJ54">
            <v>0.13231534852817151</v>
          </cell>
          <cell r="EK54">
            <v>0.14347500308609196</v>
          </cell>
          <cell r="EL54">
            <v>0.15719867768673212</v>
          </cell>
          <cell r="EM54">
            <v>0.17358185170079227</v>
          </cell>
          <cell r="EN54">
            <v>0.19158392848144182</v>
          </cell>
          <cell r="EO54">
            <v>0.20873704364204357</v>
          </cell>
          <cell r="EP54">
            <v>0.22573690316951359</v>
          </cell>
          <cell r="EQ54">
            <v>0.24273385074166179</v>
          </cell>
          <cell r="ER54">
            <v>0.25980863708253749</v>
          </cell>
        </row>
        <row r="55">
          <cell r="A55" t="str">
            <v>% growth y-o-y</v>
          </cell>
          <cell r="V55" t="str">
            <v>NA</v>
          </cell>
          <cell r="Z55" t="str">
            <v>NA</v>
          </cell>
          <cell r="AA55" t="str">
            <v>NA</v>
          </cell>
          <cell r="AB55" t="str">
            <v>NA</v>
          </cell>
          <cell r="AC55" t="str">
            <v>NA</v>
          </cell>
          <cell r="AD55" t="str">
            <v>NA</v>
          </cell>
          <cell r="AE55" t="str">
            <v>NA</v>
          </cell>
          <cell r="AF55" t="str">
            <v>NA</v>
          </cell>
          <cell r="AG55" t="str">
            <v>NA</v>
          </cell>
          <cell r="AH55" t="str">
            <v>NA</v>
          </cell>
          <cell r="AI55" t="str">
            <v>NA</v>
          </cell>
          <cell r="AJ55" t="str">
            <v>NA</v>
          </cell>
          <cell r="AK55" t="str">
            <v>NA</v>
          </cell>
          <cell r="AL55" t="str">
            <v>NA</v>
          </cell>
          <cell r="AM55" t="str">
            <v>NA</v>
          </cell>
          <cell r="AN55" t="str">
            <v>NA</v>
          </cell>
          <cell r="AO55" t="str">
            <v>NA</v>
          </cell>
          <cell r="AP55" t="str">
            <v>NA</v>
          </cell>
          <cell r="AQ55" t="str">
            <v>NA</v>
          </cell>
          <cell r="AR55" t="str">
            <v>NA</v>
          </cell>
          <cell r="AS55" t="str">
            <v>NA</v>
          </cell>
          <cell r="AT55" t="str">
            <v>NA</v>
          </cell>
          <cell r="AU55" t="str">
            <v>NA</v>
          </cell>
          <cell r="AV55" t="str">
            <v>NA</v>
          </cell>
          <cell r="AW55" t="str">
            <v>NA</v>
          </cell>
          <cell r="AX55" t="str">
            <v>NA</v>
          </cell>
          <cell r="AY55" t="str">
            <v>NA</v>
          </cell>
          <cell r="AZ55" t="str">
            <v>NA</v>
          </cell>
          <cell r="BA55" t="str">
            <v>NA</v>
          </cell>
          <cell r="BB55" t="str">
            <v>NA</v>
          </cell>
          <cell r="BC55">
            <v>0.13219948488210331</v>
          </cell>
          <cell r="BD55">
            <v>0.13578253484023661</v>
          </cell>
          <cell r="BE55">
            <v>0.10171386952756878</v>
          </cell>
          <cell r="BF55">
            <v>0.10630036049154334</v>
          </cell>
          <cell r="BG55">
            <v>0.24344058040545757</v>
          </cell>
          <cell r="BH55">
            <v>0.27713169613736466</v>
          </cell>
          <cell r="BI55">
            <v>0.27760799781283652</v>
          </cell>
          <cell r="BJ55">
            <v>0.29485008518597056</v>
          </cell>
          <cell r="BK55">
            <v>0.57947092814511092</v>
          </cell>
          <cell r="BL55">
            <v>0.64561301149094152</v>
          </cell>
          <cell r="BM55">
            <v>0.50487383921119222</v>
          </cell>
          <cell r="BN55">
            <v>0.4665718227748552</v>
          </cell>
          <cell r="BO55">
            <v>0.72284692103251214</v>
          </cell>
          <cell r="BP55">
            <v>0.69892973764511868</v>
          </cell>
          <cell r="BQ55">
            <v>0.59883978670239824</v>
          </cell>
          <cell r="BR55">
            <v>0.61034522581343298</v>
          </cell>
          <cell r="BS55">
            <v>0.8278502691665186</v>
          </cell>
          <cell r="BT55">
            <v>0.74704544072532419</v>
          </cell>
          <cell r="BU55">
            <v>0.70509248283493853</v>
          </cell>
          <cell r="BV55">
            <v>0.64947162330615615</v>
          </cell>
          <cell r="BW55">
            <v>0.79611115484531414</v>
          </cell>
          <cell r="BX55">
            <v>0.80902705334167657</v>
          </cell>
          <cell r="BY55">
            <v>0.66134497214724708</v>
          </cell>
          <cell r="BZ55">
            <v>0.7361744301288351</v>
          </cell>
          <cell r="CA55">
            <v>1.3644810659186493</v>
          </cell>
          <cell r="CB55">
            <v>0.49646317084422753</v>
          </cell>
          <cell r="CC55">
            <v>0.78527128622466913</v>
          </cell>
          <cell r="CD55">
            <v>0.72572413898537103</v>
          </cell>
          <cell r="CE55">
            <v>0.53242754943038473</v>
          </cell>
          <cell r="CF55">
            <v>0.73009991473911939</v>
          </cell>
          <cell r="CG55">
            <v>0.53843991707319705</v>
          </cell>
          <cell r="CH55">
            <v>0.50349728531294624</v>
          </cell>
          <cell r="CI55">
            <v>0.38316986875845549</v>
          </cell>
          <cell r="CJ55">
            <v>0.52477540988540583</v>
          </cell>
          <cell r="CK55">
            <v>0.48183307735141945</v>
          </cell>
          <cell r="CL55">
            <v>0.4547945489466263</v>
          </cell>
          <cell r="CM55">
            <v>0.39172927363993937</v>
          </cell>
          <cell r="CN55">
            <v>0.45954578529414492</v>
          </cell>
          <cell r="CO55">
            <v>0.45338982668006755</v>
          </cell>
          <cell r="CP55">
            <v>0.46378370890535292</v>
          </cell>
          <cell r="CQ55">
            <v>0.44235189292479138</v>
          </cell>
          <cell r="CR55">
            <v>0.48490295316101362</v>
          </cell>
          <cell r="CS55">
            <v>0.40153917329761701</v>
          </cell>
          <cell r="CT55">
            <v>0.35557397968405646</v>
          </cell>
          <cell r="CU55">
            <v>0.33714029709317139</v>
          </cell>
          <cell r="CV55">
            <v>0.38965620714138449</v>
          </cell>
          <cell r="CW55">
            <v>0.40212712286439167</v>
          </cell>
          <cell r="CX55">
            <v>0.40901642056716159</v>
          </cell>
          <cell r="CY55">
            <v>0.39196738381338458</v>
          </cell>
          <cell r="CZ55">
            <v>0.42348756490360984</v>
          </cell>
          <cell r="DA55">
            <v>0.41828451640454234</v>
          </cell>
          <cell r="DB55">
            <v>0.39935779737111887</v>
          </cell>
          <cell r="DC55">
            <v>0.36940164927210373</v>
          </cell>
          <cell r="DD55">
            <v>0.38979174639369218</v>
          </cell>
          <cell r="DE55">
            <v>0.38642997107905153</v>
          </cell>
          <cell r="DF55">
            <v>0.37320757358997914</v>
          </cell>
          <cell r="DG55">
            <v>0.35152850483420872</v>
          </cell>
          <cell r="DH55">
            <v>0.36497938306160371</v>
          </cell>
          <cell r="DI55">
            <v>0.36269254595478051</v>
          </cell>
          <cell r="DJ55">
            <v>0.35310558161823402</v>
          </cell>
          <cell r="DK55">
            <v>0.33689886149872517</v>
          </cell>
          <cell r="DL55">
            <v>0.34575222985729059</v>
          </cell>
          <cell r="DM55">
            <v>0.34409540761651436</v>
          </cell>
          <cell r="DN55">
            <v>0.3369593989801305</v>
          </cell>
          <cell r="DQ55" t="str">
            <v>NA</v>
          </cell>
          <cell r="DR55" t="str">
            <v>NA</v>
          </cell>
          <cell r="DS55" t="str">
            <v>NA</v>
          </cell>
          <cell r="DT55" t="str">
            <v>NA</v>
          </cell>
          <cell r="DU55" t="str">
            <v>NA</v>
          </cell>
          <cell r="DV55" t="str">
            <v>NA</v>
          </cell>
          <cell r="DW55" t="str">
            <v>NA</v>
          </cell>
          <cell r="DX55" t="str">
            <v>NA</v>
          </cell>
          <cell r="DY55" t="str">
            <v>NA</v>
          </cell>
          <cell r="DZ55" t="str">
            <v>NA</v>
          </cell>
          <cell r="EA55" t="str">
            <v>NA</v>
          </cell>
          <cell r="EB55" t="str">
            <v>NA</v>
          </cell>
          <cell r="EC55">
            <v>0.11517714036425453</v>
          </cell>
          <cell r="ED55">
            <v>0.27741156697287339</v>
          </cell>
          <cell r="EE55">
            <v>0.53210914489005523</v>
          </cell>
          <cell r="EF55">
            <v>0.6457506448648993</v>
          </cell>
          <cell r="EG55">
            <v>0.71885779266786787</v>
          </cell>
          <cell r="EH55">
            <v>0.74399690761499637</v>
          </cell>
          <cell r="EI55">
            <v>0.8173342669552619</v>
          </cell>
          <cell r="EJ55">
            <v>0.56294679909725631</v>
          </cell>
          <cell r="EK55">
            <v>0.45772840742793197</v>
          </cell>
          <cell r="EL55">
            <v>0.44258930807632146</v>
          </cell>
          <cell r="EM55">
            <v>0.41651754420538967</v>
          </cell>
          <cell r="EN55">
            <v>0.3854825102196795</v>
          </cell>
          <cell r="EO55">
            <v>0.40809983311950582</v>
          </cell>
          <cell r="EP55">
            <v>0.37964281964070179</v>
          </cell>
          <cell r="EQ55">
            <v>0.3580426226763469</v>
          </cell>
          <cell r="ER55">
            <v>0.34089409126464099</v>
          </cell>
        </row>
        <row r="56">
          <cell r="A56" t="str">
            <v>% growth seq</v>
          </cell>
          <cell r="V56" t="str">
            <v>NA</v>
          </cell>
          <cell r="Z56" t="str">
            <v>NA</v>
          </cell>
          <cell r="AA56" t="str">
            <v>NA</v>
          </cell>
          <cell r="AB56" t="str">
            <v>NA</v>
          </cell>
          <cell r="AC56" t="str">
            <v>NA</v>
          </cell>
          <cell r="AD56" t="str">
            <v>NA</v>
          </cell>
          <cell r="AE56" t="str">
            <v>NA</v>
          </cell>
          <cell r="AF56" t="str">
            <v>NA</v>
          </cell>
          <cell r="AG56" t="str">
            <v>NA</v>
          </cell>
          <cell r="AH56" t="str">
            <v>NA</v>
          </cell>
          <cell r="AI56" t="str">
            <v>NA</v>
          </cell>
          <cell r="AJ56" t="str">
            <v>NA</v>
          </cell>
          <cell r="AK56" t="str">
            <v>NA</v>
          </cell>
          <cell r="AL56" t="str">
            <v>NA</v>
          </cell>
          <cell r="AM56" t="str">
            <v>NA</v>
          </cell>
          <cell r="AN56" t="str">
            <v>NA</v>
          </cell>
          <cell r="AO56" t="str">
            <v>NA</v>
          </cell>
          <cell r="AP56" t="str">
            <v>NA</v>
          </cell>
          <cell r="AQ56" t="str">
            <v>NA</v>
          </cell>
          <cell r="AR56" t="str">
            <v>NA</v>
          </cell>
          <cell r="AS56" t="str">
            <v>NA</v>
          </cell>
          <cell r="AT56" t="str">
            <v>NA</v>
          </cell>
          <cell r="AU56" t="str">
            <v>NA</v>
          </cell>
          <cell r="AV56" t="str">
            <v>NA</v>
          </cell>
          <cell r="AW56" t="str">
            <v>NA</v>
          </cell>
          <cell r="AX56" t="str">
            <v>NA</v>
          </cell>
          <cell r="AY56" t="str">
            <v>NA</v>
          </cell>
          <cell r="AZ56">
            <v>0.11874502888097926</v>
          </cell>
          <cell r="BA56">
            <v>0.48581144711322133</v>
          </cell>
          <cell r="BB56">
            <v>0.19924318977630362</v>
          </cell>
          <cell r="BC56">
            <v>-0.4320359157341902</v>
          </cell>
          <cell r="BD56">
            <v>0.12228549978069103</v>
          </cell>
          <cell r="BE56">
            <v>0.44124339701853366</v>
          </cell>
          <cell r="BF56">
            <v>0.20423570026895588</v>
          </cell>
          <cell r="BG56">
            <v>-0.36162943102075273</v>
          </cell>
          <cell r="BH56">
            <v>0.15269390952152739</v>
          </cell>
          <cell r="BI56">
            <v>0.44178090356295585</v>
          </cell>
          <cell r="BJ56">
            <v>0.22048758441294236</v>
          </cell>
          <cell r="BK56">
            <v>-0.22130927230748831</v>
          </cell>
          <cell r="BL56">
            <v>0.20096423553844245</v>
          </cell>
          <cell r="BM56">
            <v>0.31847423938414243</v>
          </cell>
          <cell r="BN56">
            <v>0.18942376078834311</v>
          </cell>
          <cell r="BO56">
            <v>-8.523748935577069E-2</v>
          </cell>
          <cell r="BP56">
            <v>0.1842920161366981</v>
          </cell>
          <cell r="BQ56">
            <v>0.24079826549594774</v>
          </cell>
          <cell r="BR56">
            <v>0.19798299403409159</v>
          </cell>
          <cell r="BS56">
            <v>3.8317048109912877E-2</v>
          </cell>
          <cell r="BT56">
            <v>0.13193733763678006</v>
          </cell>
          <cell r="BU56">
            <v>0.21100215592182958</v>
          </cell>
          <cell r="BV56">
            <v>0.15890426692701154</v>
          </cell>
          <cell r="BW56">
            <v>0.13062438057482462</v>
          </cell>
          <cell r="BX56">
            <v>0.14007713884992845</v>
          </cell>
          <cell r="BY56">
            <v>0.11214055051514804</v>
          </cell>
          <cell r="BZ56">
            <v>0.21110304538698066</v>
          </cell>
          <cell r="CA56">
            <v>0.53978764699166515</v>
          </cell>
          <cell r="CB56">
            <v>-0.27845332542448176</v>
          </cell>
          <cell r="CC56">
            <v>0.32677678259244325</v>
          </cell>
          <cell r="CD56">
            <v>0.17070709440625942</v>
          </cell>
          <cell r="CE56">
            <v>0.36731761306296362</v>
          </cell>
          <cell r="CF56">
            <v>-0.18537888422364901</v>
          </cell>
          <cell r="CG56">
            <v>0.17979681173150519</v>
          </cell>
          <cell r="CH56">
            <v>0.14411678922438687</v>
          </cell>
          <cell r="CI56">
            <v>0.25788888472636828</v>
          </cell>
          <cell r="CJ56">
            <v>-0.10197997096038258</v>
          </cell>
          <cell r="CK56">
            <v>0.14657013016027043</v>
          </cell>
          <cell r="CL56">
            <v>0.1232404605901678</v>
          </cell>
          <cell r="CM56">
            <v>0.20335946070705946</v>
          </cell>
          <cell r="CN56">
            <v>-5.8221039594517632E-2</v>
          </cell>
          <cell r="CO56">
            <v>0.14173421590494506</v>
          </cell>
          <cell r="CP56">
            <v>0.13127328760170531</v>
          </cell>
          <cell r="CQ56">
            <v>0.18574061554336518</v>
          </cell>
          <cell r="CR56">
            <v>-3.043746370711109E-2</v>
          </cell>
          <cell r="CS56">
            <v>7.76362358756153E-2</v>
          </cell>
          <cell r="CT56">
            <v>9.4171794696505273E-2</v>
          </cell>
          <cell r="CU56">
            <v>0.16961640065754868</v>
          </cell>
          <cell r="CV56">
            <v>7.6419054157588207E-3</v>
          </cell>
          <cell r="CW56">
            <v>8.7307052735641655E-2</v>
          </cell>
          <cell r="CX56">
            <v>9.9547965736003441E-2</v>
          </cell>
          <cell r="CY56">
            <v>0.15546409362154967</v>
          </cell>
          <cell r="CZ56">
            <v>3.0459290149151608E-2</v>
          </cell>
          <cell r="DA56">
            <v>8.3332791584196597E-2</v>
          </cell>
          <cell r="DB56">
            <v>8.4874721284308619E-2</v>
          </cell>
          <cell r="DC56">
            <v>0.13072899472357857</v>
          </cell>
          <cell r="DD56">
            <v>4.5802608172138548E-2</v>
          </cell>
          <cell r="DE56">
            <v>8.071231161247483E-2</v>
          </cell>
          <cell r="DF56">
            <v>7.4528259443539691E-2</v>
          </cell>
          <cell r="DG56">
            <v>0.11287797781091258</v>
          </cell>
          <cell r="DH56">
            <v>5.6210796739453395E-2</v>
          </cell>
          <cell r="DI56">
            <v>7.8901725279330037E-2</v>
          </cell>
          <cell r="DJ56">
            <v>6.6968620159919112E-2</v>
          </cell>
          <cell r="DK56">
            <v>9.9548565709917325E-2</v>
          </cell>
          <cell r="DL56">
            <v>6.3205359691915763E-2</v>
          </cell>
          <cell r="DM56">
            <v>7.7573435914916722E-2</v>
          </cell>
          <cell r="DN56">
            <v>6.1303920135600709E-2</v>
          </cell>
        </row>
        <row r="57">
          <cell r="AG57" t="str">
            <v>Ex. Alias</v>
          </cell>
          <cell r="AH57" t="e">
            <v>#REF!</v>
          </cell>
          <cell r="AI57" t="e">
            <v>#REF!</v>
          </cell>
          <cell r="AM57" t="e">
            <v>#REF!</v>
          </cell>
          <cell r="AQ57" t="e">
            <v>#REF!</v>
          </cell>
        </row>
        <row r="59">
          <cell r="A59" t="str">
            <v>(US$ in millions, unless otherwise stated)</v>
          </cell>
          <cell r="C59" t="str">
            <v>Fiscal 1999 by Quarter</v>
          </cell>
          <cell r="G59" t="str">
            <v>Fiscal 2000 by Quarter</v>
          </cell>
          <cell r="K59" t="str">
            <v>Fiscal 2001 by Quarter</v>
          </cell>
          <cell r="O59" t="str">
            <v>Fiscal 2002 by Quarter</v>
          </cell>
          <cell r="S59" t="str">
            <v>Fiscal 2003 by Quarter</v>
          </cell>
          <cell r="W59" t="str">
            <v>Fiscal 2004 by Quarter</v>
          </cell>
          <cell r="AA59" t="str">
            <v>Fiscal 2005 by Quarter</v>
          </cell>
          <cell r="AE59" t="str">
            <v>Fiscal 2006 by Quarter</v>
          </cell>
          <cell r="AI59" t="str">
            <v>Fiscal 2006 by Quarter</v>
          </cell>
          <cell r="AM59" t="str">
            <v>Fiscal 2007 by Quarter</v>
          </cell>
          <cell r="AQ59" t="str">
            <v>Fiscal 2008 by Quarter</v>
          </cell>
          <cell r="AU59" t="str">
            <v>Fiscal 2009 by Quarter</v>
          </cell>
          <cell r="AY59" t="str">
            <v>Fiscal 2010 by Quarter</v>
          </cell>
          <cell r="BC59" t="str">
            <v>Fiscal 2011 by Quarter</v>
          </cell>
          <cell r="BG59" t="str">
            <v>Fiscal 2012 by Quarter</v>
          </cell>
          <cell r="BK59" t="str">
            <v>Fiscal 2013 by Quarter</v>
          </cell>
          <cell r="BO59" t="str">
            <v>Fiscal 2014 by Quarter</v>
          </cell>
          <cell r="BS59" t="str">
            <v>Fiscal 2015 by Quarter</v>
          </cell>
          <cell r="BW59" t="str">
            <v>Fiscal 2016 by Quarter</v>
          </cell>
          <cell r="CA59" t="str">
            <v>Fiscal 2017 by Quarter</v>
          </cell>
          <cell r="CE59" t="str">
            <v>Fiscal 2018 by Quarter</v>
          </cell>
          <cell r="CI59" t="str">
            <v>Fiscal 2019 by Quarter</v>
          </cell>
          <cell r="CM59" t="str">
            <v>Fiscal 2020 by Quarter</v>
          </cell>
          <cell r="CQ59" t="str">
            <v>Fiscal 2021 by Quarter</v>
          </cell>
          <cell r="CU59" t="str">
            <v>Fiscal 2022 by Quarter</v>
          </cell>
          <cell r="CY59" t="str">
            <v>Fiscal 2023 by Quarter</v>
          </cell>
          <cell r="DC59" t="str">
            <v>Fiscal 2024 by Quarter</v>
          </cell>
          <cell r="DG59" t="str">
            <v>Fiscal 2025 by Quarter</v>
          </cell>
          <cell r="DK59" t="str">
            <v>Fiscal 2026 by Quarter</v>
          </cell>
          <cell r="DP59" t="str">
            <v xml:space="preserve"> Fiscal Year Ends December</v>
          </cell>
        </row>
        <row r="60">
          <cell r="C60">
            <v>35886</v>
          </cell>
          <cell r="D60">
            <v>35977</v>
          </cell>
          <cell r="E60">
            <v>36069</v>
          </cell>
          <cell r="F60">
            <v>36161</v>
          </cell>
          <cell r="G60">
            <v>36251</v>
          </cell>
          <cell r="H60">
            <v>36342</v>
          </cell>
          <cell r="I60">
            <v>36434</v>
          </cell>
          <cell r="J60">
            <v>36526</v>
          </cell>
          <cell r="K60">
            <v>36617</v>
          </cell>
          <cell r="L60">
            <v>36708</v>
          </cell>
          <cell r="M60">
            <v>36800</v>
          </cell>
          <cell r="N60">
            <v>36892</v>
          </cell>
          <cell r="O60">
            <v>36982</v>
          </cell>
          <cell r="P60">
            <v>37073</v>
          </cell>
          <cell r="Q60">
            <v>37165</v>
          </cell>
          <cell r="R60">
            <v>37257</v>
          </cell>
          <cell r="S60">
            <v>37348</v>
          </cell>
          <cell r="T60">
            <v>37439</v>
          </cell>
          <cell r="U60">
            <v>37531</v>
          </cell>
          <cell r="V60">
            <v>37623</v>
          </cell>
          <cell r="W60">
            <v>37715</v>
          </cell>
          <cell r="X60">
            <v>37806</v>
          </cell>
          <cell r="Y60">
            <v>37898</v>
          </cell>
          <cell r="Z60">
            <v>37990</v>
          </cell>
          <cell r="AA60">
            <v>38081</v>
          </cell>
          <cell r="AB60">
            <v>38172</v>
          </cell>
          <cell r="AC60">
            <v>38264</v>
          </cell>
          <cell r="AD60">
            <v>38356</v>
          </cell>
          <cell r="AE60">
            <v>38447</v>
          </cell>
          <cell r="AF60">
            <v>38538</v>
          </cell>
          <cell r="AG60">
            <v>38630</v>
          </cell>
          <cell r="AH60">
            <v>38722</v>
          </cell>
          <cell r="AI60">
            <v>38807</v>
          </cell>
          <cell r="AJ60">
            <v>38898</v>
          </cell>
          <cell r="AK60">
            <v>38990</v>
          </cell>
          <cell r="AL60">
            <v>39082</v>
          </cell>
          <cell r="AM60">
            <v>39172</v>
          </cell>
          <cell r="AN60">
            <v>39263</v>
          </cell>
          <cell r="AO60">
            <v>39355</v>
          </cell>
          <cell r="AP60">
            <v>39447</v>
          </cell>
          <cell r="AQ60">
            <v>39538</v>
          </cell>
          <cell r="AR60">
            <v>39629</v>
          </cell>
          <cell r="AS60">
            <v>39721</v>
          </cell>
          <cell r="AT60">
            <v>39813</v>
          </cell>
          <cell r="AU60">
            <v>39903</v>
          </cell>
          <cell r="AV60">
            <v>39994</v>
          </cell>
          <cell r="AW60">
            <v>40086</v>
          </cell>
          <cell r="AX60">
            <v>40178</v>
          </cell>
          <cell r="AY60">
            <v>40268</v>
          </cell>
          <cell r="AZ60">
            <v>40359</v>
          </cell>
          <cell r="BA60">
            <v>40451</v>
          </cell>
          <cell r="BB60">
            <v>40543</v>
          </cell>
          <cell r="BC60">
            <v>40633</v>
          </cell>
          <cell r="BD60">
            <v>40724</v>
          </cell>
          <cell r="BE60">
            <v>40816</v>
          </cell>
          <cell r="BF60">
            <v>40908</v>
          </cell>
          <cell r="BG60">
            <v>40999</v>
          </cell>
          <cell r="BH60">
            <v>41072</v>
          </cell>
          <cell r="BI60">
            <v>41164</v>
          </cell>
          <cell r="BJ60">
            <v>41255</v>
          </cell>
          <cell r="BK60">
            <v>41346</v>
          </cell>
          <cell r="BL60">
            <v>41438</v>
          </cell>
          <cell r="BM60">
            <v>41529</v>
          </cell>
          <cell r="BN60">
            <v>41621</v>
          </cell>
          <cell r="BO60">
            <v>41712</v>
          </cell>
          <cell r="BP60">
            <v>41804</v>
          </cell>
          <cell r="BQ60">
            <v>41894</v>
          </cell>
          <cell r="BR60">
            <v>41987</v>
          </cell>
          <cell r="BS60">
            <v>42078</v>
          </cell>
          <cell r="BT60">
            <v>42170</v>
          </cell>
          <cell r="BU60">
            <v>42262</v>
          </cell>
          <cell r="BV60">
            <v>42353</v>
          </cell>
          <cell r="BW60">
            <v>42445</v>
          </cell>
          <cell r="BX60">
            <v>42537</v>
          </cell>
          <cell r="BY60">
            <v>42629</v>
          </cell>
          <cell r="BZ60">
            <v>42720</v>
          </cell>
          <cell r="CA60">
            <v>42811</v>
          </cell>
          <cell r="CB60">
            <v>42903</v>
          </cell>
          <cell r="CC60">
            <v>42995</v>
          </cell>
          <cell r="CD60">
            <v>43086</v>
          </cell>
          <cell r="CE60">
            <v>43177</v>
          </cell>
          <cell r="CF60">
            <v>43269</v>
          </cell>
          <cell r="CG60">
            <v>43361</v>
          </cell>
          <cell r="CH60">
            <v>43452</v>
          </cell>
          <cell r="CI60">
            <v>43543</v>
          </cell>
          <cell r="CJ60">
            <v>43635</v>
          </cell>
          <cell r="CK60">
            <v>43727</v>
          </cell>
          <cell r="CL60">
            <v>43818</v>
          </cell>
          <cell r="CM60">
            <v>43910</v>
          </cell>
          <cell r="CN60">
            <v>44002</v>
          </cell>
          <cell r="CO60">
            <v>44094</v>
          </cell>
          <cell r="CP60">
            <v>44185</v>
          </cell>
          <cell r="CQ60" t="str">
            <v>Mar-21E</v>
          </cell>
          <cell r="CR60" t="str">
            <v>Jun-21E</v>
          </cell>
          <cell r="CS60" t="str">
            <v>Sep-21E</v>
          </cell>
          <cell r="CT60" t="str">
            <v>Dec-21E</v>
          </cell>
          <cell r="CU60" t="str">
            <v>Mar-22E</v>
          </cell>
          <cell r="CV60" t="str">
            <v>Jun-22E</v>
          </cell>
          <cell r="CW60" t="str">
            <v>Sep-22E</v>
          </cell>
          <cell r="CX60" t="str">
            <v>Dec-22E</v>
          </cell>
          <cell r="CY60" t="str">
            <v>Mar-23E</v>
          </cell>
          <cell r="CZ60" t="str">
            <v>Jun-23E</v>
          </cell>
          <cell r="DA60" t="str">
            <v>Sep-23E</v>
          </cell>
          <cell r="DB60" t="str">
            <v>Dec-23E</v>
          </cell>
          <cell r="DC60" t="str">
            <v>Mar-24E</v>
          </cell>
          <cell r="DD60" t="str">
            <v>Jun-24E</v>
          </cell>
          <cell r="DE60" t="str">
            <v>Sep-24E</v>
          </cell>
          <cell r="DF60" t="str">
            <v>Dec-24E</v>
          </cell>
          <cell r="DG60" t="str">
            <v>Mar-25E</v>
          </cell>
          <cell r="DH60" t="str">
            <v>Jun-25E</v>
          </cell>
          <cell r="DI60" t="str">
            <v>Sep-25E</v>
          </cell>
          <cell r="DJ60" t="str">
            <v>Dec-25E</v>
          </cell>
          <cell r="DK60" t="str">
            <v>Mar-26E</v>
          </cell>
          <cell r="DL60" t="str">
            <v>Jun-26E</v>
          </cell>
          <cell r="DM60" t="str">
            <v>Sep-26E</v>
          </cell>
          <cell r="DN60" t="str">
            <v>Dec-26E</v>
          </cell>
          <cell r="DP60">
            <v>1998</v>
          </cell>
          <cell r="DQ60">
            <v>1999</v>
          </cell>
          <cell r="DR60">
            <v>2000</v>
          </cell>
          <cell r="DS60">
            <v>2001</v>
          </cell>
          <cell r="DT60">
            <v>2002</v>
          </cell>
          <cell r="DU60">
            <v>2003</v>
          </cell>
          <cell r="DV60">
            <v>2004</v>
          </cell>
          <cell r="DW60">
            <v>2005</v>
          </cell>
          <cell r="DX60">
            <v>2006</v>
          </cell>
          <cell r="DY60">
            <v>2007</v>
          </cell>
          <cell r="DZ60">
            <v>2008</v>
          </cell>
          <cell r="EA60">
            <v>2009</v>
          </cell>
          <cell r="EB60">
            <v>2010</v>
          </cell>
          <cell r="EC60">
            <v>2011</v>
          </cell>
          <cell r="ED60">
            <v>2012</v>
          </cell>
          <cell r="EE60">
            <v>2013</v>
          </cell>
          <cell r="EF60">
            <v>2014</v>
          </cell>
          <cell r="EG60">
            <v>2015</v>
          </cell>
          <cell r="EH60">
            <v>2016</v>
          </cell>
          <cell r="EI60">
            <v>2017</v>
          </cell>
          <cell r="EJ60">
            <v>2018</v>
          </cell>
          <cell r="EK60">
            <v>2019</v>
          </cell>
          <cell r="EL60">
            <v>2020</v>
          </cell>
          <cell r="EM60" t="str">
            <v>2021E</v>
          </cell>
          <cell r="EN60" t="str">
            <v>2022E</v>
          </cell>
          <cell r="EO60" t="str">
            <v>2023E</v>
          </cell>
          <cell r="EP60" t="str">
            <v>2024E</v>
          </cell>
          <cell r="EQ60" t="str">
            <v>2025E</v>
          </cell>
          <cell r="ER60" t="str">
            <v>2026E</v>
          </cell>
        </row>
        <row r="61">
          <cell r="A61" t="str">
            <v>Subscription and support</v>
          </cell>
          <cell r="AW61">
            <v>7.0659999999999998</v>
          </cell>
          <cell r="AX61">
            <v>8.7430000000000003</v>
          </cell>
          <cell r="AY61">
            <v>11.098000000000001</v>
          </cell>
          <cell r="AZ61">
            <v>13.17</v>
          </cell>
          <cell r="BA61">
            <v>14.816000000000001</v>
          </cell>
          <cell r="BB61">
            <v>18.375</v>
          </cell>
          <cell r="BC61">
            <v>21.224</v>
          </cell>
          <cell r="BD61">
            <v>24.776022999999999</v>
          </cell>
          <cell r="BE61">
            <v>30.331</v>
          </cell>
          <cell r="BF61">
            <v>34.555</v>
          </cell>
          <cell r="BG61">
            <v>39.540999999999997</v>
          </cell>
          <cell r="BH61">
            <v>46.82</v>
          </cell>
          <cell r="BI61">
            <v>55.279000000000003</v>
          </cell>
          <cell r="BJ61">
            <v>62.886000000000003</v>
          </cell>
          <cell r="BK61">
            <v>71.558000000000007</v>
          </cell>
          <cell r="BL61">
            <v>80.376000000000005</v>
          </cell>
          <cell r="BM61">
            <v>92.992000000000004</v>
          </cell>
          <cell r="BN61">
            <v>104.878</v>
          </cell>
          <cell r="BO61">
            <v>117.375</v>
          </cell>
          <cell r="BP61">
            <v>132.72399999999999</v>
          </cell>
          <cell r="BQ61">
            <v>150.36699999999999</v>
          </cell>
          <cell r="BR61">
            <v>166.751</v>
          </cell>
          <cell r="BS61">
            <v>179.90700000000001</v>
          </cell>
          <cell r="BT61">
            <v>200.46100000000001</v>
          </cell>
          <cell r="BU61">
            <v>223.208</v>
          </cell>
          <cell r="BV61">
            <v>244.702</v>
          </cell>
          <cell r="BW61">
            <v>267.42200000000003</v>
          </cell>
          <cell r="BX61">
            <v>290.67899999999997</v>
          </cell>
          <cell r="BY61">
            <v>318.93400000000003</v>
          </cell>
          <cell r="BZ61">
            <v>344.60399999999998</v>
          </cell>
          <cell r="CA61">
            <v>387.584</v>
          </cell>
          <cell r="CB61">
            <v>402.67200000000003</v>
          </cell>
          <cell r="CC61">
            <v>449.50599999999997</v>
          </cell>
          <cell r="CD61">
            <v>499.738</v>
          </cell>
          <cell r="CE61">
            <v>543.32500000000005</v>
          </cell>
          <cell r="CF61">
            <v>585.28200000000004</v>
          </cell>
          <cell r="CG61">
            <v>626.56700000000001</v>
          </cell>
          <cell r="CH61">
            <v>666.13900000000001</v>
          </cell>
          <cell r="CI61">
            <v>739.98599999999999</v>
          </cell>
          <cell r="CJ61">
            <v>780.98900000000003</v>
          </cell>
          <cell r="CK61">
            <v>834.91</v>
          </cell>
          <cell r="CL61">
            <v>899.19399999999996</v>
          </cell>
          <cell r="CM61">
            <v>994.702</v>
          </cell>
          <cell r="CN61">
            <v>1015.528</v>
          </cell>
          <cell r="CO61">
            <v>1091.386</v>
          </cell>
          <cell r="CP61">
            <v>1184.181</v>
          </cell>
          <cell r="CQ61">
            <v>1279.2170818399061</v>
          </cell>
          <cell r="CR61">
            <v>1358.1011990049717</v>
          </cell>
          <cell r="CS61">
            <v>1393.6787924043736</v>
          </cell>
          <cell r="CT61">
            <v>1466.9192528949336</v>
          </cell>
          <cell r="CU61">
            <v>1562.998778027737</v>
          </cell>
          <cell r="CV61">
            <v>1670.8857950521058</v>
          </cell>
          <cell r="CW61">
            <v>1774.9844693650821</v>
          </cell>
          <cell r="CX61">
            <v>1892.6456412524244</v>
          </cell>
          <cell r="CY61">
            <v>2017.8864337488289</v>
          </cell>
          <cell r="CZ61">
            <v>2163.2800526255714</v>
          </cell>
          <cell r="DA61">
            <v>2301.9508408604738</v>
          </cell>
          <cell r="DB61">
            <v>2436.3189978260903</v>
          </cell>
          <cell r="DC61">
            <v>2572.9909999542747</v>
          </cell>
          <cell r="DD61">
            <v>2763.1951830369871</v>
          </cell>
          <cell r="DE61">
            <v>2943.9355198678641</v>
          </cell>
          <cell r="DF61">
            <v>3098.7981874561851</v>
          </cell>
          <cell r="DG61">
            <v>3249.0022480938346</v>
          </cell>
          <cell r="DH61">
            <v>3492.7553410798009</v>
          </cell>
          <cell r="DI61">
            <v>3724.6696618311089</v>
          </cell>
          <cell r="DJ61">
            <v>3904.5617742435579</v>
          </cell>
          <cell r="DK61">
            <v>4070.6400200499838</v>
          </cell>
          <cell r="DL61">
            <v>4378.1754835995844</v>
          </cell>
          <cell r="DM61">
            <v>4672.1763937007227</v>
          </cell>
          <cell r="DN61">
            <v>4882.5475949222791</v>
          </cell>
          <cell r="DP61">
            <v>0</v>
          </cell>
          <cell r="DQ61">
            <v>0</v>
          </cell>
          <cell r="DR61">
            <v>0</v>
          </cell>
          <cell r="DS61">
            <v>0</v>
          </cell>
          <cell r="DT61">
            <v>0</v>
          </cell>
          <cell r="DU61">
            <v>0</v>
          </cell>
          <cell r="DV61">
            <v>0</v>
          </cell>
          <cell r="DW61">
            <v>0</v>
          </cell>
          <cell r="DX61">
            <v>0</v>
          </cell>
          <cell r="DY61">
            <v>0</v>
          </cell>
          <cell r="DZ61">
            <v>0</v>
          </cell>
          <cell r="EA61">
            <v>15.809000000000001</v>
          </cell>
          <cell r="EB61">
            <v>57.459000000000003</v>
          </cell>
          <cell r="EC61">
            <v>110.88602299999999</v>
          </cell>
          <cell r="ED61">
            <v>204.52599999999998</v>
          </cell>
          <cell r="EE61">
            <v>349.80400000000003</v>
          </cell>
          <cell r="EF61">
            <v>567.21699999999998</v>
          </cell>
          <cell r="EG61">
            <v>848.27800000000002</v>
          </cell>
          <cell r="EH61">
            <v>1221.6390000000001</v>
          </cell>
          <cell r="EI61">
            <v>1739.5000000000002</v>
          </cell>
          <cell r="EJ61">
            <v>2421.3130000000001</v>
          </cell>
          <cell r="EK61">
            <v>3255.0789999999997</v>
          </cell>
          <cell r="EL61">
            <v>4285.7970000000005</v>
          </cell>
          <cell r="EM61">
            <v>5497.9163261441845</v>
          </cell>
          <cell r="EN61">
            <v>6901.514683697349</v>
          </cell>
          <cell r="EO61">
            <v>8919.4363250609658</v>
          </cell>
          <cell r="EP61">
            <v>11378.91989031531</v>
          </cell>
          <cell r="EQ61">
            <v>14370.989025248302</v>
          </cell>
          <cell r="ER61">
            <v>18003.539492272568</v>
          </cell>
        </row>
        <row r="62">
          <cell r="A62" t="str">
            <v>Estimated subscription - waterfall method</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7.0659999999999998</v>
          </cell>
          <cell r="AX62">
            <v>8.7430000000000003</v>
          </cell>
          <cell r="AY62">
            <v>11.098000000000001</v>
          </cell>
          <cell r="AZ62">
            <v>13.169999999999998</v>
          </cell>
          <cell r="BA62">
            <v>14.816000000000001</v>
          </cell>
          <cell r="BB62">
            <v>18.375</v>
          </cell>
          <cell r="BC62">
            <v>21.224</v>
          </cell>
          <cell r="BD62">
            <v>24.776022999999999</v>
          </cell>
          <cell r="BE62">
            <v>30.331</v>
          </cell>
          <cell r="BF62">
            <v>34.555</v>
          </cell>
          <cell r="BG62">
            <v>39.540999999999997</v>
          </cell>
          <cell r="BH62">
            <v>46.82</v>
          </cell>
          <cell r="BI62">
            <v>55.279000000000003</v>
          </cell>
          <cell r="BJ62">
            <v>62.88600000000001</v>
          </cell>
          <cell r="BK62">
            <v>71.549133731839362</v>
          </cell>
          <cell r="BL62">
            <v>80.413947695671325</v>
          </cell>
          <cell r="BM62">
            <v>93.006071810866274</v>
          </cell>
          <cell r="BN62">
            <v>104.87626286811233</v>
          </cell>
          <cell r="BO62">
            <v>117.45566032363108</v>
          </cell>
          <cell r="BP62">
            <v>132.78564466000151</v>
          </cell>
          <cell r="BQ62">
            <v>150.49029330032675</v>
          </cell>
          <cell r="BR62">
            <v>167.02141732856145</v>
          </cell>
          <cell r="BS62">
            <v>179.88007944045236</v>
          </cell>
          <cell r="BT62">
            <v>199.92870181808152</v>
          </cell>
          <cell r="BU62">
            <v>222.87439462089571</v>
          </cell>
          <cell r="BV62">
            <v>243.83836760670249</v>
          </cell>
          <cell r="BW62">
            <v>266.1917475717886</v>
          </cell>
          <cell r="BX62">
            <v>289.15502419423984</v>
          </cell>
          <cell r="BY62">
            <v>317.6263839045543</v>
          </cell>
          <cell r="BZ62">
            <v>343.57029159783787</v>
          </cell>
          <cell r="CA62">
            <v>386.99210200032854</v>
          </cell>
          <cell r="CB62">
            <v>401.64442863456202</v>
          </cell>
          <cell r="CC62">
            <v>449.41862872256218</v>
          </cell>
          <cell r="CD62">
            <v>498.87061047123683</v>
          </cell>
          <cell r="CE62">
            <v>548.26252796457561</v>
          </cell>
          <cell r="CF62">
            <v>582.18353332936965</v>
          </cell>
          <cell r="CG62">
            <v>623.49775095354119</v>
          </cell>
          <cell r="CH62">
            <v>667.53479414532694</v>
          </cell>
          <cell r="CI62">
            <v>737.73309340872652</v>
          </cell>
          <cell r="CJ62">
            <v>775.09429326209283</v>
          </cell>
          <cell r="CK62">
            <v>829.01697409977646</v>
          </cell>
          <cell r="CL62">
            <v>892.51923841910934</v>
          </cell>
          <cell r="CM62">
            <v>980.05818668746701</v>
          </cell>
          <cell r="CN62">
            <v>1007.0572282501925</v>
          </cell>
          <cell r="CO62">
            <v>1086.1011404738294</v>
          </cell>
          <cell r="CP62">
            <v>1179.5162250248547</v>
          </cell>
          <cell r="CQ62">
            <v>1280.2544456945116</v>
          </cell>
          <cell r="CR62">
            <v>1344.5013176062855</v>
          </cell>
          <cell r="CS62">
            <v>1388.5433688249109</v>
          </cell>
          <cell r="CT62">
            <v>1467.222569296184</v>
          </cell>
          <cell r="CU62">
            <v>1580.1234089219045</v>
          </cell>
          <cell r="CV62">
            <v>1674.9862438442231</v>
          </cell>
          <cell r="CW62">
            <v>1772.3526252677875</v>
          </cell>
          <cell r="CX62">
            <v>1891.382134865298</v>
          </cell>
          <cell r="CY62">
            <v>2037.9278081797438</v>
          </cell>
          <cell r="CZ62">
            <v>2168.0089863646617</v>
          </cell>
          <cell r="DA62">
            <v>2297.3052080672501</v>
          </cell>
          <cell r="DB62">
            <v>2432.9520070753697</v>
          </cell>
          <cell r="DC62">
            <v>2596.7608534376227</v>
          </cell>
          <cell r="DD62">
            <v>2768.7257263074935</v>
          </cell>
          <cell r="DE62">
            <v>2936.724018344154</v>
          </cell>
          <cell r="DF62">
            <v>3092.7565445660512</v>
          </cell>
          <cell r="DG62">
            <v>3277.4991540716119</v>
          </cell>
          <cell r="DH62">
            <v>3499.3004699705461</v>
          </cell>
          <cell r="DI62">
            <v>3714.2125391960335</v>
          </cell>
          <cell r="DJ62">
            <v>3895.1414561609504</v>
          </cell>
          <cell r="DK62">
            <v>4105.0945129259617</v>
          </cell>
          <cell r="DL62">
            <v>4385.9973272320203</v>
          </cell>
          <cell r="DM62">
            <v>4657.6367924759898</v>
          </cell>
          <cell r="DN62">
            <v>4868.8811810329535</v>
          </cell>
          <cell r="DT62">
            <v>0</v>
          </cell>
          <cell r="DU62">
            <v>0</v>
          </cell>
          <cell r="DV62">
            <v>0</v>
          </cell>
          <cell r="DW62">
            <v>0</v>
          </cell>
          <cell r="DX62">
            <v>0</v>
          </cell>
          <cell r="DY62">
            <v>0</v>
          </cell>
          <cell r="DZ62">
            <v>0</v>
          </cell>
          <cell r="EA62">
            <v>15.809000000000001</v>
          </cell>
          <cell r="EB62">
            <v>57.459000000000003</v>
          </cell>
          <cell r="EC62">
            <v>110.88602299999999</v>
          </cell>
          <cell r="ED62">
            <v>204.52600000000001</v>
          </cell>
          <cell r="EE62">
            <v>349.84541610648932</v>
          </cell>
          <cell r="EF62">
            <v>567.75301561252081</v>
          </cell>
          <cell r="EG62">
            <v>846.52154348613215</v>
          </cell>
          <cell r="EH62">
            <v>1216.5434472684208</v>
          </cell>
          <cell r="EI62">
            <v>1736.9257698286897</v>
          </cell>
          <cell r="EJ62">
            <v>2421.4786063928132</v>
          </cell>
          <cell r="EK62">
            <v>3234.3635991897054</v>
          </cell>
          <cell r="EL62">
            <v>4252.732780436344</v>
          </cell>
          <cell r="EM62">
            <v>5480.5217014218924</v>
          </cell>
          <cell r="EN62">
            <v>6918.8444128992132</v>
          </cell>
          <cell r="EO62">
            <v>8936.1940096870258</v>
          </cell>
          <cell r="EP62">
            <v>11394.967142655321</v>
          </cell>
          <cell r="EQ62">
            <v>14386.153619399143</v>
          </cell>
          <cell r="ER62">
            <v>18017.609813666924</v>
          </cell>
        </row>
        <row r="63">
          <cell r="A63" t="str">
            <v>Delta</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8.8662681606450633E-3</v>
          </cell>
          <cell r="BL63">
            <v>-3.7947695671320503E-2</v>
          </cell>
          <cell r="BM63">
            <v>-1.407181086626963E-2</v>
          </cell>
          <cell r="BN63">
            <v>1.737131887665555E-3</v>
          </cell>
          <cell r="BO63">
            <v>-8.0660323631079223E-2</v>
          </cell>
          <cell r="BP63">
            <v>-6.1644660001519469E-2</v>
          </cell>
          <cell r="BQ63">
            <v>-0.12329330032676467</v>
          </cell>
          <cell r="BR63">
            <v>-0.27041732856145018</v>
          </cell>
          <cell r="BS63">
            <v>2.6920559547647827E-2</v>
          </cell>
          <cell r="BT63">
            <v>0.53229818191849176</v>
          </cell>
          <cell r="BU63">
            <v>0.33360537910428434</v>
          </cell>
          <cell r="BV63">
            <v>0.86363239329750741</v>
          </cell>
          <cell r="BW63">
            <v>1.2302524282114291</v>
          </cell>
          <cell r="BX63">
            <v>1.5239758057601307</v>
          </cell>
          <cell r="BY63">
            <v>1.3076160954457237</v>
          </cell>
          <cell r="BZ63">
            <v>1.0337084021621195</v>
          </cell>
          <cell r="CA63">
            <v>0.59189799967145973</v>
          </cell>
          <cell r="CB63">
            <v>1.027571365438007</v>
          </cell>
          <cell r="CC63">
            <v>8.737127743779638E-2</v>
          </cell>
          <cell r="CD63">
            <v>0.86738952876316944</v>
          </cell>
          <cell r="CE63">
            <v>-4.9375279645755654</v>
          </cell>
          <cell r="CF63">
            <v>3.0984666706303869</v>
          </cell>
          <cell r="CG63">
            <v>3.0692490464588218</v>
          </cell>
          <cell r="CH63">
            <v>-1.3957941453269314</v>
          </cell>
          <cell r="CI63">
            <v>2.2529065912734723</v>
          </cell>
          <cell r="CJ63">
            <v>5.8947067379071996</v>
          </cell>
          <cell r="CK63">
            <v>5.8930259002235061</v>
          </cell>
          <cell r="CL63">
            <v>6.6747615808906176</v>
          </cell>
          <cell r="CM63">
            <v>14.643813312532984</v>
          </cell>
          <cell r="CN63">
            <v>8.4707717498075681</v>
          </cell>
          <cell r="CO63">
            <v>5.2848595261705213</v>
          </cell>
          <cell r="CP63">
            <v>4.664774975145292</v>
          </cell>
          <cell r="CQ63">
            <v>-1.0373638546054735</v>
          </cell>
          <cell r="CR63">
            <v>13.599881398686193</v>
          </cell>
          <cell r="CS63">
            <v>5.1354235794626675</v>
          </cell>
          <cell r="CT63">
            <v>-0.30331640125041304</v>
          </cell>
          <cell r="CU63">
            <v>-17.124630894167467</v>
          </cell>
          <cell r="CV63">
            <v>-4.1004487921172768</v>
          </cell>
          <cell r="CW63">
            <v>2.6318440972945609</v>
          </cell>
          <cell r="CX63">
            <v>1.2635063871264265</v>
          </cell>
          <cell r="CY63">
            <v>-20.041374430914857</v>
          </cell>
          <cell r="CZ63">
            <v>-4.7289337390902801</v>
          </cell>
          <cell r="DA63">
            <v>4.64563279322374</v>
          </cell>
          <cell r="DB63">
            <v>3.3669907507205608</v>
          </cell>
          <cell r="DC63">
            <v>-23.769853483348015</v>
          </cell>
          <cell r="DD63">
            <v>-5.530543270506314</v>
          </cell>
          <cell r="DE63">
            <v>7.2115015237100124</v>
          </cell>
          <cell r="DF63">
            <v>6.0416428901339714</v>
          </cell>
          <cell r="DG63">
            <v>-28.49690597777726</v>
          </cell>
          <cell r="DH63">
            <v>-6.5451288907452181</v>
          </cell>
          <cell r="DI63">
            <v>10.457122635075393</v>
          </cell>
          <cell r="DJ63">
            <v>9.4203180826075368</v>
          </cell>
          <cell r="DK63">
            <v>-34.454492875977849</v>
          </cell>
          <cell r="DL63">
            <v>-7.8218436324359573</v>
          </cell>
          <cell r="DM63">
            <v>14.539601224732905</v>
          </cell>
          <cell r="DN63">
            <v>13.666413889325668</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-4.1416106489279514E-2</v>
          </cell>
          <cell r="EF63">
            <v>-0.53601561252081353</v>
          </cell>
          <cell r="EG63">
            <v>1.7564565138679313</v>
          </cell>
          <cell r="EH63">
            <v>5.0955527315794029</v>
          </cell>
          <cell r="EI63">
            <v>2.5742301713104325</v>
          </cell>
          <cell r="EJ63">
            <v>-0.16560639281328804</v>
          </cell>
          <cell r="EK63">
            <v>20.715400810294796</v>
          </cell>
          <cell r="EL63">
            <v>33.064219563656366</v>
          </cell>
          <cell r="EM63">
            <v>17.394624722292974</v>
          </cell>
          <cell r="EN63">
            <v>-17.329729201863756</v>
          </cell>
          <cell r="EO63">
            <v>-16.757684626060836</v>
          </cell>
          <cell r="EP63">
            <v>-16.047252340010346</v>
          </cell>
          <cell r="EQ63">
            <v>-15.164594150839548</v>
          </cell>
          <cell r="ER63">
            <v>-14.070321394355233</v>
          </cell>
        </row>
        <row r="64">
          <cell r="A64" t="str">
            <v>% delta</v>
          </cell>
          <cell r="C64" t="e">
            <v>#DIV/0!</v>
          </cell>
          <cell r="D64" t="e">
            <v>#DIV/0!</v>
          </cell>
          <cell r="E64" t="e">
            <v>#DIV/0!</v>
          </cell>
          <cell r="F64" t="e">
            <v>#DIV/0!</v>
          </cell>
          <cell r="G64" t="e">
            <v>#DIV/0!</v>
          </cell>
          <cell r="H64" t="e">
            <v>#DIV/0!</v>
          </cell>
          <cell r="I64" t="e">
            <v>#DIV/0!</v>
          </cell>
          <cell r="J64" t="e">
            <v>#DIV/0!</v>
          </cell>
          <cell r="K64" t="e">
            <v>#DIV/0!</v>
          </cell>
          <cell r="L64" t="e">
            <v>#DIV/0!</v>
          </cell>
          <cell r="M64" t="e">
            <v>#DIV/0!</v>
          </cell>
          <cell r="N64" t="e">
            <v>#DIV/0!</v>
          </cell>
          <cell r="O64" t="e">
            <v>#DIV/0!</v>
          </cell>
          <cell r="P64" t="e">
            <v>#DIV/0!</v>
          </cell>
          <cell r="Q64" t="e">
            <v>#DIV/0!</v>
          </cell>
          <cell r="R64" t="e">
            <v>#DIV/0!</v>
          </cell>
          <cell r="S64" t="e">
            <v>#DIV/0!</v>
          </cell>
          <cell r="T64" t="e">
            <v>#DIV/0!</v>
          </cell>
          <cell r="U64" t="e">
            <v>#DIV/0!</v>
          </cell>
          <cell r="V64" t="e">
            <v>#DIV/0!</v>
          </cell>
          <cell r="W64" t="e">
            <v>#DIV/0!</v>
          </cell>
          <cell r="X64" t="e">
            <v>#DIV/0!</v>
          </cell>
          <cell r="Y64" t="e">
            <v>#DIV/0!</v>
          </cell>
          <cell r="Z64" t="e">
            <v>#DIV/0!</v>
          </cell>
          <cell r="AA64" t="e">
            <v>#DIV/0!</v>
          </cell>
          <cell r="AB64" t="e">
            <v>#DIV/0!</v>
          </cell>
          <cell r="AC64" t="e">
            <v>#DIV/0!</v>
          </cell>
          <cell r="AD64" t="e">
            <v>#DIV/0!</v>
          </cell>
          <cell r="AE64" t="e">
            <v>#DIV/0!</v>
          </cell>
          <cell r="AF64" t="e">
            <v>#DIV/0!</v>
          </cell>
          <cell r="AG64" t="e">
            <v>#DIV/0!</v>
          </cell>
          <cell r="AH64" t="e">
            <v>#DIV/0!</v>
          </cell>
          <cell r="AI64" t="e">
            <v>#DIV/0!</v>
          </cell>
          <cell r="AJ64" t="e">
            <v>#DIV/0!</v>
          </cell>
          <cell r="AK64" t="e">
            <v>#DIV/0!</v>
          </cell>
          <cell r="AL64" t="e">
            <v>#DIV/0!</v>
          </cell>
          <cell r="AM64" t="e">
            <v>#DIV/0!</v>
          </cell>
          <cell r="AN64" t="e">
            <v>#DIV/0!</v>
          </cell>
          <cell r="AO64" t="e">
            <v>#DIV/0!</v>
          </cell>
          <cell r="AP64" t="e">
            <v>#DIV/0!</v>
          </cell>
          <cell r="AQ64" t="e">
            <v>#DIV/0!</v>
          </cell>
          <cell r="AR64" t="e">
            <v>#DIV/0!</v>
          </cell>
          <cell r="AS64" t="e">
            <v>#DIV/0!</v>
          </cell>
          <cell r="AT64" t="e">
            <v>#DIV/0!</v>
          </cell>
          <cell r="AU64" t="e">
            <v>#DIV/0!</v>
          </cell>
          <cell r="AV64" t="e">
            <v>#DIV/0!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1.2391859549087947E-4</v>
          </cell>
          <cell r="BL64">
            <v>-4.7190439915889559E-4</v>
          </cell>
          <cell r="BM64">
            <v>-1.5129991614837301E-4</v>
          </cell>
          <cell r="BN64">
            <v>1.6563632610155921E-5</v>
          </cell>
          <cell r="BO64">
            <v>-6.8672998311725131E-4</v>
          </cell>
          <cell r="BP64">
            <v>-4.6424190023974798E-4</v>
          </cell>
          <cell r="BQ64">
            <v>-8.1927742728704622E-4</v>
          </cell>
          <cell r="BR64">
            <v>-1.619057800410606E-3</v>
          </cell>
          <cell r="BS64">
            <v>1.4965837035085805E-4</v>
          </cell>
          <cell r="BT64">
            <v>2.6624400452659458E-3</v>
          </cell>
          <cell r="BU64">
            <v>1.4968313415801848E-3</v>
          </cell>
          <cell r="BV64">
            <v>3.5418232240238545E-3</v>
          </cell>
          <cell r="BW64">
            <v>4.6216775667684562E-3</v>
          </cell>
          <cell r="BX64">
            <v>5.2704455335226275E-3</v>
          </cell>
          <cell r="BY64">
            <v>4.1168371448596641E-3</v>
          </cell>
          <cell r="BZ64">
            <v>3.0087246407559665E-3</v>
          </cell>
          <cell r="CA64">
            <v>1.5294834096406529E-3</v>
          </cell>
          <cell r="CB64">
            <v>2.5584106044527211E-3</v>
          </cell>
          <cell r="CC64">
            <v>1.9440955904781454E-4</v>
          </cell>
          <cell r="CD64">
            <v>1.7387064111551442E-3</v>
          </cell>
          <cell r="CE64">
            <v>-9.0057731702112287E-3</v>
          </cell>
          <cell r="CF64">
            <v>5.3221475587106326E-3</v>
          </cell>
          <cell r="CG64">
            <v>4.9226305014973271E-3</v>
          </cell>
          <cell r="CH64">
            <v>-2.0909683773323584E-3</v>
          </cell>
          <cell r="CI64">
            <v>3.053823410393397E-3</v>
          </cell>
          <cell r="CJ64">
            <v>7.6051479015519785E-3</v>
          </cell>
          <cell r="CK64">
            <v>7.1084502300120533E-3</v>
          </cell>
          <cell r="CL64">
            <v>7.4785632550771197E-3</v>
          </cell>
          <cell r="CM64">
            <v>1.4941779489673124E-2</v>
          </cell>
          <cell r="CN64">
            <v>8.4114105059609479E-3</v>
          </cell>
          <cell r="CO64">
            <v>4.8658999877901898E-3</v>
          </cell>
          <cell r="CP64">
            <v>3.9548205240220735E-3</v>
          </cell>
          <cell r="CQ64">
            <v>-8.1027943944589342E-4</v>
          </cell>
          <cell r="CR64">
            <v>1.0115186367313456E-2</v>
          </cell>
          <cell r="CS64">
            <v>3.6984250508564909E-3</v>
          </cell>
          <cell r="CT64">
            <v>-2.0672828212831007E-4</v>
          </cell>
          <cell r="CU64">
            <v>-1.0837527497837285E-2</v>
          </cell>
          <cell r="CV64">
            <v>-2.4480492345455573E-3</v>
          </cell>
          <cell r="CW64">
            <v>1.4849438310262641E-3</v>
          </cell>
          <cell r="CX64">
            <v>6.6803337296850174E-4</v>
          </cell>
          <cell r="CY64">
            <v>-9.8341925314889833E-3</v>
          </cell>
          <cell r="CZ64">
            <v>-2.1812334583629633E-3</v>
          </cell>
          <cell r="DA64">
            <v>2.022209664136021E-3</v>
          </cell>
          <cell r="DB64">
            <v>1.3839117010647772E-3</v>
          </cell>
          <cell r="DC64">
            <v>-9.1536551977364766E-3</v>
          </cell>
          <cell r="DD64">
            <v>-1.9975049236393705E-3</v>
          </cell>
          <cell r="DE64">
            <v>2.4556279305318895E-3</v>
          </cell>
          <cell r="DF64">
            <v>1.9534815634774105E-3</v>
          </cell>
          <cell r="DG64">
            <v>-8.6947103990479002E-3</v>
          </cell>
          <cell r="DH64">
            <v>-1.8704106569048529E-3</v>
          </cell>
          <cell r="DI64">
            <v>2.8154346378193029E-3</v>
          </cell>
          <cell r="DJ64">
            <v>2.4184790690227054E-3</v>
          </cell>
          <cell r="DK64">
            <v>-8.3931058755136734E-3</v>
          </cell>
          <cell r="DL64">
            <v>-1.7833671680261842E-3</v>
          </cell>
          <cell r="DM64">
            <v>3.1216691795763474E-3</v>
          </cell>
          <cell r="DN64">
            <v>2.806889998171247E-3</v>
          </cell>
          <cell r="DP64" t="e">
            <v>#DIV/0!</v>
          </cell>
          <cell r="DQ64" t="e">
            <v>#DIV/0!</v>
          </cell>
          <cell r="DR64" t="e">
            <v>#DIV/0!</v>
          </cell>
          <cell r="DS64" t="e">
            <v>#DIV/0!</v>
          </cell>
          <cell r="DT64" t="e">
            <v>#DIV/0!</v>
          </cell>
          <cell r="DU64" t="e">
            <v>#DIV/0!</v>
          </cell>
          <cell r="DV64" t="e">
            <v>#DIV/0!</v>
          </cell>
          <cell r="DW64" t="e">
            <v>#DIV/0!</v>
          </cell>
          <cell r="DX64" t="e">
            <v>#DIV/0!</v>
          </cell>
          <cell r="DY64" t="e">
            <v>#DIV/0!</v>
          </cell>
          <cell r="DZ64" t="e">
            <v>#DIV/0!</v>
          </cell>
          <cell r="EA64">
            <v>0</v>
          </cell>
          <cell r="EB64">
            <v>0</v>
          </cell>
          <cell r="EC64">
            <v>0</v>
          </cell>
          <cell r="ED64">
            <v>0</v>
          </cell>
          <cell r="EE64">
            <v>-1.1838401929120668E-4</v>
          </cell>
          <cell r="EF64">
            <v>-9.4409998323397026E-4</v>
          </cell>
          <cell r="EG64">
            <v>2.0749105883761665E-3</v>
          </cell>
          <cell r="EH64">
            <v>4.1885497332796451E-3</v>
          </cell>
          <cell r="EI64">
            <v>1.4820611312389431E-3</v>
          </cell>
          <cell r="EJ64">
            <v>-6.8390607447788021E-5</v>
          </cell>
          <cell r="EK64">
            <v>6.4047841793311022E-3</v>
          </cell>
          <cell r="EL64">
            <v>7.7748171048415138E-3</v>
          </cell>
          <cell r="EM64">
            <v>3.1738994332928261E-3</v>
          </cell>
          <cell r="EN64">
            <v>-2.5047143955940765E-3</v>
          </cell>
          <cell r="EO64">
            <v>-1.8752597143587568E-3</v>
          </cell>
          <cell r="EP64">
            <v>-1.4082754376658624E-3</v>
          </cell>
          <cell r="EQ64">
            <v>-1.0541104003222168E-3</v>
          </cell>
          <cell r="ER64">
            <v>-7.8092052940803569E-4</v>
          </cell>
        </row>
        <row r="65">
          <cell r="A65" t="str">
            <v>% of revenues</v>
          </cell>
          <cell r="C65" t="str">
            <v>NA</v>
          </cell>
          <cell r="D65" t="str">
            <v>NA</v>
          </cell>
          <cell r="E65" t="str">
            <v>NA</v>
          </cell>
          <cell r="F65" t="str">
            <v>NA</v>
          </cell>
          <cell r="G65" t="str">
            <v>NA</v>
          </cell>
          <cell r="H65" t="str">
            <v>NA</v>
          </cell>
          <cell r="I65" t="str">
            <v>NA</v>
          </cell>
          <cell r="J65" t="str">
            <v>NA</v>
          </cell>
          <cell r="K65" t="str">
            <v>NA</v>
          </cell>
          <cell r="L65" t="str">
            <v>NA</v>
          </cell>
          <cell r="M65" t="str">
            <v>NA</v>
          </cell>
          <cell r="N65" t="str">
            <v>NA</v>
          </cell>
          <cell r="O65" t="str">
            <v>NA</v>
          </cell>
          <cell r="P65" t="str">
            <v>NA</v>
          </cell>
          <cell r="Q65" t="str">
            <v>NA</v>
          </cell>
          <cell r="R65" t="str">
            <v>NA</v>
          </cell>
          <cell r="S65" t="str">
            <v>NA</v>
          </cell>
          <cell r="T65" t="str">
            <v>NA</v>
          </cell>
          <cell r="U65" t="str">
            <v>NA</v>
          </cell>
          <cell r="V65" t="str">
            <v>NA</v>
          </cell>
          <cell r="W65" t="str">
            <v>NA</v>
          </cell>
          <cell r="X65" t="str">
            <v>NA</v>
          </cell>
          <cell r="Y65" t="str">
            <v>NA</v>
          </cell>
          <cell r="Z65" t="str">
            <v>NA</v>
          </cell>
          <cell r="AA65" t="str">
            <v>NA</v>
          </cell>
          <cell r="AB65" t="str">
            <v>NA</v>
          </cell>
          <cell r="AC65" t="str">
            <v>NA</v>
          </cell>
          <cell r="AD65" t="str">
            <v>NA</v>
          </cell>
          <cell r="AE65" t="str">
            <v>NA</v>
          </cell>
          <cell r="AF65" t="str">
            <v>NA</v>
          </cell>
          <cell r="AG65" t="str">
            <v>NA</v>
          </cell>
          <cell r="AH65" t="str">
            <v>NA</v>
          </cell>
          <cell r="AI65" t="str">
            <v>NA</v>
          </cell>
          <cell r="AJ65" t="str">
            <v>NA</v>
          </cell>
          <cell r="AK65" t="str">
            <v>NA</v>
          </cell>
          <cell r="AL65" t="str">
            <v>NA</v>
          </cell>
          <cell r="AM65" t="str">
            <v>NA</v>
          </cell>
          <cell r="AN65">
            <v>0</v>
          </cell>
          <cell r="AO65" t="str">
            <v>NA</v>
          </cell>
          <cell r="AP65" t="str">
            <v>NA</v>
          </cell>
          <cell r="AQ65" t="str">
            <v>NA</v>
          </cell>
          <cell r="AR65">
            <v>0</v>
          </cell>
          <cell r="AS65" t="str">
            <v>NA</v>
          </cell>
          <cell r="AT65" t="str">
            <v>NA</v>
          </cell>
          <cell r="AU65" t="str">
            <v>NA</v>
          </cell>
          <cell r="AV65" t="str">
            <v>NA</v>
          </cell>
          <cell r="AW65">
            <v>0.9302264349657714</v>
          </cell>
          <cell r="AX65">
            <v>0.93598115833422535</v>
          </cell>
          <cell r="AY65">
            <v>0.93709364181372967</v>
          </cell>
          <cell r="AZ65">
            <v>0.90527907616167169</v>
          </cell>
          <cell r="BA65">
            <v>0.89306811332127789</v>
          </cell>
          <cell r="BB65">
            <v>0.86045422617653944</v>
          </cell>
          <cell r="BC65">
            <v>0.84182135491036014</v>
          </cell>
          <cell r="BD65">
            <v>0.84029698515247209</v>
          </cell>
          <cell r="BE65">
            <v>0.88694914758604548</v>
          </cell>
          <cell r="BF65">
            <v>0.8820001020981163</v>
          </cell>
          <cell r="BG65">
            <v>0.8336530960764057</v>
          </cell>
          <cell r="BH65">
            <v>0.82467326593158841</v>
          </cell>
          <cell r="BI65">
            <v>0.85910327142746146</v>
          </cell>
          <cell r="BJ65">
            <v>0.83667278678055401</v>
          </cell>
          <cell r="BK65">
            <v>0.83266037538253879</v>
          </cell>
          <cell r="BL65">
            <v>0.78628866584492574</v>
          </cell>
          <cell r="BM65">
            <v>0.83581552953019533</v>
          </cell>
          <cell r="BN65">
            <v>0.83748303122255052</v>
          </cell>
          <cell r="BO65">
            <v>0.84387806456251346</v>
          </cell>
          <cell r="BP65">
            <v>0.79591261536247349</v>
          </cell>
          <cell r="BQ65">
            <v>0.84139285554411569</v>
          </cell>
          <cell r="BR65">
            <v>0.84215975434839696</v>
          </cell>
          <cell r="BS65">
            <v>0.84876205393368687</v>
          </cell>
          <cell r="BT65">
            <v>0.81251722628447287</v>
          </cell>
          <cell r="BU65">
            <v>0.8547118514263834</v>
          </cell>
          <cell r="BV65">
            <v>0.85664974619289347</v>
          </cell>
          <cell r="BW65">
            <v>0.87427381415527061</v>
          </cell>
          <cell r="BX65">
            <v>0.85165186105381585</v>
          </cell>
          <cell r="BY65">
            <v>0.89173395665108379</v>
          </cell>
          <cell r="BZ65">
            <v>0.8935296344505349</v>
          </cell>
          <cell r="CA65">
            <v>0.90394173113386866</v>
          </cell>
          <cell r="CB65">
            <v>0.89830410165574293</v>
          </cell>
          <cell r="CC65">
            <v>0.91293980973735311</v>
          </cell>
          <cell r="CD65">
            <v>0.91011540850092798</v>
          </cell>
          <cell r="CE65">
            <v>0.92210575979851395</v>
          </cell>
          <cell r="CF65">
            <v>0.92746444055678101</v>
          </cell>
          <cell r="CG65">
            <v>0.93087177628187323</v>
          </cell>
          <cell r="CH65">
            <v>0.93108865720583522</v>
          </cell>
          <cell r="CI65">
            <v>0.93796629848680368</v>
          </cell>
          <cell r="CJ65">
            <v>0.93654545367332453</v>
          </cell>
          <cell r="CK65">
            <v>0.94251399530159752</v>
          </cell>
          <cell r="CL65">
            <v>0.94475579286679401</v>
          </cell>
          <cell r="CM65">
            <v>0.95064892864652029</v>
          </cell>
          <cell r="CN65">
            <v>0.94834532078495237</v>
          </cell>
          <cell r="CO65">
            <v>0.94740670780192571</v>
          </cell>
          <cell r="CP65">
            <v>0.94709476698151696</v>
          </cell>
          <cell r="CQ65">
            <v>0.95354020794502059</v>
          </cell>
          <cell r="CR65">
            <v>0.95485353727887223</v>
          </cell>
          <cell r="CS65">
            <v>0.95462152563071978</v>
          </cell>
          <cell r="CT65">
            <v>0.95552699758735293</v>
          </cell>
          <cell r="CU65">
            <v>0.95692779926253668</v>
          </cell>
          <cell r="CV65">
            <v>0.95857525907173924</v>
          </cell>
          <cell r="CW65">
            <v>0.95973509578674066</v>
          </cell>
          <cell r="CX65">
            <v>0.96087920160370976</v>
          </cell>
          <cell r="CY65">
            <v>0.9619432530786225</v>
          </cell>
          <cell r="CZ65">
            <v>0.96335500170858701</v>
          </cell>
          <cell r="DA65">
            <v>0.96434749085452898</v>
          </cell>
          <cell r="DB65">
            <v>0.96509333721329504</v>
          </cell>
          <cell r="DC65">
            <v>0.96574832155570522</v>
          </cell>
          <cell r="DD65">
            <v>0.96710760487107073</v>
          </cell>
          <cell r="DE65">
            <v>0.96807786262813211</v>
          </cell>
          <cell r="DF65">
            <v>0.96861933105235998</v>
          </cell>
          <cell r="DG65">
            <v>0.96903511895407746</v>
          </cell>
          <cell r="DH65">
            <v>0.97034930108904238</v>
          </cell>
          <cell r="DI65">
            <v>0.97130297297986556</v>
          </cell>
          <cell r="DJ65">
            <v>0.97171805883547213</v>
          </cell>
          <cell r="DK65">
            <v>0.97196408014049784</v>
          </cell>
          <cell r="DL65">
            <v>0.97317987125798022</v>
          </cell>
          <cell r="DM65">
            <v>0.97407907372986957</v>
          </cell>
          <cell r="DN65">
            <v>0.97439589982332442</v>
          </cell>
          <cell r="DP65" t="str">
            <v>NA</v>
          </cell>
          <cell r="DQ65" t="str">
            <v>NA</v>
          </cell>
          <cell r="DR65" t="str">
            <v>NA</v>
          </cell>
          <cell r="DS65" t="str">
            <v>NA</v>
          </cell>
          <cell r="DT65" t="str">
            <v>NA</v>
          </cell>
          <cell r="DU65" t="str">
            <v>NA</v>
          </cell>
          <cell r="DV65" t="str">
            <v>NA</v>
          </cell>
          <cell r="DW65" t="str">
            <v>NA</v>
          </cell>
          <cell r="DX65" t="str">
            <v>NA</v>
          </cell>
          <cell r="DY65" t="str">
            <v>NA</v>
          </cell>
          <cell r="DZ65">
            <v>0</v>
          </cell>
          <cell r="EA65">
            <v>0.56460714285714286</v>
          </cell>
          <cell r="EB65">
            <v>0.89310805769709034</v>
          </cell>
          <cell r="EC65">
            <v>0.86581111143705658</v>
          </cell>
          <cell r="ED65">
            <v>0.83921185661764697</v>
          </cell>
          <cell r="EE65">
            <v>0.8237466148592959</v>
          </cell>
          <cell r="EF65">
            <v>0.83101047082833379</v>
          </cell>
          <cell r="EG65">
            <v>0.84365477185026072</v>
          </cell>
          <cell r="EH65">
            <v>0.87855273557313029</v>
          </cell>
          <cell r="EI65">
            <v>0.90670077675510086</v>
          </cell>
          <cell r="EJ65">
            <v>0.9281271657334208</v>
          </cell>
          <cell r="EK65">
            <v>0.94065547212678624</v>
          </cell>
          <cell r="EL65">
            <v>0.94829343349816064</v>
          </cell>
          <cell r="EM65">
            <v>0.95466831031136801</v>
          </cell>
          <cell r="EN65">
            <v>0.95913007927097271</v>
          </cell>
          <cell r="EO65">
            <v>0.96376516765999609</v>
          </cell>
          <cell r="EP65">
            <v>0.96746175671884393</v>
          </cell>
          <cell r="EQ65">
            <v>0.97067018710259412</v>
          </cell>
          <cell r="ER65">
            <v>0.97346723423019332</v>
          </cell>
        </row>
        <row r="66">
          <cell r="A66" t="str">
            <v>% growth y-o-y</v>
          </cell>
          <cell r="C66" t="str">
            <v>NA</v>
          </cell>
          <cell r="D66" t="str">
            <v>NA</v>
          </cell>
          <cell r="E66" t="str">
            <v>NA</v>
          </cell>
          <cell r="F66" t="str">
            <v>NA</v>
          </cell>
          <cell r="G66" t="str">
            <v>NA</v>
          </cell>
          <cell r="H66" t="str">
            <v>NA</v>
          </cell>
          <cell r="I66" t="str">
            <v>NA</v>
          </cell>
          <cell r="J66" t="str">
            <v>NA</v>
          </cell>
          <cell r="K66" t="str">
            <v>NA</v>
          </cell>
          <cell r="L66" t="str">
            <v>NA</v>
          </cell>
          <cell r="M66" t="str">
            <v>NA</v>
          </cell>
          <cell r="N66" t="str">
            <v>NA</v>
          </cell>
          <cell r="O66" t="str">
            <v>NA</v>
          </cell>
          <cell r="P66" t="str">
            <v>NA</v>
          </cell>
          <cell r="Q66" t="str">
            <v>NA</v>
          </cell>
          <cell r="R66" t="str">
            <v>NA</v>
          </cell>
          <cell r="S66" t="str">
            <v>NA</v>
          </cell>
          <cell r="T66" t="str">
            <v>NA</v>
          </cell>
          <cell r="U66" t="str">
            <v>NA</v>
          </cell>
          <cell r="V66" t="str">
            <v>NA</v>
          </cell>
          <cell r="W66" t="str">
            <v>NA</v>
          </cell>
          <cell r="X66" t="str">
            <v>NA</v>
          </cell>
          <cell r="Y66" t="str">
            <v>NA</v>
          </cell>
          <cell r="Z66" t="str">
            <v>NA</v>
          </cell>
          <cell r="AA66" t="str">
            <v>NA</v>
          </cell>
          <cell r="AB66" t="str">
            <v>NA</v>
          </cell>
          <cell r="AC66" t="str">
            <v>NA</v>
          </cell>
          <cell r="AD66" t="str">
            <v>NA</v>
          </cell>
          <cell r="AE66" t="str">
            <v>NA</v>
          </cell>
          <cell r="AF66" t="str">
            <v>NA</v>
          </cell>
          <cell r="AG66" t="str">
            <v>NA</v>
          </cell>
          <cell r="AH66" t="str">
            <v>NA</v>
          </cell>
          <cell r="AI66" t="str">
            <v>NA</v>
          </cell>
          <cell r="AJ66" t="str">
            <v>NA</v>
          </cell>
          <cell r="AK66" t="str">
            <v>NA</v>
          </cell>
          <cell r="AL66" t="str">
            <v>NA</v>
          </cell>
          <cell r="AM66" t="str">
            <v>NA</v>
          </cell>
          <cell r="AN66" t="str">
            <v>NA</v>
          </cell>
          <cell r="AO66" t="str">
            <v>NA</v>
          </cell>
          <cell r="AP66" t="str">
            <v>NA</v>
          </cell>
          <cell r="AQ66" t="str">
            <v>NA</v>
          </cell>
          <cell r="AR66" t="str">
            <v>NA</v>
          </cell>
          <cell r="AS66" t="str">
            <v>NA</v>
          </cell>
          <cell r="AT66" t="str">
            <v>NA</v>
          </cell>
          <cell r="AU66" t="str">
            <v>NA</v>
          </cell>
          <cell r="AV66" t="str">
            <v>NA</v>
          </cell>
          <cell r="AW66" t="str">
            <v>NA</v>
          </cell>
          <cell r="AX66" t="str">
            <v>NA</v>
          </cell>
          <cell r="AY66" t="str">
            <v>NA</v>
          </cell>
          <cell r="AZ66" t="str">
            <v>NA</v>
          </cell>
          <cell r="BA66" t="str">
            <v>NA</v>
          </cell>
          <cell r="BB66" t="str">
            <v>NA</v>
          </cell>
          <cell r="BC66">
            <v>0.91241665164894559</v>
          </cell>
          <cell r="BD66">
            <v>0.8812470007593014</v>
          </cell>
          <cell r="BE66">
            <v>1.0471787257019436</v>
          </cell>
          <cell r="BF66">
            <v>0.8805442176870748</v>
          </cell>
          <cell r="BG66">
            <v>0.86303241613267989</v>
          </cell>
          <cell r="BH66">
            <v>0.88973024443834281</v>
          </cell>
          <cell r="BI66">
            <v>0.8225248096007387</v>
          </cell>
          <cell r="BJ66">
            <v>0.81988134857473605</v>
          </cell>
          <cell r="BK66">
            <v>0.80971649680078928</v>
          </cell>
          <cell r="BL66">
            <v>0.71670226398974801</v>
          </cell>
          <cell r="BM66">
            <v>0.68223014164510931</v>
          </cell>
          <cell r="BN66">
            <v>0.66774798842349647</v>
          </cell>
          <cell r="BO66">
            <v>0.64027781659632721</v>
          </cell>
          <cell r="BP66">
            <v>0.65128894197272791</v>
          </cell>
          <cell r="BQ66">
            <v>0.6169885581555401</v>
          </cell>
          <cell r="BR66">
            <v>0.58995213486145803</v>
          </cell>
          <cell r="BS66">
            <v>0.53275399361022369</v>
          </cell>
          <cell r="BT66">
            <v>0.51035984448931648</v>
          </cell>
          <cell r="BU66">
            <v>0.48442144885513461</v>
          </cell>
          <cell r="BV66">
            <v>0.46746946045301074</v>
          </cell>
          <cell r="BW66">
            <v>0.4864457747614046</v>
          </cell>
          <cell r="BX66">
            <v>0.45005262869086726</v>
          </cell>
          <cell r="BY66">
            <v>0.4288645568259204</v>
          </cell>
          <cell r="BZ66">
            <v>0.40825984258404091</v>
          </cell>
          <cell r="CA66">
            <v>0.44933475929429867</v>
          </cell>
          <cell r="CB66">
            <v>0.3852806704302687</v>
          </cell>
          <cell r="CC66">
            <v>0.40940131814105718</v>
          </cell>
          <cell r="CD66">
            <v>0.45018049703427709</v>
          </cell>
          <cell r="CE66">
            <v>0.40182515274108344</v>
          </cell>
          <cell r="CF66">
            <v>0.45349564906425077</v>
          </cell>
          <cell r="CG66">
            <v>0.39390130498814258</v>
          </cell>
          <cell r="CH66">
            <v>0.33297647967534982</v>
          </cell>
          <cell r="CI66">
            <v>0.36195831224405262</v>
          </cell>
          <cell r="CJ66">
            <v>0.3343806917007528</v>
          </cell>
          <cell r="CK66">
            <v>0.33251511809590983</v>
          </cell>
          <cell r="CL66">
            <v>0.34985941372596407</v>
          </cell>
          <cell r="CM66">
            <v>0.34421732303043573</v>
          </cell>
          <cell r="CN66">
            <v>0.30031024764753411</v>
          </cell>
          <cell r="CO66">
            <v>0.30718999652657164</v>
          </cell>
          <cell r="CP66">
            <v>0.31693605606798991</v>
          </cell>
          <cell r="CQ66">
            <v>0.28603047127673031</v>
          </cell>
          <cell r="CR66">
            <v>0.33733506019033621</v>
          </cell>
          <cell r="CS66">
            <v>0.27698063966770103</v>
          </cell>
          <cell r="CT66">
            <v>0.23876270003904265</v>
          </cell>
          <cell r="CU66">
            <v>0.22184013973583427</v>
          </cell>
          <cell r="CV66">
            <v>0.23031022745307883</v>
          </cell>
          <cell r="CW66">
            <v>0.27359652671680568</v>
          </cell>
          <cell r="CX66">
            <v>0.29021801133043201</v>
          </cell>
          <cell r="CY66">
            <v>0.29103519600641659</v>
          </cell>
          <cell r="CZ66">
            <v>0.2946905521799057</v>
          </cell>
          <cell r="DA66">
            <v>0.29688506045570606</v>
          </cell>
          <cell r="DB66">
            <v>0.28725575708609652</v>
          </cell>
          <cell r="DC66">
            <v>0.2750920750154271</v>
          </cell>
          <cell r="DD66">
            <v>0.27731736798631279</v>
          </cell>
          <cell r="DE66">
            <v>0.27888722365913554</v>
          </cell>
          <cell r="DF66">
            <v>0.2719180822467091</v>
          </cell>
          <cell r="DG66">
            <v>0.26273362330127603</v>
          </cell>
          <cell r="DH66">
            <v>0.26402773228670906</v>
          </cell>
          <cell r="DI66">
            <v>0.26520082953389124</v>
          </cell>
          <cell r="DJ66">
            <v>0.26002454436983746</v>
          </cell>
          <cell r="DK66">
            <v>0.25288925929127881</v>
          </cell>
          <cell r="DL66">
            <v>0.25350190782216431</v>
          </cell>
          <cell r="DM66">
            <v>0.2543867826935835</v>
          </cell>
          <cell r="DN66">
            <v>0.25047262080216148</v>
          </cell>
          <cell r="DP66" t="str">
            <v>NA</v>
          </cell>
          <cell r="DQ66" t="str">
            <v>NA</v>
          </cell>
          <cell r="DR66" t="str">
            <v>NA</v>
          </cell>
          <cell r="DS66" t="str">
            <v>NA</v>
          </cell>
          <cell r="DT66" t="str">
            <v>NA</v>
          </cell>
          <cell r="DU66" t="str">
            <v>NA</v>
          </cell>
          <cell r="DV66" t="str">
            <v>NA</v>
          </cell>
          <cell r="DW66" t="str">
            <v>NA</v>
          </cell>
          <cell r="DX66" t="str">
            <v>NA</v>
          </cell>
          <cell r="DY66" t="str">
            <v>NA</v>
          </cell>
          <cell r="DZ66" t="str">
            <v>NA</v>
          </cell>
          <cell r="EA66" t="str">
            <v>NA</v>
          </cell>
          <cell r="EB66">
            <v>2.6345752419507873</v>
          </cell>
          <cell r="EC66">
            <v>0.92982862562870894</v>
          </cell>
          <cell r="ED66">
            <v>0.84447051545892293</v>
          </cell>
          <cell r="EE66">
            <v>0.7103155589020469</v>
          </cell>
          <cell r="EF66">
            <v>0.62152805571119818</v>
          </cell>
          <cell r="EG66">
            <v>0.4955087735381698</v>
          </cell>
          <cell r="EH66">
            <v>0.44013990696446226</v>
          </cell>
          <cell r="EI66">
            <v>0.42390673513206445</v>
          </cell>
          <cell r="EJ66">
            <v>0.39195918367346927</v>
          </cell>
          <cell r="EK66">
            <v>0.34434457668215535</v>
          </cell>
          <cell r="EL66">
            <v>0.31664915045072672</v>
          </cell>
          <cell r="EM66">
            <v>0.28282238429495932</v>
          </cell>
          <cell r="EN66">
            <v>0.25529642036904932</v>
          </cell>
          <cell r="EO66">
            <v>0.29238822691058242</v>
          </cell>
          <cell r="EP66">
            <v>0.2757442819950322</v>
          </cell>
          <cell r="EQ66">
            <v>0.26294843129000012</v>
          </cell>
          <cell r="ER66">
            <v>0.25276969181747067</v>
          </cell>
        </row>
        <row r="67">
          <cell r="A67" t="str">
            <v>% growth seq</v>
          </cell>
          <cell r="C67" t="str">
            <v>NA</v>
          </cell>
          <cell r="D67" t="str">
            <v>NA</v>
          </cell>
          <cell r="E67" t="str">
            <v>NA</v>
          </cell>
          <cell r="F67" t="str">
            <v>NA</v>
          </cell>
          <cell r="G67" t="str">
            <v>NA</v>
          </cell>
          <cell r="H67" t="str">
            <v>NA</v>
          </cell>
          <cell r="I67" t="str">
            <v>NA</v>
          </cell>
          <cell r="J67" t="str">
            <v>NA</v>
          </cell>
          <cell r="K67" t="str">
            <v>NA</v>
          </cell>
          <cell r="L67" t="str">
            <v>NA</v>
          </cell>
          <cell r="M67" t="str">
            <v>NA</v>
          </cell>
          <cell r="N67" t="str">
            <v>NA</v>
          </cell>
          <cell r="O67" t="str">
            <v>NA</v>
          </cell>
          <cell r="P67" t="str">
            <v>NA</v>
          </cell>
          <cell r="Q67" t="str">
            <v>NA</v>
          </cell>
          <cell r="R67" t="str">
            <v>NA</v>
          </cell>
          <cell r="S67" t="str">
            <v>NA</v>
          </cell>
          <cell r="T67" t="str">
            <v>NA</v>
          </cell>
          <cell r="U67" t="str">
            <v>NA</v>
          </cell>
          <cell r="V67" t="str">
            <v>NA</v>
          </cell>
          <cell r="W67" t="str">
            <v>NA</v>
          </cell>
          <cell r="X67" t="str">
            <v>NA</v>
          </cell>
          <cell r="Y67" t="str">
            <v>NA</v>
          </cell>
          <cell r="Z67" t="str">
            <v>NA</v>
          </cell>
          <cell r="AA67" t="str">
            <v>NA</v>
          </cell>
          <cell r="AB67" t="str">
            <v>NA</v>
          </cell>
          <cell r="AC67" t="str">
            <v>NA</v>
          </cell>
          <cell r="AD67" t="str">
            <v>NA</v>
          </cell>
          <cell r="AE67" t="str">
            <v>NA</v>
          </cell>
          <cell r="AF67" t="str">
            <v>NA</v>
          </cell>
          <cell r="AG67" t="str">
            <v>NA</v>
          </cell>
          <cell r="AH67" t="str">
            <v>NA</v>
          </cell>
          <cell r="AI67" t="str">
            <v>NA</v>
          </cell>
          <cell r="AJ67" t="str">
            <v>NA</v>
          </cell>
          <cell r="AK67" t="str">
            <v>NA</v>
          </cell>
          <cell r="AL67" t="str">
            <v>NA</v>
          </cell>
          <cell r="AM67" t="str">
            <v>NA</v>
          </cell>
          <cell r="AN67" t="str">
            <v>NA</v>
          </cell>
          <cell r="AO67" t="str">
            <v>NA</v>
          </cell>
          <cell r="AP67" t="str">
            <v>NA</v>
          </cell>
          <cell r="AQ67" t="str">
            <v>NA</v>
          </cell>
          <cell r="AR67" t="str">
            <v>NA</v>
          </cell>
          <cell r="AS67" t="str">
            <v>NA</v>
          </cell>
          <cell r="AT67" t="str">
            <v>NA</v>
          </cell>
          <cell r="AU67" t="str">
            <v>NA</v>
          </cell>
          <cell r="AV67" t="str">
            <v>NA</v>
          </cell>
          <cell r="AW67" t="str">
            <v>NA</v>
          </cell>
          <cell r="AX67">
            <v>0.23733371072742715</v>
          </cell>
          <cell r="AY67">
            <v>0.26935834381791146</v>
          </cell>
          <cell r="AZ67">
            <v>0.18670030636150647</v>
          </cell>
          <cell r="BA67">
            <v>0.1249810174639332</v>
          </cell>
          <cell r="BB67">
            <v>0.24021328293736488</v>
          </cell>
          <cell r="BC67">
            <v>0.1550476190476191</v>
          </cell>
          <cell r="BD67">
            <v>0.16735879193365988</v>
          </cell>
          <cell r="BE67">
            <v>0.22420777539639847</v>
          </cell>
          <cell r="BF67">
            <v>0.13926345982658006</v>
          </cell>
          <cell r="BG67">
            <v>0.14429170886991738</v>
          </cell>
          <cell r="BH67">
            <v>0.18408740294883796</v>
          </cell>
          <cell r="BI67">
            <v>0.18067065356685186</v>
          </cell>
          <cell r="BJ67">
            <v>0.13761102769586997</v>
          </cell>
          <cell r="BK67">
            <v>0.13790032757688531</v>
          </cell>
          <cell r="BL67">
            <v>0.12322870957824428</v>
          </cell>
          <cell r="BM67">
            <v>0.15696227729670542</v>
          </cell>
          <cell r="BN67">
            <v>0.1278174466620785</v>
          </cell>
          <cell r="BO67">
            <v>0.11915749728255687</v>
          </cell>
          <cell r="BP67">
            <v>0.13076890308839184</v>
          </cell>
          <cell r="BQ67">
            <v>0.13292999005454931</v>
          </cell>
          <cell r="BR67">
            <v>0.10896007767661797</v>
          </cell>
          <cell r="BS67">
            <v>7.8896078584236307E-2</v>
          </cell>
          <cell r="BT67">
            <v>0.11424791697932823</v>
          </cell>
          <cell r="BU67">
            <v>0.1134734437122431</v>
          </cell>
          <cell r="BV67">
            <v>9.6295831690620393E-2</v>
          </cell>
          <cell r="BW67">
            <v>9.2847626909465575E-2</v>
          </cell>
          <cell r="BX67">
            <v>8.6967414797585629E-2</v>
          </cell>
          <cell r="BY67">
            <v>9.7203444349265089E-2</v>
          </cell>
          <cell r="BZ67">
            <v>8.0486871891989997E-2</v>
          </cell>
          <cell r="CA67">
            <v>0.12472287030910856</v>
          </cell>
          <cell r="CB67">
            <v>3.8928335535006742E-2</v>
          </cell>
          <cell r="CC67">
            <v>0.11630806214487222</v>
          </cell>
          <cell r="CD67">
            <v>0.11174934261166714</v>
          </cell>
          <cell r="CE67">
            <v>8.7219703124437276E-2</v>
          </cell>
          <cell r="CF67">
            <v>7.7222656789214472E-2</v>
          </cell>
          <cell r="CG67">
            <v>7.0538646327753085E-2</v>
          </cell>
          <cell r="CH67">
            <v>6.315685313781283E-2</v>
          </cell>
          <cell r="CI67">
            <v>0.11085824430036362</v>
          </cell>
          <cell r="CJ67">
            <v>5.5410507766363137E-2</v>
          </cell>
          <cell r="CK67">
            <v>6.9041945533163673E-2</v>
          </cell>
          <cell r="CL67">
            <v>7.6995125223077832E-2</v>
          </cell>
          <cell r="CM67">
            <v>0.10621512154218116</v>
          </cell>
          <cell r="CN67">
            <v>2.093692382241108E-2</v>
          </cell>
          <cell r="CO67">
            <v>7.4698088088166914E-2</v>
          </cell>
          <cell r="CP67">
            <v>8.5024913275413061E-2</v>
          </cell>
          <cell r="CQ67">
            <v>8.0254692348472156E-2</v>
          </cell>
          <cell r="CR67">
            <v>6.1665934801000466E-2</v>
          </cell>
          <cell r="CS67">
            <v>2.6196570200709868E-2</v>
          </cell>
          <cell r="CT67">
            <v>5.2551894231098739E-2</v>
          </cell>
          <cell r="CU67">
            <v>6.5497487297404122E-2</v>
          </cell>
          <cell r="CV67">
            <v>6.9025656667822677E-2</v>
          </cell>
          <cell r="CW67">
            <v>6.2301489797350396E-2</v>
          </cell>
          <cell r="CX67">
            <v>6.6288564163848873E-2</v>
          </cell>
          <cell r="CY67">
            <v>6.6172340858021705E-2</v>
          </cell>
          <cell r="CZ67">
            <v>7.2052428940032165E-2</v>
          </cell>
          <cell r="DA67">
            <v>6.4102097214180809E-2</v>
          </cell>
          <cell r="DB67">
            <v>5.837142765194292E-2</v>
          </cell>
          <cell r="DC67">
            <v>5.6097745102400731E-2</v>
          </cell>
          <cell r="DD67">
            <v>7.392337675728089E-2</v>
          </cell>
          <cell r="DE67">
            <v>6.5409905872891638E-2</v>
          </cell>
          <cell r="DF67">
            <v>5.2603960427527241E-2</v>
          </cell>
          <cell r="DG67">
            <v>4.847171437161335E-2</v>
          </cell>
          <cell r="DH67">
            <v>7.5023984095109242E-2</v>
          </cell>
          <cell r="DI67">
            <v>6.6398673283428522E-2</v>
          </cell>
          <cell r="DJ67">
            <v>4.8297467626702506E-2</v>
          </cell>
          <cell r="DK67">
            <v>4.2534413695785478E-2</v>
          </cell>
          <cell r="DL67">
            <v>7.5549658538910602E-2</v>
          </cell>
          <cell r="DM67">
            <v>6.7151467820887989E-2</v>
          </cell>
          <cell r="DN67">
            <v>4.5026382459615544E-2</v>
          </cell>
        </row>
        <row r="69">
          <cell r="A69" t="str">
            <v>IT</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7.0659999999999998</v>
          </cell>
          <cell r="AX69">
            <v>8.7430000000000003</v>
          </cell>
          <cell r="AY69">
            <v>11.098000000000001</v>
          </cell>
          <cell r="AZ69">
            <v>13.169999999999998</v>
          </cell>
          <cell r="BA69">
            <v>14.816000000000001</v>
          </cell>
          <cell r="BB69">
            <v>18.375</v>
          </cell>
          <cell r="BC69">
            <v>21.224</v>
          </cell>
          <cell r="BD69">
            <v>24.776022999999999</v>
          </cell>
          <cell r="BE69">
            <v>30.331</v>
          </cell>
          <cell r="BF69">
            <v>34.555</v>
          </cell>
          <cell r="BG69">
            <v>39.540999999999997</v>
          </cell>
          <cell r="BH69">
            <v>46.82</v>
          </cell>
          <cell r="BI69">
            <v>55.279000000000003</v>
          </cell>
          <cell r="BJ69">
            <v>62.88600000000001</v>
          </cell>
          <cell r="BK69">
            <v>71.501616612155217</v>
          </cell>
          <cell r="BL69">
            <v>79.852216687231348</v>
          </cell>
          <cell r="BM69">
            <v>91.227424270880604</v>
          </cell>
          <cell r="BN69">
            <v>101.76700797521039</v>
          </cell>
          <cell r="BO69">
            <v>112.8084509363625</v>
          </cell>
          <cell r="BP69">
            <v>126.5238464046918</v>
          </cell>
          <cell r="BQ69">
            <v>142.52487583118346</v>
          </cell>
          <cell r="BR69">
            <v>157.22166090586967</v>
          </cell>
          <cell r="BS69">
            <v>169.44458337111735</v>
          </cell>
          <cell r="BT69">
            <v>188.05359749202441</v>
          </cell>
          <cell r="BU69">
            <v>208.64117288533316</v>
          </cell>
          <cell r="BV69">
            <v>227.58641445887474</v>
          </cell>
          <cell r="BW69">
            <v>246.99658353325179</v>
          </cell>
          <cell r="BX69">
            <v>265.91114387916883</v>
          </cell>
          <cell r="BY69">
            <v>287.57676659564441</v>
          </cell>
          <cell r="BZ69">
            <v>306.47188273401309</v>
          </cell>
          <cell r="CA69">
            <v>341.51206961304831</v>
          </cell>
          <cell r="CB69">
            <v>346.19742628033384</v>
          </cell>
          <cell r="CC69">
            <v>381.5140496006901</v>
          </cell>
          <cell r="CD69">
            <v>415.92677265703747</v>
          </cell>
          <cell r="CE69">
            <v>445.49553609983553</v>
          </cell>
          <cell r="CF69">
            <v>465.08845476388689</v>
          </cell>
          <cell r="CG69">
            <v>492.40252436658432</v>
          </cell>
          <cell r="CH69">
            <v>514.38754196086245</v>
          </cell>
          <cell r="CI69">
            <v>558.9801377681631</v>
          </cell>
          <cell r="CJ69">
            <v>575.74400692091683</v>
          </cell>
          <cell r="CK69">
            <v>609.05731672224579</v>
          </cell>
          <cell r="CL69">
            <v>644.97754474811427</v>
          </cell>
          <cell r="CM69">
            <v>704.64987816389157</v>
          </cell>
          <cell r="CN69">
            <v>713.77721222278046</v>
          </cell>
          <cell r="CO69">
            <v>765.44224962344708</v>
          </cell>
          <cell r="CP69">
            <v>823.27944412716738</v>
          </cell>
          <cell r="CQ69">
            <v>885.71704361906018</v>
          </cell>
          <cell r="CR69">
            <v>927.47080581997022</v>
          </cell>
          <cell r="CS69">
            <v>953.19981011695972</v>
          </cell>
          <cell r="CT69">
            <v>999.11113004208198</v>
          </cell>
          <cell r="CU69">
            <v>1063.7413541005353</v>
          </cell>
          <cell r="CV69">
            <v>1123.8010282256309</v>
          </cell>
          <cell r="CW69">
            <v>1189.9715926627352</v>
          </cell>
          <cell r="CX69">
            <v>1262.8134943471091</v>
          </cell>
          <cell r="CY69">
            <v>1346.2876482236095</v>
          </cell>
          <cell r="CZ69">
            <v>1429.1999149069495</v>
          </cell>
          <cell r="DA69">
            <v>1516.3094044665165</v>
          </cell>
          <cell r="DB69">
            <v>1599.4716965659654</v>
          </cell>
          <cell r="DC69">
            <v>1691.251239779557</v>
          </cell>
          <cell r="DD69">
            <v>1801.3226202671897</v>
          </cell>
          <cell r="DE69">
            <v>1913.7627936066676</v>
          </cell>
          <cell r="DF69">
            <v>2009.5863873129126</v>
          </cell>
          <cell r="DG69">
            <v>2111.5374289775546</v>
          </cell>
          <cell r="DH69">
            <v>2253.9028751375549</v>
          </cell>
          <cell r="DI69">
            <v>2396.9909191044653</v>
          </cell>
          <cell r="DJ69">
            <v>2508.2772513876794</v>
          </cell>
          <cell r="DK69">
            <v>2622.5740129143546</v>
          </cell>
          <cell r="DL69">
            <v>2803.2157385322876</v>
          </cell>
          <cell r="DM69">
            <v>2983.2978253455208</v>
          </cell>
          <cell r="DN69">
            <v>3113.4119943897404</v>
          </cell>
          <cell r="DP69">
            <v>0</v>
          </cell>
          <cell r="DQ69">
            <v>0</v>
          </cell>
          <cell r="DR69">
            <v>0</v>
          </cell>
          <cell r="DS69">
            <v>0</v>
          </cell>
          <cell r="DT69">
            <v>0</v>
          </cell>
          <cell r="DU69">
            <v>0</v>
          </cell>
          <cell r="DV69">
            <v>0</v>
          </cell>
          <cell r="DW69">
            <v>0</v>
          </cell>
          <cell r="DX69">
            <v>0</v>
          </cell>
          <cell r="DY69">
            <v>0</v>
          </cell>
          <cell r="DZ69">
            <v>0</v>
          </cell>
          <cell r="EA69">
            <v>15.809000000000001</v>
          </cell>
          <cell r="EB69">
            <v>57.459000000000003</v>
          </cell>
          <cell r="EC69">
            <v>110.88602299999999</v>
          </cell>
          <cell r="ED69">
            <v>204.52600000000001</v>
          </cell>
          <cell r="EE69">
            <v>344.34826554547755</v>
          </cell>
          <cell r="EF69">
            <v>539.07883407810743</v>
          </cell>
          <cell r="EG69">
            <v>793.72576820734969</v>
          </cell>
          <cell r="EH69">
            <v>1106.9563767420782</v>
          </cell>
          <cell r="EI69">
            <v>1485.1503181511098</v>
          </cell>
          <cell r="EJ69">
            <v>1917.3740571911694</v>
          </cell>
          <cell r="EK69">
            <v>2388.7590061594401</v>
          </cell>
          <cell r="EL69">
            <v>3007.1487841372864</v>
          </cell>
          <cell r="EM69">
            <v>3765.4987895980721</v>
          </cell>
          <cell r="EN69">
            <v>4640.3274693360108</v>
          </cell>
          <cell r="EO69">
            <v>5891.2686641630407</v>
          </cell>
          <cell r="EP69">
            <v>7415.9230409663269</v>
          </cell>
          <cell r="EQ69">
            <v>9270.7084746072542</v>
          </cell>
          <cell r="ER69">
            <v>11522.499571181903</v>
          </cell>
        </row>
        <row r="70">
          <cell r="A70" t="str">
            <v>% of revenues</v>
          </cell>
          <cell r="AU70" t="str">
            <v>NA</v>
          </cell>
          <cell r="AV70" t="str">
            <v>NA</v>
          </cell>
          <cell r="AW70">
            <v>0.9302264349657714</v>
          </cell>
          <cell r="AX70">
            <v>0.93598115833422535</v>
          </cell>
          <cell r="AY70">
            <v>0.93709364181372967</v>
          </cell>
          <cell r="AZ70">
            <v>0.90527907616167158</v>
          </cell>
          <cell r="BA70">
            <v>0.89306811332127789</v>
          </cell>
          <cell r="BB70">
            <v>0.86045422617653944</v>
          </cell>
          <cell r="BC70">
            <v>0.84182135491036014</v>
          </cell>
          <cell r="BD70">
            <v>0.84029698515247209</v>
          </cell>
          <cell r="BE70">
            <v>0.88694914758604548</v>
          </cell>
          <cell r="BF70">
            <v>0.8820001020981163</v>
          </cell>
          <cell r="BG70">
            <v>0.8336530960764057</v>
          </cell>
          <cell r="BH70">
            <v>0.82467326593158841</v>
          </cell>
          <cell r="BI70">
            <v>0.85910327142746146</v>
          </cell>
          <cell r="BJ70">
            <v>0.83667278678055401</v>
          </cell>
          <cell r="BK70">
            <v>0.8320042892302123</v>
          </cell>
          <cell r="BL70">
            <v>0.78116468751571422</v>
          </cell>
          <cell r="BM70">
            <v>0.81995545772369516</v>
          </cell>
          <cell r="BN70">
            <v>0.81264080472099642</v>
          </cell>
          <cell r="BO70">
            <v>0.81104645148006682</v>
          </cell>
          <cell r="BP70">
            <v>0.75873184576774466</v>
          </cell>
          <cell r="BQ70">
            <v>0.79751150359899436</v>
          </cell>
          <cell r="BR70">
            <v>0.79403275138820251</v>
          </cell>
          <cell r="BS70">
            <v>0.79940265031381441</v>
          </cell>
          <cell r="BT70">
            <v>0.76222700389121256</v>
          </cell>
          <cell r="BU70">
            <v>0.79893231049333024</v>
          </cell>
          <cell r="BV70">
            <v>0.79673171524199116</v>
          </cell>
          <cell r="BW70">
            <v>0.80749768219868567</v>
          </cell>
          <cell r="BX70">
            <v>0.77908524716145011</v>
          </cell>
          <cell r="BY70">
            <v>0.80405967352887808</v>
          </cell>
          <cell r="BZ70">
            <v>0.79465621219919069</v>
          </cell>
          <cell r="CA70">
            <v>0.79649059664260946</v>
          </cell>
          <cell r="CB70">
            <v>0.77231734019322318</v>
          </cell>
          <cell r="CC70">
            <v>0.77484919857483803</v>
          </cell>
          <cell r="CD70">
            <v>0.75747964854230065</v>
          </cell>
          <cell r="CE70">
            <v>0.75607417255268039</v>
          </cell>
          <cell r="CF70">
            <v>0.73700028961595621</v>
          </cell>
          <cell r="CG70">
            <v>0.73154764375206593</v>
          </cell>
          <cell r="CH70">
            <v>0.71897968100914322</v>
          </cell>
          <cell r="CI70">
            <v>0.70853304082786361</v>
          </cell>
          <cell r="CJ70">
            <v>0.69042000868315401</v>
          </cell>
          <cell r="CK70">
            <v>0.68755320328125713</v>
          </cell>
          <cell r="CL70">
            <v>0.67765829361604146</v>
          </cell>
          <cell r="CM70">
            <v>0.67344255037931422</v>
          </cell>
          <cell r="CN70">
            <v>0.66655698247059825</v>
          </cell>
          <cell r="CO70">
            <v>0.6644625473739354</v>
          </cell>
          <cell r="CP70">
            <v>0.65844972457444628</v>
          </cell>
          <cell r="CQ70">
            <v>0.66022165115104758</v>
          </cell>
          <cell r="CR70">
            <v>0.65208600088780477</v>
          </cell>
          <cell r="CS70">
            <v>0.65290873472712319</v>
          </cell>
          <cell r="CT70">
            <v>0.65080450506132637</v>
          </cell>
          <cell r="CU70">
            <v>0.65126325578349997</v>
          </cell>
          <cell r="CV70">
            <v>0.64471663172100735</v>
          </cell>
          <cell r="CW70">
            <v>0.64341830600703143</v>
          </cell>
          <cell r="CX70">
            <v>0.64111907468303886</v>
          </cell>
          <cell r="CY70">
            <v>0.64178652388570712</v>
          </cell>
          <cell r="CZ70">
            <v>0.63645337310628969</v>
          </cell>
          <cell r="DA70">
            <v>0.63522171872698141</v>
          </cell>
          <cell r="DB70">
            <v>0.63359497618925786</v>
          </cell>
          <cell r="DC70">
            <v>0.6347954758392621</v>
          </cell>
          <cell r="DD70">
            <v>0.63045593578807435</v>
          </cell>
          <cell r="DE70">
            <v>0.6293179257184075</v>
          </cell>
          <cell r="DF70">
            <v>0.62815456329180031</v>
          </cell>
          <cell r="DG70">
            <v>0.62977916523933297</v>
          </cell>
          <cell r="DH70">
            <v>0.62617414219919743</v>
          </cell>
          <cell r="DI70">
            <v>0.6250767497022337</v>
          </cell>
          <cell r="DJ70">
            <v>0.62422838788657709</v>
          </cell>
          <cell r="DK70">
            <v>0.6262031831621836</v>
          </cell>
          <cell r="DL70">
            <v>0.62309816994596601</v>
          </cell>
          <cell r="DM70">
            <v>0.62197308866396406</v>
          </cell>
          <cell r="DN70">
            <v>0.62133462558543939</v>
          </cell>
          <cell r="DP70" t="str">
            <v>NA</v>
          </cell>
          <cell r="DQ70" t="str">
            <v>NA</v>
          </cell>
          <cell r="DR70" t="str">
            <v>NA</v>
          </cell>
          <cell r="DS70" t="str">
            <v>NA</v>
          </cell>
          <cell r="DT70" t="str">
            <v>NA</v>
          </cell>
          <cell r="DU70" t="str">
            <v>NA</v>
          </cell>
          <cell r="DV70" t="str">
            <v>NA</v>
          </cell>
          <cell r="DW70" t="str">
            <v>NA</v>
          </cell>
          <cell r="DX70" t="str">
            <v>NA</v>
          </cell>
          <cell r="DY70" t="str">
            <v>NA</v>
          </cell>
          <cell r="DZ70">
            <v>0</v>
          </cell>
          <cell r="EA70">
            <v>0.56460714285714286</v>
          </cell>
          <cell r="EB70">
            <v>0.89310805769709034</v>
          </cell>
          <cell r="EC70">
            <v>0.86581111143705658</v>
          </cell>
          <cell r="ED70">
            <v>0.83921185661764708</v>
          </cell>
          <cell r="EE70">
            <v>0.8108990122347286</v>
          </cell>
          <cell r="EF70">
            <v>0.7897861942093366</v>
          </cell>
          <cell r="EG70">
            <v>0.78939985699103887</v>
          </cell>
          <cell r="EH70">
            <v>0.79607768984689697</v>
          </cell>
          <cell r="EI70">
            <v>0.77412299342667223</v>
          </cell>
          <cell r="EJ70">
            <v>0.73495948245915743</v>
          </cell>
          <cell r="EK70">
            <v>0.69030559035157701</v>
          </cell>
          <cell r="EL70">
            <v>0.66537436223632762</v>
          </cell>
          <cell r="EM70">
            <v>0.65384814058569174</v>
          </cell>
          <cell r="EN70">
            <v>0.64488418231157885</v>
          </cell>
          <cell r="EO70">
            <v>0.63656483716288714</v>
          </cell>
          <cell r="EP70">
            <v>0.63051871373234747</v>
          </cell>
          <cell r="EQ70">
            <v>0.62617822014968427</v>
          </cell>
          <cell r="ER70">
            <v>0.62303169850525619</v>
          </cell>
        </row>
        <row r="71">
          <cell r="A71" t="str">
            <v>% of subscription revenues</v>
          </cell>
          <cell r="AU71" t="str">
            <v>NA</v>
          </cell>
          <cell r="AV71" t="str">
            <v>NA</v>
          </cell>
          <cell r="AW71">
            <v>1</v>
          </cell>
          <cell r="AX71">
            <v>1</v>
          </cell>
          <cell r="AY71">
            <v>1</v>
          </cell>
          <cell r="AZ71">
            <v>0.99999999999999989</v>
          </cell>
          <cell r="BA71">
            <v>1</v>
          </cell>
          <cell r="BB71">
            <v>1</v>
          </cell>
          <cell r="BC71">
            <v>1</v>
          </cell>
          <cell r="BD71">
            <v>1</v>
          </cell>
          <cell r="BE71">
            <v>1</v>
          </cell>
          <cell r="BF71">
            <v>1</v>
          </cell>
          <cell r="BG71">
            <v>1</v>
          </cell>
          <cell r="BH71">
            <v>1</v>
          </cell>
          <cell r="BI71">
            <v>1</v>
          </cell>
          <cell r="BJ71">
            <v>1.0000000000000002</v>
          </cell>
          <cell r="BK71">
            <v>0.99921206031687881</v>
          </cell>
          <cell r="BL71">
            <v>0.99348333690692925</v>
          </cell>
          <cell r="BM71">
            <v>0.98102443512216753</v>
          </cell>
          <cell r="BN71">
            <v>0.97033703899016377</v>
          </cell>
          <cell r="BO71">
            <v>0.96109436367507994</v>
          </cell>
          <cell r="BP71">
            <v>0.95328536214016912</v>
          </cell>
          <cell r="BQ71">
            <v>0.94784677376807058</v>
          </cell>
          <cell r="BR71">
            <v>0.94285288187698824</v>
          </cell>
          <cell r="BS71">
            <v>0.94184541663813715</v>
          </cell>
          <cell r="BT71">
            <v>0.93810565392781842</v>
          </cell>
          <cell r="BU71">
            <v>0.93473877677024642</v>
          </cell>
          <cell r="BV71">
            <v>0.93005539169632756</v>
          </cell>
          <cell r="BW71">
            <v>0.92362103167746767</v>
          </cell>
          <cell r="BX71">
            <v>0.91479310125316537</v>
          </cell>
          <cell r="BY71">
            <v>0.90168112084520435</v>
          </cell>
          <cell r="BZ71">
            <v>0.88934511129880411</v>
          </cell>
          <cell r="CA71">
            <v>0.88113046362349401</v>
          </cell>
          <cell r="CB71">
            <v>0.85975043280966601</v>
          </cell>
          <cell r="CC71">
            <v>0.84874072782274346</v>
          </cell>
          <cell r="CD71">
            <v>0.8322896650985866</v>
          </cell>
          <cell r="CE71">
            <v>0.81994301035261674</v>
          </cell>
          <cell r="CF71">
            <v>0.79463994239338787</v>
          </cell>
          <cell r="CG71">
            <v>0.78587369645478344</v>
          </cell>
          <cell r="CH71">
            <v>0.77219250330766165</v>
          </cell>
          <cell r="CI71">
            <v>0.75539285576776194</v>
          </cell>
          <cell r="CJ71">
            <v>0.7371986121711277</v>
          </cell>
          <cell r="CK71">
            <v>0.72948858765884439</v>
          </cell>
          <cell r="CL71">
            <v>0.71728408413325073</v>
          </cell>
          <cell r="CM71">
            <v>0.70840299724328648</v>
          </cell>
          <cell r="CN71">
            <v>0.70286315318019832</v>
          </cell>
          <cell r="CO71">
            <v>0.7013487891758251</v>
          </cell>
          <cell r="CP71">
            <v>0.69523108724693894</v>
          </cell>
          <cell r="CQ71">
            <v>0.69238994396879672</v>
          </cell>
          <cell r="CR71">
            <v>0.68291730137598894</v>
          </cell>
          <cell r="CS71">
            <v>0.68394512086425607</v>
          </cell>
          <cell r="CT71">
            <v>0.68109483740864241</v>
          </cell>
          <cell r="CU71">
            <v>0.68057721416955463</v>
          </cell>
          <cell r="CV71">
            <v>0.67257800117367428</v>
          </cell>
          <cell r="CW71">
            <v>0.67041239695375598</v>
          </cell>
          <cell r="CX71">
            <v>0.6672213048352067</v>
          </cell>
          <cell r="CY71">
            <v>0.66717711448333428</v>
          </cell>
          <cell r="CZ71">
            <v>0.66066338159607707</v>
          </cell>
          <cell r="DA71">
            <v>0.65870624930448862</v>
          </cell>
          <cell r="DB71">
            <v>0.65651160541503906</v>
          </cell>
          <cell r="DC71">
            <v>0.65730942697025085</v>
          </cell>
          <cell r="DD71">
            <v>0.65189843675370862</v>
          </cell>
          <cell r="DE71">
            <v>0.65006953470657713</v>
          </cell>
          <cell r="DF71">
            <v>0.6485050867293134</v>
          </cell>
          <cell r="DG71">
            <v>0.64990334500888014</v>
          </cell>
          <cell r="DH71">
            <v>0.64530797466070178</v>
          </cell>
          <cell r="DI71">
            <v>0.64354456548666528</v>
          </cell>
          <cell r="DJ71">
            <v>0.64239661104442769</v>
          </cell>
          <cell r="DK71">
            <v>0.64426576656172896</v>
          </cell>
          <cell r="DL71">
            <v>0.64027030187186118</v>
          </cell>
          <cell r="DM71">
            <v>0.63852422810229559</v>
          </cell>
          <cell r="DN71">
            <v>0.63766137121276745</v>
          </cell>
          <cell r="DP71" t="str">
            <v>NA</v>
          </cell>
          <cell r="DQ71" t="str">
            <v>NA</v>
          </cell>
          <cell r="DR71" t="str">
            <v>NA</v>
          </cell>
          <cell r="DS71" t="str">
            <v>NA</v>
          </cell>
          <cell r="DT71" t="str">
            <v>NA</v>
          </cell>
          <cell r="DU71" t="str">
            <v>NA</v>
          </cell>
          <cell r="DV71" t="str">
            <v>NA</v>
          </cell>
          <cell r="DW71" t="str">
            <v>NA</v>
          </cell>
          <cell r="DX71" t="str">
            <v>NA</v>
          </cell>
          <cell r="DY71" t="str">
            <v>NA</v>
          </cell>
          <cell r="DZ71" t="str">
            <v>NA</v>
          </cell>
          <cell r="EA71">
            <v>1</v>
          </cell>
          <cell r="EB71">
            <v>1</v>
          </cell>
          <cell r="EC71">
            <v>1</v>
          </cell>
          <cell r="ED71">
            <v>1.0000000000000002</v>
          </cell>
          <cell r="EE71">
            <v>0.98440345320658862</v>
          </cell>
          <cell r="EF71">
            <v>0.95039259062776227</v>
          </cell>
          <cell r="EG71">
            <v>0.93569062053636853</v>
          </cell>
          <cell r="EH71">
            <v>0.90612396685279206</v>
          </cell>
          <cell r="EI71">
            <v>0.85378000468589221</v>
          </cell>
          <cell r="EJ71">
            <v>0.79187368885855292</v>
          </cell>
          <cell r="EK71">
            <v>0.73385592366865449</v>
          </cell>
          <cell r="EL71">
            <v>0.70165450770003479</v>
          </cell>
          <cell r="EM71">
            <v>0.68489561612497352</v>
          </cell>
          <cell r="EN71">
            <v>0.67236363059508086</v>
          </cell>
          <cell r="EO71">
            <v>0.66049786662082288</v>
          </cell>
          <cell r="EP71">
            <v>0.65172469025624113</v>
          </cell>
          <cell r="EQ71">
            <v>0.64509884868185507</v>
          </cell>
          <cell r="ER71">
            <v>0.64001301389249377</v>
          </cell>
        </row>
        <row r="72">
          <cell r="A72" t="str">
            <v>% growth y-o-y</v>
          </cell>
          <cell r="AU72" t="str">
            <v>NA</v>
          </cell>
          <cell r="AV72" t="str">
            <v>NA</v>
          </cell>
          <cell r="AW72" t="str">
            <v>NA</v>
          </cell>
          <cell r="AX72" t="str">
            <v>NA</v>
          </cell>
          <cell r="AY72" t="str">
            <v>NA</v>
          </cell>
          <cell r="AZ72" t="str">
            <v>NA</v>
          </cell>
          <cell r="BA72">
            <v>1.0968015850551942</v>
          </cell>
          <cell r="BB72">
            <v>1.1016813450760607</v>
          </cell>
          <cell r="BC72">
            <v>0.91241665164894559</v>
          </cell>
          <cell r="BD72">
            <v>0.88124700075930162</v>
          </cell>
          <cell r="BE72">
            <v>1.0471787257019436</v>
          </cell>
          <cell r="BF72">
            <v>0.8805442176870748</v>
          </cell>
          <cell r="BG72">
            <v>0.86303241613267989</v>
          </cell>
          <cell r="BH72">
            <v>0.88973024443834281</v>
          </cell>
          <cell r="BI72">
            <v>0.8225248096007387</v>
          </cell>
          <cell r="BJ72">
            <v>0.81988134857473627</v>
          </cell>
          <cell r="BK72">
            <v>0.80829054935776079</v>
          </cell>
          <cell r="BL72">
            <v>0.70551509370421495</v>
          </cell>
          <cell r="BM72">
            <v>0.65030887445287711</v>
          </cell>
          <cell r="BN72">
            <v>0.61827764486865711</v>
          </cell>
          <cell r="BO72">
            <v>0.57770490069150626</v>
          </cell>
          <cell r="BP72">
            <v>0.58447506723909659</v>
          </cell>
          <cell r="BQ72">
            <v>0.56230296942272417</v>
          </cell>
          <cell r="BR72">
            <v>0.5449177885250156</v>
          </cell>
          <cell r="BS72">
            <v>0.50205575880750652</v>
          </cell>
          <cell r="BT72">
            <v>0.48630952058260335</v>
          </cell>
          <cell r="BU72">
            <v>0.46389303389018566</v>
          </cell>
          <cell r="BV72">
            <v>0.44755126709374493</v>
          </cell>
          <cell r="BW72">
            <v>0.45768356013057154</v>
          </cell>
          <cell r="BX72">
            <v>0.41401785142901337</v>
          </cell>
          <cell r="BY72">
            <v>0.37833181542596761</v>
          </cell>
          <cell r="BZ72">
            <v>0.34661765054255067</v>
          </cell>
          <cell r="CA72">
            <v>0.38265908267946713</v>
          </cell>
          <cell r="CB72">
            <v>0.30192898736747731</v>
          </cell>
          <cell r="CC72">
            <v>0.3266511551579161</v>
          </cell>
          <cell r="CD72">
            <v>0.35714496529530004</v>
          </cell>
          <cell r="CE72">
            <v>0.30447962382297677</v>
          </cell>
          <cell r="CF72">
            <v>0.34341973526770486</v>
          </cell>
          <cell r="CG72">
            <v>0.29065371218164859</v>
          </cell>
          <cell r="CH72">
            <v>0.23672621186377252</v>
          </cell>
          <cell r="CI72">
            <v>0.25473790974842836</v>
          </cell>
          <cell r="CJ72">
            <v>0.23792367026871664</v>
          </cell>
          <cell r="CK72">
            <v>0.23690941167639945</v>
          </cell>
          <cell r="CL72">
            <v>0.25387473866384558</v>
          </cell>
          <cell r="CM72">
            <v>0.26059913501997278</v>
          </cell>
          <cell r="CN72">
            <v>0.23974753300527829</v>
          </cell>
          <cell r="CO72">
            <v>0.25676554341850055</v>
          </cell>
          <cell r="CP72">
            <v>0.27644667761059205</v>
          </cell>
          <cell r="CQ72">
            <v>0.25696047223761087</v>
          </cell>
          <cell r="CR72">
            <v>0.29938416348670538</v>
          </cell>
          <cell r="CS72">
            <v>0.24529291476382231</v>
          </cell>
          <cell r="CT72">
            <v>0.21357473111858094</v>
          </cell>
          <cell r="CU72">
            <v>0.20099456340375221</v>
          </cell>
          <cell r="CV72">
            <v>0.21168345264742494</v>
          </cell>
          <cell r="CW72">
            <v>0.24839679994976405</v>
          </cell>
          <cell r="CX72">
            <v>0.26393696994839821</v>
          </cell>
          <cell r="CY72">
            <v>0.26561559634201304</v>
          </cell>
          <cell r="CZ72">
            <v>0.27175530099266121</v>
          </cell>
          <cell r="DA72">
            <v>0.27424000187563524</v>
          </cell>
          <cell r="DB72">
            <v>0.26659376362850229</v>
          </cell>
          <cell r="DC72">
            <v>0.25623319950318013</v>
          </cell>
          <cell r="DD72">
            <v>0.2603713458690402</v>
          </cell>
          <cell r="DE72">
            <v>0.26211892372980916</v>
          </cell>
          <cell r="DF72">
            <v>0.25640634443701349</v>
          </cell>
          <cell r="DG72">
            <v>0.24850606421596999</v>
          </cell>
          <cell r="DH72">
            <v>0.25124886001999691</v>
          </cell>
          <cell r="DI72">
            <v>0.25250157810159357</v>
          </cell>
          <cell r="DJ72">
            <v>0.2481559724046416</v>
          </cell>
          <cell r="DK72">
            <v>0.24202108706368208</v>
          </cell>
          <cell r="DL72">
            <v>0.24371629738535572</v>
          </cell>
          <cell r="DM72">
            <v>0.24460122129294692</v>
          </cell>
          <cell r="DN72">
            <v>0.24125512547198524</v>
          </cell>
          <cell r="DQ72" t="str">
            <v>NA</v>
          </cell>
          <cell r="DR72" t="str">
            <v>NA</v>
          </cell>
          <cell r="DS72" t="str">
            <v>NA</v>
          </cell>
          <cell r="DT72" t="str">
            <v>NA</v>
          </cell>
          <cell r="DU72" t="str">
            <v>NA</v>
          </cell>
          <cell r="DV72" t="str">
            <v>NA</v>
          </cell>
          <cell r="DW72" t="str">
            <v>NA</v>
          </cell>
          <cell r="DX72" t="str">
            <v>NA</v>
          </cell>
          <cell r="DY72" t="str">
            <v>NA</v>
          </cell>
          <cell r="DZ72" t="str">
            <v>NA</v>
          </cell>
          <cell r="EA72" t="str">
            <v>NA</v>
          </cell>
          <cell r="EB72">
            <v>2.6345752419507873</v>
          </cell>
          <cell r="EC72">
            <v>0.92982862562870894</v>
          </cell>
          <cell r="ED72">
            <v>0.84447051545892315</v>
          </cell>
          <cell r="EE72">
            <v>0.68364054225613136</v>
          </cell>
          <cell r="EF72">
            <v>0.56550471722039819</v>
          </cell>
          <cell r="EG72">
            <v>0.47237420212336945</v>
          </cell>
          <cell r="EH72">
            <v>0.39463328655962382</v>
          </cell>
          <cell r="EI72">
            <v>0.34165207351901916</v>
          </cell>
          <cell r="EJ72">
            <v>0.29103029757832366</v>
          </cell>
          <cell r="EK72">
            <v>0.24584923698134298</v>
          </cell>
          <cell r="EL72">
            <v>0.25887491219638381</v>
          </cell>
          <cell r="EM72">
            <v>0.25218240263371161</v>
          </cell>
          <cell r="EN72">
            <v>0.2323274361831138</v>
          </cell>
          <cell r="EO72">
            <v>0.2695803697246455</v>
          </cell>
          <cell r="EP72">
            <v>0.25879898943972024</v>
          </cell>
          <cell r="EQ72">
            <v>0.25010850616907709</v>
          </cell>
          <cell r="ER72">
            <v>0.24289309740915388</v>
          </cell>
        </row>
        <row r="73">
          <cell r="A73" t="str">
            <v>% growth seq</v>
          </cell>
          <cell r="AU73" t="str">
            <v>NA</v>
          </cell>
          <cell r="AV73" t="str">
            <v>NA</v>
          </cell>
          <cell r="AW73" t="str">
            <v>NA</v>
          </cell>
          <cell r="AX73">
            <v>0.23733371072742715</v>
          </cell>
          <cell r="AY73">
            <v>0.26935834381791146</v>
          </cell>
          <cell r="AZ73">
            <v>0.18670030636150625</v>
          </cell>
          <cell r="BA73">
            <v>0.12498101746393342</v>
          </cell>
          <cell r="BB73">
            <v>0.24021328293736488</v>
          </cell>
          <cell r="BC73">
            <v>0.1550476190476191</v>
          </cell>
          <cell r="BD73">
            <v>0.16735879193365988</v>
          </cell>
          <cell r="BE73">
            <v>0.22420777539639847</v>
          </cell>
          <cell r="BF73">
            <v>0.13926345982658006</v>
          </cell>
          <cell r="BG73">
            <v>0.14429170886991738</v>
          </cell>
          <cell r="BH73">
            <v>0.18408740294883796</v>
          </cell>
          <cell r="BI73">
            <v>0.18067065356685186</v>
          </cell>
          <cell r="BJ73">
            <v>0.13761102769587019</v>
          </cell>
          <cell r="BK73">
            <v>0.13700373075335071</v>
          </cell>
          <cell r="BL73">
            <v>0.1167889688476853</v>
          </cell>
          <cell r="BM73">
            <v>0.1424532474559117</v>
          </cell>
          <cell r="BN73">
            <v>0.11553087011461294</v>
          </cell>
          <cell r="BO73">
            <v>0.10849727412484911</v>
          </cell>
          <cell r="BP73">
            <v>0.12158127653101469</v>
          </cell>
          <cell r="BQ73">
            <v>0.12646651110583296</v>
          </cell>
          <cell r="BR73">
            <v>0.10311733294961156</v>
          </cell>
          <cell r="BS73">
            <v>7.7743247303345031E-2</v>
          </cell>
          <cell r="BT73">
            <v>0.10982359985004431</v>
          </cell>
          <cell r="BU73">
            <v>0.10947716857254974</v>
          </cell>
          <cell r="BV73">
            <v>9.0802986349936221E-2</v>
          </cell>
          <cell r="BW73">
            <v>8.5287028755771876E-2</v>
          </cell>
          <cell r="BX73">
            <v>7.6578226610857891E-2</v>
          </cell>
          <cell r="BY73">
            <v>8.1476926466536259E-2</v>
          </cell>
          <cell r="BZ73">
            <v>6.5704599026028765E-2</v>
          </cell>
          <cell r="CA73">
            <v>0.11433409997173083</v>
          </cell>
          <cell r="CB73">
            <v>1.3719446790253498E-2</v>
          </cell>
          <cell r="CC73">
            <v>0.10201295746132599</v>
          </cell>
          <cell r="CD73">
            <v>9.0200408326679637E-2</v>
          </cell>
          <cell r="CE73">
            <v>7.1091272278304807E-2</v>
          </cell>
          <cell r="CF73">
            <v>4.3980056086713626E-2</v>
          </cell>
          <cell r="CG73">
            <v>5.8728762932986678E-2</v>
          </cell>
          <cell r="CH73">
            <v>4.4648466460563307E-2</v>
          </cell>
          <cell r="CI73">
            <v>8.6690660581149048E-2</v>
          </cell>
          <cell r="CJ73">
            <v>2.9990098073406912E-2</v>
          </cell>
          <cell r="CK73">
            <v>5.7861322742183141E-2</v>
          </cell>
          <cell r="CL73">
            <v>5.8976761364890606E-2</v>
          </cell>
          <cell r="CM73">
            <v>9.2518466575578717E-2</v>
          </cell>
          <cell r="CN73">
            <v>1.2953005942003548E-2</v>
          </cell>
          <cell r="CO73">
            <v>7.2382581729915518E-2</v>
          </cell>
          <cell r="CP73">
            <v>7.5560493991771116E-2</v>
          </cell>
          <cell r="CQ73">
            <v>7.5840105006008685E-2</v>
          </cell>
          <cell r="CR73">
            <v>4.7141197633843834E-2</v>
          </cell>
          <cell r="CS73">
            <v>2.7741039540584378E-2</v>
          </cell>
          <cell r="CT73">
            <v>4.8165473217508081E-2</v>
          </cell>
          <cell r="CU73">
            <v>6.4687723032102795E-2</v>
          </cell>
          <cell r="CV73">
            <v>5.6460787101654253E-2</v>
          </cell>
          <cell r="CW73">
            <v>5.8881032117919396E-2</v>
          </cell>
          <cell r="CX73">
            <v>6.1213143350236976E-2</v>
          </cell>
          <cell r="CY73">
            <v>6.6101727808711486E-2</v>
          </cell>
          <cell r="CZ73">
            <v>6.1585848160116807E-2</v>
          </cell>
          <cell r="DA73">
            <v>6.0949828397686812E-2</v>
          </cell>
          <cell r="DB73">
            <v>5.4845199702964198E-2</v>
          </cell>
          <cell r="DC73">
            <v>5.7381161173805317E-2</v>
          </cell>
          <cell r="DD73">
            <v>6.5082808454869134E-2</v>
          </cell>
          <cell r="DE73">
            <v>6.2420896775725598E-2</v>
          </cell>
          <cell r="DF73">
            <v>5.0070778900271229E-2</v>
          </cell>
          <cell r="DG73">
            <v>5.0732350850049457E-2</v>
          </cell>
          <cell r="DH73">
            <v>6.7422648638028715E-2</v>
          </cell>
          <cell r="DI73">
            <v>6.3484565171503915E-2</v>
          </cell>
          <cell r="DJ73">
            <v>4.64275151800706E-2</v>
          </cell>
          <cell r="DK73">
            <v>4.556783404364162E-2</v>
          </cell>
          <cell r="DL73">
            <v>6.8879552961478963E-2</v>
          </cell>
          <cell r="DM73">
            <v>6.424125133783698E-2</v>
          </cell>
          <cell r="DN73">
            <v>4.3614207049257558E-2</v>
          </cell>
        </row>
        <row r="75">
          <cell r="A75" t="str">
            <v>ITSM</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7.0659999999999998</v>
          </cell>
          <cell r="AX75">
            <v>8.7430000000000003</v>
          </cell>
          <cell r="AY75">
            <v>9.2839077681208408</v>
          </cell>
          <cell r="AZ75">
            <v>11.140493333653588</v>
          </cell>
          <cell r="BA75">
            <v>11.800535763149909</v>
          </cell>
          <cell r="BB75">
            <v>14.758725049943529</v>
          </cell>
          <cell r="BC75">
            <v>19.170085709537791</v>
          </cell>
          <cell r="BD75">
            <v>22.470944774021913</v>
          </cell>
          <cell r="BE75">
            <v>27.008821227197888</v>
          </cell>
          <cell r="BF75">
            <v>30.554313719115989</v>
          </cell>
          <cell r="BG75">
            <v>36.9870796225646</v>
          </cell>
          <cell r="BH75">
            <v>43.876111535527301</v>
          </cell>
          <cell r="BI75">
            <v>51.034557829703992</v>
          </cell>
          <cell r="BJ75">
            <v>57.705711028395001</v>
          </cell>
          <cell r="BK75">
            <v>67.277568785525958</v>
          </cell>
          <cell r="BL75">
            <v>74.396151485925742</v>
          </cell>
          <cell r="BM75">
            <v>83.954175912664851</v>
          </cell>
          <cell r="BN75">
            <v>92.931520907780651</v>
          </cell>
          <cell r="BO75">
            <v>104.18052616260026</v>
          </cell>
          <cell r="BP75">
            <v>116.14170456739832</v>
          </cell>
          <cell r="BQ75">
            <v>129.6584436665089</v>
          </cell>
          <cell r="BR75">
            <v>141.70811698476447</v>
          </cell>
          <cell r="BS75">
            <v>152.77637181063719</v>
          </cell>
          <cell r="BT75">
            <v>169.15268933291648</v>
          </cell>
          <cell r="BU75">
            <v>186.1435662505169</v>
          </cell>
          <cell r="BV75">
            <v>201.81724595505844</v>
          </cell>
          <cell r="BW75">
            <v>217.96256979585218</v>
          </cell>
          <cell r="BX75">
            <v>232.94070773376927</v>
          </cell>
          <cell r="BY75">
            <v>250.91577622366142</v>
          </cell>
          <cell r="BZ75">
            <v>262.7138505772802</v>
          </cell>
          <cell r="CA75">
            <v>277.48266634220431</v>
          </cell>
          <cell r="CB75">
            <v>295.56443709601757</v>
          </cell>
          <cell r="CC75">
            <v>316.72672816915258</v>
          </cell>
          <cell r="CD75">
            <v>340.33932847364639</v>
          </cell>
          <cell r="CE75">
            <v>345.28311635664062</v>
          </cell>
          <cell r="CF75">
            <v>378.99796391818558</v>
          </cell>
          <cell r="CG75">
            <v>392.94146283243157</v>
          </cell>
          <cell r="CH75">
            <v>401.8624891720205</v>
          </cell>
          <cell r="CI75">
            <v>421.14864474648499</v>
          </cell>
          <cell r="CJ75">
            <v>448.09713214695228</v>
          </cell>
          <cell r="CK75">
            <v>464.89225704396955</v>
          </cell>
          <cell r="CL75">
            <v>484.47154705850357</v>
          </cell>
          <cell r="CM75">
            <v>514.98555830420196</v>
          </cell>
          <cell r="CN75">
            <v>531.69642729950795</v>
          </cell>
          <cell r="CO75">
            <v>560.57903976336843</v>
          </cell>
          <cell r="CP75">
            <v>593.50675505067966</v>
          </cell>
          <cell r="CQ75">
            <v>616.88284951997628</v>
          </cell>
          <cell r="CR75">
            <v>663.87197668608871</v>
          </cell>
          <cell r="CS75">
            <v>670.78874665126079</v>
          </cell>
          <cell r="CT75">
            <v>691.67316947964139</v>
          </cell>
          <cell r="CU75">
            <v>707.90094069822919</v>
          </cell>
          <cell r="CV75">
            <v>762.89204338928641</v>
          </cell>
          <cell r="CW75">
            <v>799.50986758205238</v>
          </cell>
          <cell r="CX75">
            <v>835.37540029157526</v>
          </cell>
          <cell r="CY75">
            <v>856.30605738714451</v>
          </cell>
          <cell r="CZ75">
            <v>922.50585354328746</v>
          </cell>
          <cell r="DA75">
            <v>969.50970709205603</v>
          </cell>
          <cell r="DB75">
            <v>1008.1944284235115</v>
          </cell>
          <cell r="DC75">
            <v>1026.5653499475102</v>
          </cell>
          <cell r="DD75">
            <v>1104.9780889515089</v>
          </cell>
          <cell r="DE75">
            <v>1163.5601207059408</v>
          </cell>
          <cell r="DF75">
            <v>1205.4952780452709</v>
          </cell>
          <cell r="DG75">
            <v>1220.6274424618173</v>
          </cell>
          <cell r="DH75">
            <v>1312.2995721171899</v>
          </cell>
          <cell r="DI75">
            <v>1383.7334379511055</v>
          </cell>
          <cell r="DJ75">
            <v>1429.3245793262126</v>
          </cell>
          <cell r="DK75">
            <v>1440.2822198422341</v>
          </cell>
          <cell r="DL75">
            <v>1546.2185442910138</v>
          </cell>
          <cell r="DM75">
            <v>1631.7979158849557</v>
          </cell>
          <cell r="DN75">
            <v>1681.4069665632283</v>
          </cell>
          <cell r="DP75">
            <v>0</v>
          </cell>
          <cell r="DQ75">
            <v>0</v>
          </cell>
          <cell r="DR75">
            <v>0</v>
          </cell>
          <cell r="DS75">
            <v>0</v>
          </cell>
          <cell r="DT75">
            <v>0</v>
          </cell>
          <cell r="DU75">
            <v>0</v>
          </cell>
          <cell r="DV75">
            <v>0</v>
          </cell>
          <cell r="DW75">
            <v>0</v>
          </cell>
          <cell r="DX75">
            <v>0</v>
          </cell>
          <cell r="DY75">
            <v>0</v>
          </cell>
          <cell r="DZ75">
            <v>0</v>
          </cell>
          <cell r="EA75">
            <v>15.809000000000001</v>
          </cell>
          <cell r="EB75">
            <v>46.983661914867866</v>
          </cell>
          <cell r="EC75">
            <v>99.204165429873584</v>
          </cell>
          <cell r="ED75">
            <v>189.60346001619089</v>
          </cell>
          <cell r="EE75">
            <v>318.55941709189722</v>
          </cell>
          <cell r="EF75">
            <v>491.68879138127193</v>
          </cell>
          <cell r="EG75">
            <v>709.88987334912895</v>
          </cell>
          <cell r="EH75">
            <v>964.53290433056304</v>
          </cell>
          <cell r="EI75">
            <v>1230.1131600810209</v>
          </cell>
          <cell r="EJ75">
            <v>1519.0850322792783</v>
          </cell>
          <cell r="EK75">
            <v>1818.6095809959104</v>
          </cell>
          <cell r="EL75">
            <v>2200.7677804177583</v>
          </cell>
          <cell r="EM75">
            <v>2643.2167423369669</v>
          </cell>
          <cell r="EN75">
            <v>3105.6782519611434</v>
          </cell>
          <cell r="EO75">
            <v>3756.5160464459996</v>
          </cell>
          <cell r="EP75">
            <v>4500.5988376502301</v>
          </cell>
          <cell r="EQ75">
            <v>5345.9850318563258</v>
          </cell>
          <cell r="ER75">
            <v>6299.7056465814312</v>
          </cell>
        </row>
        <row r="76">
          <cell r="A76" t="str">
            <v>% of revenues</v>
          </cell>
          <cell r="AU76" t="str">
            <v>NA</v>
          </cell>
          <cell r="AV76" t="str">
            <v>NA</v>
          </cell>
          <cell r="AW76">
            <v>0.9302264349657714</v>
          </cell>
          <cell r="AX76">
            <v>0.93598115833422535</v>
          </cell>
          <cell r="AY76">
            <v>0.78391520460363429</v>
          </cell>
          <cell r="AZ76">
            <v>0.76577490608012011</v>
          </cell>
          <cell r="BA76">
            <v>0.71130414485532911</v>
          </cell>
          <cell r="BB76">
            <v>0.69111332474565812</v>
          </cell>
          <cell r="BC76">
            <v>0.760355612785094</v>
          </cell>
          <cell r="BD76">
            <v>0.76211856709764558</v>
          </cell>
          <cell r="BE76">
            <v>0.78980089561066424</v>
          </cell>
          <cell r="BF76">
            <v>0.77988446881198603</v>
          </cell>
          <cell r="BG76">
            <v>0.7798081343965888</v>
          </cell>
          <cell r="BH76">
            <v>0.7728205082524976</v>
          </cell>
          <cell r="BI76">
            <v>0.79313944874821651</v>
          </cell>
          <cell r="BJ76">
            <v>0.76775113792069127</v>
          </cell>
          <cell r="BK76">
            <v>0.78285259062272017</v>
          </cell>
          <cell r="BL76">
            <v>0.72779002060149223</v>
          </cell>
          <cell r="BM76">
            <v>0.75458323293095253</v>
          </cell>
          <cell r="BN76">
            <v>0.74208672768330786</v>
          </cell>
          <cell r="BO76">
            <v>0.74901521434035701</v>
          </cell>
          <cell r="BP76">
            <v>0.6964727391797545</v>
          </cell>
          <cell r="BQ76">
            <v>0.72551615821270488</v>
          </cell>
          <cell r="BR76">
            <v>0.71568310228462284</v>
          </cell>
          <cell r="BS76">
            <v>0.72076565742596477</v>
          </cell>
          <cell r="BT76">
            <v>0.68561702253974799</v>
          </cell>
          <cell r="BU76">
            <v>0.7127840943921766</v>
          </cell>
          <cell r="BV76">
            <v>0.70651932769143522</v>
          </cell>
          <cell r="BW76">
            <v>0.71257775066562978</v>
          </cell>
          <cell r="BX76">
            <v>0.68248613507221922</v>
          </cell>
          <cell r="BY76">
            <v>0.701556177510405</v>
          </cell>
          <cell r="BZ76">
            <v>0.68119525853272056</v>
          </cell>
          <cell r="CA76">
            <v>0.64715819479909864</v>
          </cell>
          <cell r="CB76">
            <v>0.65936232503606751</v>
          </cell>
          <cell r="CC76">
            <v>0.64326713982345185</v>
          </cell>
          <cell r="CD76">
            <v>0.61982092008757428</v>
          </cell>
          <cell r="CE76">
            <v>0.58599834418375518</v>
          </cell>
          <cell r="CF76">
            <v>0.60057738761407153</v>
          </cell>
          <cell r="CG76">
            <v>0.58378133141646982</v>
          </cell>
          <cell r="CH76">
            <v>0.5616989928897288</v>
          </cell>
          <cell r="CI76">
            <v>0.53382528240479465</v>
          </cell>
          <cell r="CJ76">
            <v>0.53734858226720617</v>
          </cell>
          <cell r="CK76">
            <v>0.52480801352395945</v>
          </cell>
          <cell r="CL76">
            <v>0.50901952255315186</v>
          </cell>
          <cell r="CM76">
            <v>0.49217802846512798</v>
          </cell>
          <cell r="CN76">
            <v>0.49652182796295613</v>
          </cell>
          <cell r="CO76">
            <v>0.48662557749959934</v>
          </cell>
          <cell r="CP76">
            <v>0.47468008849718052</v>
          </cell>
          <cell r="CQ76">
            <v>0.45983016405859023</v>
          </cell>
          <cell r="CR76">
            <v>0.46675498534532128</v>
          </cell>
          <cell r="CS76">
            <v>0.45946697344760101</v>
          </cell>
          <cell r="CT76">
            <v>0.45054449018943182</v>
          </cell>
          <cell r="CU76">
            <v>0.43340410677289387</v>
          </cell>
          <cell r="CV76">
            <v>0.43766572215837701</v>
          </cell>
          <cell r="CW76">
            <v>0.43229543277118221</v>
          </cell>
          <cell r="CX76">
            <v>0.42411259148351688</v>
          </cell>
          <cell r="CY76">
            <v>0.40820822257257389</v>
          </cell>
          <cell r="CZ76">
            <v>0.41081164088660638</v>
          </cell>
          <cell r="DA76">
            <v>0.40615300587559444</v>
          </cell>
          <cell r="DB76">
            <v>0.39937369710423781</v>
          </cell>
          <cell r="DC76">
            <v>0.38531178838039915</v>
          </cell>
          <cell r="DD76">
            <v>0.38673804861891381</v>
          </cell>
          <cell r="DE76">
            <v>0.38262278065889727</v>
          </cell>
          <cell r="DF76">
            <v>0.37681254446761192</v>
          </cell>
          <cell r="DG76">
            <v>0.36405972313455814</v>
          </cell>
          <cell r="DH76">
            <v>0.36458006595723669</v>
          </cell>
          <cell r="DI76">
            <v>0.36084392016467165</v>
          </cell>
          <cell r="DJ76">
            <v>0.35571226323798422</v>
          </cell>
          <cell r="DK76">
            <v>0.34390232888598232</v>
          </cell>
          <cell r="DL76">
            <v>0.34369311360555105</v>
          </cell>
          <cell r="DM76">
            <v>0.34020552061403297</v>
          </cell>
          <cell r="DN76">
            <v>0.33555352452834875</v>
          </cell>
          <cell r="DP76" t="str">
            <v>NA</v>
          </cell>
          <cell r="DQ76" t="str">
            <v>NA</v>
          </cell>
          <cell r="DR76" t="str">
            <v>NA</v>
          </cell>
          <cell r="DS76" t="str">
            <v>NA</v>
          </cell>
          <cell r="DT76" t="str">
            <v>NA</v>
          </cell>
          <cell r="DU76" t="str">
            <v>NA</v>
          </cell>
          <cell r="DV76" t="str">
            <v>NA</v>
          </cell>
          <cell r="DW76" t="str">
            <v>NA</v>
          </cell>
          <cell r="DX76" t="str">
            <v>NA</v>
          </cell>
          <cell r="DY76" t="str">
            <v>NA</v>
          </cell>
          <cell r="DZ76">
            <v>0</v>
          </cell>
          <cell r="EA76">
            <v>0.56460714285714286</v>
          </cell>
          <cell r="EB76">
            <v>0.73028571740344239</v>
          </cell>
          <cell r="EC76">
            <v>0.77459779335781997</v>
          </cell>
          <cell r="ED76">
            <v>0.77798163412630839</v>
          </cell>
          <cell r="EE76">
            <v>0.75016935615659297</v>
          </cell>
          <cell r="EF76">
            <v>0.72035664309561453</v>
          </cell>
          <cell r="EG76">
            <v>0.70602087893257848</v>
          </cell>
          <cell r="EH76">
            <v>0.69365256155862121</v>
          </cell>
          <cell r="EI76">
            <v>0.64118686849217199</v>
          </cell>
          <cell r="EJ76">
            <v>0.58228906610480702</v>
          </cell>
          <cell r="EK76">
            <v>0.52554332906390444</v>
          </cell>
          <cell r="EL76">
            <v>0.48695111663582802</v>
          </cell>
          <cell r="EM76">
            <v>0.45897302023206055</v>
          </cell>
          <cell r="EN76">
            <v>0.43160806931701284</v>
          </cell>
          <cell r="EO76">
            <v>0.40590001266652331</v>
          </cell>
          <cell r="EP76">
            <v>0.38265119182935253</v>
          </cell>
          <cell r="EQ76">
            <v>0.36108776382772223</v>
          </cell>
          <cell r="ER76">
            <v>0.34063063181960179</v>
          </cell>
        </row>
        <row r="77">
          <cell r="A77" t="str">
            <v>% of subscription revenues</v>
          </cell>
          <cell r="AU77" t="str">
            <v>NA</v>
          </cell>
          <cell r="AV77" t="str">
            <v>NA</v>
          </cell>
          <cell r="AW77">
            <v>1</v>
          </cell>
          <cell r="AX77">
            <v>1</v>
          </cell>
          <cell r="AY77">
            <v>0.83653881493249593</v>
          </cell>
          <cell r="AZ77">
            <v>0.84589926603292243</v>
          </cell>
          <cell r="BA77">
            <v>0.79647244621692148</v>
          </cell>
          <cell r="BB77">
            <v>0.80319592108536209</v>
          </cell>
          <cell r="BC77">
            <v>0.90322680501026154</v>
          </cell>
          <cell r="BD77">
            <v>0.90696334815405655</v>
          </cell>
          <cell r="BE77">
            <v>0.89046919742830399</v>
          </cell>
          <cell r="BF77">
            <v>0.88422265139968137</v>
          </cell>
          <cell r="BG77">
            <v>0.93541082983648882</v>
          </cell>
          <cell r="BH77">
            <v>0.93712327072890433</v>
          </cell>
          <cell r="BI77">
            <v>0.92321781923884272</v>
          </cell>
          <cell r="BJ77">
            <v>0.91762412982849917</v>
          </cell>
          <cell r="BK77">
            <v>0.94018235257449834</v>
          </cell>
          <cell r="BL77">
            <v>0.92560156621287126</v>
          </cell>
          <cell r="BM77">
            <v>0.9028107354682644</v>
          </cell>
          <cell r="BN77">
            <v>0.88609165800054013</v>
          </cell>
          <cell r="BO77">
            <v>0.88758701735974666</v>
          </cell>
          <cell r="BP77">
            <v>0.87506181675807182</v>
          </cell>
          <cell r="BQ77">
            <v>0.86227991292310757</v>
          </cell>
          <cell r="BR77">
            <v>0.84981869364960017</v>
          </cell>
          <cell r="BS77">
            <v>0.8491963726293984</v>
          </cell>
          <cell r="BT77">
            <v>0.84381844514851501</v>
          </cell>
          <cell r="BU77">
            <v>0.83394666074028212</v>
          </cell>
          <cell r="BV77">
            <v>0.82474702272583977</v>
          </cell>
          <cell r="BW77">
            <v>0.81505100476345305</v>
          </cell>
          <cell r="BX77">
            <v>0.8013675144532949</v>
          </cell>
          <cell r="BY77">
            <v>0.78673260368496745</v>
          </cell>
          <cell r="BZ77">
            <v>0.762364483805412</v>
          </cell>
          <cell r="CA77">
            <v>0.71592910528351095</v>
          </cell>
          <cell r="CB77">
            <v>0.73400791983554248</v>
          </cell>
          <cell r="CC77">
            <v>0.70461067965533852</v>
          </cell>
          <cell r="CD77">
            <v>0.681035519559542</v>
          </cell>
          <cell r="CE77">
            <v>0.63550014513714737</v>
          </cell>
          <cell r="CF77">
            <v>0.64754761622292423</v>
          </cell>
          <cell r="CG77">
            <v>0.62713399019168192</v>
          </cell>
          <cell r="CH77">
            <v>0.60327122293098057</v>
          </cell>
          <cell r="CI77">
            <v>0.56913055753282493</v>
          </cell>
          <cell r="CJ77">
            <v>0.57375600955577133</v>
          </cell>
          <cell r="CK77">
            <v>0.55681721029089315</v>
          </cell>
          <cell r="CL77">
            <v>0.53878423016446242</v>
          </cell>
          <cell r="CM77">
            <v>0.51772848381143499</v>
          </cell>
          <cell r="CN77">
            <v>0.52356648689106355</v>
          </cell>
          <cell r="CO77">
            <v>0.51363957368279278</v>
          </cell>
          <cell r="CP77">
            <v>0.50119597852919417</v>
          </cell>
          <cell r="CQ77">
            <v>0.48223468735479186</v>
          </cell>
          <cell r="CR77">
            <v>0.488823643755327</v>
          </cell>
          <cell r="CS77">
            <v>0.48130799600818819</v>
          </cell>
          <cell r="CT77">
            <v>0.47151413966013417</v>
          </cell>
          <cell r="CU77">
            <v>0.45291202440445338</v>
          </cell>
          <cell r="CV77">
            <v>0.45657940575495526</v>
          </cell>
          <cell r="CW77">
            <v>0.45043203553664879</v>
          </cell>
          <cell r="CX77">
            <v>0.44137971846582996</v>
          </cell>
          <cell r="CY77">
            <v>0.42435790392638661</v>
          </cell>
          <cell r="CZ77">
            <v>0.42643847819132008</v>
          </cell>
          <cell r="DA77">
            <v>0.42116872779509545</v>
          </cell>
          <cell r="DB77">
            <v>0.41381872789364449</v>
          </cell>
          <cell r="DC77">
            <v>0.39897743519730677</v>
          </cell>
          <cell r="DD77">
            <v>0.39989143573167485</v>
          </cell>
          <cell r="DE77">
            <v>0.39523967588738701</v>
          </cell>
          <cell r="DF77">
            <v>0.38902026047551885</v>
          </cell>
          <cell r="DG77">
            <v>0.37569301257884641</v>
          </cell>
          <cell r="DH77">
            <v>0.37572043958609669</v>
          </cell>
          <cell r="DI77">
            <v>0.3715050094592387</v>
          </cell>
          <cell r="DJ77">
            <v>0.3660653005299474</v>
          </cell>
          <cell r="DK77">
            <v>0.3538220556836536</v>
          </cell>
          <cell r="DL77">
            <v>0.35316504559560652</v>
          </cell>
          <cell r="DM77">
            <v>0.34925862775323141</v>
          </cell>
          <cell r="DN77">
            <v>0.34437082975122396</v>
          </cell>
          <cell r="DP77" t="str">
            <v>NA</v>
          </cell>
          <cell r="DQ77" t="str">
            <v>NA</v>
          </cell>
          <cell r="DR77" t="str">
            <v>NA</v>
          </cell>
          <cell r="DS77" t="str">
            <v>NA</v>
          </cell>
          <cell r="DT77" t="str">
            <v>NA</v>
          </cell>
          <cell r="DU77" t="str">
            <v>NA</v>
          </cell>
          <cell r="DV77" t="str">
            <v>NA</v>
          </cell>
          <cell r="DW77" t="str">
            <v>NA</v>
          </cell>
          <cell r="DX77" t="str">
            <v>NA</v>
          </cell>
          <cell r="DY77" t="str">
            <v>NA</v>
          </cell>
          <cell r="DZ77" t="str">
            <v>NA</v>
          </cell>
          <cell r="EA77">
            <v>1</v>
          </cell>
          <cell r="EB77">
            <v>0.81769021241002915</v>
          </cell>
          <cell r="EC77">
            <v>0.89464986430141502</v>
          </cell>
          <cell r="ED77">
            <v>0.92703842062227249</v>
          </cell>
          <cell r="EE77">
            <v>0.91067974377622096</v>
          </cell>
          <cell r="EF77">
            <v>0.86684424370438817</v>
          </cell>
          <cell r="EG77">
            <v>0.83685993665888891</v>
          </cell>
          <cell r="EH77">
            <v>0.78954003951295182</v>
          </cell>
          <cell r="EI77">
            <v>0.70716479452774972</v>
          </cell>
          <cell r="EJ77">
            <v>0.62738069480454539</v>
          </cell>
          <cell r="EK77">
            <v>0.55869906106607869</v>
          </cell>
          <cell r="EL77">
            <v>0.51350257149784695</v>
          </cell>
          <cell r="EM77">
            <v>0.48076700072129247</v>
          </cell>
          <cell r="EN77">
            <v>0.44999951377301689</v>
          </cell>
          <cell r="EO77">
            <v>0.42116070001994471</v>
          </cell>
          <cell r="EP77">
            <v>0.39552074195378822</v>
          </cell>
          <cell r="EQ77">
            <v>0.37199840751836899</v>
          </cell>
          <cell r="ER77">
            <v>0.34991484031711512</v>
          </cell>
        </row>
        <row r="78">
          <cell r="A78" t="str">
            <v>% growth y-o-y</v>
          </cell>
          <cell r="AU78" t="str">
            <v>NA</v>
          </cell>
          <cell r="AV78" t="str">
            <v>NA</v>
          </cell>
          <cell r="AW78" t="str">
            <v>NA</v>
          </cell>
          <cell r="AX78" t="str">
            <v>NA</v>
          </cell>
          <cell r="AY78" t="str">
            <v>NA</v>
          </cell>
          <cell r="AZ78" t="str">
            <v>NA</v>
          </cell>
          <cell r="BA78">
            <v>0.67004468768042869</v>
          </cell>
          <cell r="BB78">
            <v>0.6880618837862893</v>
          </cell>
          <cell r="BC78">
            <v>1.0648724856319869</v>
          </cell>
          <cell r="BD78">
            <v>1.0170511395703552</v>
          </cell>
          <cell r="BE78">
            <v>1.2887792359004249</v>
          </cell>
          <cell r="BF78">
            <v>1.0702542811604787</v>
          </cell>
          <cell r="BG78">
            <v>0.92941649729621334</v>
          </cell>
          <cell r="BH78">
            <v>0.95257084100225975</v>
          </cell>
          <cell r="BI78">
            <v>0.88955146914416927</v>
          </cell>
          <cell r="BJ78">
            <v>0.88862730018681524</v>
          </cell>
          <cell r="BK78">
            <v>0.81894784535738596</v>
          </cell>
          <cell r="BL78">
            <v>0.6955958238388058</v>
          </cell>
          <cell r="BM78">
            <v>0.64504562169049362</v>
          </cell>
          <cell r="BN78">
            <v>0.61043888467212959</v>
          </cell>
          <cell r="BO78">
            <v>0.54851799854297911</v>
          </cell>
          <cell r="BP78">
            <v>0.56112516908041932</v>
          </cell>
          <cell r="BQ78">
            <v>0.54439540686325016</v>
          </cell>
          <cell r="BR78">
            <v>0.52486600456465804</v>
          </cell>
          <cell r="BS78">
            <v>0.46645805543533858</v>
          </cell>
          <cell r="BT78">
            <v>0.45643367266712787</v>
          </cell>
          <cell r="BU78">
            <v>0.43564553905406966</v>
          </cell>
          <cell r="BV78">
            <v>0.42417562415818777</v>
          </cell>
          <cell r="BW78">
            <v>0.42667722248314544</v>
          </cell>
          <cell r="BX78">
            <v>0.37710318796829134</v>
          </cell>
          <cell r="BY78">
            <v>0.34796910405150605</v>
          </cell>
          <cell r="BZ78">
            <v>0.30174133203553133</v>
          </cell>
          <cell r="CA78">
            <v>0.27307485226522954</v>
          </cell>
          <cell r="CB78">
            <v>0.26883978318560664</v>
          </cell>
          <cell r="CC78">
            <v>0.26228303750350301</v>
          </cell>
          <cell r="CD78">
            <v>0.2954753916696593</v>
          </cell>
          <cell r="CE78">
            <v>0.24434120843722074</v>
          </cell>
          <cell r="CF78">
            <v>0.28228540497605148</v>
          </cell>
          <cell r="CG78">
            <v>0.24063246920725745</v>
          </cell>
          <cell r="CH78">
            <v>0.18077005961753856</v>
          </cell>
          <cell r="CI78">
            <v>0.21971977428367317</v>
          </cell>
          <cell r="CJ78">
            <v>0.18232068456094175</v>
          </cell>
          <cell r="CK78">
            <v>0.1831081751793171</v>
          </cell>
          <cell r="CL78">
            <v>0.20556548598672908</v>
          </cell>
          <cell r="CM78">
            <v>0.22281186162715327</v>
          </cell>
          <cell r="CN78">
            <v>0.18656511982571566</v>
          </cell>
          <cell r="CO78">
            <v>0.20582571825959417</v>
          </cell>
          <cell r="CP78">
            <v>0.22506008588985149</v>
          </cell>
          <cell r="CQ78">
            <v>0.19786436643255079</v>
          </cell>
          <cell r="CR78">
            <v>0.2485921337818684</v>
          </cell>
          <cell r="CS78">
            <v>0.19659976394125267</v>
          </cell>
          <cell r="CT78">
            <v>0.16540066914753027</v>
          </cell>
          <cell r="CU78">
            <v>0.14754518017331519</v>
          </cell>
          <cell r="CV78">
            <v>0.14915536455912082</v>
          </cell>
          <cell r="CW78">
            <v>0.19189517053379102</v>
          </cell>
          <cell r="CX78">
            <v>0.20776030812362389</v>
          </cell>
          <cell r="CY78">
            <v>0.20964107851380698</v>
          </cell>
          <cell r="CZ78">
            <v>0.20922201448698785</v>
          </cell>
          <cell r="DA78">
            <v>0.21263007050073313</v>
          </cell>
          <cell r="DB78">
            <v>0.20687588845878913</v>
          </cell>
          <cell r="DC78">
            <v>0.19882995231854328</v>
          </cell>
          <cell r="DD78">
            <v>0.19780062609614557</v>
          </cell>
          <cell r="DE78">
            <v>0.2001531415254405</v>
          </cell>
          <cell r="DF78">
            <v>0.19569722273735812</v>
          </cell>
          <cell r="DG78">
            <v>0.18904017413429131</v>
          </cell>
          <cell r="DH78">
            <v>0.18762497214981355</v>
          </cell>
          <cell r="DI78">
            <v>0.18922384269373538</v>
          </cell>
          <cell r="DJ78">
            <v>0.18567414187128506</v>
          </cell>
          <cell r="DK78">
            <v>0.17995235052016123</v>
          </cell>
          <cell r="DL78">
            <v>0.17825119899752173</v>
          </cell>
          <cell r="DM78">
            <v>0.1792718677819618</v>
          </cell>
          <cell r="DN78">
            <v>0.17636469062600746</v>
          </cell>
          <cell r="DQ78" t="str">
            <v>NA</v>
          </cell>
          <cell r="DR78" t="str">
            <v>NA</v>
          </cell>
          <cell r="DS78" t="str">
            <v>NA</v>
          </cell>
          <cell r="DT78" t="str">
            <v>NA</v>
          </cell>
          <cell r="DU78" t="str">
            <v>NA</v>
          </cell>
          <cell r="DV78" t="str">
            <v>NA</v>
          </cell>
          <cell r="DW78" t="str">
            <v>NA</v>
          </cell>
          <cell r="DX78" t="str">
            <v>NA</v>
          </cell>
          <cell r="DY78" t="str">
            <v>NA</v>
          </cell>
          <cell r="DZ78" t="str">
            <v>NA</v>
          </cell>
          <cell r="EA78" t="str">
            <v>NA</v>
          </cell>
          <cell r="EB78">
            <v>1.9719566016109726</v>
          </cell>
          <cell r="EC78">
            <v>1.1114609076156463</v>
          </cell>
          <cell r="ED78">
            <v>0.91124494817931456</v>
          </cell>
          <cell r="EE78">
            <v>0.68013504112580181</v>
          </cell>
          <cell r="EF78">
            <v>0.54347592631182762</v>
          </cell>
          <cell r="EG78">
            <v>0.44377884099183507</v>
          </cell>
          <cell r="EH78">
            <v>0.35870779474578995</v>
          </cell>
          <cell r="EI78">
            <v>0.27534597789049475</v>
          </cell>
          <cell r="EJ78">
            <v>0.23491486927855032</v>
          </cell>
          <cell r="EK78">
            <v>0.19717431371647254</v>
          </cell>
          <cell r="EL78">
            <v>0.21013757071078976</v>
          </cell>
          <cell r="EM78">
            <v>0.20104300229041949</v>
          </cell>
          <cell r="EN78">
            <v>0.17496162997790976</v>
          </cell>
          <cell r="EO78">
            <v>0.20956381881280572</v>
          </cell>
          <cell r="EP78">
            <v>0.19807789505070783</v>
          </cell>
          <cell r="EQ78">
            <v>0.18783860208422243</v>
          </cell>
          <cell r="ER78">
            <v>0.17839941732757492</v>
          </cell>
        </row>
        <row r="79">
          <cell r="A79" t="str">
            <v>% growth seq</v>
          </cell>
          <cell r="AU79" t="str">
            <v>NA</v>
          </cell>
          <cell r="AV79" t="str">
            <v>NA</v>
          </cell>
          <cell r="AW79" t="str">
            <v>NA</v>
          </cell>
          <cell r="AX79">
            <v>0.23733371072742715</v>
          </cell>
          <cell r="AY79">
            <v>6.1867524662111428E-2</v>
          </cell>
          <cell r="AZ79">
            <v>0.19997888948314468</v>
          </cell>
          <cell r="BA79">
            <v>5.9247145501397425E-2</v>
          </cell>
          <cell r="BB79">
            <v>0.25068262544750697</v>
          </cell>
          <cell r="BC79">
            <v>0.29889849188640727</v>
          </cell>
          <cell r="BD79">
            <v>0.17218801806618056</v>
          </cell>
          <cell r="BE79">
            <v>0.20194417719463664</v>
          </cell>
          <cell r="BF79">
            <v>0.13127164869926977</v>
          </cell>
          <cell r="BG79">
            <v>0.21053544067736718</v>
          </cell>
          <cell r="BH79">
            <v>0.18625509186618583</v>
          </cell>
          <cell r="BI79">
            <v>0.16315133779301205</v>
          </cell>
          <cell r="BJ79">
            <v>0.13071835012173172</v>
          </cell>
          <cell r="BK79">
            <v>0.16587366460870689</v>
          </cell>
          <cell r="BL79">
            <v>0.10580915495167642</v>
          </cell>
          <cell r="BM79">
            <v>0.12847471590714332</v>
          </cell>
          <cell r="BN79">
            <v>0.10693148848789469</v>
          </cell>
          <cell r="BO79">
            <v>0.12104617620519109</v>
          </cell>
          <cell r="BP79">
            <v>0.11481203681127128</v>
          </cell>
          <cell r="BQ79">
            <v>0.11638144238934145</v>
          </cell>
          <cell r="BR79">
            <v>9.293396540566401E-2</v>
          </cell>
          <cell r="BS79">
            <v>7.8106004520988037E-2</v>
          </cell>
          <cell r="BT79">
            <v>0.10719142841392615</v>
          </cell>
          <cell r="BU79">
            <v>0.10044698068122315</v>
          </cell>
          <cell r="BV79">
            <v>8.4202102819108449E-2</v>
          </cell>
          <cell r="BW79">
            <v>7.9999723335779871E-2</v>
          </cell>
          <cell r="BX79">
            <v>6.8718853663479518E-2</v>
          </cell>
          <cell r="BY79">
            <v>7.7165853339967061E-2</v>
          </cell>
          <cell r="BZ79">
            <v>4.7020058009832777E-2</v>
          </cell>
          <cell r="CA79">
            <v>5.6216357578679377E-2</v>
          </cell>
          <cell r="CB79">
            <v>6.516360460337367E-2</v>
          </cell>
          <cell r="CC79">
            <v>7.1599585122821052E-2</v>
          </cell>
          <cell r="CD79">
            <v>7.455196610967163E-2</v>
          </cell>
          <cell r="CE79">
            <v>1.4526055231894874E-2</v>
          </cell>
          <cell r="CF79">
            <v>9.764406646145174E-2</v>
          </cell>
          <cell r="CG79">
            <v>3.6790432249540928E-2</v>
          </cell>
          <cell r="CH79">
            <v>2.2703194199165777E-2</v>
          </cell>
          <cell r="CI79">
            <v>4.7991927821381841E-2</v>
          </cell>
          <cell r="CJ79">
            <v>6.3988066295901813E-2</v>
          </cell>
          <cell r="CK79">
            <v>3.7480991713888745E-2</v>
          </cell>
          <cell r="CL79">
            <v>4.2115758474940979E-2</v>
          </cell>
          <cell r="CM79">
            <v>6.2984114198173069E-2</v>
          </cell>
          <cell r="CN79">
            <v>3.2449199255865091E-2</v>
          </cell>
          <cell r="CO79">
            <v>5.4321622228224564E-2</v>
          </cell>
          <cell r="CP79">
            <v>5.8738755735873838E-2</v>
          </cell>
          <cell r="CQ79">
            <v>3.9386400020502865E-2</v>
          </cell>
          <cell r="CR79">
            <v>7.6171881261858365E-2</v>
          </cell>
          <cell r="CS79">
            <v>1.0418831051883126E-2</v>
          </cell>
          <cell r="CT79">
            <v>3.1134128192580324E-2</v>
          </cell>
          <cell r="CU79">
            <v>2.3461617328305984E-2</v>
          </cell>
          <cell r="CV79">
            <v>7.7681917807338241E-2</v>
          </cell>
          <cell r="CW79">
            <v>4.79986972076476E-2</v>
          </cell>
          <cell r="CX79">
            <v>4.4859399694453517E-2</v>
          </cell>
          <cell r="CY79">
            <v>2.5055390771937747E-2</v>
          </cell>
          <cell r="CZ79">
            <v>7.7308569272695582E-2</v>
          </cell>
          <cell r="DA79">
            <v>5.0952363465478046E-2</v>
          </cell>
          <cell r="DB79">
            <v>3.9901324399820748E-2</v>
          </cell>
          <cell r="DC79">
            <v>1.8221605878862901E-2</v>
          </cell>
          <cell r="DD79">
            <v>7.6383582407109296E-2</v>
          </cell>
          <cell r="DE79">
            <v>5.3016464616071346E-2</v>
          </cell>
          <cell r="DF79">
            <v>3.6040387250370731E-2</v>
          </cell>
          <cell r="DG79">
            <v>1.2552653413195891E-2</v>
          </cell>
          <cell r="DH79">
            <v>7.5102464901562582E-2</v>
          </cell>
          <cell r="DI79">
            <v>5.4434115008258566E-2</v>
          </cell>
          <cell r="DJ79">
            <v>3.2947921994725959E-2</v>
          </cell>
          <cell r="DK79">
            <v>7.6663066419713211E-3</v>
          </cell>
          <cell r="DL79">
            <v>7.3552476722502202E-2</v>
          </cell>
          <cell r="DM79">
            <v>5.5347526331203323E-2</v>
          </cell>
          <cell r="DN79">
            <v>3.0401467115104497E-2</v>
          </cell>
        </row>
        <row r="81">
          <cell r="A81" t="str">
            <v>ITOM</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1.8140922318791604</v>
          </cell>
          <cell r="AZ81">
            <v>2.0295066663464114</v>
          </cell>
          <cell r="BA81">
            <v>3.0154642368500912</v>
          </cell>
          <cell r="BB81">
            <v>3.6162749500564706</v>
          </cell>
          <cell r="BC81">
            <v>2.0539142904622105</v>
          </cell>
          <cell r="BD81">
            <v>2.3050782259780855</v>
          </cell>
          <cell r="BE81">
            <v>3.3221787728021113</v>
          </cell>
          <cell r="BF81">
            <v>4.0006862808840111</v>
          </cell>
          <cell r="BG81">
            <v>2.5539203774353947</v>
          </cell>
          <cell r="BH81">
            <v>2.9438884644726997</v>
          </cell>
          <cell r="BI81">
            <v>4.2444421702960113</v>
          </cell>
          <cell r="BJ81">
            <v>5.1802889716050053</v>
          </cell>
          <cell r="BK81">
            <v>4.0338429889565948</v>
          </cell>
          <cell r="BL81">
            <v>4.8445011615143629</v>
          </cell>
          <cell r="BM81">
            <v>6.3873499841232437</v>
          </cell>
          <cell r="BN81">
            <v>7.5972658395872328</v>
          </cell>
          <cell r="BO81">
            <v>6.9496939734524554</v>
          </cell>
          <cell r="BP81">
            <v>8.2304670873530696</v>
          </cell>
          <cell r="BQ81">
            <v>10.212349286209173</v>
          </cell>
          <cell r="BR81">
            <v>12.234220774014783</v>
          </cell>
          <cell r="BS81">
            <v>12.703000000000003</v>
          </cell>
          <cell r="BT81">
            <v>14.379000000000019</v>
          </cell>
          <cell r="BU81">
            <v>17.413000000000011</v>
          </cell>
          <cell r="BV81">
            <v>20.180000000000064</v>
          </cell>
          <cell r="BW81">
            <v>22.816000000000031</v>
          </cell>
          <cell r="BX81">
            <v>26.012</v>
          </cell>
          <cell r="BY81">
            <v>28.92900000000003</v>
          </cell>
          <cell r="BZ81">
            <v>35.036000000000001</v>
          </cell>
          <cell r="CA81">
            <v>53.947999999999979</v>
          </cell>
          <cell r="CB81">
            <v>38.926000000000045</v>
          </cell>
          <cell r="CC81">
            <v>51.646113039193509</v>
          </cell>
          <cell r="CD81">
            <v>60.46247093349146</v>
          </cell>
          <cell r="CE81">
            <v>82.671401436670365</v>
          </cell>
          <cell r="CF81">
            <v>67.345869281135037</v>
          </cell>
          <cell r="CG81">
            <v>79.454441861169826</v>
          </cell>
          <cell r="CH81">
            <v>90.905160911817333</v>
          </cell>
          <cell r="CI81">
            <v>114.34859147523694</v>
          </cell>
          <cell r="CJ81">
            <v>102.68732543723164</v>
          </cell>
          <cell r="CK81">
            <v>117.73822009237672</v>
          </cell>
          <cell r="CL81">
            <v>132.24833256562778</v>
          </cell>
          <cell r="CM81">
            <v>159.14228215558168</v>
          </cell>
          <cell r="CN81">
            <v>149.87685304503967</v>
          </cell>
          <cell r="CO81">
            <v>171.11953129367905</v>
          </cell>
          <cell r="CP81">
            <v>193.58295473946319</v>
          </cell>
          <cell r="CQ81">
            <v>229.53917191147448</v>
          </cell>
          <cell r="CR81">
            <v>222.55258169705866</v>
          </cell>
          <cell r="CS81">
            <v>239.83072642441863</v>
          </cell>
          <cell r="CT81">
            <v>262.4160163551727</v>
          </cell>
          <cell r="CU81">
            <v>306.92607652422953</v>
          </cell>
          <cell r="CV81">
            <v>309.27157657065766</v>
          </cell>
          <cell r="CW81">
            <v>336.27316641594712</v>
          </cell>
          <cell r="CX81">
            <v>369.74847606425919</v>
          </cell>
          <cell r="CY81">
            <v>427.23108776353848</v>
          </cell>
          <cell r="CZ81">
            <v>440.2442434264658</v>
          </cell>
          <cell r="DA81">
            <v>476.93102521006574</v>
          </cell>
          <cell r="DB81">
            <v>517.41041304660962</v>
          </cell>
          <cell r="DC81">
            <v>585.05095620370446</v>
          </cell>
          <cell r="DD81">
            <v>611.84781591143769</v>
          </cell>
          <cell r="DE81">
            <v>661.23146748869385</v>
          </cell>
          <cell r="DF81">
            <v>710.51189784992368</v>
          </cell>
          <cell r="DG81">
            <v>790.71304408981678</v>
          </cell>
          <cell r="DH81">
            <v>835.15965429038386</v>
          </cell>
          <cell r="DI81">
            <v>901.05519189758388</v>
          </cell>
          <cell r="DJ81">
            <v>961.39761478689627</v>
          </cell>
          <cell r="DK81">
            <v>1057.1033684158674</v>
          </cell>
          <cell r="DL81">
            <v>1123.917967048128</v>
          </cell>
          <cell r="DM81">
            <v>1211.1041454385595</v>
          </cell>
          <cell r="DN81">
            <v>1285.3495772464198</v>
          </cell>
          <cell r="DP81">
            <v>0</v>
          </cell>
          <cell r="DQ81">
            <v>0</v>
          </cell>
          <cell r="DR81">
            <v>0</v>
          </cell>
          <cell r="DS81">
            <v>0</v>
          </cell>
          <cell r="DT81">
            <v>0</v>
          </cell>
          <cell r="DU81">
            <v>0</v>
          </cell>
          <cell r="DV81">
            <v>0</v>
          </cell>
          <cell r="DW81">
            <v>0</v>
          </cell>
          <cell r="DX81">
            <v>0</v>
          </cell>
          <cell r="DY81">
            <v>0</v>
          </cell>
          <cell r="DZ81">
            <v>0</v>
          </cell>
          <cell r="EA81">
            <v>0</v>
          </cell>
          <cell r="EB81">
            <v>10.475338085132133</v>
          </cell>
          <cell r="EC81">
            <v>11.681857570126418</v>
          </cell>
          <cell r="ED81">
            <v>14.922539983809111</v>
          </cell>
          <cell r="EE81">
            <v>22.862959974181436</v>
          </cell>
          <cell r="EF81">
            <v>37.626731121029479</v>
          </cell>
          <cell r="EG81">
            <v>64.675000000000097</v>
          </cell>
          <cell r="EH81">
            <v>112.79300000000006</v>
          </cell>
          <cell r="EI81">
            <v>204.98258397268498</v>
          </cell>
          <cell r="EJ81">
            <v>320.37687349079255</v>
          </cell>
          <cell r="EK81">
            <v>467.02246957047305</v>
          </cell>
          <cell r="EL81">
            <v>673.72162123376359</v>
          </cell>
          <cell r="EM81">
            <v>954.33849638812455</v>
          </cell>
          <cell r="EN81">
            <v>1322.2192955750934</v>
          </cell>
          <cell r="EO81">
            <v>1861.8167694466795</v>
          </cell>
          <cell r="EP81">
            <v>2568.6421374537595</v>
          </cell>
          <cell r="EQ81">
            <v>3488.3255050646808</v>
          </cell>
          <cell r="ER81">
            <v>4677.4750581489752</v>
          </cell>
        </row>
        <row r="82">
          <cell r="A82" t="str">
            <v>% of revenues</v>
          </cell>
          <cell r="AU82" t="str">
            <v>NA</v>
          </cell>
          <cell r="AV82" t="str">
            <v>NA</v>
          </cell>
          <cell r="AW82">
            <v>0</v>
          </cell>
          <cell r="AX82">
            <v>0</v>
          </cell>
          <cell r="AY82">
            <v>0.15317843721009544</v>
          </cell>
          <cell r="AZ82">
            <v>0.13950417008155153</v>
          </cell>
          <cell r="BA82">
            <v>0.18176396846594883</v>
          </cell>
          <cell r="BB82">
            <v>0.16934090143088132</v>
          </cell>
          <cell r="BC82">
            <v>8.1465742125266166E-2</v>
          </cell>
          <cell r="BD82">
            <v>7.8178418054826393E-2</v>
          </cell>
          <cell r="BE82">
            <v>9.7148251975381197E-2</v>
          </cell>
          <cell r="BF82">
            <v>0.10211563328613026</v>
          </cell>
          <cell r="BG82">
            <v>5.3844961679816887E-2</v>
          </cell>
          <cell r="BH82">
            <v>5.1852757679090776E-2</v>
          </cell>
          <cell r="BI82">
            <v>6.5963822679244874E-2</v>
          </cell>
          <cell r="BJ82">
            <v>6.8921648859862766E-2</v>
          </cell>
          <cell r="BK82">
            <v>4.6938444582280393E-2</v>
          </cell>
          <cell r="BL82">
            <v>4.7391962214732276E-2</v>
          </cell>
          <cell r="BM82">
            <v>5.7409737496501349E-2</v>
          </cell>
          <cell r="BN82">
            <v>6.0666500356042742E-2</v>
          </cell>
          <cell r="BO82">
            <v>4.9965446642119889E-2</v>
          </cell>
          <cell r="BP82">
            <v>4.9356051544181469E-2</v>
          </cell>
          <cell r="BQ82">
            <v>5.7144172110486002E-2</v>
          </cell>
          <cell r="BR82">
            <v>6.1787745570871209E-2</v>
          </cell>
          <cell r="BS82">
            <v>5.9929988111188708E-2</v>
          </cell>
          <cell r="BT82">
            <v>5.828158692585815E-2</v>
          </cell>
          <cell r="BU82">
            <v>6.6678154317442132E-2</v>
          </cell>
          <cell r="BV82">
            <v>7.0645895326448674E-2</v>
          </cell>
          <cell r="BW82">
            <v>7.4591586869317703E-2</v>
          </cell>
          <cell r="BX82">
            <v>7.6211794487155454E-2</v>
          </cell>
          <cell r="BY82">
            <v>8.088498445433609E-2</v>
          </cell>
          <cell r="BZ82">
            <v>9.0845446578127195E-2</v>
          </cell>
          <cell r="CA82">
            <v>0.12582007645106591</v>
          </cell>
          <cell r="CB82">
            <v>8.6838383252501997E-2</v>
          </cell>
          <cell r="CC82">
            <v>0.10489246553255163</v>
          </cell>
          <cell r="CD82">
            <v>0.11011335226180531</v>
          </cell>
          <cell r="CE82">
            <v>0.1403060331024136</v>
          </cell>
          <cell r="CF82">
            <v>0.10671932329481858</v>
          </cell>
          <cell r="CG82">
            <v>0.11804307828020305</v>
          </cell>
          <cell r="CH82">
            <v>0.1270617156576396</v>
          </cell>
          <cell r="CI82">
            <v>0.14494210036839572</v>
          </cell>
          <cell r="CJ82">
            <v>0.1231404639349753</v>
          </cell>
          <cell r="CK82">
            <v>0.13291243393774754</v>
          </cell>
          <cell r="CL82">
            <v>0.13894930158380853</v>
          </cell>
          <cell r="CM82">
            <v>0.15209423529214375</v>
          </cell>
          <cell r="CN82">
            <v>0.13996168720038965</v>
          </cell>
          <cell r="CO82">
            <v>0.14854487026913765</v>
          </cell>
          <cell r="CP82">
            <v>0.15482548986224692</v>
          </cell>
          <cell r="CQ82">
            <v>0.17110061523036119</v>
          </cell>
          <cell r="CR82">
            <v>0.15647222756277365</v>
          </cell>
          <cell r="CS82">
            <v>0.16427571058710172</v>
          </cell>
          <cell r="CT82">
            <v>0.1709334632644918</v>
          </cell>
          <cell r="CU82">
            <v>0.18791191591027834</v>
          </cell>
          <cell r="CV82">
            <v>0.17742689686669963</v>
          </cell>
          <cell r="CW82">
            <v>0.18182308924435961</v>
          </cell>
          <cell r="CX82">
            <v>0.18771798203054599</v>
          </cell>
          <cell r="CY82">
            <v>0.20366461437379946</v>
          </cell>
          <cell r="CZ82">
            <v>0.19605020319193289</v>
          </cell>
          <cell r="DA82">
            <v>0.19979889635700618</v>
          </cell>
          <cell r="DB82">
            <v>0.20496057481866195</v>
          </cell>
          <cell r="DC82">
            <v>0.21959345329553387</v>
          </cell>
          <cell r="DD82">
            <v>0.2141443642578128</v>
          </cell>
          <cell r="DE82">
            <v>0.21743803199115222</v>
          </cell>
          <cell r="DF82">
            <v>0.22209111970763559</v>
          </cell>
          <cell r="DG82">
            <v>0.23583508111995213</v>
          </cell>
          <cell r="DH82">
            <v>0.23202214518349359</v>
          </cell>
          <cell r="DI82">
            <v>0.23497321002120897</v>
          </cell>
          <cell r="DJ82">
            <v>0.23926050553797745</v>
          </cell>
          <cell r="DK82">
            <v>0.25240908015323199</v>
          </cell>
          <cell r="DL82">
            <v>0.2498242353632579</v>
          </cell>
          <cell r="DM82">
            <v>0.25249714582046751</v>
          </cell>
          <cell r="DN82">
            <v>0.25651349701353837</v>
          </cell>
          <cell r="DP82" t="str">
            <v>NA</v>
          </cell>
          <cell r="DQ82" t="str">
            <v>NA</v>
          </cell>
          <cell r="DR82" t="str">
            <v>NA</v>
          </cell>
          <cell r="DS82" t="str">
            <v>NA</v>
          </cell>
          <cell r="DT82" t="str">
            <v>NA</v>
          </cell>
          <cell r="DU82" t="str">
            <v>NA</v>
          </cell>
          <cell r="DV82" t="str">
            <v>NA</v>
          </cell>
          <cell r="DW82" t="str">
            <v>NA</v>
          </cell>
          <cell r="DX82" t="str">
            <v>NA</v>
          </cell>
          <cell r="DY82" t="str">
            <v>NA</v>
          </cell>
          <cell r="DZ82">
            <v>0</v>
          </cell>
          <cell r="EA82">
            <v>0</v>
          </cell>
          <cell r="EB82">
            <v>0.16282234029364792</v>
          </cell>
          <cell r="EC82">
            <v>9.1213318079236619E-2</v>
          </cell>
          <cell r="ED82">
            <v>6.1230222491338589E-2</v>
          </cell>
          <cell r="EE82">
            <v>5.3839538382624362E-2</v>
          </cell>
          <cell r="EF82">
            <v>5.5125653047454197E-2</v>
          </cell>
          <cell r="EG82">
            <v>6.432251263078341E-2</v>
          </cell>
          <cell r="EH82">
            <v>8.1116106070205793E-2</v>
          </cell>
          <cell r="EI82">
            <v>0.1068455694793338</v>
          </cell>
          <cell r="EJ82">
            <v>0.12280546941248156</v>
          </cell>
          <cell r="EK82">
            <v>0.13496054676633992</v>
          </cell>
          <cell r="EL82">
            <v>0.14907047380492192</v>
          </cell>
          <cell r="EM82">
            <v>0.16571309306391382</v>
          </cell>
          <cell r="EN82">
            <v>0.18375390851144963</v>
          </cell>
          <cell r="EO82">
            <v>0.20117349186252603</v>
          </cell>
          <cell r="EP82">
            <v>0.21839182089664919</v>
          </cell>
          <cell r="EQ82">
            <v>0.23561451231554198</v>
          </cell>
          <cell r="ER82">
            <v>0.25291519536985385</v>
          </cell>
        </row>
        <row r="83">
          <cell r="A83" t="str">
            <v>% of subscription revenues</v>
          </cell>
          <cell r="AU83" t="str">
            <v>NA</v>
          </cell>
          <cell r="AV83" t="str">
            <v>NA</v>
          </cell>
          <cell r="AW83">
            <v>0</v>
          </cell>
          <cell r="AX83">
            <v>0</v>
          </cell>
          <cell r="AY83">
            <v>0.16346118506750407</v>
          </cell>
          <cell r="AZ83">
            <v>0.15410073396707755</v>
          </cell>
          <cell r="BA83">
            <v>0.20352755378307849</v>
          </cell>
          <cell r="BB83">
            <v>0.19680407891463786</v>
          </cell>
          <cell r="BC83">
            <v>9.6773194989738534E-2</v>
          </cell>
          <cell r="BD83">
            <v>9.3036651845943383E-2</v>
          </cell>
          <cell r="BE83">
            <v>0.10953080257169599</v>
          </cell>
          <cell r="BF83">
            <v>0.11577734860031866</v>
          </cell>
          <cell r="BG83">
            <v>6.4589170163511164E-2</v>
          </cell>
          <cell r="BH83">
            <v>6.287672927109568E-2</v>
          </cell>
          <cell r="BI83">
            <v>7.678218076115724E-2</v>
          </cell>
          <cell r="BJ83">
            <v>8.2375870171500887E-2</v>
          </cell>
          <cell r="BK83">
            <v>5.6371656403988293E-2</v>
          </cell>
          <cell r="BL83">
            <v>6.027298150585203E-2</v>
          </cell>
          <cell r="BM83">
            <v>6.8687091191965366E-2</v>
          </cell>
          <cell r="BN83">
            <v>7.2439080070055048E-2</v>
          </cell>
          <cell r="BO83">
            <v>5.9209320327603454E-2</v>
          </cell>
          <cell r="BP83">
            <v>6.2011897526845709E-2</v>
          </cell>
          <cell r="BQ83">
            <v>6.7916160369024953E-2</v>
          </cell>
          <cell r="BR83">
            <v>7.336820033471933E-2</v>
          </cell>
          <cell r="BS83">
            <v>7.0608703385638141E-2</v>
          </cell>
          <cell r="BT83">
            <v>7.1729663126493523E-2</v>
          </cell>
          <cell r="BU83">
            <v>7.8012436830221188E-2</v>
          </cell>
          <cell r="BV83">
            <v>8.2467654534903942E-2</v>
          </cell>
          <cell r="BW83">
            <v>8.5318335813807503E-2</v>
          </cell>
          <cell r="BX83">
            <v>8.9487028646720271E-2</v>
          </cell>
          <cell r="BY83">
            <v>9.0705286987276451E-2</v>
          </cell>
          <cell r="BZ83">
            <v>0.1016703230374575</v>
          </cell>
          <cell r="CA83">
            <v>0.13919047225891673</v>
          </cell>
          <cell r="CB83">
            <v>9.6669249413915151E-2</v>
          </cell>
          <cell r="CC83">
            <v>0.11489526956079232</v>
          </cell>
          <cell r="CD83">
            <v>0.12098833975701559</v>
          </cell>
          <cell r="CE83">
            <v>0.15215828728048655</v>
          </cell>
          <cell r="CF83">
            <v>0.1150656765134329</v>
          </cell>
          <cell r="CG83">
            <v>0.12680917102427966</v>
          </cell>
          <cell r="CH83">
            <v>0.13646575401202651</v>
          </cell>
          <cell r="CI83">
            <v>0.15452804711877921</v>
          </cell>
          <cell r="CJ83">
            <v>0.13148370263503281</v>
          </cell>
          <cell r="CK83">
            <v>0.14101905605679263</v>
          </cell>
          <cell r="CL83">
            <v>0.14707430495046428</v>
          </cell>
          <cell r="CM83">
            <v>0.159989908691831</v>
          </cell>
          <cell r="CN83">
            <v>0.1475851508230592</v>
          </cell>
          <cell r="CO83">
            <v>0.15679102654210247</v>
          </cell>
          <cell r="CP83">
            <v>0.1634741266237705</v>
          </cell>
          <cell r="CQ83">
            <v>0.17943723170216491</v>
          </cell>
          <cell r="CR83">
            <v>0.16387039630044825</v>
          </cell>
          <cell r="CS83">
            <v>0.17208464944111179</v>
          </cell>
          <cell r="CT83">
            <v>0.17888920323139829</v>
          </cell>
          <cell r="CU83">
            <v>0.19637000414774658</v>
          </cell>
          <cell r="CV83">
            <v>0.18509438376128703</v>
          </cell>
          <cell r="CW83">
            <v>0.18945132885372973</v>
          </cell>
          <cell r="CX83">
            <v>0.19536064649671281</v>
          </cell>
          <cell r="CY83">
            <v>0.2117220675148842</v>
          </cell>
          <cell r="CZ83">
            <v>0.20350774412778488</v>
          </cell>
          <cell r="DA83">
            <v>0.20718558222198524</v>
          </cell>
          <cell r="DB83">
            <v>0.21237383672182961</v>
          </cell>
          <cell r="DC83">
            <v>0.22738165668441962</v>
          </cell>
          <cell r="DD83">
            <v>0.22142765001456205</v>
          </cell>
          <cell r="DE83">
            <v>0.2246079994029124</v>
          </cell>
          <cell r="DF83">
            <v>0.22928627644292821</v>
          </cell>
          <cell r="DG83">
            <v>0.24337103630929224</v>
          </cell>
          <cell r="DH83">
            <v>0.23911198258512734</v>
          </cell>
          <cell r="DI83">
            <v>0.24191546464676555</v>
          </cell>
          <cell r="DJ83">
            <v>0.24622420398846184</v>
          </cell>
          <cell r="DK83">
            <v>0.25968972034105026</v>
          </cell>
          <cell r="DL83">
            <v>0.25670920940886582</v>
          </cell>
          <cell r="DM83">
            <v>0.25921627168688122</v>
          </cell>
          <cell r="DN83">
            <v>0.26325387561672714</v>
          </cell>
          <cell r="DP83" t="str">
            <v>NA</v>
          </cell>
          <cell r="DQ83" t="str">
            <v>NA</v>
          </cell>
          <cell r="DR83" t="str">
            <v>NA</v>
          </cell>
          <cell r="DS83" t="str">
            <v>NA</v>
          </cell>
          <cell r="DT83" t="str">
            <v>NA</v>
          </cell>
          <cell r="DU83" t="str">
            <v>NA</v>
          </cell>
          <cell r="DV83" t="str">
            <v>NA</v>
          </cell>
          <cell r="DW83" t="str">
            <v>NA</v>
          </cell>
          <cell r="DX83" t="str">
            <v>NA</v>
          </cell>
          <cell r="DY83" t="str">
            <v>NA</v>
          </cell>
          <cell r="DZ83" t="str">
            <v>NA</v>
          </cell>
          <cell r="EA83">
            <v>0</v>
          </cell>
          <cell r="EB83">
            <v>0.1823097875899708</v>
          </cell>
          <cell r="EC83">
            <v>0.10535013569858501</v>
          </cell>
          <cell r="ED83">
            <v>7.2961579377727584E-2</v>
          </cell>
          <cell r="EE83">
            <v>6.5359344016024501E-2</v>
          </cell>
          <cell r="EF83">
            <v>6.6335690081625695E-2</v>
          </cell>
          <cell r="EG83">
            <v>7.6242694022478588E-2</v>
          </cell>
          <cell r="EH83">
            <v>9.2329239652630651E-2</v>
          </cell>
          <cell r="EI83">
            <v>0.11783994479602469</v>
          </cell>
          <cell r="EJ83">
            <v>0.13231534852817151</v>
          </cell>
          <cell r="EK83">
            <v>0.14347500308609196</v>
          </cell>
          <cell r="EL83">
            <v>0.15719867768673212</v>
          </cell>
          <cell r="EM83">
            <v>0.17358185170079227</v>
          </cell>
          <cell r="EN83">
            <v>0.19158392848144182</v>
          </cell>
          <cell r="EO83">
            <v>0.20873704364204357</v>
          </cell>
          <cell r="EP83">
            <v>0.22573690316951359</v>
          </cell>
          <cell r="EQ83">
            <v>0.24273385074166179</v>
          </cell>
          <cell r="ER83">
            <v>0.25980863708253749</v>
          </cell>
        </row>
        <row r="84">
          <cell r="A84" t="str">
            <v>% growth y-o-y</v>
          </cell>
          <cell r="V84" t="str">
            <v>NA</v>
          </cell>
          <cell r="Z84" t="str">
            <v>NA</v>
          </cell>
          <cell r="AA84" t="str">
            <v>NA</v>
          </cell>
          <cell r="AB84" t="str">
            <v>NA</v>
          </cell>
          <cell r="AC84" t="str">
            <v>NA</v>
          </cell>
          <cell r="AD84" t="str">
            <v>NA</v>
          </cell>
          <cell r="AE84" t="str">
            <v>NA</v>
          </cell>
          <cell r="AF84" t="str">
            <v>NA</v>
          </cell>
          <cell r="AG84" t="str">
            <v>NA</v>
          </cell>
          <cell r="AH84" t="str">
            <v>NA</v>
          </cell>
          <cell r="AI84" t="str">
            <v>NA</v>
          </cell>
          <cell r="AJ84" t="str">
            <v>NA</v>
          </cell>
          <cell r="AK84" t="str">
            <v>NA</v>
          </cell>
          <cell r="AL84" t="str">
            <v>NA</v>
          </cell>
          <cell r="AM84" t="str">
            <v>NA</v>
          </cell>
          <cell r="AN84" t="str">
            <v>NA</v>
          </cell>
          <cell r="AO84" t="str">
            <v>NA</v>
          </cell>
          <cell r="AP84" t="str">
            <v>NA</v>
          </cell>
          <cell r="AQ84" t="str">
            <v>NA</v>
          </cell>
          <cell r="AR84" t="str">
            <v>NA</v>
          </cell>
          <cell r="AS84" t="str">
            <v>NA</v>
          </cell>
          <cell r="AT84" t="str">
            <v>NA</v>
          </cell>
          <cell r="AU84" t="str">
            <v>NA</v>
          </cell>
          <cell r="AV84" t="str">
            <v>NA</v>
          </cell>
          <cell r="AW84" t="str">
            <v>NA</v>
          </cell>
          <cell r="AX84" t="str">
            <v>NA</v>
          </cell>
          <cell r="AY84" t="str">
            <v>NA</v>
          </cell>
          <cell r="AZ84" t="str">
            <v>NA</v>
          </cell>
          <cell r="BA84" t="str">
            <v>NA</v>
          </cell>
          <cell r="BB84" t="str">
            <v>NA</v>
          </cell>
          <cell r="BC84">
            <v>0.13219948488210331</v>
          </cell>
          <cell r="BD84">
            <v>0.13578253484023661</v>
          </cell>
          <cell r="BE84">
            <v>0.10171386952756878</v>
          </cell>
          <cell r="BF84">
            <v>0.10630036049154334</v>
          </cell>
          <cell r="BG84">
            <v>0.24344058040545757</v>
          </cell>
          <cell r="BH84">
            <v>0.27713169613736466</v>
          </cell>
          <cell r="BI84">
            <v>0.27760799781283652</v>
          </cell>
          <cell r="BJ84">
            <v>0.29485008518597056</v>
          </cell>
          <cell r="BK84">
            <v>0.57947092814511092</v>
          </cell>
          <cell r="BL84">
            <v>0.64561301149094152</v>
          </cell>
          <cell r="BM84">
            <v>0.50487383921119222</v>
          </cell>
          <cell r="BN84">
            <v>0.4665718227748552</v>
          </cell>
          <cell r="BO84">
            <v>0.72284692103251214</v>
          </cell>
          <cell r="BP84">
            <v>0.69892973764511868</v>
          </cell>
          <cell r="BQ84">
            <v>0.59883978670239824</v>
          </cell>
          <cell r="BR84">
            <v>0.61034522581343298</v>
          </cell>
          <cell r="BS84">
            <v>0.8278502691665186</v>
          </cell>
          <cell r="BT84">
            <v>0.74704544072532419</v>
          </cell>
          <cell r="BU84">
            <v>0.70509248283493853</v>
          </cell>
          <cell r="BV84">
            <v>0.64947162330615615</v>
          </cell>
          <cell r="BW84">
            <v>0.79611115484531414</v>
          </cell>
          <cell r="BX84">
            <v>0.80902705334167657</v>
          </cell>
          <cell r="BY84">
            <v>0.66134497214724708</v>
          </cell>
          <cell r="BZ84">
            <v>0.7361744301288351</v>
          </cell>
          <cell r="CA84">
            <v>1.3644810659186493</v>
          </cell>
          <cell r="CB84">
            <v>0.49646317084422753</v>
          </cell>
          <cell r="CC84">
            <v>0.78527128622466913</v>
          </cell>
          <cell r="CD84">
            <v>0.72572413898537103</v>
          </cell>
          <cell r="CE84">
            <v>0.53242754943038473</v>
          </cell>
          <cell r="CF84">
            <v>0.73009991473911939</v>
          </cell>
          <cell r="CG84">
            <v>0.53843991707319705</v>
          </cell>
          <cell r="CH84">
            <v>0.50349728531294624</v>
          </cell>
          <cell r="CI84">
            <v>0.38316986875845549</v>
          </cell>
          <cell r="CJ84">
            <v>0.52477540988540583</v>
          </cell>
          <cell r="CK84">
            <v>0.48183307735141945</v>
          </cell>
          <cell r="CL84">
            <v>0.4547945489466263</v>
          </cell>
          <cell r="CM84">
            <v>0.39172927363993937</v>
          </cell>
          <cell r="CN84">
            <v>0.45954578529414492</v>
          </cell>
          <cell r="CO84">
            <v>0.45338982668006755</v>
          </cell>
          <cell r="CP84">
            <v>0.46378370890535292</v>
          </cell>
          <cell r="CQ84">
            <v>0.44235189292479138</v>
          </cell>
          <cell r="CR84">
            <v>0.48490295316101362</v>
          </cell>
          <cell r="CS84">
            <v>0.40153917329761701</v>
          </cell>
          <cell r="CT84">
            <v>0.35557397968405646</v>
          </cell>
          <cell r="CU84">
            <v>0.33714029709317139</v>
          </cell>
          <cell r="CV84">
            <v>0.38965620714138449</v>
          </cell>
          <cell r="CW84">
            <v>0.40212712286439167</v>
          </cell>
          <cell r="CX84">
            <v>0.40901642056716159</v>
          </cell>
          <cell r="CY84">
            <v>0.39196738381338458</v>
          </cell>
          <cell r="CZ84">
            <v>0.42348756490360984</v>
          </cell>
          <cell r="DA84">
            <v>0.41828451640454234</v>
          </cell>
          <cell r="DB84">
            <v>0.39935779737111887</v>
          </cell>
          <cell r="DC84">
            <v>0.36940164927210373</v>
          </cell>
          <cell r="DD84">
            <v>0.38979174639369218</v>
          </cell>
          <cell r="DE84">
            <v>0.38642997107905153</v>
          </cell>
          <cell r="DF84">
            <v>0.37320757358997914</v>
          </cell>
          <cell r="DG84">
            <v>0.35152850483420872</v>
          </cell>
          <cell r="DH84">
            <v>0.36497938306160371</v>
          </cell>
          <cell r="DI84">
            <v>0.36269254595478051</v>
          </cell>
          <cell r="DJ84">
            <v>0.35310558161823402</v>
          </cell>
          <cell r="DK84">
            <v>0.33689886149872517</v>
          </cell>
          <cell r="DL84">
            <v>0.34575222985729059</v>
          </cell>
          <cell r="DM84">
            <v>0.34409540761651436</v>
          </cell>
          <cell r="DN84">
            <v>0.3369593989801305</v>
          </cell>
          <cell r="DQ84" t="str">
            <v>NA</v>
          </cell>
          <cell r="DR84" t="str">
            <v>NA</v>
          </cell>
          <cell r="DS84" t="str">
            <v>NA</v>
          </cell>
          <cell r="DT84" t="str">
            <v>NA</v>
          </cell>
          <cell r="DU84" t="str">
            <v>NA</v>
          </cell>
          <cell r="DV84" t="str">
            <v>NA</v>
          </cell>
          <cell r="DW84" t="str">
            <v>NA</v>
          </cell>
          <cell r="DX84" t="str">
            <v>NA</v>
          </cell>
          <cell r="DY84" t="str">
            <v>NA</v>
          </cell>
          <cell r="DZ84" t="str">
            <v>NA</v>
          </cell>
          <cell r="EA84" t="str">
            <v>NA</v>
          </cell>
          <cell r="EB84" t="str">
            <v>NA</v>
          </cell>
          <cell r="EC84">
            <v>0.11517714036425453</v>
          </cell>
          <cell r="ED84">
            <v>0.27741156697287339</v>
          </cell>
          <cell r="EE84">
            <v>0.53210914489005523</v>
          </cell>
          <cell r="EF84">
            <v>0.6457506448648993</v>
          </cell>
          <cell r="EG84">
            <v>0.71885779266786787</v>
          </cell>
          <cell r="EH84">
            <v>0.74399690761499637</v>
          </cell>
          <cell r="EI84">
            <v>0.8173342669552619</v>
          </cell>
          <cell r="EJ84">
            <v>0.56294679909725631</v>
          </cell>
          <cell r="EK84">
            <v>0.45772840742793197</v>
          </cell>
          <cell r="EL84">
            <v>0.44258930807632146</v>
          </cell>
          <cell r="EM84">
            <v>0.41651754420538967</v>
          </cell>
          <cell r="EN84">
            <v>0.3854825102196795</v>
          </cell>
          <cell r="EO84">
            <v>0.40809983311950582</v>
          </cell>
          <cell r="EP84">
            <v>0.37964281964070179</v>
          </cell>
          <cell r="EQ84">
            <v>0.3580426226763469</v>
          </cell>
          <cell r="ER84">
            <v>0.34089409126464099</v>
          </cell>
        </row>
        <row r="85">
          <cell r="A85" t="str">
            <v>% growth seq</v>
          </cell>
          <cell r="V85" t="str">
            <v>NA</v>
          </cell>
          <cell r="Z85" t="str">
            <v>NA</v>
          </cell>
          <cell r="AA85" t="str">
            <v>NA</v>
          </cell>
          <cell r="AB85" t="str">
            <v>NA</v>
          </cell>
          <cell r="AC85" t="str">
            <v>NA</v>
          </cell>
          <cell r="AD85" t="str">
            <v>NA</v>
          </cell>
          <cell r="AE85" t="str">
            <v>NA</v>
          </cell>
          <cell r="AF85" t="str">
            <v>NA</v>
          </cell>
          <cell r="AG85" t="str">
            <v>NA</v>
          </cell>
          <cell r="AH85" t="str">
            <v>NA</v>
          </cell>
          <cell r="AI85" t="str">
            <v>NA</v>
          </cell>
          <cell r="AJ85" t="str">
            <v>NA</v>
          </cell>
          <cell r="AK85" t="str">
            <v>NA</v>
          </cell>
          <cell r="AL85" t="str">
            <v>NA</v>
          </cell>
          <cell r="AM85" t="str">
            <v>NA</v>
          </cell>
          <cell r="AN85" t="str">
            <v>NA</v>
          </cell>
          <cell r="AO85" t="str">
            <v>NA</v>
          </cell>
          <cell r="AP85" t="str">
            <v>NA</v>
          </cell>
          <cell r="AQ85" t="str">
            <v>NA</v>
          </cell>
          <cell r="AR85" t="str">
            <v>NA</v>
          </cell>
          <cell r="AS85" t="str">
            <v>NA</v>
          </cell>
          <cell r="AT85" t="str">
            <v>NA</v>
          </cell>
          <cell r="AU85" t="str">
            <v>NA</v>
          </cell>
          <cell r="AV85" t="str">
            <v>NA</v>
          </cell>
          <cell r="AW85" t="str">
            <v>NA</v>
          </cell>
          <cell r="AX85" t="str">
            <v>NA</v>
          </cell>
          <cell r="AY85" t="str">
            <v>NA</v>
          </cell>
          <cell r="AZ85">
            <v>0.11874502888097926</v>
          </cell>
          <cell r="BA85">
            <v>0.48581144711322133</v>
          </cell>
          <cell r="BB85">
            <v>0.19924318977630362</v>
          </cell>
          <cell r="BC85">
            <v>-0.4320359157341902</v>
          </cell>
          <cell r="BD85">
            <v>0.12228549978069103</v>
          </cell>
          <cell r="BE85">
            <v>0.44124339701853366</v>
          </cell>
          <cell r="BF85">
            <v>0.20423570026895588</v>
          </cell>
          <cell r="BG85">
            <v>-0.36162943102075273</v>
          </cell>
          <cell r="BH85">
            <v>0.15269390952152739</v>
          </cell>
          <cell r="BI85">
            <v>0.44178090356295585</v>
          </cell>
          <cell r="BJ85">
            <v>0.22048758441294236</v>
          </cell>
          <cell r="BK85">
            <v>-0.22130927230748831</v>
          </cell>
          <cell r="BL85">
            <v>0.20096423553844245</v>
          </cell>
          <cell r="BM85">
            <v>0.31847423938414243</v>
          </cell>
          <cell r="BN85">
            <v>0.18942376078834311</v>
          </cell>
          <cell r="BO85">
            <v>-8.523748935577069E-2</v>
          </cell>
          <cell r="BP85">
            <v>0.1842920161366981</v>
          </cell>
          <cell r="BQ85">
            <v>0.24079826549594774</v>
          </cell>
          <cell r="BR85">
            <v>0.19798299403409159</v>
          </cell>
          <cell r="BS85">
            <v>3.8317048109912877E-2</v>
          </cell>
          <cell r="BT85">
            <v>0.13193733763678006</v>
          </cell>
          <cell r="BU85">
            <v>0.21100215592182958</v>
          </cell>
          <cell r="BV85">
            <v>0.15890426692701154</v>
          </cell>
          <cell r="BW85">
            <v>0.13062438057482462</v>
          </cell>
          <cell r="BX85">
            <v>0.14007713884992845</v>
          </cell>
          <cell r="BY85">
            <v>0.11214055051514804</v>
          </cell>
          <cell r="BZ85">
            <v>0.21110304538698066</v>
          </cell>
          <cell r="CA85">
            <v>0.53978764699166515</v>
          </cell>
          <cell r="CB85">
            <v>-0.27845332542448176</v>
          </cell>
          <cell r="CC85">
            <v>0.32677678259244325</v>
          </cell>
          <cell r="CD85">
            <v>0.17070709440625942</v>
          </cell>
          <cell r="CE85">
            <v>0.36731761306296362</v>
          </cell>
          <cell r="CF85">
            <v>-0.18537888422364901</v>
          </cell>
          <cell r="CG85">
            <v>0.17979681173150519</v>
          </cell>
          <cell r="CH85">
            <v>0.14411678922438687</v>
          </cell>
          <cell r="CI85">
            <v>0.25788888472636828</v>
          </cell>
          <cell r="CJ85">
            <v>-0.10197997096038258</v>
          </cell>
          <cell r="CK85">
            <v>0.14657013016027043</v>
          </cell>
          <cell r="CL85">
            <v>0.1232404605901678</v>
          </cell>
          <cell r="CM85">
            <v>0.20335946070705946</v>
          </cell>
          <cell r="CN85">
            <v>-5.8221039594517632E-2</v>
          </cell>
          <cell r="CO85">
            <v>0.14173421590494506</v>
          </cell>
          <cell r="CP85">
            <v>0.13127328760170531</v>
          </cell>
          <cell r="CQ85">
            <v>0.18574061554336518</v>
          </cell>
          <cell r="CR85">
            <v>-3.043746370711109E-2</v>
          </cell>
          <cell r="CS85">
            <v>7.76362358756153E-2</v>
          </cell>
          <cell r="CT85">
            <v>9.4171794696505273E-2</v>
          </cell>
          <cell r="CU85">
            <v>0.16961640065754868</v>
          </cell>
          <cell r="CV85">
            <v>7.6419054157588207E-3</v>
          </cell>
          <cell r="CW85">
            <v>8.7307052735641655E-2</v>
          </cell>
          <cell r="CX85">
            <v>9.9547965736003441E-2</v>
          </cell>
          <cell r="CY85">
            <v>0.15546409362154967</v>
          </cell>
          <cell r="CZ85">
            <v>3.0459290149151608E-2</v>
          </cell>
          <cell r="DA85">
            <v>8.3332791584196597E-2</v>
          </cell>
          <cell r="DB85">
            <v>8.4874721284308619E-2</v>
          </cell>
          <cell r="DC85">
            <v>0.13072899472357857</v>
          </cell>
          <cell r="DD85">
            <v>4.5802608172138548E-2</v>
          </cell>
          <cell r="DE85">
            <v>8.071231161247483E-2</v>
          </cell>
          <cell r="DF85">
            <v>7.4528259443539691E-2</v>
          </cell>
          <cell r="DG85">
            <v>0.11287797781091258</v>
          </cell>
          <cell r="DH85">
            <v>5.6210796739453395E-2</v>
          </cell>
          <cell r="DI85">
            <v>7.8901725279330037E-2</v>
          </cell>
          <cell r="DJ85">
            <v>6.6968620159919112E-2</v>
          </cell>
          <cell r="DK85">
            <v>9.9548565709917325E-2</v>
          </cell>
          <cell r="DL85">
            <v>6.3205359691915763E-2</v>
          </cell>
          <cell r="DM85">
            <v>7.7573435914916722E-2</v>
          </cell>
          <cell r="DN85">
            <v>6.1303920135600709E-2</v>
          </cell>
        </row>
        <row r="87">
          <cell r="A87" t="str">
            <v>non-ITSM/ITOM</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0.19020483767266683</v>
          </cell>
          <cell r="BL87">
            <v>0.6115640397912504</v>
          </cell>
          <cell r="BM87">
            <v>0.88589837409250016</v>
          </cell>
          <cell r="BN87">
            <v>1.2382212278425002</v>
          </cell>
          <cell r="BO87">
            <v>1.6782308003097919</v>
          </cell>
          <cell r="BP87">
            <v>2.1516747499404167</v>
          </cell>
          <cell r="BQ87">
            <v>2.6540828784654167</v>
          </cell>
          <cell r="BR87">
            <v>3.2793231470904169</v>
          </cell>
          <cell r="BS87">
            <v>3.9652115604801672</v>
          </cell>
          <cell r="BT87">
            <v>4.5219081591079169</v>
          </cell>
          <cell r="BU87">
            <v>5.0846066348162502</v>
          </cell>
          <cell r="BV87">
            <v>5.58916850381625</v>
          </cell>
          <cell r="BW87">
            <v>6.2180137373995823</v>
          </cell>
          <cell r="BX87">
            <v>6.9584361453995838</v>
          </cell>
          <cell r="BY87">
            <v>7.7319903719829162</v>
          </cell>
          <cell r="BZ87">
            <v>8.7220321567329169</v>
          </cell>
          <cell r="CA87">
            <v>10.081403270844028</v>
          </cell>
          <cell r="CB87">
            <v>11.706989184316249</v>
          </cell>
          <cell r="CC87">
            <v>13.141208392344026</v>
          </cell>
          <cell r="CD87">
            <v>15.124973249899588</v>
          </cell>
          <cell r="CE87">
            <v>17.541018306524588</v>
          </cell>
          <cell r="CF87">
            <v>18.744621564566256</v>
          </cell>
          <cell r="CG87">
            <v>20.006619672982922</v>
          </cell>
          <cell r="CH87">
            <v>21.619891877024585</v>
          </cell>
          <cell r="CI87">
            <v>23.482901546441255</v>
          </cell>
          <cell r="CJ87">
            <v>24.95954933673292</v>
          </cell>
          <cell r="CK87">
            <v>26.426839585899586</v>
          </cell>
          <cell r="CL87">
            <v>28.257665123982918</v>
          </cell>
          <cell r="CM87">
            <v>30.522037704107923</v>
          </cell>
          <cell r="CN87">
            <v>32.203931878232915</v>
          </cell>
          <cell r="CO87">
            <v>33.743678566399581</v>
          </cell>
          <cell r="CP87">
            <v>36.189734337024575</v>
          </cell>
          <cell r="CQ87">
            <v>39.295022187609405</v>
          </cell>
          <cell r="CR87">
            <v>41.046247436822874</v>
          </cell>
          <cell r="CS87">
            <v>42.580337041280252</v>
          </cell>
          <cell r="CT87">
            <v>45.02194420726785</v>
          </cell>
          <cell r="CU87">
            <v>48.91433687807659</v>
          </cell>
          <cell r="CV87">
            <v>51.637408265686837</v>
          </cell>
          <cell r="CW87">
            <v>54.188558664735595</v>
          </cell>
          <cell r="CX87">
            <v>57.689617991274702</v>
          </cell>
          <cell r="CY87">
            <v>62.750503072926485</v>
          </cell>
          <cell r="CZ87">
            <v>66.449817937196315</v>
          </cell>
          <cell r="DA87">
            <v>69.868672164394667</v>
          </cell>
          <cell r="DB87">
            <v>73.866855095844357</v>
          </cell>
          <cell r="DC87">
            <v>79.634933628342111</v>
          </cell>
          <cell r="DD87">
            <v>84.49671540424302</v>
          </cell>
          <cell r="DE87">
            <v>88.971205412033044</v>
          </cell>
          <cell r="DF87">
            <v>93.579211417718113</v>
          </cell>
          <cell r="DG87">
            <v>100.19694242592038</v>
          </cell>
          <cell r="DH87">
            <v>106.44364872998152</v>
          </cell>
          <cell r="DI87">
            <v>112.20228925577635</v>
          </cell>
          <cell r="DJ87">
            <v>117.55505727457066</v>
          </cell>
          <cell r="DK87">
            <v>125.18842465625329</v>
          </cell>
          <cell r="DL87">
            <v>133.07922719314533</v>
          </cell>
          <cell r="DM87">
            <v>140.39576402200538</v>
          </cell>
          <cell r="DN87">
            <v>146.65545058009235</v>
          </cell>
          <cell r="DP87">
            <v>0</v>
          </cell>
          <cell r="DQ87">
            <v>0</v>
          </cell>
          <cell r="DR87">
            <v>0</v>
          </cell>
          <cell r="DS87">
            <v>0</v>
          </cell>
          <cell r="DT87">
            <v>0</v>
          </cell>
          <cell r="DU87">
            <v>0</v>
          </cell>
          <cell r="DV87">
            <v>0</v>
          </cell>
          <cell r="DW87">
            <v>0</v>
          </cell>
          <cell r="DX87">
            <v>0</v>
          </cell>
          <cell r="DY87">
            <v>0</v>
          </cell>
          <cell r="DZ87">
            <v>0</v>
          </cell>
          <cell r="EA87">
            <v>0</v>
          </cell>
          <cell r="EB87">
            <v>0</v>
          </cell>
          <cell r="EC87">
            <v>0</v>
          </cell>
          <cell r="ED87">
            <v>0</v>
          </cell>
          <cell r="EE87">
            <v>2.9258884793989175</v>
          </cell>
          <cell r="EF87">
            <v>9.7633115758060427</v>
          </cell>
          <cell r="EG87">
            <v>19.160894858220583</v>
          </cell>
          <cell r="EH87">
            <v>29.630472411515001</v>
          </cell>
          <cell r="EI87">
            <v>50.054574097403894</v>
          </cell>
          <cell r="EJ87">
            <v>77.912151421098343</v>
          </cell>
          <cell r="EK87">
            <v>103.12695559305668</v>
          </cell>
          <cell r="EL87">
            <v>132.65938248576498</v>
          </cell>
          <cell r="EM87">
            <v>167.94355087298038</v>
          </cell>
          <cell r="EN87">
            <v>212.42992179977372</v>
          </cell>
          <cell r="EO87">
            <v>272.93584827036182</v>
          </cell>
          <cell r="EP87">
            <v>346.68206586233629</v>
          </cell>
          <cell r="EQ87">
            <v>436.39793768624895</v>
          </cell>
          <cell r="ER87">
            <v>545.31886645149632</v>
          </cell>
        </row>
        <row r="88">
          <cell r="A88" t="str">
            <v>% of revenues</v>
          </cell>
          <cell r="AU88" t="str">
            <v>NA</v>
          </cell>
          <cell r="AV88" t="str">
            <v>NA</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2.213254025211683E-3</v>
          </cell>
          <cell r="BL88">
            <v>5.9827046994898395E-3</v>
          </cell>
          <cell r="BM88">
            <v>7.9624872962412042E-3</v>
          </cell>
          <cell r="BN88">
            <v>9.8875766816457732E-3</v>
          </cell>
          <cell r="BO88">
            <v>1.2065790497589992E-2</v>
          </cell>
          <cell r="BP88">
            <v>1.2903055043808755E-2</v>
          </cell>
          <cell r="BQ88">
            <v>1.4851173275803622E-2</v>
          </cell>
          <cell r="BR88">
            <v>1.6561903532708516E-2</v>
          </cell>
          <cell r="BS88">
            <v>1.8707004776660978E-2</v>
          </cell>
          <cell r="BT88">
            <v>1.8328394425606433E-2</v>
          </cell>
          <cell r="BU88">
            <v>1.9470061783711471E-2</v>
          </cell>
          <cell r="BV88">
            <v>1.95664922241073E-2</v>
          </cell>
          <cell r="BW88">
            <v>2.0328344663738215E-2</v>
          </cell>
          <cell r="BX88">
            <v>2.0387317602075475E-2</v>
          </cell>
          <cell r="BY88">
            <v>2.1618511564136814E-2</v>
          </cell>
          <cell r="BZ88">
            <v>2.2615507088343065E-2</v>
          </cell>
          <cell r="CA88">
            <v>2.3512325392444983E-2</v>
          </cell>
          <cell r="CB88">
            <v>2.611663190465368E-2</v>
          </cell>
          <cell r="CC88">
            <v>2.6689593218834597E-2</v>
          </cell>
          <cell r="CD88">
            <v>2.7545376192921033E-2</v>
          </cell>
          <cell r="CE88">
            <v>2.9769795266511748E-2</v>
          </cell>
          <cell r="CF88">
            <v>2.9703578707066022E-2</v>
          </cell>
          <cell r="CG88">
            <v>2.9723234055393091E-2</v>
          </cell>
          <cell r="CH88">
            <v>3.0218972461774744E-2</v>
          </cell>
          <cell r="CI88">
            <v>2.9765658054673388E-2</v>
          </cell>
          <cell r="CJ88">
            <v>2.9930962480972535E-2</v>
          </cell>
          <cell r="CK88">
            <v>2.983275581955017E-2</v>
          </cell>
          <cell r="CL88">
            <v>2.9689469479081083E-2</v>
          </cell>
          <cell r="CM88">
            <v>2.9170286622042477E-2</v>
          </cell>
          <cell r="CN88">
            <v>3.0073467307252529E-2</v>
          </cell>
          <cell r="CO88">
            <v>2.9292099605198373E-2</v>
          </cell>
          <cell r="CP88">
            <v>2.8944146215018896E-2</v>
          </cell>
          <cell r="CQ88">
            <v>2.9290871862096165E-2</v>
          </cell>
          <cell r="CR88">
            <v>2.8858787979709817E-2</v>
          </cell>
          <cell r="CS88">
            <v>2.9166050692420398E-2</v>
          </cell>
          <cell r="CT88">
            <v>2.9326551607402756E-2</v>
          </cell>
          <cell r="CU88">
            <v>2.9947233100327816E-2</v>
          </cell>
          <cell r="CV88">
            <v>2.9624012695930752E-2</v>
          </cell>
          <cell r="CW88">
            <v>2.9299783991489452E-2</v>
          </cell>
          <cell r="CX88">
            <v>2.9288501168976043E-2</v>
          </cell>
          <cell r="CY88">
            <v>2.9913686939333699E-2</v>
          </cell>
          <cell r="CZ88">
            <v>2.9591529027750422E-2</v>
          </cell>
          <cell r="DA88">
            <v>2.9269816494380808E-2</v>
          </cell>
          <cell r="DB88">
            <v>2.926070426635816E-2</v>
          </cell>
          <cell r="DC88">
            <v>2.9890234163329029E-2</v>
          </cell>
          <cell r="DD88">
            <v>2.9573522911347714E-2</v>
          </cell>
          <cell r="DE88">
            <v>2.9257113068358018E-2</v>
          </cell>
          <cell r="DF88">
            <v>2.9250899116552782E-2</v>
          </cell>
          <cell r="DG88">
            <v>2.9884360984822694E-2</v>
          </cell>
          <cell r="DH88">
            <v>2.9571931058467241E-2</v>
          </cell>
          <cell r="DI88">
            <v>2.9259619516353256E-2</v>
          </cell>
          <cell r="DJ88">
            <v>2.9255619110615489E-2</v>
          </cell>
          <cell r="DK88">
            <v>2.9891774122969277E-2</v>
          </cell>
          <cell r="DL88">
            <v>2.9580820977156908E-2</v>
          </cell>
          <cell r="DM88">
            <v>2.9270422229463525E-2</v>
          </cell>
          <cell r="DN88">
            <v>2.9267604043552366E-2</v>
          </cell>
          <cell r="DP88" t="str">
            <v>NA</v>
          </cell>
          <cell r="DQ88" t="str">
            <v>NA</v>
          </cell>
          <cell r="DR88" t="str">
            <v>NA</v>
          </cell>
          <cell r="DS88" t="str">
            <v>NA</v>
          </cell>
          <cell r="DT88" t="str">
            <v>NA</v>
          </cell>
          <cell r="DU88" t="str">
            <v>NA</v>
          </cell>
          <cell r="DV88" t="str">
            <v>NA</v>
          </cell>
          <cell r="DW88" t="str">
            <v>NA</v>
          </cell>
          <cell r="DX88" t="str">
            <v>NA</v>
          </cell>
          <cell r="DY88" t="str">
            <v>NA</v>
          </cell>
          <cell r="DZ88">
            <v>0</v>
          </cell>
          <cell r="EA88">
            <v>0</v>
          </cell>
          <cell r="EB88">
            <v>0</v>
          </cell>
          <cell r="EC88">
            <v>0</v>
          </cell>
          <cell r="ED88">
            <v>0</v>
          </cell>
          <cell r="EE88">
            <v>6.8901176955114031E-3</v>
          </cell>
          <cell r="EF88">
            <v>1.4303898066267938E-2</v>
          </cell>
          <cell r="EG88">
            <v>1.9056465427676916E-2</v>
          </cell>
          <cell r="EH88">
            <v>2.1309022218069879E-2</v>
          </cell>
          <cell r="EI88">
            <v>2.6090555455166344E-2</v>
          </cell>
          <cell r="EJ88">
            <v>2.9864946941868777E-2</v>
          </cell>
          <cell r="EK88">
            <v>2.9801714521332619E-2</v>
          </cell>
          <cell r="EL88">
            <v>2.935277179557777E-2</v>
          </cell>
          <cell r="EM88">
            <v>2.9162027289717386E-2</v>
          </cell>
          <cell r="EN88">
            <v>2.9522204483116394E-2</v>
          </cell>
          <cell r="EO88">
            <v>2.9491332633837773E-2</v>
          </cell>
          <cell r="EP88">
            <v>2.9475701006345674E-2</v>
          </cell>
          <cell r="EQ88">
            <v>2.9475944006420153E-2</v>
          </cell>
          <cell r="ER88">
            <v>2.948587131580056E-2</v>
          </cell>
        </row>
        <row r="89">
          <cell r="A89" t="str">
            <v>% of subscription revenues</v>
          </cell>
          <cell r="AU89" t="str">
            <v>NA</v>
          </cell>
          <cell r="AV89" t="str">
            <v>NA</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2.6580513383921687E-3</v>
          </cell>
          <cell r="BL89">
            <v>7.6087891882060613E-3</v>
          </cell>
          <cell r="BM89">
            <v>9.5266084619375878E-3</v>
          </cell>
          <cell r="BN89">
            <v>1.1806300919568453E-2</v>
          </cell>
          <cell r="BO89">
            <v>1.4298025987729857E-2</v>
          </cell>
          <cell r="BP89">
            <v>1.6211647855251626E-2</v>
          </cell>
          <cell r="BQ89">
            <v>1.7650700475938318E-2</v>
          </cell>
          <cell r="BR89">
            <v>1.966598789266881E-2</v>
          </cell>
          <cell r="BS89">
            <v>2.2040340623100639E-2</v>
          </cell>
          <cell r="BT89">
            <v>2.2557545652809857E-2</v>
          </cell>
          <cell r="BU89">
            <v>2.2779679199743066E-2</v>
          </cell>
          <cell r="BV89">
            <v>2.2840714435583893E-2</v>
          </cell>
          <cell r="BW89">
            <v>2.3251691100207094E-2</v>
          </cell>
          <cell r="BX89">
            <v>2.3938558153150328E-2</v>
          </cell>
          <cell r="BY89">
            <v>2.4243230172960286E-2</v>
          </cell>
          <cell r="BZ89">
            <v>2.5310304455934688E-2</v>
          </cell>
          <cell r="CA89">
            <v>2.6010886081066369E-2</v>
          </cell>
          <cell r="CB89">
            <v>2.907326356020843E-2</v>
          </cell>
          <cell r="CC89">
            <v>2.9234778606612652E-2</v>
          </cell>
          <cell r="CD89">
            <v>3.0265805782028959E-2</v>
          </cell>
          <cell r="CE89">
            <v>3.2284577934982905E-2</v>
          </cell>
          <cell r="CF89">
            <v>3.2026649657030719E-2</v>
          </cell>
          <cell r="CG89">
            <v>3.1930535238821903E-2</v>
          </cell>
          <cell r="CH89">
            <v>3.2455526364654499E-2</v>
          </cell>
          <cell r="CI89">
            <v>3.1734251116157949E-2</v>
          </cell>
          <cell r="CJ89">
            <v>3.1958899980323564E-2</v>
          </cell>
          <cell r="CK89">
            <v>3.165232131115879E-2</v>
          </cell>
          <cell r="CL89">
            <v>3.1425549018324096E-2</v>
          </cell>
          <cell r="CM89">
            <v>3.0684604740020553E-2</v>
          </cell>
          <cell r="CN89">
            <v>3.1711515466075688E-2</v>
          </cell>
          <cell r="CO89">
            <v>3.09181889509299E-2</v>
          </cell>
          <cell r="CP89">
            <v>3.0560982093974294E-2</v>
          </cell>
          <cell r="CQ89">
            <v>3.0718024911839923E-2</v>
          </cell>
          <cell r="CR89">
            <v>3.0223261320213746E-2</v>
          </cell>
          <cell r="CS89">
            <v>3.0552475414956044E-2</v>
          </cell>
          <cell r="CT89">
            <v>3.0691494517109931E-2</v>
          </cell>
          <cell r="CU89">
            <v>3.1295185617354691E-2</v>
          </cell>
          <cell r="CV89">
            <v>3.0904211657432009E-2</v>
          </cell>
          <cell r="CW89">
            <v>3.0529032563377315E-2</v>
          </cell>
          <cell r="CX89">
            <v>3.0480939872663974E-2</v>
          </cell>
          <cell r="CY89">
            <v>3.1097143042063381E-2</v>
          </cell>
          <cell r="CZ89">
            <v>3.0717159276972123E-2</v>
          </cell>
          <cell r="DA89">
            <v>3.0351939287407901E-2</v>
          </cell>
          <cell r="DB89">
            <v>3.0319040799564923E-2</v>
          </cell>
          <cell r="DC89">
            <v>3.095033508852434E-2</v>
          </cell>
          <cell r="DD89">
            <v>3.0579351007471691E-2</v>
          </cell>
          <cell r="DE89">
            <v>3.0221859416277717E-2</v>
          </cell>
          <cell r="DF89">
            <v>3.0198549810866396E-2</v>
          </cell>
          <cell r="DG89">
            <v>3.0839296120741433E-2</v>
          </cell>
          <cell r="DH89">
            <v>3.0475552489477833E-2</v>
          </cell>
          <cell r="DI89">
            <v>3.0124091380661085E-2</v>
          </cell>
          <cell r="DJ89">
            <v>3.0107106526018515E-2</v>
          </cell>
          <cell r="DK89">
            <v>3.0753990537025204E-2</v>
          </cell>
          <cell r="DL89">
            <v>3.039604686738874E-2</v>
          </cell>
          <cell r="DM89">
            <v>3.0049328662182882E-2</v>
          </cell>
          <cell r="DN89">
            <v>3.0036665844816374E-2</v>
          </cell>
          <cell r="DP89" t="str">
            <v>NA</v>
          </cell>
          <cell r="DQ89" t="str">
            <v>NA</v>
          </cell>
          <cell r="DR89" t="str">
            <v>NA</v>
          </cell>
          <cell r="DS89" t="str">
            <v>NA</v>
          </cell>
          <cell r="DT89" t="str">
            <v>NA</v>
          </cell>
          <cell r="DU89" t="str">
            <v>NA</v>
          </cell>
          <cell r="DV89" t="str">
            <v>NA</v>
          </cell>
          <cell r="DW89" t="str">
            <v>NA</v>
          </cell>
          <cell r="DX89" t="str">
            <v>NA</v>
          </cell>
          <cell r="DY89" t="str">
            <v>NA</v>
          </cell>
          <cell r="DZ89" t="str">
            <v>NA</v>
          </cell>
          <cell r="EA89">
            <v>0</v>
          </cell>
          <cell r="EB89">
            <v>0</v>
          </cell>
          <cell r="EC89">
            <v>0</v>
          </cell>
          <cell r="ED89">
            <v>0</v>
          </cell>
          <cell r="EE89">
            <v>8.364365414343225E-3</v>
          </cell>
          <cell r="EF89">
            <v>1.7212656841748473E-2</v>
          </cell>
          <cell r="EG89">
            <v>2.2587989855001052E-2</v>
          </cell>
          <cell r="EH89">
            <v>2.4254687687209557E-2</v>
          </cell>
          <cell r="EI89">
            <v>2.8775265362117785E-2</v>
          </cell>
          <cell r="EJ89">
            <v>3.2177645525835914E-2</v>
          </cell>
          <cell r="EK89">
            <v>3.1681859516483835E-2</v>
          </cell>
          <cell r="EL89">
            <v>3.0953258515455811E-2</v>
          </cell>
          <cell r="EM89">
            <v>3.0546763702888703E-2</v>
          </cell>
          <cell r="EN89">
            <v>3.0780188340622152E-2</v>
          </cell>
          <cell r="EO89">
            <v>3.0600122958834651E-2</v>
          </cell>
          <cell r="EP89">
            <v>3.0467045132939213E-2</v>
          </cell>
          <cell r="EQ89">
            <v>3.0366590421824421E-2</v>
          </cell>
          <cell r="ER89">
            <v>3.0289536492841124E-2</v>
          </cell>
        </row>
        <row r="90">
          <cell r="A90" t="str">
            <v>% growth y-o-y</v>
          </cell>
          <cell r="AU90" t="str">
            <v>NA</v>
          </cell>
          <cell r="AV90" t="str">
            <v>NA</v>
          </cell>
          <cell r="AW90" t="str">
            <v>NA</v>
          </cell>
          <cell r="AX90" t="str">
            <v>NA</v>
          </cell>
          <cell r="AY90" t="str">
            <v>NA</v>
          </cell>
          <cell r="AZ90" t="str">
            <v>NA</v>
          </cell>
          <cell r="BA90" t="str">
            <v>NA</v>
          </cell>
          <cell r="BB90" t="str">
            <v>NA</v>
          </cell>
          <cell r="BC90" t="str">
            <v>NA</v>
          </cell>
          <cell r="BD90" t="str">
            <v>NA</v>
          </cell>
          <cell r="BE90" t="str">
            <v>NA</v>
          </cell>
          <cell r="BF90" t="str">
            <v>NA</v>
          </cell>
          <cell r="BG90" t="str">
            <v>NA</v>
          </cell>
          <cell r="BH90" t="str">
            <v>NA</v>
          </cell>
          <cell r="BI90" t="str">
            <v>NA</v>
          </cell>
          <cell r="BJ90" t="str">
            <v>NA</v>
          </cell>
          <cell r="BK90" t="str">
            <v>NA</v>
          </cell>
          <cell r="BL90" t="str">
            <v>NA</v>
          </cell>
          <cell r="BM90" t="str">
            <v>NA</v>
          </cell>
          <cell r="BN90" t="str">
            <v>NA</v>
          </cell>
          <cell r="BO90">
            <v>7.8232813678374704</v>
          </cell>
          <cell r="BP90">
            <v>2.518314697958473</v>
          </cell>
          <cell r="BQ90">
            <v>1.9959225076851688</v>
          </cell>
          <cell r="BR90">
            <v>1.6484145751598613</v>
          </cell>
          <cell r="BS90">
            <v>1.3627331590793181</v>
          </cell>
          <cell r="BT90">
            <v>1.1015760673090278</v>
          </cell>
          <cell r="BU90">
            <v>0.91576784435464043</v>
          </cell>
          <cell r="BV90">
            <v>0.70436649671907015</v>
          </cell>
          <cell r="BW90">
            <v>0.56814173532940382</v>
          </cell>
          <cell r="BX90">
            <v>0.53882739333926355</v>
          </cell>
          <cell r="BY90">
            <v>0.52066638135564225</v>
          </cell>
          <cell r="BZ90">
            <v>0.56052410135381803</v>
          </cell>
          <cell r="CA90">
            <v>0.62132212899551154</v>
          </cell>
          <cell r="CB90">
            <v>0.68241670106523378</v>
          </cell>
          <cell r="CC90">
            <v>0.69958933730201767</v>
          </cell>
          <cell r="CD90">
            <v>0.73411115415619754</v>
          </cell>
          <cell r="CE90">
            <v>0.73993816488367026</v>
          </cell>
          <cell r="CF90">
            <v>0.60114793560057778</v>
          </cell>
          <cell r="CG90">
            <v>0.52243378810114871</v>
          </cell>
          <cell r="CH90">
            <v>0.42941686704590487</v>
          </cell>
          <cell r="CI90">
            <v>0.33874220618688455</v>
          </cell>
          <cell r="CJ90">
            <v>0.33155792186890576</v>
          </cell>
          <cell r="CK90">
            <v>0.32090478141025369</v>
          </cell>
          <cell r="CL90">
            <v>0.30702157460890356</v>
          </cell>
          <cell r="CM90">
            <v>0.29975580929578194</v>
          </cell>
          <cell r="CN90">
            <v>0.29024492565009785</v>
          </cell>
          <cell r="CO90">
            <v>0.27687150999334764</v>
          </cell>
          <cell r="CP90">
            <v>0.28070504686919562</v>
          </cell>
          <cell r="CQ90">
            <v>0.28743115281325848</v>
          </cell>
          <cell r="CR90">
            <v>0.27457254573832346</v>
          </cell>
          <cell r="CS90">
            <v>0.26187596759767073</v>
          </cell>
          <cell r="CT90">
            <v>0.24405290704793381</v>
          </cell>
          <cell r="CU90">
            <v>0.24479728359843933</v>
          </cell>
          <cell r="CV90">
            <v>0.25802994159613624</v>
          </cell>
          <cell r="CW90">
            <v>0.27261929872000668</v>
          </cell>
          <cell r="CX90">
            <v>0.28136665368533587</v>
          </cell>
          <cell r="CY90">
            <v>0.28286525133393492</v>
          </cell>
          <cell r="CZ90">
            <v>0.28685424325125064</v>
          </cell>
          <cell r="DA90">
            <v>0.28936206989139301</v>
          </cell>
          <cell r="DB90">
            <v>0.28041851667342277</v>
          </cell>
          <cell r="DC90">
            <v>0.26907243334436881</v>
          </cell>
          <cell r="DD90">
            <v>0.27158686099190454</v>
          </cell>
          <cell r="DE90">
            <v>0.27340627288138308</v>
          </cell>
          <cell r="DF90">
            <v>0.26686334887679197</v>
          </cell>
          <cell r="DG90">
            <v>0.25820337709505226</v>
          </cell>
          <cell r="DH90">
            <v>0.25973711783637476</v>
          </cell>
          <cell r="DI90">
            <v>0.26110789143699042</v>
          </cell>
          <cell r="DJ90">
            <v>0.25620910342821079</v>
          </cell>
          <cell r="DK90">
            <v>0.24942360141189046</v>
          </cell>
          <cell r="DL90">
            <v>0.25023173088261008</v>
          </cell>
          <cell r="DM90">
            <v>0.25127361440869689</v>
          </cell>
          <cell r="DN90">
            <v>0.24754692805391243</v>
          </cell>
          <cell r="DQ90" t="str">
            <v>NA</v>
          </cell>
          <cell r="DR90" t="str">
            <v>NA</v>
          </cell>
          <cell r="DS90" t="str">
            <v>NA</v>
          </cell>
          <cell r="DT90" t="str">
            <v>NA</v>
          </cell>
          <cell r="DU90" t="str">
            <v>NA</v>
          </cell>
          <cell r="DV90" t="str">
            <v>NA</v>
          </cell>
          <cell r="DW90" t="str">
            <v>NA</v>
          </cell>
          <cell r="DX90" t="str">
            <v>NA</v>
          </cell>
          <cell r="DY90" t="str">
            <v>NA</v>
          </cell>
          <cell r="DZ90" t="str">
            <v>NA</v>
          </cell>
          <cell r="EA90" t="str">
            <v>NA</v>
          </cell>
          <cell r="EB90" t="str">
            <v>NA</v>
          </cell>
          <cell r="EC90" t="str">
            <v>NA</v>
          </cell>
          <cell r="ED90" t="str">
            <v>NA</v>
          </cell>
          <cell r="EE90" t="str">
            <v>NA</v>
          </cell>
          <cell r="EF90">
            <v>2.3368707127934614</v>
          </cell>
          <cell r="EG90">
            <v>0.96254054881360185</v>
          </cell>
          <cell r="EH90">
            <v>0.54640337159423757</v>
          </cell>
          <cell r="EI90">
            <v>0.68929382570193765</v>
          </cell>
          <cell r="EJ90">
            <v>0.55654408864782035</v>
          </cell>
          <cell r="EK90">
            <v>0.32363121428489072</v>
          </cell>
          <cell r="EL90">
            <v>0.2863696181359654</v>
          </cell>
          <cell r="EM90">
            <v>0.26597567187531257</v>
          </cell>
          <cell r="EN90">
            <v>0.26488883136953212</v>
          </cell>
          <cell r="EO90">
            <v>0.2848277020391603</v>
          </cell>
          <cell r="EP90">
            <v>0.27019615803243169</v>
          </cell>
          <cell r="EQ90">
            <v>0.25878428871350345</v>
          </cell>
          <cell r="ER90">
            <v>0.24959084211703297</v>
          </cell>
        </row>
        <row r="91">
          <cell r="A91" t="str">
            <v>% growth seq</v>
          </cell>
          <cell r="AU91" t="str">
            <v>NA</v>
          </cell>
          <cell r="AV91" t="str">
            <v>NA</v>
          </cell>
          <cell r="AW91" t="str">
            <v>NA</v>
          </cell>
          <cell r="AX91" t="str">
            <v>NA</v>
          </cell>
          <cell r="AY91" t="str">
            <v>NA</v>
          </cell>
          <cell r="AZ91" t="str">
            <v>NA</v>
          </cell>
          <cell r="BA91" t="str">
            <v>NA</v>
          </cell>
          <cell r="BB91" t="str">
            <v>NA</v>
          </cell>
          <cell r="BC91" t="str">
            <v>NA</v>
          </cell>
          <cell r="BD91" t="str">
            <v>NA</v>
          </cell>
          <cell r="BE91" t="str">
            <v>NA</v>
          </cell>
          <cell r="BF91" t="str">
            <v>NA</v>
          </cell>
          <cell r="BG91" t="str">
            <v>NA</v>
          </cell>
          <cell r="BH91" t="str">
            <v>NA</v>
          </cell>
          <cell r="BI91" t="str">
            <v>NA</v>
          </cell>
          <cell r="BJ91" t="str">
            <v>NA</v>
          </cell>
          <cell r="BK91" t="str">
            <v>NA</v>
          </cell>
          <cell r="BL91">
            <v>2.2152917206223854</v>
          </cell>
          <cell r="BM91">
            <v>0.44857826237607146</v>
          </cell>
          <cell r="BN91">
            <v>0.39770120823498956</v>
          </cell>
          <cell r="BO91">
            <v>0.35535618560987881</v>
          </cell>
          <cell r="BP91">
            <v>0.28210896233296978</v>
          </cell>
          <cell r="BQ91">
            <v>0.23349631655012559</v>
          </cell>
          <cell r="BR91">
            <v>0.23557676879574774</v>
          </cell>
          <cell r="BS91">
            <v>0.20915548197752498</v>
          </cell>
          <cell r="BT91">
            <v>0.14039518198124501</v>
          </cell>
          <cell r="BU91">
            <v>0.12443828045798755</v>
          </cell>
          <cell r="BV91">
            <v>9.9233216104677835E-2</v>
          </cell>
          <cell r="BW91">
            <v>0.11251141080358562</v>
          </cell>
          <cell r="BX91">
            <v>0.11907699777930225</v>
          </cell>
          <cell r="BY91">
            <v>0.11116782714098061</v>
          </cell>
          <cell r="BZ91">
            <v>0.12804488069946962</v>
          </cell>
          <cell r="CA91">
            <v>0.15585486153725703</v>
          </cell>
          <cell r="CB91">
            <v>0.16124599619712709</v>
          </cell>
          <cell r="CC91">
            <v>0.12250965516814416</v>
          </cell>
          <cell r="CD91">
            <v>0.15095756785283831</v>
          </cell>
          <cell r="CE91">
            <v>0.15973879865480356</v>
          </cell>
          <cell r="CF91">
            <v>6.8616498598258246E-2</v>
          </cell>
          <cell r="CG91">
            <v>6.7325878202965317E-2</v>
          </cell>
          <cell r="CH91">
            <v>8.0636920699814096E-2</v>
          </cell>
          <cell r="CI91">
            <v>8.617109095704989E-2</v>
          </cell>
          <cell r="CJ91">
            <v>6.2881828609269386E-2</v>
          </cell>
          <cell r="CK91">
            <v>5.8786728452955517E-2</v>
          </cell>
          <cell r="CL91">
            <v>6.9279019616866888E-2</v>
          </cell>
          <cell r="CM91">
            <v>8.0133038953851266E-2</v>
          </cell>
          <cell r="CN91">
            <v>5.5104255830816573E-2</v>
          </cell>
          <cell r="CO91">
            <v>4.7812381854136277E-2</v>
          </cell>
          <cell r="CP91">
            <v>7.2489303909522906E-2</v>
          </cell>
          <cell r="CQ91">
            <v>8.5805765294273195E-2</v>
          </cell>
          <cell r="CR91">
            <v>4.4566083735808837E-2</v>
          </cell>
          <cell r="CS91">
            <v>3.7374661516100804E-2</v>
          </cell>
          <cell r="CT91">
            <v>5.7341189282286376E-2</v>
          </cell>
          <cell r="CU91">
            <v>8.6455454986335223E-2</v>
          </cell>
          <cell r="CV91">
            <v>5.567020962377045E-2</v>
          </cell>
          <cell r="CW91">
            <v>4.9405082182329529E-2</v>
          </cell>
          <cell r="CX91">
            <v>6.4608829110959443E-2</v>
          </cell>
          <cell r="CY91">
            <v>8.7726098002888886E-2</v>
          </cell>
          <cell r="CZ91">
            <v>5.8952752298584876E-2</v>
          </cell>
          <cell r="DA91">
            <v>5.1450166958013632E-2</v>
          </cell>
          <cell r="DB91">
            <v>5.7224258134494388E-2</v>
          </cell>
          <cell r="DC91">
            <v>7.8087506568588871E-2</v>
          </cell>
          <cell r="DD91">
            <v>6.1050867432010936E-2</v>
          </cell>
          <cell r="DE91">
            <v>5.2954602866910117E-2</v>
          </cell>
          <cell r="DF91">
            <v>5.179210492141828E-2</v>
          </cell>
          <cell r="DG91">
            <v>7.0717960837072047E-2</v>
          </cell>
          <cell r="DH91">
            <v>6.2344280701774668E-2</v>
          </cell>
          <cell r="DI91">
            <v>5.4100367607680777E-2</v>
          </cell>
          <cell r="DJ91">
            <v>4.7706406476182739E-2</v>
          </cell>
          <cell r="DK91">
            <v>6.4934402301838556E-2</v>
          </cell>
          <cell r="DL91">
            <v>6.3031406925671218E-2</v>
          </cell>
          <cell r="DM91">
            <v>5.4978804605178233E-2</v>
          </cell>
          <cell r="DN91">
            <v>4.458600728940687E-2</v>
          </cell>
        </row>
        <row r="93">
          <cell r="A93" t="str">
            <v>non-IT</v>
          </cell>
          <cell r="B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4.7517119684144647E-2</v>
          </cell>
          <cell r="BL93">
            <v>0.56173100843997337</v>
          </cell>
          <cell r="BM93">
            <v>1.7786475399856629</v>
          </cell>
          <cell r="BN93">
            <v>3.1092548929019457</v>
          </cell>
          <cell r="BO93">
            <v>4.64720938726858</v>
          </cell>
          <cell r="BP93">
            <v>6.26179825530971</v>
          </cell>
          <cell r="BQ93">
            <v>7.9654174691432971</v>
          </cell>
          <cell r="BR93">
            <v>9.7997564226917984</v>
          </cell>
          <cell r="BS93">
            <v>10.435496069335004</v>
          </cell>
          <cell r="BT93">
            <v>11.875104326057119</v>
          </cell>
          <cell r="BU93">
            <v>14.233221735562539</v>
          </cell>
          <cell r="BV93">
            <v>16.251953147827763</v>
          </cell>
          <cell r="BW93">
            <v>19.195164038536777</v>
          </cell>
          <cell r="BX93">
            <v>23.24388031507101</v>
          </cell>
          <cell r="BY93">
            <v>30.049617308909873</v>
          </cell>
          <cell r="BZ93">
            <v>37.098408863824773</v>
          </cell>
          <cell r="CA93">
            <v>45.480032387280254</v>
          </cell>
          <cell r="CB93">
            <v>55.447002354228154</v>
          </cell>
          <cell r="CC93">
            <v>67.904579121872047</v>
          </cell>
          <cell r="CD93">
            <v>82.943837814199341</v>
          </cell>
          <cell r="CE93">
            <v>102.76699186474011</v>
          </cell>
          <cell r="CF93">
            <v>117.09507856548272</v>
          </cell>
          <cell r="CG93">
            <v>131.09522658695684</v>
          </cell>
          <cell r="CH93">
            <v>153.14725218446449</v>
          </cell>
          <cell r="CI93">
            <v>178.75295564056341</v>
          </cell>
          <cell r="CJ93">
            <v>199.35028634117594</v>
          </cell>
          <cell r="CK93">
            <v>219.95965737753068</v>
          </cell>
          <cell r="CL93">
            <v>247.54169367099507</v>
          </cell>
          <cell r="CM93">
            <v>275.40830852357539</v>
          </cell>
          <cell r="CN93">
            <v>293.28001602741199</v>
          </cell>
          <cell r="CO93">
            <v>320.65889085038236</v>
          </cell>
          <cell r="CP93">
            <v>356.23678089768731</v>
          </cell>
          <cell r="CQ93">
            <v>394.5374020754515</v>
          </cell>
          <cell r="CR93">
            <v>417.03051178631523</v>
          </cell>
          <cell r="CS93">
            <v>435.3435587079511</v>
          </cell>
          <cell r="CT93">
            <v>468.11143925410209</v>
          </cell>
          <cell r="CU93">
            <v>516.38205482136914</v>
          </cell>
          <cell r="CV93">
            <v>551.18521561859211</v>
          </cell>
          <cell r="CW93">
            <v>582.38103260505216</v>
          </cell>
          <cell r="CX93">
            <v>628.56864051818889</v>
          </cell>
          <cell r="CY93">
            <v>691.64015995613443</v>
          </cell>
          <cell r="CZ93">
            <v>738.80907145771209</v>
          </cell>
          <cell r="DA93">
            <v>780.99580360073367</v>
          </cell>
          <cell r="DB93">
            <v>833.48031050940449</v>
          </cell>
          <cell r="DC93">
            <v>905.50961365806575</v>
          </cell>
          <cell r="DD93">
            <v>967.40310604030356</v>
          </cell>
          <cell r="DE93">
            <v>1022.9612247374865</v>
          </cell>
          <cell r="DF93">
            <v>1083.1701572531388</v>
          </cell>
          <cell r="DG93">
            <v>1165.9617250940571</v>
          </cell>
          <cell r="DH93">
            <v>1245.3975948329912</v>
          </cell>
          <cell r="DI93">
            <v>1317.2216200915682</v>
          </cell>
          <cell r="DJ93">
            <v>1386.864204773271</v>
          </cell>
          <cell r="DK93">
            <v>1482.5205000116073</v>
          </cell>
          <cell r="DL93">
            <v>1582.7815886997328</v>
          </cell>
          <cell r="DM93">
            <v>1674.3389671304692</v>
          </cell>
          <cell r="DN93">
            <v>1755.4691866432127</v>
          </cell>
          <cell r="DP93">
            <v>0</v>
          </cell>
          <cell r="DQ93">
            <v>0</v>
          </cell>
          <cell r="DR93">
            <v>0</v>
          </cell>
          <cell r="DS93">
            <v>0</v>
          </cell>
          <cell r="DT93">
            <v>0</v>
          </cell>
          <cell r="DU93">
            <v>0</v>
          </cell>
          <cell r="DV93">
            <v>0</v>
          </cell>
          <cell r="DW93">
            <v>0</v>
          </cell>
          <cell r="DX93">
            <v>0</v>
          </cell>
          <cell r="DY93">
            <v>0</v>
          </cell>
          <cell r="DZ93">
            <v>0</v>
          </cell>
          <cell r="EA93">
            <v>0</v>
          </cell>
          <cell r="EB93">
            <v>0</v>
          </cell>
          <cell r="EC93">
            <v>0</v>
          </cell>
          <cell r="ED93">
            <v>0</v>
          </cell>
          <cell r="EE93">
            <v>5.4971505610117273</v>
          </cell>
          <cell r="EF93">
            <v>28.674181534413385</v>
          </cell>
          <cell r="EG93">
            <v>52.795775278782422</v>
          </cell>
          <cell r="EH93">
            <v>109.58707052634243</v>
          </cell>
          <cell r="EI93">
            <v>251.77545167757978</v>
          </cell>
          <cell r="EJ93">
            <v>504.1045492016442</v>
          </cell>
          <cell r="EK93">
            <v>845.60459303026505</v>
          </cell>
          <cell r="EL93">
            <v>1245.5839962990569</v>
          </cell>
          <cell r="EM93">
            <v>1715.0229118238201</v>
          </cell>
          <cell r="EN93">
            <v>2278.5169435632024</v>
          </cell>
          <cell r="EO93">
            <v>3044.925345523985</v>
          </cell>
          <cell r="EP93">
            <v>3979.0441016889945</v>
          </cell>
          <cell r="EQ93">
            <v>5115.4451447918873</v>
          </cell>
          <cell r="ER93">
            <v>6495.1102424850214</v>
          </cell>
        </row>
        <row r="94">
          <cell r="A94" t="str">
            <v>% of revenues</v>
          </cell>
          <cell r="AU94" t="str">
            <v>NA</v>
          </cell>
          <cell r="AV94" t="str">
            <v>NA</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5.5291683268533082E-4</v>
          </cell>
          <cell r="BL94">
            <v>5.4952065938836392E-3</v>
          </cell>
          <cell r="BM94">
            <v>1.5986549762137561E-2</v>
          </cell>
          <cell r="BN94">
            <v>2.4828354970070635E-2</v>
          </cell>
          <cell r="BO94">
            <v>3.3411527696229633E-2</v>
          </cell>
          <cell r="BP94">
            <v>3.7550437194898624E-2</v>
          </cell>
          <cell r="BQ94">
            <v>4.4571251338149077E-2</v>
          </cell>
          <cell r="BR94">
            <v>4.9492719453605977E-2</v>
          </cell>
          <cell r="BS94">
            <v>4.9232398281477061E-2</v>
          </cell>
          <cell r="BT94">
            <v>4.8132688297707157E-2</v>
          </cell>
          <cell r="BU94">
            <v>5.4502093569069654E-2</v>
          </cell>
          <cell r="BV94">
            <v>5.6894637310792105E-2</v>
          </cell>
          <cell r="BW94">
            <v>6.2754108776793355E-2</v>
          </cell>
          <cell r="BX94">
            <v>6.8101561958181997E-2</v>
          </cell>
          <cell r="BY94">
            <v>8.401821109924025E-2</v>
          </cell>
          <cell r="BZ94">
            <v>9.6193101968606962E-2</v>
          </cell>
          <cell r="CA94">
            <v>0.10607068198940751</v>
          </cell>
          <cell r="CB94">
            <v>0.12369439553611569</v>
          </cell>
          <cell r="CC94">
            <v>0.1379131614345902</v>
          </cell>
          <cell r="CD94">
            <v>0.15105608305733154</v>
          </cell>
          <cell r="CE94">
            <v>0.17441132860745201</v>
          </cell>
          <cell r="CF94">
            <v>0.18555417992299053</v>
          </cell>
          <cell r="CG94">
            <v>0.19476424139010698</v>
          </cell>
          <cell r="CH94">
            <v>0.21405993252338695</v>
          </cell>
          <cell r="CI94">
            <v>0.22657759490822135</v>
          </cell>
          <cell r="CJ94">
            <v>0.23905663762396626</v>
          </cell>
          <cell r="CK94">
            <v>0.24830826733428388</v>
          </cell>
          <cell r="CL94">
            <v>0.26008453022565764</v>
          </cell>
          <cell r="CM94">
            <v>0.26321110587722479</v>
          </cell>
          <cell r="CN94">
            <v>0.2738779540094729</v>
          </cell>
          <cell r="CO94">
            <v>0.27835649725026507</v>
          </cell>
          <cell r="CP94">
            <v>0.28491420736740486</v>
          </cell>
          <cell r="CQ94">
            <v>0.29409181737630713</v>
          </cell>
          <cell r="CR94">
            <v>0.2932057343179798</v>
          </cell>
          <cell r="CS94">
            <v>0.29819520426964269</v>
          </cell>
          <cell r="CT94">
            <v>0.30492006782516717</v>
          </cell>
          <cell r="CU94">
            <v>0.3161488993116221</v>
          </cell>
          <cell r="CV94">
            <v>0.31621102556660852</v>
          </cell>
          <cell r="CW94">
            <v>0.31489375020364113</v>
          </cell>
          <cell r="CX94">
            <v>0.31911865607054396</v>
          </cell>
          <cell r="CY94">
            <v>0.32971061914123384</v>
          </cell>
          <cell r="CZ94">
            <v>0.32900752421427409</v>
          </cell>
          <cell r="DA94">
            <v>0.32717959489037329</v>
          </cell>
          <cell r="DB94">
            <v>0.33016460286556998</v>
          </cell>
          <cell r="DC94">
            <v>0.3398746398873424</v>
          </cell>
          <cell r="DD94">
            <v>0.33858733779319455</v>
          </cell>
          <cell r="DE94">
            <v>0.33638852118601131</v>
          </cell>
          <cell r="DF94">
            <v>0.33857627688742459</v>
          </cell>
          <cell r="DG94">
            <v>0.34775533308273338</v>
          </cell>
          <cell r="DH94">
            <v>0.34599351162986508</v>
          </cell>
          <cell r="DI94">
            <v>0.34349926082822352</v>
          </cell>
          <cell r="DJ94">
            <v>0.34514526106883431</v>
          </cell>
          <cell r="DK94">
            <v>0.3539877432015025</v>
          </cell>
          <cell r="DL94">
            <v>0.35182033897232012</v>
          </cell>
          <cell r="DM94">
            <v>0.34907469512734846</v>
          </cell>
          <cell r="DN94">
            <v>0.35033390755068738</v>
          </cell>
          <cell r="DP94" t="str">
            <v>NA</v>
          </cell>
          <cell r="DQ94" t="str">
            <v>NA</v>
          </cell>
          <cell r="DR94" t="str">
            <v>NA</v>
          </cell>
          <cell r="DS94" t="str">
            <v>NA</v>
          </cell>
          <cell r="DT94" t="str">
            <v>NA</v>
          </cell>
          <cell r="DU94" t="str">
            <v>NA</v>
          </cell>
          <cell r="DV94" t="str">
            <v>NA</v>
          </cell>
          <cell r="DW94" t="str">
            <v>NA</v>
          </cell>
          <cell r="DX94" t="str">
            <v>NA</v>
          </cell>
          <cell r="DY94" t="str">
            <v>NA</v>
          </cell>
          <cell r="DZ94">
            <v>0</v>
          </cell>
          <cell r="EA94">
            <v>0</v>
          </cell>
          <cell r="EB94">
            <v>0</v>
          </cell>
          <cell r="EC94">
            <v>0</v>
          </cell>
          <cell r="ED94">
            <v>0</v>
          </cell>
          <cell r="EE94">
            <v>1.2945132605702877E-2</v>
          </cell>
          <cell r="EF94">
            <v>4.2009574990753071E-2</v>
          </cell>
          <cell r="EG94">
            <v>5.2508031267436875E-2</v>
          </cell>
          <cell r="EH94">
            <v>7.8810532894221366E-2</v>
          </cell>
          <cell r="EI94">
            <v>0.13123598597523881</v>
          </cell>
          <cell r="EJ94">
            <v>0.19323116279631991</v>
          </cell>
          <cell r="EK94">
            <v>0.24436352779439854</v>
          </cell>
          <cell r="EL94">
            <v>0.27560314325685348</v>
          </cell>
          <cell r="EM94">
            <v>0.29779973507243052</v>
          </cell>
          <cell r="EN94">
            <v>0.31665427617829067</v>
          </cell>
          <cell r="EO94">
            <v>0.32901103603327048</v>
          </cell>
          <cell r="EP94">
            <v>0.33830741702981765</v>
          </cell>
          <cell r="EQ94">
            <v>0.34551624018948868</v>
          </cell>
          <cell r="ER94">
            <v>0.35119633039302856</v>
          </cell>
        </row>
        <row r="95">
          <cell r="A95" t="str">
            <v>% of subscription revenues</v>
          </cell>
          <cell r="AU95" t="str">
            <v>NA</v>
          </cell>
          <cell r="AV95" t="str">
            <v>NA</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6.640364415459437E-4</v>
          </cell>
          <cell r="BL95">
            <v>6.988790291131349E-3</v>
          </cell>
          <cell r="BM95">
            <v>1.9126887689109418E-2</v>
          </cell>
          <cell r="BN95">
            <v>2.96463976515756E-2</v>
          </cell>
          <cell r="BO95">
            <v>3.9592838230190247E-2</v>
          </cell>
          <cell r="BP95">
            <v>4.7179095380712688E-2</v>
          </cell>
          <cell r="BQ95">
            <v>5.2973175425081953E-2</v>
          </cell>
          <cell r="BR95">
            <v>5.8768801522580363E-2</v>
          </cell>
          <cell r="BS95">
            <v>5.8004947385788229E-2</v>
          </cell>
          <cell r="BT95">
            <v>5.923897579108714E-2</v>
          </cell>
          <cell r="BU95">
            <v>6.376662904359405E-2</v>
          </cell>
          <cell r="BV95">
            <v>6.6415285317765124E-2</v>
          </cell>
          <cell r="BW95">
            <v>7.1778552394854478E-2</v>
          </cell>
          <cell r="BX95">
            <v>7.9964085176676025E-2</v>
          </cell>
          <cell r="BY95">
            <v>9.4218920870493175E-2</v>
          </cell>
          <cell r="BZ95">
            <v>0.10765518932985332</v>
          </cell>
          <cell r="CA95">
            <v>0.11734238871387945</v>
          </cell>
          <cell r="CB95">
            <v>0.13769768534744942</v>
          </cell>
          <cell r="CC95">
            <v>0.15106490040593909</v>
          </cell>
          <cell r="CD95">
            <v>0.16597464634308245</v>
          </cell>
          <cell r="CE95">
            <v>0.18914460380939602</v>
          </cell>
          <cell r="CF95">
            <v>0.20006608534942594</v>
          </cell>
          <cell r="CG95">
            <v>0.20922778663248598</v>
          </cell>
          <cell r="CH95">
            <v>0.2299028463796062</v>
          </cell>
          <cell r="CI95">
            <v>0.24156261826651237</v>
          </cell>
          <cell r="CJ95">
            <v>0.25525364165330872</v>
          </cell>
          <cell r="CK95">
            <v>0.26345313552063176</v>
          </cell>
          <cell r="CL95">
            <v>0.27529286635697647</v>
          </cell>
          <cell r="CM95">
            <v>0.27687519329766641</v>
          </cell>
          <cell r="CN95">
            <v>0.28879559798194832</v>
          </cell>
          <cell r="CO95">
            <v>0.29380887316713095</v>
          </cell>
          <cell r="CP95">
            <v>0.30082967122229398</v>
          </cell>
          <cell r="CQ95">
            <v>0.30842099255584193</v>
          </cell>
          <cell r="CR95">
            <v>0.30706880466040187</v>
          </cell>
          <cell r="CS95">
            <v>0.31237008203080763</v>
          </cell>
          <cell r="CT95">
            <v>0.31911193361890522</v>
          </cell>
          <cell r="CU95">
            <v>0.33037905216596747</v>
          </cell>
          <cell r="CV95">
            <v>0.32987605571295414</v>
          </cell>
          <cell r="CW95">
            <v>0.3281048610038666</v>
          </cell>
          <cell r="CX95">
            <v>0.33211110776248892</v>
          </cell>
          <cell r="CY95">
            <v>0.34275474991484306</v>
          </cell>
          <cell r="CZ95">
            <v>0.34152262004219935</v>
          </cell>
          <cell r="DA95">
            <v>0.33927562211050338</v>
          </cell>
          <cell r="DB95">
            <v>0.34210639544867194</v>
          </cell>
          <cell r="DC95">
            <v>0.35192879169579599</v>
          </cell>
          <cell r="DD95">
            <v>0.35010306618189924</v>
          </cell>
          <cell r="DE95">
            <v>0.34748085269999435</v>
          </cell>
          <cell r="DF95">
            <v>0.34954524035730034</v>
          </cell>
          <cell r="DG95">
            <v>0.35886762644689402</v>
          </cell>
          <cell r="DH95">
            <v>0.35656594098800259</v>
          </cell>
          <cell r="DI95">
            <v>0.35364790429334353</v>
          </cell>
          <cell r="DJ95">
            <v>0.35519074481590246</v>
          </cell>
          <cell r="DK95">
            <v>0.36419837979026287</v>
          </cell>
          <cell r="DL95">
            <v>0.36151625137657217</v>
          </cell>
          <cell r="DM95">
            <v>0.35836381721116145</v>
          </cell>
          <cell r="DN95">
            <v>0.35953959536797025</v>
          </cell>
          <cell r="DP95" t="str">
            <v>NA</v>
          </cell>
          <cell r="DQ95" t="str">
            <v>NA</v>
          </cell>
          <cell r="DR95" t="str">
            <v>NA</v>
          </cell>
          <cell r="DS95" t="str">
            <v>NA</v>
          </cell>
          <cell r="DT95" t="str">
            <v>NA</v>
          </cell>
          <cell r="DU95" t="str">
            <v>NA</v>
          </cell>
          <cell r="DV95" t="str">
            <v>NA</v>
          </cell>
          <cell r="DW95" t="str">
            <v>NA</v>
          </cell>
          <cell r="DX95" t="str">
            <v>NA</v>
          </cell>
          <cell r="DY95" t="str">
            <v>NA</v>
          </cell>
          <cell r="DZ95" t="str">
            <v>NA</v>
          </cell>
          <cell r="EA95">
            <v>0</v>
          </cell>
          <cell r="EB95">
            <v>0</v>
          </cell>
          <cell r="EC95">
            <v>0</v>
          </cell>
          <cell r="ED95">
            <v>0</v>
          </cell>
          <cell r="EE95">
            <v>1.5714944829137822E-2</v>
          </cell>
          <cell r="EF95">
            <v>5.0552401522544962E-2</v>
          </cell>
          <cell r="EG95">
            <v>6.2238765214684834E-2</v>
          </cell>
          <cell r="EH95">
            <v>8.9704954185600178E-2</v>
          </cell>
          <cell r="EI95">
            <v>0.14474012743752787</v>
          </cell>
          <cell r="EJ95">
            <v>0.20819470642649016</v>
          </cell>
          <cell r="EK95">
            <v>0.25978005235211343</v>
          </cell>
          <cell r="EL95">
            <v>0.29063065663144028</v>
          </cell>
          <cell r="EM95">
            <v>0.31194052620779067</v>
          </cell>
          <cell r="EN95">
            <v>0.33014737314773518</v>
          </cell>
          <cell r="EO95">
            <v>0.34138091629945827</v>
          </cell>
          <cell r="EP95">
            <v>0.34968557121801963</v>
          </cell>
          <cell r="EQ95">
            <v>0.35595637403971248</v>
          </cell>
          <cell r="ER95">
            <v>0.36076851695039386</v>
          </cell>
        </row>
        <row r="96">
          <cell r="A96" t="str">
            <v>% growth y-o-y</v>
          </cell>
          <cell r="AU96" t="str">
            <v>NA</v>
          </cell>
          <cell r="AV96" t="str">
            <v>NA</v>
          </cell>
          <cell r="AW96" t="str">
            <v>NA</v>
          </cell>
          <cell r="AX96" t="str">
            <v>NA</v>
          </cell>
          <cell r="AY96" t="str">
            <v>NA</v>
          </cell>
          <cell r="AZ96" t="str">
            <v>NA</v>
          </cell>
          <cell r="BA96" t="str">
            <v>NA</v>
          </cell>
          <cell r="BB96" t="str">
            <v>NA</v>
          </cell>
          <cell r="BC96" t="str">
            <v>NA</v>
          </cell>
          <cell r="BD96" t="str">
            <v>NA</v>
          </cell>
          <cell r="BE96" t="str">
            <v>NA</v>
          </cell>
          <cell r="BF96" t="str">
            <v>NA</v>
          </cell>
          <cell r="BG96" t="str">
            <v>NA</v>
          </cell>
          <cell r="BH96" t="str">
            <v>NA</v>
          </cell>
          <cell r="BI96" t="str">
            <v>NA</v>
          </cell>
          <cell r="BJ96" t="str">
            <v>NA</v>
          </cell>
          <cell r="BK96" t="str">
            <v>NA</v>
          </cell>
          <cell r="BL96" t="str">
            <v>NA</v>
          </cell>
          <cell r="BM96" t="str">
            <v>NA</v>
          </cell>
          <cell r="BN96" t="str">
            <v>NA</v>
          </cell>
          <cell r="BO96">
            <v>96.800738305677342</v>
          </cell>
          <cell r="BP96">
            <v>10.147325252169779</v>
          </cell>
          <cell r="BQ96">
            <v>3.4783563297804934</v>
          </cell>
          <cell r="BR96">
            <v>2.1518022035000932</v>
          </cell>
          <cell r="BS96">
            <v>1.2455403231719924</v>
          </cell>
          <cell r="BT96">
            <v>0.89643674897823322</v>
          </cell>
          <cell r="BU96">
            <v>0.78687705832113308</v>
          </cell>
          <cell r="BV96">
            <v>0.65840378544466671</v>
          </cell>
          <cell r="BW96">
            <v>0.83941078708680661</v>
          </cell>
          <cell r="BX96">
            <v>0.95736219883709062</v>
          </cell>
          <cell r="BY96">
            <v>1.1112308841384197</v>
          </cell>
          <cell r="BZ96">
            <v>1.2827046402593987</v>
          </cell>
          <cell r="CA96">
            <v>1.3693484617257345</v>
          </cell>
          <cell r="CB96">
            <v>1.3854451839642747</v>
          </cell>
          <cell r="CC96">
            <v>1.2597485493347023</v>
          </cell>
          <cell r="CD96">
            <v>1.2357788475149172</v>
          </cell>
          <cell r="CE96">
            <v>1.2596068311833863</v>
          </cell>
          <cell r="CF96">
            <v>1.1118378558575683</v>
          </cell>
          <cell r="CG96">
            <v>0.93058006223222578</v>
          </cell>
          <cell r="CH96">
            <v>0.846396986446736</v>
          </cell>
          <cell r="CI96">
            <v>0.73940048645030432</v>
          </cell>
          <cell r="CJ96">
            <v>0.70246511453249405</v>
          </cell>
          <cell r="CK96">
            <v>0.67786168195551433</v>
          </cell>
          <cell r="CL96">
            <v>0.61636392517727523</v>
          </cell>
          <cell r="CM96">
            <v>0.54072030605953514</v>
          </cell>
          <cell r="CN96">
            <v>0.4711793065874057</v>
          </cell>
          <cell r="CO96">
            <v>0.45780773926200125</v>
          </cell>
          <cell r="CP96">
            <v>0.43909809945454148</v>
          </cell>
          <cell r="CQ96">
            <v>0.43255446500692063</v>
          </cell>
          <cell r="CR96">
            <v>0.42195338582952302</v>
          </cell>
          <cell r="CS96">
            <v>0.35765316705682726</v>
          </cell>
          <cell r="CT96">
            <v>0.31404578178171239</v>
          </cell>
          <cell r="CU96">
            <v>0.3088291556262035</v>
          </cell>
          <cell r="CV96">
            <v>0.32169038005789186</v>
          </cell>
          <cell r="CW96">
            <v>0.33775042941600231</v>
          </cell>
          <cell r="CX96">
            <v>0.34277564658484394</v>
          </cell>
          <cell r="CY96">
            <v>0.33939619608855676</v>
          </cell>
          <cell r="CZ96">
            <v>0.34040074102595574</v>
          </cell>
          <cell r="DA96">
            <v>0.34103921638253998</v>
          </cell>
          <cell r="DB96">
            <v>0.32599728459613808</v>
          </cell>
          <cell r="DC96">
            <v>0.30922069897661153</v>
          </cell>
          <cell r="DD96">
            <v>0.30940880859998443</v>
          </cell>
          <cell r="DE96">
            <v>0.30981654449509977</v>
          </cell>
          <cell r="DF96">
            <v>0.29957497927111132</v>
          </cell>
          <cell r="DG96">
            <v>0.28763042104414582</v>
          </cell>
          <cell r="DH96">
            <v>0.28736158387019484</v>
          </cell>
          <cell r="DI96">
            <v>0.28765547338277186</v>
          </cell>
          <cell r="DJ96">
            <v>0.28037519819626855</v>
          </cell>
          <cell r="DK96">
            <v>0.27150014284732515</v>
          </cell>
          <cell r="DL96">
            <v>0.27090464544536474</v>
          </cell>
          <cell r="DM96">
            <v>0.27111409469127579</v>
          </cell>
          <cell r="DN96">
            <v>0.26578303816717397</v>
          </cell>
          <cell r="DQ96" t="str">
            <v>NA</v>
          </cell>
          <cell r="DR96" t="str">
            <v>NA</v>
          </cell>
          <cell r="DS96" t="str">
            <v>NA</v>
          </cell>
          <cell r="DT96" t="str">
            <v>NA</v>
          </cell>
          <cell r="DU96" t="str">
            <v>NA</v>
          </cell>
          <cell r="DV96" t="str">
            <v>NA</v>
          </cell>
          <cell r="DW96" t="str">
            <v>NA</v>
          </cell>
          <cell r="DX96" t="str">
            <v>NA</v>
          </cell>
          <cell r="DY96" t="str">
            <v>NA</v>
          </cell>
          <cell r="DZ96" t="str">
            <v>NA</v>
          </cell>
          <cell r="EA96" t="str">
            <v>NA</v>
          </cell>
          <cell r="EB96" t="str">
            <v>NA</v>
          </cell>
          <cell r="EC96" t="str">
            <v>NA</v>
          </cell>
          <cell r="ED96" t="str">
            <v>NA</v>
          </cell>
          <cell r="EE96" t="str">
            <v>NA</v>
          </cell>
          <cell r="EF96">
            <v>4.2161899544436023</v>
          </cell>
          <cell r="EG96">
            <v>0.84123041891952344</v>
          </cell>
          <cell r="EH96">
            <v>1.0756787820176839</v>
          </cell>
          <cell r="EI96">
            <v>1.297492308794387</v>
          </cell>
          <cell r="EJ96">
            <v>1.0021989667491238</v>
          </cell>
          <cell r="EK96">
            <v>0.67743892486084123</v>
          </cell>
          <cell r="EL96">
            <v>0.47300997010369383</v>
          </cell>
          <cell r="EM96">
            <v>0.37688258432958688</v>
          </cell>
          <cell r="EN96">
            <v>0.32856355903732015</v>
          </cell>
          <cell r="EO96">
            <v>0.33636282763921588</v>
          </cell>
          <cell r="EP96">
            <v>0.30677886981306668</v>
          </cell>
          <cell r="EQ96">
            <v>0.2855964935448998</v>
          </cell>
          <cell r="ER96">
            <v>0.26970577508739235</v>
          </cell>
        </row>
        <row r="97">
          <cell r="A97" t="str">
            <v>% growth seq</v>
          </cell>
          <cell r="AU97" t="str">
            <v>NA</v>
          </cell>
          <cell r="AV97" t="str">
            <v>NA</v>
          </cell>
          <cell r="AW97" t="str">
            <v>NA</v>
          </cell>
          <cell r="AX97" t="str">
            <v>NA</v>
          </cell>
          <cell r="AY97" t="str">
            <v>NA</v>
          </cell>
          <cell r="AZ97" t="str">
            <v>NA</v>
          </cell>
          <cell r="BA97" t="str">
            <v>NA</v>
          </cell>
          <cell r="BB97" t="str">
            <v>NA</v>
          </cell>
          <cell r="BC97" t="str">
            <v>NA</v>
          </cell>
          <cell r="BD97" t="str">
            <v>NA</v>
          </cell>
          <cell r="BE97" t="str">
            <v>NA</v>
          </cell>
          <cell r="BF97" t="str">
            <v>NA</v>
          </cell>
          <cell r="BG97" t="str">
            <v>NA</v>
          </cell>
          <cell r="BH97" t="str">
            <v>NA</v>
          </cell>
          <cell r="BI97" t="str">
            <v>NA</v>
          </cell>
          <cell r="BJ97" t="str">
            <v>NA</v>
          </cell>
          <cell r="BK97" t="str">
            <v>NA</v>
          </cell>
          <cell r="BL97">
            <v>10.821655272329352</v>
          </cell>
          <cell r="BM97">
            <v>2.1663688015466382</v>
          </cell>
          <cell r="BN97">
            <v>0.74810063433197582</v>
          </cell>
          <cell r="BO97">
            <v>0.49463763742162126</v>
          </cell>
          <cell r="BP97">
            <v>0.34743191741358403</v>
          </cell>
          <cell r="BQ97">
            <v>0.2720654905144857</v>
          </cell>
          <cell r="BR97">
            <v>0.23028786132734735</v>
          </cell>
          <cell r="BS97">
            <v>6.4873004921951027E-2</v>
          </cell>
          <cell r="BT97">
            <v>0.1379530256307071</v>
          </cell>
          <cell r="BU97">
            <v>0.19857656360383191</v>
          </cell>
          <cell r="BV97">
            <v>0.14183235881313538</v>
          </cell>
          <cell r="BW97">
            <v>0.18109890324797084</v>
          </cell>
          <cell r="BX97">
            <v>0.21092376540288527</v>
          </cell>
          <cell r="BY97">
            <v>0.29279693844517518</v>
          </cell>
          <cell r="BZ97">
            <v>0.23457175785146833</v>
          </cell>
          <cell r="CA97">
            <v>0.22592946113191736</v>
          </cell>
          <cell r="CB97">
            <v>0.21915045886676721</v>
          </cell>
          <cell r="CC97">
            <v>0.22467538800488329</v>
          </cell>
          <cell r="CD97">
            <v>0.22147635530345489</v>
          </cell>
          <cell r="CE97">
            <v>0.23899489790846395</v>
          </cell>
          <cell r="CF97">
            <v>0.13942304275677309</v>
          </cell>
          <cell r="CG97">
            <v>0.11956222407455708</v>
          </cell>
          <cell r="CH97">
            <v>0.16821379520542878</v>
          </cell>
          <cell r="CI97">
            <v>0.16719662345137665</v>
          </cell>
          <cell r="CJ97">
            <v>0.11522791680172073</v>
          </cell>
          <cell r="CK97">
            <v>0.10338270094622803</v>
          </cell>
          <cell r="CL97">
            <v>0.12539588678356406</v>
          </cell>
          <cell r="CM97">
            <v>0.11257341920596819</v>
          </cell>
          <cell r="CN97">
            <v>6.4891678830040656E-2</v>
          </cell>
          <cell r="CO97">
            <v>9.3354041621476647E-2</v>
          </cell>
          <cell r="CP97">
            <v>0.11095245153799715</v>
          </cell>
          <cell r="CQ97">
            <v>0.10751450504703586</v>
          </cell>
          <cell r="CR97">
            <v>5.7011349475460271E-2</v>
          </cell>
          <cell r="CS97">
            <v>4.3912966567346556E-2</v>
          </cell>
          <cell r="CT97">
            <v>7.526901430080235E-2</v>
          </cell>
          <cell r="CU97">
            <v>0.10311778674792138</v>
          </cell>
          <cell r="CV97">
            <v>6.7398083400211029E-2</v>
          </cell>
          <cell r="CW97">
            <v>5.6597702736727262E-2</v>
          </cell>
          <cell r="CX97">
            <v>7.9308228337270359E-2</v>
          </cell>
          <cell r="CY97">
            <v>0.10034149871993248</v>
          </cell>
          <cell r="CZ97">
            <v>6.8198630201822263E-2</v>
          </cell>
          <cell r="DA97">
            <v>5.71009937111151E-2</v>
          </cell>
          <cell r="DB97">
            <v>6.7202034462533922E-2</v>
          </cell>
          <cell r="DC97">
            <v>8.6419921671141209E-2</v>
          </cell>
          <cell r="DD97">
            <v>6.8352109628302404E-2</v>
          </cell>
          <cell r="DE97">
            <v>5.7430163651829735E-2</v>
          </cell>
          <cell r="DF97">
            <v>5.885749240505489E-2</v>
          </cell>
          <cell r="DG97">
            <v>7.6434498574880605E-2</v>
          </cell>
          <cell r="DH97">
            <v>6.8129054349983953E-2</v>
          </cell>
          <cell r="DI97">
            <v>5.7671562524744147E-2</v>
          </cell>
          <cell r="DJ97">
            <v>5.2870818106418138E-2</v>
          </cell>
          <cell r="DK97">
            <v>6.8973079634696122E-2</v>
          </cell>
          <cell r="DL97">
            <v>6.7628804247455987E-2</v>
          </cell>
          <cell r="DM97">
            <v>5.7845870260565535E-2</v>
          </cell>
          <cell r="DN97">
            <v>4.8455074572974155E-2</v>
          </cell>
        </row>
        <row r="99">
          <cell r="A99" t="str">
            <v>Emerging Products</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4.7517119684144647E-2</v>
          </cell>
          <cell r="BL99">
            <v>0.55246163284012917</v>
          </cell>
          <cell r="BM99">
            <v>1.7334676037963865</v>
          </cell>
          <cell r="BN99">
            <v>2.9951460565959596</v>
          </cell>
          <cell r="BO99">
            <v>4.4221655263148376</v>
          </cell>
          <cell r="BP99">
            <v>5.8872922556146525</v>
          </cell>
          <cell r="BQ99">
            <v>7.3873025530705885</v>
          </cell>
          <cell r="BR99">
            <v>8.9219910634025474</v>
          </cell>
          <cell r="BS99">
            <v>9.2857472216411132</v>
          </cell>
          <cell r="BT99">
            <v>10.237160625509505</v>
          </cell>
          <cell r="BU99">
            <v>11.769914340626993</v>
          </cell>
          <cell r="BV99">
            <v>12.889027001945692</v>
          </cell>
          <cell r="BW99">
            <v>14.464601864255124</v>
          </cell>
          <cell r="BX99">
            <v>16.80053508733485</v>
          </cell>
          <cell r="BY99">
            <v>21.033089997402286</v>
          </cell>
          <cell r="BZ99">
            <v>25.369585046470874</v>
          </cell>
          <cell r="CA99">
            <v>30.653539720771139</v>
          </cell>
          <cell r="CB99">
            <v>37.254912895040121</v>
          </cell>
          <cell r="CC99">
            <v>45.690637284448719</v>
          </cell>
          <cell r="CD99">
            <v>55.846380469808359</v>
          </cell>
          <cell r="CE99">
            <v>69.738647342785612</v>
          </cell>
          <cell r="CF99">
            <v>80.10282364802039</v>
          </cell>
          <cell r="CG99">
            <v>89.722420822840434</v>
          </cell>
          <cell r="CH99">
            <v>104.82898088990899</v>
          </cell>
          <cell r="CI99">
            <v>122.17266390150849</v>
          </cell>
          <cell r="CJ99">
            <v>135.37232600823361</v>
          </cell>
          <cell r="CK99">
            <v>149.26795397191603</v>
          </cell>
          <cell r="CL99">
            <v>168.05905674515697</v>
          </cell>
          <cell r="CM99">
            <v>187.30644541512925</v>
          </cell>
          <cell r="CN99">
            <v>199.24704886439437</v>
          </cell>
          <cell r="CO99">
            <v>217.58151061734327</v>
          </cell>
          <cell r="CP99">
            <v>240.42434393415789</v>
          </cell>
          <cell r="CQ99">
            <v>263.25351490229616</v>
          </cell>
          <cell r="CR99">
            <v>276.46040554503458</v>
          </cell>
          <cell r="CS99">
            <v>287.07781797575905</v>
          </cell>
          <cell r="CT99">
            <v>305.54646535047141</v>
          </cell>
          <cell r="CU99">
            <v>331.75954976162677</v>
          </cell>
          <cell r="CV99">
            <v>350.37401657587236</v>
          </cell>
          <cell r="CW99">
            <v>366.69340593996998</v>
          </cell>
          <cell r="CX99">
            <v>390.34039136548876</v>
          </cell>
          <cell r="CY99">
            <v>421.30305914420791</v>
          </cell>
          <cell r="CZ99">
            <v>444.05622973795789</v>
          </cell>
          <cell r="DA99">
            <v>463.85060189068054</v>
          </cell>
          <cell r="DB99">
            <v>488.0332171357781</v>
          </cell>
          <cell r="DC99">
            <v>519.56372079451239</v>
          </cell>
          <cell r="DD99">
            <v>546.16393550319424</v>
          </cell>
          <cell r="DE99">
            <v>569.27191386790128</v>
          </cell>
          <cell r="DF99">
            <v>593.90246988088279</v>
          </cell>
          <cell r="DG99">
            <v>625.75876633833718</v>
          </cell>
          <cell r="DH99">
            <v>655.71391923128203</v>
          </cell>
          <cell r="DI99">
            <v>681.78629442245131</v>
          </cell>
          <cell r="DJ99">
            <v>706.65041510617391</v>
          </cell>
          <cell r="DK99">
            <v>738.40592250566908</v>
          </cell>
          <cell r="DL99">
            <v>770.92854649818878</v>
          </cell>
          <cell r="DM99">
            <v>799.33837483594925</v>
          </cell>
          <cell r="DN99">
            <v>824.05441778039631</v>
          </cell>
          <cell r="DP99">
            <v>0</v>
          </cell>
          <cell r="DQ99">
            <v>0</v>
          </cell>
          <cell r="DR99">
            <v>0</v>
          </cell>
          <cell r="DS99">
            <v>0</v>
          </cell>
          <cell r="DT99">
            <v>0</v>
          </cell>
          <cell r="DU99">
            <v>0</v>
          </cell>
          <cell r="DV99">
            <v>0</v>
          </cell>
          <cell r="DW99">
            <v>0</v>
          </cell>
          <cell r="DX99">
            <v>0</v>
          </cell>
          <cell r="DY99">
            <v>0</v>
          </cell>
          <cell r="DZ99">
            <v>0</v>
          </cell>
          <cell r="EA99">
            <v>0</v>
          </cell>
          <cell r="EB99">
            <v>0</v>
          </cell>
          <cell r="EC99">
            <v>0</v>
          </cell>
          <cell r="ED99">
            <v>0</v>
          </cell>
          <cell r="EE99">
            <v>5.3285924129166204</v>
          </cell>
          <cell r="EF99">
            <v>26.618751398402626</v>
          </cell>
          <cell r="EG99">
            <v>44.181849189723309</v>
          </cell>
          <cell r="EH99">
            <v>77.667811995463126</v>
          </cell>
          <cell r="EI99">
            <v>169.44547037006834</v>
          </cell>
          <cell r="EJ99">
            <v>344.39287270355544</v>
          </cell>
          <cell r="EK99">
            <v>574.87200062681507</v>
          </cell>
          <cell r="EL99">
            <v>844.55934883102486</v>
          </cell>
          <cell r="EM99">
            <v>1132.3382037735612</v>
          </cell>
          <cell r="EN99">
            <v>1439.167363642958</v>
          </cell>
          <cell r="EO99">
            <v>1817.2431079086246</v>
          </cell>
          <cell r="EP99">
            <v>2228.9020400464906</v>
          </cell>
          <cell r="EQ99">
            <v>2669.9093950982447</v>
          </cell>
          <cell r="ER99">
            <v>3132.7272616202035</v>
          </cell>
        </row>
        <row r="100">
          <cell r="A100" t="str">
            <v>% of revenues</v>
          </cell>
          <cell r="AU100" t="str">
            <v>NA</v>
          </cell>
          <cell r="AV100" t="str">
            <v>NA</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5.5291683268533082E-4</v>
          </cell>
          <cell r="BL100">
            <v>5.4045277224093555E-3</v>
          </cell>
          <cell r="BM100">
            <v>1.5580470827496081E-2</v>
          </cell>
          <cell r="BN100">
            <v>2.3917160876754447E-2</v>
          </cell>
          <cell r="BO100">
            <v>3.1793554722229042E-2</v>
          </cell>
          <cell r="BP100">
            <v>3.5304618430498584E-2</v>
          </cell>
          <cell r="BQ100">
            <v>4.133635431907532E-2</v>
          </cell>
          <cell r="BR100">
            <v>4.5059650630303157E-2</v>
          </cell>
          <cell r="BS100">
            <v>4.3808133558722769E-2</v>
          </cell>
          <cell r="BT100">
            <v>4.1493703795090327E-2</v>
          </cell>
          <cell r="BU100">
            <v>4.5069555200562876E-2</v>
          </cell>
          <cell r="BV100">
            <v>4.5121746899862397E-2</v>
          </cell>
          <cell r="BW100">
            <v>4.728863983553995E-2</v>
          </cell>
          <cell r="BX100">
            <v>4.922339410080763E-2</v>
          </cell>
          <cell r="BY100">
            <v>5.8808156433562658E-2</v>
          </cell>
          <cell r="BZ100">
            <v>6.5781233104476089E-2</v>
          </cell>
          <cell r="CA100">
            <v>7.1491634743886923E-2</v>
          </cell>
          <cell r="CB100">
            <v>8.3110425012024591E-2</v>
          </cell>
          <cell r="CC100">
            <v>9.2796985377821495E-2</v>
          </cell>
          <cell r="CD100">
            <v>0.1017065970059869</v>
          </cell>
          <cell r="CE100">
            <v>0.1183571681688491</v>
          </cell>
          <cell r="CF100">
            <v>0.12693457260214686</v>
          </cell>
          <cell r="CG100">
            <v>0.1332979062792442</v>
          </cell>
          <cell r="CH100">
            <v>0.1465235859978796</v>
          </cell>
          <cell r="CI100">
            <v>0.15485947211970261</v>
          </cell>
          <cell r="CJ100">
            <v>0.16233562377471941</v>
          </cell>
          <cell r="CK100">
            <v>0.16850574992342351</v>
          </cell>
          <cell r="CL100">
            <v>0.17657454053709912</v>
          </cell>
          <cell r="CM100">
            <v>0.17901107232365127</v>
          </cell>
          <cell r="CN100">
            <v>0.18606577708419575</v>
          </cell>
          <cell r="CO100">
            <v>0.18887742984841929</v>
          </cell>
          <cell r="CP100">
            <v>0.19228871092764144</v>
          </cell>
          <cell r="CQ100">
            <v>0.19623159736199375</v>
          </cell>
          <cell r="CR100">
            <v>0.19437373028286492</v>
          </cell>
          <cell r="CS100">
            <v>0.1966383258928445</v>
          </cell>
          <cell r="CT100">
            <v>0.19902792609994824</v>
          </cell>
          <cell r="CU100">
            <v>0.2031159206908156</v>
          </cell>
          <cell r="CV100">
            <v>0.20100707343720586</v>
          </cell>
          <cell r="CW100">
            <v>0.19827132977678913</v>
          </cell>
          <cell r="CX100">
            <v>0.19817231257339574</v>
          </cell>
          <cell r="CY100">
            <v>0.20083867380596082</v>
          </cell>
          <cell r="CZ100">
            <v>0.19774776244930389</v>
          </cell>
          <cell r="DA100">
            <v>0.19431916447765421</v>
          </cell>
          <cell r="DB100">
            <v>0.19332345502242376</v>
          </cell>
          <cell r="DC100">
            <v>0.19501342651702025</v>
          </cell>
          <cell r="DD100">
            <v>0.19115526068300254</v>
          </cell>
          <cell r="DE100">
            <v>0.18719823648046463</v>
          </cell>
          <cell r="DF100">
            <v>0.18564145784485647</v>
          </cell>
          <cell r="DG100">
            <v>0.18663644228962514</v>
          </cell>
          <cell r="DH100">
            <v>0.18216894145346152</v>
          </cell>
          <cell r="DI100">
            <v>0.17779323130199259</v>
          </cell>
          <cell r="DJ100">
            <v>0.1758622373890554</v>
          </cell>
          <cell r="DK100">
            <v>0.17631233164894439</v>
          </cell>
          <cell r="DL100">
            <v>0.17136182559164528</v>
          </cell>
          <cell r="DM100">
            <v>0.16665012579720151</v>
          </cell>
          <cell r="DN100">
            <v>0.16445415642267722</v>
          </cell>
          <cell r="DP100" t="str">
            <v>NA</v>
          </cell>
          <cell r="DQ100" t="str">
            <v>NA</v>
          </cell>
          <cell r="DR100" t="str">
            <v>NA</v>
          </cell>
          <cell r="DS100" t="str">
            <v>NA</v>
          </cell>
          <cell r="DT100" t="str">
            <v>NA</v>
          </cell>
          <cell r="DU100" t="str">
            <v>NA</v>
          </cell>
          <cell r="DV100" t="str">
            <v>NA</v>
          </cell>
          <cell r="DW100" t="str">
            <v>NA</v>
          </cell>
          <cell r="DX100" t="str">
            <v>NA</v>
          </cell>
          <cell r="DY100" t="str">
            <v>NA</v>
          </cell>
          <cell r="DZ100">
            <v>0</v>
          </cell>
          <cell r="EA100">
            <v>0</v>
          </cell>
          <cell r="EB100">
            <v>0</v>
          </cell>
          <cell r="EC100">
            <v>0</v>
          </cell>
          <cell r="ED100">
            <v>0</v>
          </cell>
          <cell r="EE100">
            <v>1.2548198311354338E-2</v>
          </cell>
          <cell r="EF100">
            <v>3.8998233713814882E-2</v>
          </cell>
          <cell r="EG100">
            <v>4.3941052223538321E-2</v>
          </cell>
          <cell r="EH100">
            <v>5.585550943821678E-2</v>
          </cell>
          <cell r="EI100">
            <v>8.8322126819301155E-2</v>
          </cell>
          <cell r="EJ100">
            <v>0.13201117775402918</v>
          </cell>
          <cell r="EK100">
            <v>0.16612699512426179</v>
          </cell>
          <cell r="EL100">
            <v>0.18687074649031282</v>
          </cell>
          <cell r="EM100">
            <v>0.19662128987976987</v>
          </cell>
          <cell r="EN100">
            <v>0.20000663199858218</v>
          </cell>
          <cell r="EO100">
            <v>0.19635720742258417</v>
          </cell>
          <cell r="EP100">
            <v>0.18950634190270579</v>
          </cell>
          <cell r="EQ100">
            <v>0.18033563643628273</v>
          </cell>
          <cell r="ER100">
            <v>0.16938932170953891</v>
          </cell>
        </row>
        <row r="101">
          <cell r="A101" t="str">
            <v>% of subscription revenues</v>
          </cell>
          <cell r="AU101" t="str">
            <v>NA</v>
          </cell>
          <cell r="AV101" t="str">
            <v>NA</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6.640364415459437E-4</v>
          </cell>
          <cell r="BL101">
            <v>6.8734651244168549E-3</v>
          </cell>
          <cell r="BM101">
            <v>1.8641040130294932E-2</v>
          </cell>
          <cell r="BN101">
            <v>2.8558382659813874E-2</v>
          </cell>
          <cell r="BO101">
            <v>3.7675531640594999E-2</v>
          </cell>
          <cell r="BP101">
            <v>4.4357405259144188E-2</v>
          </cell>
          <cell r="BQ101">
            <v>4.9128482666213925E-2</v>
          </cell>
          <cell r="BR101">
            <v>5.3504872914720433E-2</v>
          </cell>
          <cell r="BS101">
            <v>5.1614151876475695E-2</v>
          </cell>
          <cell r="BT101">
            <v>5.1068091177383652E-2</v>
          </cell>
          <cell r="BU101">
            <v>5.2730701142553106E-2</v>
          </cell>
          <cell r="BV101">
            <v>5.2672340242195373E-2</v>
          </cell>
          <cell r="BW101">
            <v>5.4089049757518541E-2</v>
          </cell>
          <cell r="BX101">
            <v>5.7797553615276137E-2</v>
          </cell>
          <cell r="BY101">
            <v>6.594809583613627E-2</v>
          </cell>
          <cell r="BZ101">
            <v>7.3619531539015431E-2</v>
          </cell>
          <cell r="CA101">
            <v>7.908876455367389E-2</v>
          </cell>
          <cell r="CB101">
            <v>9.2519253623396011E-2</v>
          </cell>
          <cell r="CC101">
            <v>0.10164633460832274</v>
          </cell>
          <cell r="CD101">
            <v>0.11175131863057915</v>
          </cell>
          <cell r="CE101">
            <v>0.1283553073073862</v>
          </cell>
          <cell r="CF101">
            <v>0.13686192920339321</v>
          </cell>
          <cell r="CG101">
            <v>0.14319685017378897</v>
          </cell>
          <cell r="CH101">
            <v>0.1573680281291277</v>
          </cell>
          <cell r="CI101">
            <v>0.1651013179999466</v>
          </cell>
          <cell r="CJ101">
            <v>0.17333448487524614</v>
          </cell>
          <cell r="CK101">
            <v>0.17878328678769692</v>
          </cell>
          <cell r="CL101">
            <v>0.18689966430509652</v>
          </cell>
          <cell r="CM101">
            <v>0.18830408043326469</v>
          </cell>
          <cell r="CN101">
            <v>0.19620044830314315</v>
          </cell>
          <cell r="CO101">
            <v>0.19936256339859892</v>
          </cell>
          <cell r="CP101">
            <v>0.20303006376065641</v>
          </cell>
          <cell r="CQ101">
            <v>0.20579268260212485</v>
          </cell>
          <cell r="CR101">
            <v>0.2035639212656512</v>
          </cell>
          <cell r="CS101">
            <v>0.20598563997697963</v>
          </cell>
          <cell r="CT101">
            <v>0.2082912639857184</v>
          </cell>
          <cell r="CU101">
            <v>0.21225835517303224</v>
          </cell>
          <cell r="CV101">
            <v>0.20969357547560341</v>
          </cell>
          <cell r="CW101">
            <v>0.20658964192015575</v>
          </cell>
          <cell r="CX101">
            <v>0.20624060989419446</v>
          </cell>
          <cell r="CY101">
            <v>0.20878432606413394</v>
          </cell>
          <cell r="CZ101">
            <v>0.20526987673140479</v>
          </cell>
          <cell r="DA101">
            <v>0.20150326134562122</v>
          </cell>
          <cell r="DB101">
            <v>0.2003158115054911</v>
          </cell>
          <cell r="DC101">
            <v>0.20192986326176254</v>
          </cell>
          <cell r="DD101">
            <v>0.19765666169948715</v>
          </cell>
          <cell r="DE101">
            <v>0.19337105382438965</v>
          </cell>
          <cell r="DF101">
            <v>0.19165574327653118</v>
          </cell>
          <cell r="DG101">
            <v>0.19260028727449024</v>
          </cell>
          <cell r="DH101">
            <v>0.18773542810718746</v>
          </cell>
          <cell r="DI101">
            <v>0.18304611048037853</v>
          </cell>
          <cell r="DJ101">
            <v>0.18098072356482958</v>
          </cell>
          <cell r="DK101">
            <v>0.18139799119269753</v>
          </cell>
          <cell r="DL101">
            <v>0.17608443274739596</v>
          </cell>
          <cell r="DM101">
            <v>0.17108480234471882</v>
          </cell>
          <cell r="DN101">
            <v>0.16877550126442006</v>
          </cell>
          <cell r="DP101" t="str">
            <v>NA</v>
          </cell>
          <cell r="DQ101" t="str">
            <v>NA</v>
          </cell>
          <cell r="DR101" t="str">
            <v>NA</v>
          </cell>
          <cell r="DS101" t="str">
            <v>NA</v>
          </cell>
          <cell r="DT101" t="str">
            <v>NA</v>
          </cell>
          <cell r="DU101" t="str">
            <v>NA</v>
          </cell>
          <cell r="DV101" t="str">
            <v>NA</v>
          </cell>
          <cell r="DW101" t="str">
            <v>NA</v>
          </cell>
          <cell r="DX101" t="str">
            <v>NA</v>
          </cell>
          <cell r="DY101" t="str">
            <v>NA</v>
          </cell>
          <cell r="DZ101" t="str">
            <v>NA</v>
          </cell>
          <cell r="EA101">
            <v>0</v>
          </cell>
          <cell r="EB101">
            <v>0</v>
          </cell>
          <cell r="EC101">
            <v>0</v>
          </cell>
          <cell r="ED101">
            <v>0</v>
          </cell>
          <cell r="EE101">
            <v>1.5233080276144983E-2</v>
          </cell>
          <cell r="EF101">
            <v>4.6928691133027792E-2</v>
          </cell>
          <cell r="EG101">
            <v>5.2084162491215509E-2</v>
          </cell>
          <cell r="EH101">
            <v>6.3576729291929215E-2</v>
          </cell>
          <cell r="EI101">
            <v>9.7410445743068882E-2</v>
          </cell>
          <cell r="EJ101">
            <v>0.14223393369777282</v>
          </cell>
          <cell r="EK101">
            <v>0.17660769542822621</v>
          </cell>
          <cell r="EL101">
            <v>0.19706004480170777</v>
          </cell>
          <cell r="EM101">
            <v>0.20595770044534237</v>
          </cell>
          <cell r="EN101">
            <v>0.20852920403727268</v>
          </cell>
          <cell r="EO101">
            <v>0.20373968058976008</v>
          </cell>
          <cell r="EP101">
            <v>0.19587993074312149</v>
          </cell>
          <cell r="EQ101">
            <v>0.18578466592713261</v>
          </cell>
          <cell r="ER101">
            <v>0.17400618711475177</v>
          </cell>
        </row>
        <row r="102">
          <cell r="A102" t="str">
            <v>% growth y-o-y</v>
          </cell>
          <cell r="AU102" t="str">
            <v>NA</v>
          </cell>
          <cell r="AV102" t="str">
            <v>NA</v>
          </cell>
          <cell r="AW102" t="str">
            <v>NA</v>
          </cell>
          <cell r="AX102" t="str">
            <v>NA</v>
          </cell>
          <cell r="AY102" t="str">
            <v>NA</v>
          </cell>
          <cell r="AZ102" t="str">
            <v>NA</v>
          </cell>
          <cell r="BA102" t="str">
            <v>NA</v>
          </cell>
          <cell r="BB102" t="str">
            <v>NA</v>
          </cell>
          <cell r="BC102" t="str">
            <v>NA</v>
          </cell>
          <cell r="BD102" t="str">
            <v>NA</v>
          </cell>
          <cell r="BE102" t="str">
            <v>NA</v>
          </cell>
          <cell r="BF102" t="str">
            <v>NA</v>
          </cell>
          <cell r="BG102" t="str">
            <v>NA</v>
          </cell>
          <cell r="BH102" t="str">
            <v>NA</v>
          </cell>
          <cell r="BI102" t="str">
            <v>NA</v>
          </cell>
          <cell r="BJ102" t="str">
            <v>NA</v>
          </cell>
          <cell r="BK102" t="str">
            <v>NA</v>
          </cell>
          <cell r="BL102" t="str">
            <v>NA</v>
          </cell>
          <cell r="BM102" t="str">
            <v>NA</v>
          </cell>
          <cell r="BN102" t="str">
            <v>NA</v>
          </cell>
          <cell r="BO102">
            <v>92.064679755629442</v>
          </cell>
          <cell r="BP102">
            <v>9.6564726048918441</v>
          </cell>
          <cell r="BQ102">
            <v>3.2615752015740025</v>
          </cell>
          <cell r="BR102">
            <v>1.9788166903428275</v>
          </cell>
          <cell r="BS102">
            <v>1.0998190064086741</v>
          </cell>
          <cell r="BT102">
            <v>0.73885721670202908</v>
          </cell>
          <cell r="BU102">
            <v>0.59326279871057119</v>
          </cell>
          <cell r="BV102">
            <v>0.44463572204366786</v>
          </cell>
          <cell r="BW102">
            <v>0.55772082946047807</v>
          </cell>
          <cell r="BX102">
            <v>0.64113231216382194</v>
          </cell>
          <cell r="BY102">
            <v>0.78702150149053973</v>
          </cell>
          <cell r="BZ102">
            <v>0.96830878255132458</v>
          </cell>
          <cell r="CA102">
            <v>1.1192107469284767</v>
          </cell>
          <cell r="CB102">
            <v>1.2174837111661332</v>
          </cell>
          <cell r="CC102">
            <v>1.1723216745657337</v>
          </cell>
          <cell r="CD102">
            <v>1.2013123339428473</v>
          </cell>
          <cell r="CE102">
            <v>1.2750601717794443</v>
          </cell>
          <cell r="CF102">
            <v>1.1501277931771723</v>
          </cell>
          <cell r="CG102">
            <v>0.96369379276262324</v>
          </cell>
          <cell r="CH102">
            <v>0.87709534634176656</v>
          </cell>
          <cell r="CI102">
            <v>0.75186454794562518</v>
          </cell>
          <cell r="CJ102">
            <v>0.68998194873969498</v>
          </cell>
          <cell r="CK102">
            <v>0.66366391591963403</v>
          </cell>
          <cell r="CL102">
            <v>0.60317361972307992</v>
          </cell>
          <cell r="CM102">
            <v>0.53312892944799373</v>
          </cell>
          <cell r="CN102">
            <v>0.4718447613308776</v>
          </cell>
          <cell r="CO102">
            <v>0.45765721863033026</v>
          </cell>
          <cell r="CP102">
            <v>0.43059439098682373</v>
          </cell>
          <cell r="CQ102">
            <v>0.40546959993205056</v>
          </cell>
          <cell r="CR102">
            <v>0.38752572306950883</v>
          </cell>
          <cell r="CS102">
            <v>0.31940355208139759</v>
          </cell>
          <cell r="CT102">
            <v>0.27086325931349009</v>
          </cell>
          <cell r="CU102">
            <v>0.26022837675977817</v>
          </cell>
          <cell r="CV102">
            <v>0.26735695075437294</v>
          </cell>
          <cell r="CW102">
            <v>0.27733103353507338</v>
          </cell>
          <cell r="CX102">
            <v>0.27751565025553826</v>
          </cell>
          <cell r="CY102">
            <v>0.26990484357396571</v>
          </cell>
          <cell r="CZ102">
            <v>0.26737774129948622</v>
          </cell>
          <cell r="DA102">
            <v>0.26495484886525555</v>
          </cell>
          <cell r="DB102">
            <v>0.25027598457986966</v>
          </cell>
          <cell r="DC102">
            <v>0.23323035405890757</v>
          </cell>
          <cell r="DD102">
            <v>0.229943189459342</v>
          </cell>
          <cell r="DE102">
            <v>0.22727428087301749</v>
          </cell>
          <cell r="DF102">
            <v>0.21693042405277563</v>
          </cell>
          <cell r="DG102">
            <v>0.20439272661576946</v>
          </cell>
          <cell r="DH102">
            <v>0.20058077182843781</v>
          </cell>
          <cell r="DI102">
            <v>0.19764611218929518</v>
          </cell>
          <cell r="DJ102">
            <v>0.18984252624493148</v>
          </cell>
          <cell r="DK102">
            <v>0.18001690463961562</v>
          </cell>
          <cell r="DL102">
            <v>0.17570868009325946</v>
          </cell>
          <cell r="DM102">
            <v>0.17241778160571219</v>
          </cell>
          <cell r="DN102">
            <v>0.16614156047241901</v>
          </cell>
          <cell r="DQ102" t="str">
            <v>NA</v>
          </cell>
          <cell r="DR102" t="str">
            <v>NA</v>
          </cell>
          <cell r="DS102" t="str">
            <v>NA</v>
          </cell>
          <cell r="DT102" t="str">
            <v>NA</v>
          </cell>
          <cell r="DU102" t="str">
            <v>NA</v>
          </cell>
          <cell r="DV102" t="str">
            <v>NA</v>
          </cell>
          <cell r="DW102" t="str">
            <v>NA</v>
          </cell>
          <cell r="DX102" t="str">
            <v>NA</v>
          </cell>
          <cell r="DY102" t="str">
            <v>NA</v>
          </cell>
          <cell r="DZ102" t="str">
            <v>NA</v>
          </cell>
          <cell r="EA102" t="str">
            <v>NA</v>
          </cell>
          <cell r="EB102" t="str">
            <v>NA</v>
          </cell>
          <cell r="EC102" t="str">
            <v>NA</v>
          </cell>
          <cell r="ED102" t="str">
            <v>NA</v>
          </cell>
          <cell r="EE102" t="str">
            <v>NA</v>
          </cell>
          <cell r="EF102">
            <v>3.9954564612369694</v>
          </cell>
          <cell r="EG102">
            <v>0.65980171377890517</v>
          </cell>
          <cell r="EH102">
            <v>0.75791220647977431</v>
          </cell>
          <cell r="EI102">
            <v>1.1816691627667621</v>
          </cell>
          <cell r="EJ102">
            <v>1.0324702215491661</v>
          </cell>
          <cell r="EK102">
            <v>0.66923315257354399</v>
          </cell>
          <cell r="EL102">
            <v>0.46912590613241667</v>
          </cell>
          <cell r="EM102">
            <v>0.34074438385041628</v>
          </cell>
          <cell r="EN102">
            <v>0.27096953794094092</v>
          </cell>
          <cell r="EO102">
            <v>0.26270450110030641</v>
          </cell>
          <cell r="EP102">
            <v>0.22652936767036302</v>
          </cell>
          <cell r="EQ102">
            <v>0.19785856315271499</v>
          </cell>
          <cell r="ER102">
            <v>0.17334590730743815</v>
          </cell>
        </row>
        <row r="103">
          <cell r="A103" t="str">
            <v>% growth seq</v>
          </cell>
          <cell r="AU103" t="str">
            <v>NA</v>
          </cell>
          <cell r="AV103" t="str">
            <v>NA</v>
          </cell>
          <cell r="AW103" t="str">
            <v>NA</v>
          </cell>
          <cell r="AX103" t="str">
            <v>NA</v>
          </cell>
          <cell r="AY103" t="str">
            <v>NA</v>
          </cell>
          <cell r="AZ103" t="str">
            <v>NA</v>
          </cell>
          <cell r="BA103" t="str">
            <v>NA</v>
          </cell>
          <cell r="BB103" t="str">
            <v>NA</v>
          </cell>
          <cell r="BC103" t="str">
            <v>NA</v>
          </cell>
          <cell r="BD103" t="str">
            <v>NA</v>
          </cell>
          <cell r="BE103" t="str">
            <v>NA</v>
          </cell>
          <cell r="BF103" t="str">
            <v>NA</v>
          </cell>
          <cell r="BG103" t="str">
            <v>NA</v>
          </cell>
          <cell r="BH103" t="str">
            <v>NA</v>
          </cell>
          <cell r="BI103" t="str">
            <v>NA</v>
          </cell>
          <cell r="BJ103" t="str">
            <v>NA</v>
          </cell>
          <cell r="BK103" t="str">
            <v>NA</v>
          </cell>
          <cell r="BL103">
            <v>10.626580830497449</v>
          </cell>
          <cell r="BM103">
            <v>2.1377158172683743</v>
          </cell>
          <cell r="BN103">
            <v>0.72783503426105556</v>
          </cell>
          <cell r="BO103">
            <v>0.47644403403175373</v>
          </cell>
          <cell r="BP103">
            <v>0.33131431209015871</v>
          </cell>
          <cell r="BQ103">
            <v>0.25478780945949997</v>
          </cell>
          <cell r="BR103">
            <v>0.20774680599673756</v>
          </cell>
          <cell r="BS103">
            <v>4.0770737793122347E-2</v>
          </cell>
          <cell r="BT103">
            <v>0.10245954161352278</v>
          </cell>
          <cell r="BU103">
            <v>0.14972449599922166</v>
          </cell>
          <cell r="BV103">
            <v>9.5082481395449392E-2</v>
          </cell>
          <cell r="BW103">
            <v>0.12224156734806968</v>
          </cell>
          <cell r="BX103">
            <v>0.1614930880919907</v>
          </cell>
          <cell r="BY103">
            <v>0.25192976819280966</v>
          </cell>
          <cell r="BZ103">
            <v>0.20617489154490243</v>
          </cell>
          <cell r="CA103">
            <v>0.20827911314360681</v>
          </cell>
          <cell r="CB103">
            <v>0.21535435171279182</v>
          </cell>
          <cell r="CC103">
            <v>0.22643253557389675</v>
          </cell>
          <cell r="CD103">
            <v>0.22227186550572031</v>
          </cell>
          <cell r="CE103">
            <v>0.24875859019167201</v>
          </cell>
          <cell r="CF103">
            <v>0.14861453010827486</v>
          </cell>
          <cell r="CG103">
            <v>0.12009061274905219</v>
          </cell>
          <cell r="CH103">
            <v>0.16836995623309026</v>
          </cell>
          <cell r="CI103">
            <v>0.16544740647449174</v>
          </cell>
          <cell r="CJ103">
            <v>0.10804104359520439</v>
          </cell>
          <cell r="CK103">
            <v>0.1026474787973819</v>
          </cell>
          <cell r="CL103">
            <v>0.12588839247288397</v>
          </cell>
          <cell r="CM103">
            <v>0.11452753004057858</v>
          </cell>
          <cell r="CN103">
            <v>6.374902594943288E-2</v>
          </cell>
          <cell r="CO103">
            <v>9.2018736826697811E-2</v>
          </cell>
          <cell r="CP103">
            <v>0.10498517659888806</v>
          </cell>
          <cell r="CQ103">
            <v>9.4953658163626775E-2</v>
          </cell>
          <cell r="CR103">
            <v>5.0167955583195312E-2</v>
          </cell>
          <cell r="CS103">
            <v>3.84048211525716E-2</v>
          </cell>
          <cell r="CT103">
            <v>6.4333244222553931E-2</v>
          </cell>
          <cell r="CU103">
            <v>8.5790828511428385E-2</v>
          </cell>
          <cell r="CV103">
            <v>5.6108307440193572E-2</v>
          </cell>
          <cell r="CW103">
            <v>4.6577053639945687E-2</v>
          </cell>
          <cell r="CX103">
            <v>6.4487075694483309E-2</v>
          </cell>
          <cell r="CY103">
            <v>7.9322223535221559E-2</v>
          </cell>
          <cell r="CZ103">
            <v>5.4006658864448998E-2</v>
          </cell>
          <cell r="DA103">
            <v>4.4576273965131641E-2</v>
          </cell>
          <cell r="DB103">
            <v>5.2134491464553179E-2</v>
          </cell>
          <cell r="DC103">
            <v>6.4607290142634E-2</v>
          </cell>
          <cell r="DD103">
            <v>5.119721343900796E-2</v>
          </cell>
          <cell r="DE103">
            <v>4.2309601316712797E-2</v>
          </cell>
          <cell r="DF103">
            <v>4.326676832803833E-2</v>
          </cell>
          <cell r="DG103">
            <v>5.3638935806823218E-2</v>
          </cell>
          <cell r="DH103">
            <v>4.787012904066712E-2</v>
          </cell>
          <cell r="DI103">
            <v>3.9761814453679545E-2</v>
          </cell>
          <cell r="DJ103">
            <v>3.6469082595427249E-2</v>
          </cell>
          <cell r="DK103">
            <v>4.4938072235794158E-2</v>
          </cell>
          <cell r="DL103">
            <v>4.4044370448924841E-2</v>
          </cell>
          <cell r="DM103">
            <v>3.6851441637240301E-2</v>
          </cell>
          <cell r="DN103">
            <v>3.0920626010880081E-2</v>
          </cell>
        </row>
        <row r="105">
          <cell r="A105" t="str">
            <v>Platform Add-ons &amp; Other</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9.2693755998442488E-3</v>
          </cell>
          <cell r="BM105">
            <v>4.5179936189276432E-2</v>
          </cell>
          <cell r="BN105">
            <v>0.11410883630598612</v>
          </cell>
          <cell r="BO105">
            <v>0.22504386095374262</v>
          </cell>
          <cell r="BP105">
            <v>0.37450599969505755</v>
          </cell>
          <cell r="BQ105">
            <v>0.57811491607270871</v>
          </cell>
          <cell r="BR105">
            <v>0.87776535928925015</v>
          </cell>
          <cell r="BS105">
            <v>1.1497488476938915</v>
          </cell>
          <cell r="BT105">
            <v>1.6379437005476143</v>
          </cell>
          <cell r="BU105">
            <v>2.4633073949355464</v>
          </cell>
          <cell r="BV105">
            <v>3.3629261458820707</v>
          </cell>
          <cell r="BW105">
            <v>4.7305621742816539</v>
          </cell>
          <cell r="BX105">
            <v>6.4433452277361605</v>
          </cell>
          <cell r="BY105">
            <v>9.0165273115075877</v>
          </cell>
          <cell r="BZ105">
            <v>11.7288238173539</v>
          </cell>
          <cell r="CA105">
            <v>14.826492666509116</v>
          </cell>
          <cell r="CB105">
            <v>18.192089459188033</v>
          </cell>
          <cell r="CC105">
            <v>22.21394183742332</v>
          </cell>
          <cell r="CD105">
            <v>27.097457344390982</v>
          </cell>
          <cell r="CE105">
            <v>33.028344521954487</v>
          </cell>
          <cell r="CF105">
            <v>36.992254917462333</v>
          </cell>
          <cell r="CG105">
            <v>41.372805764116414</v>
          </cell>
          <cell r="CH105">
            <v>48.318271294555501</v>
          </cell>
          <cell r="CI105">
            <v>56.580291739054942</v>
          </cell>
          <cell r="CJ105">
            <v>63.977960332942317</v>
          </cell>
          <cell r="CK105">
            <v>70.691703405614632</v>
          </cell>
          <cell r="CL105">
            <v>79.482636925838108</v>
          </cell>
          <cell r="CM105">
            <v>88.101863108446139</v>
          </cell>
          <cell r="CN105">
            <v>94.032967163017588</v>
          </cell>
          <cell r="CO105">
            <v>103.07738023303909</v>
          </cell>
          <cell r="CP105">
            <v>115.81243696352941</v>
          </cell>
          <cell r="CQ105">
            <v>131.28388717315531</v>
          </cell>
          <cell r="CR105">
            <v>140.57010624128066</v>
          </cell>
          <cell r="CS105">
            <v>148.26574073219206</v>
          </cell>
          <cell r="CT105">
            <v>162.56497390363069</v>
          </cell>
          <cell r="CU105">
            <v>184.62250505974234</v>
          </cell>
          <cell r="CV105">
            <v>200.81119904271972</v>
          </cell>
          <cell r="CW105">
            <v>215.68762666508218</v>
          </cell>
          <cell r="CX105">
            <v>238.22824915270007</v>
          </cell>
          <cell r="CY105">
            <v>270.33710081192652</v>
          </cell>
          <cell r="CZ105">
            <v>294.7528417197542</v>
          </cell>
          <cell r="DA105">
            <v>317.14520171005313</v>
          </cell>
          <cell r="DB105">
            <v>345.44709337362639</v>
          </cell>
          <cell r="DC105">
            <v>385.94589286355335</v>
          </cell>
          <cell r="DD105">
            <v>421.23917053710932</v>
          </cell>
          <cell r="DE105">
            <v>453.68931086958526</v>
          </cell>
          <cell r="DF105">
            <v>489.26768737225598</v>
          </cell>
          <cell r="DG105">
            <v>540.20295875571992</v>
          </cell>
          <cell r="DH105">
            <v>589.68367560170918</v>
          </cell>
          <cell r="DI105">
            <v>635.43532566911699</v>
          </cell>
          <cell r="DJ105">
            <v>680.21378966709722</v>
          </cell>
          <cell r="DK105">
            <v>744.1145775059382</v>
          </cell>
          <cell r="DL105">
            <v>811.85304220154387</v>
          </cell>
          <cell r="DM105">
            <v>875.00059229451995</v>
          </cell>
          <cell r="DN105">
            <v>931.41476886281646</v>
          </cell>
          <cell r="DP105">
            <v>0</v>
          </cell>
          <cell r="DQ105">
            <v>0</v>
          </cell>
          <cell r="DR105">
            <v>0</v>
          </cell>
          <cell r="DS105">
            <v>0</v>
          </cell>
          <cell r="DT105">
            <v>0</v>
          </cell>
          <cell r="DU105">
            <v>0</v>
          </cell>
          <cell r="DV105">
            <v>0</v>
          </cell>
          <cell r="DW105">
            <v>0</v>
          </cell>
          <cell r="DX105">
            <v>0</v>
          </cell>
          <cell r="DY105">
            <v>0</v>
          </cell>
          <cell r="DZ105">
            <v>0</v>
          </cell>
          <cell r="EA105">
            <v>0</v>
          </cell>
          <cell r="EB105">
            <v>0</v>
          </cell>
          <cell r="EC105">
            <v>0</v>
          </cell>
          <cell r="ED105">
            <v>0</v>
          </cell>
          <cell r="EE105">
            <v>0.1685581480951068</v>
          </cell>
          <cell r="EF105">
            <v>2.055430136010759</v>
          </cell>
          <cell r="EG105">
            <v>8.6139260890591238</v>
          </cell>
          <cell r="EH105">
            <v>31.919258530879304</v>
          </cell>
          <cell r="EI105">
            <v>82.329981307511446</v>
          </cell>
          <cell r="EJ105">
            <v>159.71167649808874</v>
          </cell>
          <cell r="EK105">
            <v>270.73259240344998</v>
          </cell>
          <cell r="EL105">
            <v>401.02464746803224</v>
          </cell>
          <cell r="EM105">
            <v>582.68470805025868</v>
          </cell>
          <cell r="EN105">
            <v>839.34957992024431</v>
          </cell>
          <cell r="EO105">
            <v>1227.6822376153602</v>
          </cell>
          <cell r="EP105">
            <v>1750.1420616425039</v>
          </cell>
          <cell r="EQ105">
            <v>2445.5357496936431</v>
          </cell>
          <cell r="ER105">
            <v>3362.3829808648184</v>
          </cell>
        </row>
        <row r="106">
          <cell r="A106" t="str">
            <v>% of revenues</v>
          </cell>
          <cell r="AU106" t="str">
            <v>NA</v>
          </cell>
          <cell r="AV106" t="str">
            <v>NA</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9.0678871474283892E-5</v>
          </cell>
          <cell r="BM106">
            <v>4.0607893464148008E-4</v>
          </cell>
          <cell r="BN106">
            <v>9.1119409331618707E-4</v>
          </cell>
          <cell r="BO106">
            <v>1.617972974000594E-3</v>
          </cell>
          <cell r="BP106">
            <v>2.2458187644000403E-3</v>
          </cell>
          <cell r="BQ106">
            <v>3.2348970190737539E-3</v>
          </cell>
          <cell r="BR106">
            <v>4.4330688233028123E-3</v>
          </cell>
          <cell r="BS106">
            <v>5.4242647227542955E-3</v>
          </cell>
          <cell r="BT106">
            <v>6.6389845026168315E-3</v>
          </cell>
          <cell r="BU106">
            <v>9.4325383685067831E-3</v>
          </cell>
          <cell r="BV106">
            <v>1.1772890410929708E-2</v>
          </cell>
          <cell r="BW106">
            <v>1.5465468941253417E-2</v>
          </cell>
          <cell r="BX106">
            <v>1.8878167857374371E-2</v>
          </cell>
          <cell r="BY106">
            <v>2.5210054665677599E-2</v>
          </cell>
          <cell r="BZ106">
            <v>3.041186886413088E-2</v>
          </cell>
          <cell r="CA106">
            <v>3.4579047245520605E-2</v>
          </cell>
          <cell r="CB106">
            <v>4.0583970524091108E-2</v>
          </cell>
          <cell r="CC106">
            <v>4.5116176056768709E-2</v>
          </cell>
          <cell r="CD106">
            <v>4.9349486051344642E-2</v>
          </cell>
          <cell r="CE106">
            <v>5.605416043860291E-2</v>
          </cell>
          <cell r="CF106">
            <v>5.8619607320843682E-2</v>
          </cell>
          <cell r="CG106">
            <v>6.1466335110862795E-2</v>
          </cell>
          <cell r="CH106">
            <v>6.7536346525507343E-2</v>
          </cell>
          <cell r="CI106">
            <v>7.1718122788518759E-2</v>
          </cell>
          <cell r="CJ106">
            <v>7.6721013849246816E-2</v>
          </cell>
          <cell r="CK106">
            <v>7.9802517410860321E-2</v>
          </cell>
          <cell r="CL106">
            <v>8.3509989688558536E-2</v>
          </cell>
          <cell r="CM106">
            <v>8.4200033553573542E-2</v>
          </cell>
          <cell r="CN106">
            <v>8.7812176925277097E-2</v>
          </cell>
          <cell r="CO106">
            <v>8.9479067401845788E-2</v>
          </cell>
          <cell r="CP106">
            <v>9.2625496439763436E-2</v>
          </cell>
          <cell r="CQ106">
            <v>9.7860220014313382E-2</v>
          </cell>
          <cell r="CR106">
            <v>9.883200403511487E-2</v>
          </cell>
          <cell r="CS106">
            <v>0.10155687837679818</v>
          </cell>
          <cell r="CT106">
            <v>0.10589214172521895</v>
          </cell>
          <cell r="CU106">
            <v>0.11303297862080644</v>
          </cell>
          <cell r="CV106">
            <v>0.11520395212940264</v>
          </cell>
          <cell r="CW106">
            <v>0.116622420426852</v>
          </cell>
          <cell r="CX106">
            <v>0.12094634349714822</v>
          </cell>
          <cell r="CY106">
            <v>0.12887194533527302</v>
          </cell>
          <cell r="CZ106">
            <v>0.1312597617649702</v>
          </cell>
          <cell r="DA106">
            <v>0.13286043041271911</v>
          </cell>
          <cell r="DB106">
            <v>0.13684114784314622</v>
          </cell>
          <cell r="DC106">
            <v>0.14486121337032212</v>
          </cell>
          <cell r="DD106">
            <v>0.14743207711019204</v>
          </cell>
          <cell r="DE106">
            <v>0.14919028470554671</v>
          </cell>
          <cell r="DF106">
            <v>0.15293481904256814</v>
          </cell>
          <cell r="DG106">
            <v>0.16111889079310823</v>
          </cell>
          <cell r="DH106">
            <v>0.16382457017640353</v>
          </cell>
          <cell r="DI106">
            <v>0.16570602952623095</v>
          </cell>
          <cell r="DJ106">
            <v>0.16928302367977893</v>
          </cell>
          <cell r="DK106">
            <v>0.17767541155255814</v>
          </cell>
          <cell r="DL106">
            <v>0.18045851338067481</v>
          </cell>
          <cell r="DM106">
            <v>0.18242456933014692</v>
          </cell>
          <cell r="DN106">
            <v>0.18587975112801017</v>
          </cell>
          <cell r="DP106" t="str">
            <v>NA</v>
          </cell>
          <cell r="DQ106" t="str">
            <v>NA</v>
          </cell>
          <cell r="DR106" t="str">
            <v>NA</v>
          </cell>
          <cell r="DS106" t="str">
            <v>NA</v>
          </cell>
          <cell r="DT106" t="str">
            <v>NA</v>
          </cell>
          <cell r="DU106" t="str">
            <v>NA</v>
          </cell>
          <cell r="DV106" t="str">
            <v>NA</v>
          </cell>
          <cell r="DW106" t="str">
            <v>NA</v>
          </cell>
          <cell r="DX106" t="str">
            <v>NA</v>
          </cell>
          <cell r="DY106" t="str">
            <v>NA</v>
          </cell>
          <cell r="DZ106">
            <v>0</v>
          </cell>
          <cell r="EA106">
            <v>0</v>
          </cell>
          <cell r="EB106">
            <v>0</v>
          </cell>
          <cell r="EC106">
            <v>0</v>
          </cell>
          <cell r="ED106">
            <v>0</v>
          </cell>
          <cell r="EE106">
            <v>3.9693429434853832E-4</v>
          </cell>
          <cell r="EF106">
            <v>3.0113412769381858E-3</v>
          </cell>
          <cell r="EG106">
            <v>8.5669790438985607E-3</v>
          </cell>
          <cell r="EH106">
            <v>2.2955023456004586E-2</v>
          </cell>
          <cell r="EI106">
            <v>4.2913859155937657E-2</v>
          </cell>
          <cell r="EJ106">
            <v>6.1219985042290724E-2</v>
          </cell>
          <cell r="EK106">
            <v>7.8236532670136749E-2</v>
          </cell>
          <cell r="EL106">
            <v>8.8732396766540669E-2</v>
          </cell>
          <cell r="EM106">
            <v>0.10117844519266059</v>
          </cell>
          <cell r="EN106">
            <v>0.11664764417970845</v>
          </cell>
          <cell r="EO106">
            <v>0.13265382861068628</v>
          </cell>
          <cell r="EP106">
            <v>0.14880107512711188</v>
          </cell>
          <cell r="EQ106">
            <v>0.16518060375320595</v>
          </cell>
          <cell r="ER106">
            <v>0.18180700868348967</v>
          </cell>
        </row>
        <row r="107">
          <cell r="A107" t="str">
            <v>% of subscription revenues</v>
          </cell>
          <cell r="AU107" t="str">
            <v>NA</v>
          </cell>
          <cell r="AV107" t="str">
            <v>NA</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1.1532516671449498E-4</v>
          </cell>
          <cell r="BM107">
            <v>4.8584755881448327E-4</v>
          </cell>
          <cell r="BN107">
            <v>1.0880149917617242E-3</v>
          </cell>
          <cell r="BO107">
            <v>1.9173065895952512E-3</v>
          </cell>
          <cell r="BP107">
            <v>2.8216901215685E-3</v>
          </cell>
          <cell r="BQ107">
            <v>3.8446927588680277E-3</v>
          </cell>
          <cell r="BR107">
            <v>5.263928607859924E-3</v>
          </cell>
          <cell r="BS107">
            <v>6.3907955093125421E-3</v>
          </cell>
          <cell r="BT107">
            <v>8.1708846137034837E-3</v>
          </cell>
          <cell r="BU107">
            <v>1.1035927901040941E-2</v>
          </cell>
          <cell r="BV107">
            <v>1.3742945075569757E-2</v>
          </cell>
          <cell r="BW107">
            <v>1.7689502637335947E-2</v>
          </cell>
          <cell r="BX107">
            <v>2.2166531561399899E-2</v>
          </cell>
          <cell r="BY107">
            <v>2.8270825034356909E-2</v>
          </cell>
          <cell r="BZ107">
            <v>3.4035657790837892E-2</v>
          </cell>
          <cell r="CA107">
            <v>3.8253624160205571E-2</v>
          </cell>
          <cell r="CB107">
            <v>4.5178431724053399E-2</v>
          </cell>
          <cell r="CC107">
            <v>4.9418565797616318E-2</v>
          </cell>
          <cell r="CD107">
            <v>5.4223327712503315E-2</v>
          </cell>
          <cell r="CE107">
            <v>6.0789296502009815E-2</v>
          </cell>
          <cell r="CF107">
            <v>6.3204156146032739E-2</v>
          </cell>
          <cell r="CG107">
            <v>6.6030936458697023E-2</v>
          </cell>
          <cell r="CH107">
            <v>7.25348182504785E-2</v>
          </cell>
          <cell r="CI107">
            <v>7.6461300266565779E-2</v>
          </cell>
          <cell r="CJ107">
            <v>8.191915677806258E-2</v>
          </cell>
          <cell r="CK107">
            <v>8.4669848732934844E-2</v>
          </cell>
          <cell r="CL107">
            <v>8.8393202051879921E-2</v>
          </cell>
          <cell r="CM107">
            <v>8.8571112864401738E-2</v>
          </cell>
          <cell r="CN107">
            <v>9.2595149678805097E-2</v>
          </cell>
          <cell r="CO107">
            <v>9.4446309768532022E-2</v>
          </cell>
          <cell r="CP107">
            <v>9.7799607461637544E-2</v>
          </cell>
          <cell r="CQ107">
            <v>0.10262830995371705</v>
          </cell>
          <cell r="CR107">
            <v>0.10350488339475065</v>
          </cell>
          <cell r="CS107">
            <v>0.10638444205382799</v>
          </cell>
          <cell r="CT107">
            <v>0.11082066963318683</v>
          </cell>
          <cell r="CU107">
            <v>0.11812069699293522</v>
          </cell>
          <cell r="CV107">
            <v>0.1201824802373507</v>
          </cell>
          <cell r="CW107">
            <v>0.12151521908371084</v>
          </cell>
          <cell r="CX107">
            <v>0.12587049786829446</v>
          </cell>
          <cell r="CY107">
            <v>0.13397042385070915</v>
          </cell>
          <cell r="CZ107">
            <v>0.13625274331079459</v>
          </cell>
          <cell r="DA107">
            <v>0.1377723607648822</v>
          </cell>
          <cell r="DB107">
            <v>0.14179058394318081</v>
          </cell>
          <cell r="DC107">
            <v>0.14999892843403342</v>
          </cell>
          <cell r="DD107">
            <v>0.15244640448241212</v>
          </cell>
          <cell r="DE107">
            <v>0.15410979887560469</v>
          </cell>
          <cell r="DF107">
            <v>0.15788949708076913</v>
          </cell>
          <cell r="DG107">
            <v>0.16626733917240377</v>
          </cell>
          <cell r="DH107">
            <v>0.16883051288081513</v>
          </cell>
          <cell r="DI107">
            <v>0.17060179381296503</v>
          </cell>
          <cell r="DJ107">
            <v>0.17421002125107293</v>
          </cell>
          <cell r="DK107">
            <v>0.18280038859756534</v>
          </cell>
          <cell r="DL107">
            <v>0.18543181862917618</v>
          </cell>
          <cell r="DM107">
            <v>0.18727901486644263</v>
          </cell>
          <cell r="DN107">
            <v>0.19076409410355022</v>
          </cell>
          <cell r="DP107" t="str">
            <v>NA</v>
          </cell>
          <cell r="DQ107" t="str">
            <v>NA</v>
          </cell>
          <cell r="DR107" t="str">
            <v>NA</v>
          </cell>
          <cell r="DS107" t="str">
            <v>NA</v>
          </cell>
          <cell r="DT107" t="str">
            <v>NA</v>
          </cell>
          <cell r="DU107" t="str">
            <v>NA</v>
          </cell>
          <cell r="DV107" t="str">
            <v>NA</v>
          </cell>
          <cell r="DW107" t="str">
            <v>NA</v>
          </cell>
          <cell r="DX107" t="str">
            <v>NA</v>
          </cell>
          <cell r="DY107" t="str">
            <v>NA</v>
          </cell>
          <cell r="DZ107" t="str">
            <v>NA</v>
          </cell>
          <cell r="EA107">
            <v>0</v>
          </cell>
          <cell r="EB107">
            <v>0</v>
          </cell>
          <cell r="EC107">
            <v>0</v>
          </cell>
          <cell r="ED107">
            <v>0</v>
          </cell>
          <cell r="EE107">
            <v>4.8186455299283824E-4</v>
          </cell>
          <cell r="EF107">
            <v>3.6237103895171673E-3</v>
          </cell>
          <cell r="EG107">
            <v>1.0154602723469339E-2</v>
          </cell>
          <cell r="EH107">
            <v>2.6128224893670962E-2</v>
          </cell>
          <cell r="EI107">
            <v>4.7329681694459003E-2</v>
          </cell>
          <cell r="EJ107">
            <v>6.5960772728717323E-2</v>
          </cell>
          <cell r="EK107">
            <v>8.3172356923887261E-2</v>
          </cell>
          <cell r="EL107">
            <v>9.3570611829732531E-2</v>
          </cell>
          <cell r="EM107">
            <v>0.10598282576244825</v>
          </cell>
          <cell r="EN107">
            <v>0.1216181691104625</v>
          </cell>
          <cell r="EO107">
            <v>0.13764123570969816</v>
          </cell>
          <cell r="EP107">
            <v>0.15380564047489814</v>
          </cell>
          <cell r="EQ107">
            <v>0.17017170811257989</v>
          </cell>
          <cell r="ER107">
            <v>0.18676232983564212</v>
          </cell>
        </row>
        <row r="108">
          <cell r="A108" t="str">
            <v>% growth y-o-y</v>
          </cell>
          <cell r="AU108" t="str">
            <v>NA</v>
          </cell>
          <cell r="AV108" t="str">
            <v>NA</v>
          </cell>
          <cell r="AW108" t="str">
            <v>NA</v>
          </cell>
          <cell r="AX108" t="str">
            <v>NA</v>
          </cell>
          <cell r="AY108" t="str">
            <v>NA</v>
          </cell>
          <cell r="AZ108" t="str">
            <v>NA</v>
          </cell>
          <cell r="BA108" t="str">
            <v>NA</v>
          </cell>
          <cell r="BB108" t="str">
            <v>NA</v>
          </cell>
          <cell r="BC108" t="str">
            <v>NA</v>
          </cell>
          <cell r="BD108" t="str">
            <v>NA</v>
          </cell>
          <cell r="BE108" t="str">
            <v>NA</v>
          </cell>
          <cell r="BF108" t="str">
            <v>NA</v>
          </cell>
          <cell r="BG108" t="str">
            <v>NA</v>
          </cell>
          <cell r="BH108" t="str">
            <v>NA</v>
          </cell>
          <cell r="BI108" t="str">
            <v>NA</v>
          </cell>
          <cell r="BJ108" t="str">
            <v>NA</v>
          </cell>
          <cell r="BK108" t="str">
            <v>NA</v>
          </cell>
          <cell r="BL108" t="str">
            <v>NA</v>
          </cell>
          <cell r="BM108" t="str">
            <v>NA</v>
          </cell>
          <cell r="BN108" t="str">
            <v>NA</v>
          </cell>
          <cell r="BO108" t="str">
            <v>NA</v>
          </cell>
          <cell r="BP108">
            <v>39.402505612282049</v>
          </cell>
          <cell r="BQ108">
            <v>11.795832947854532</v>
          </cell>
          <cell r="BR108">
            <v>6.6923522113177736</v>
          </cell>
          <cell r="BS108">
            <v>4.1089989427892917</v>
          </cell>
          <cell r="BT108">
            <v>3.3736113757358073</v>
          </cell>
          <cell r="BU108">
            <v>3.2609303556280143</v>
          </cell>
          <cell r="BV108">
            <v>2.8312358881479684</v>
          </cell>
          <cell r="BW108">
            <v>3.1144308896416621</v>
          </cell>
          <cell r="BX108">
            <v>2.9338014032972897</v>
          </cell>
          <cell r="BY108">
            <v>2.6603337975784824</v>
          </cell>
          <cell r="BZ108">
            <v>2.4876840312761361</v>
          </cell>
          <cell r="CA108">
            <v>2.1341925378584738</v>
          </cell>
          <cell r="CB108">
            <v>1.8233920139616266</v>
          </cell>
          <cell r="CC108">
            <v>1.4636915155874006</v>
          </cell>
          <cell r="CD108">
            <v>1.3103303252196303</v>
          </cell>
          <cell r="CE108">
            <v>1.2276572932559229</v>
          </cell>
          <cell r="CF108">
            <v>1.0334252973222466</v>
          </cell>
          <cell r="CG108">
            <v>0.86247024805010497</v>
          </cell>
          <cell r="CH108">
            <v>0.78312934237562715</v>
          </cell>
          <cell r="CI108">
            <v>0.71308288556349186</v>
          </cell>
          <cell r="CJ108">
            <v>0.72949609251155123</v>
          </cell>
          <cell r="CK108">
            <v>0.70865142211184451</v>
          </cell>
          <cell r="CL108">
            <v>0.64498097295948176</v>
          </cell>
          <cell r="CM108">
            <v>0.55711220993286625</v>
          </cell>
          <cell r="CN108">
            <v>0.46977125675261511</v>
          </cell>
          <cell r="CO108">
            <v>0.45812556873332122</v>
          </cell>
          <cell r="CP108">
            <v>0.45707844433481881</v>
          </cell>
          <cell r="CQ108">
            <v>0.4901374674852863</v>
          </cell>
          <cell r="CR108">
            <v>0.49490237820088434</v>
          </cell>
          <cell r="CS108">
            <v>0.43839259784242035</v>
          </cell>
          <cell r="CT108">
            <v>0.40369185008017894</v>
          </cell>
          <cell r="CU108">
            <v>0.40628457181677358</v>
          </cell>
          <cell r="CV108">
            <v>0.42854839063747052</v>
          </cell>
          <cell r="CW108">
            <v>0.45473678275193885</v>
          </cell>
          <cell r="CX108">
            <v>0.46543405650175873</v>
          </cell>
          <cell r="CY108">
            <v>0.4642694872136397</v>
          </cell>
          <cell r="CZ108">
            <v>0.46781077512041414</v>
          </cell>
          <cell r="DA108">
            <v>0.4703912626500053</v>
          </cell>
          <cell r="DB108">
            <v>0.45006771699942671</v>
          </cell>
          <cell r="DC108">
            <v>0.42764678508576548</v>
          </cell>
          <cell r="DD108">
            <v>0.42912674931092298</v>
          </cell>
          <cell r="DE108">
            <v>0.43054130544395308</v>
          </cell>
          <cell r="DF108">
            <v>0.41633175313209847</v>
          </cell>
          <cell r="DG108">
            <v>0.39968572990282425</v>
          </cell>
          <cell r="DH108">
            <v>0.39987854132800948</v>
          </cell>
          <cell r="DI108">
            <v>0.40059576111938711</v>
          </cell>
          <cell r="DJ108">
            <v>0.3902691864250607</v>
          </cell>
          <cell r="DK108">
            <v>0.37747223602754687</v>
          </cell>
          <cell r="DL108">
            <v>0.37676024586085854</v>
          </cell>
          <cell r="DM108">
            <v>0.37700967659161755</v>
          </cell>
          <cell r="DN108">
            <v>0.3692970989586366</v>
          </cell>
          <cell r="DQ108" t="str">
            <v>NA</v>
          </cell>
          <cell r="DR108" t="str">
            <v>NA</v>
          </cell>
          <cell r="DS108" t="str">
            <v>NA</v>
          </cell>
          <cell r="DT108" t="str">
            <v>NA</v>
          </cell>
          <cell r="DU108" t="str">
            <v>NA</v>
          </cell>
          <cell r="DV108" t="str">
            <v>NA</v>
          </cell>
          <cell r="DW108" t="str">
            <v>NA</v>
          </cell>
          <cell r="DX108" t="str">
            <v>NA</v>
          </cell>
          <cell r="DY108" t="str">
            <v>NA</v>
          </cell>
          <cell r="DZ108" t="str">
            <v>NA</v>
          </cell>
          <cell r="EA108" t="str">
            <v>NA</v>
          </cell>
          <cell r="EB108" t="str">
            <v>NA</v>
          </cell>
          <cell r="EC108" t="str">
            <v>NA</v>
          </cell>
          <cell r="ED108" t="str">
            <v>NA</v>
          </cell>
          <cell r="EE108" t="str">
            <v>NA</v>
          </cell>
          <cell r="EF108">
            <v>11.194190309038092</v>
          </cell>
          <cell r="EG108">
            <v>3.1908143400958853</v>
          </cell>
          <cell r="EH108">
            <v>2.7055412596842654</v>
          </cell>
          <cell r="EI108">
            <v>1.5793199810034384</v>
          </cell>
          <cell r="EJ108">
            <v>0.93989691193476932</v>
          </cell>
          <cell r="EK108">
            <v>0.69513336995551378</v>
          </cell>
          <cell r="EL108">
            <v>0.48125736878557634</v>
          </cell>
          <cell r="EM108">
            <v>0.45298976441767835</v>
          </cell>
          <cell r="EN108">
            <v>0.44048671318116583</v>
          </cell>
          <cell r="EO108">
            <v>0.46265902430309858</v>
          </cell>
          <cell r="EP108">
            <v>0.42556600398647548</v>
          </cell>
          <cell r="EQ108">
            <v>0.39733556680451065</v>
          </cell>
          <cell r="ER108">
            <v>0.37490649289671207</v>
          </cell>
        </row>
        <row r="109">
          <cell r="A109" t="str">
            <v>% growth seq</v>
          </cell>
          <cell r="AU109" t="str">
            <v>NA</v>
          </cell>
          <cell r="AV109" t="str">
            <v>NA</v>
          </cell>
          <cell r="AW109" t="str">
            <v>NA</v>
          </cell>
          <cell r="AX109" t="str">
            <v>NA</v>
          </cell>
          <cell r="AY109" t="str">
            <v>NA</v>
          </cell>
          <cell r="AZ109" t="str">
            <v>NA</v>
          </cell>
          <cell r="BA109" t="str">
            <v>NA</v>
          </cell>
          <cell r="BB109" t="str">
            <v>NA</v>
          </cell>
          <cell r="BC109" t="str">
            <v>NA</v>
          </cell>
          <cell r="BD109" t="str">
            <v>NA</v>
          </cell>
          <cell r="BE109" t="str">
            <v>NA</v>
          </cell>
          <cell r="BF109" t="str">
            <v>NA</v>
          </cell>
          <cell r="BG109" t="str">
            <v>NA</v>
          </cell>
          <cell r="BH109" t="str">
            <v>NA</v>
          </cell>
          <cell r="BI109" t="str">
            <v>NA</v>
          </cell>
          <cell r="BJ109" t="str">
            <v>NA</v>
          </cell>
          <cell r="BK109" t="str">
            <v>NA</v>
          </cell>
          <cell r="BL109" t="str">
            <v>NA</v>
          </cell>
          <cell r="BM109">
            <v>3.8741078298775138</v>
          </cell>
          <cell r="BN109">
            <v>1.5256528877761037</v>
          </cell>
          <cell r="BO109">
            <v>0.97218610091054702</v>
          </cell>
          <cell r="BP109">
            <v>0.66414670503736417</v>
          </cell>
          <cell r="BQ109">
            <v>0.54367330975589234</v>
          </cell>
          <cell r="BR109">
            <v>0.5183233209967113</v>
          </cell>
          <cell r="BS109">
            <v>0.30985899081831336</v>
          </cell>
          <cell r="BT109">
            <v>0.42460999533325872</v>
          </cell>
          <cell r="BU109">
            <v>0.5039023588612892</v>
          </cell>
          <cell r="BV109">
            <v>0.36520766867996324</v>
          </cell>
          <cell r="BW109">
            <v>0.40668036378802563</v>
          </cell>
          <cell r="BX109">
            <v>0.36206754934250407</v>
          </cell>
          <cell r="BY109">
            <v>0.39935499229419724</v>
          </cell>
          <cell r="BZ109">
            <v>0.30081387347262512</v>
          </cell>
          <cell r="CA109">
            <v>0.26410737320241129</v>
          </cell>
          <cell r="CB109">
            <v>0.22699885052931701</v>
          </cell>
          <cell r="CC109">
            <v>0.22107698993333758</v>
          </cell>
          <cell r="CD109">
            <v>0.21984011404677917</v>
          </cell>
          <cell r="CE109">
            <v>0.2188724610647339</v>
          </cell>
          <cell r="CF109">
            <v>0.12001541260637416</v>
          </cell>
          <cell r="CG109">
            <v>0.11841805416912354</v>
          </cell>
          <cell r="CH109">
            <v>0.16787513928927322</v>
          </cell>
          <cell r="CI109">
            <v>0.17099163987330823</v>
          </cell>
          <cell r="CJ109">
            <v>0.13074638476600642</v>
          </cell>
          <cell r="CK109">
            <v>0.10493837311683407</v>
          </cell>
          <cell r="CL109">
            <v>0.12435594414499929</v>
          </cell>
          <cell r="CM109">
            <v>0.10844162342840069</v>
          </cell>
          <cell r="CN109">
            <v>6.7320983294879344E-2</v>
          </cell>
          <cell r="CO109">
            <v>9.6183427396711929E-2</v>
          </cell>
          <cell r="CP109">
            <v>0.12354850988353294</v>
          </cell>
          <cell r="CQ109">
            <v>0.13359057641191008</v>
          </cell>
          <cell r="CR109">
            <v>7.073388264225744E-2</v>
          </cell>
          <cell r="CS109">
            <v>5.474588229806332E-2</v>
          </cell>
          <cell r="CT109">
            <v>9.6443272065573904E-2</v>
          </cell>
          <cell r="CU109">
            <v>0.1356844012978311</v>
          </cell>
          <cell r="CV109">
            <v>8.768537713069624E-2</v>
          </cell>
          <cell r="CW109">
            <v>7.4081663240294304E-2</v>
          </cell>
          <cell r="CX109">
            <v>0.10450586728657729</v>
          </cell>
          <cell r="CY109">
            <v>0.13478188155026594</v>
          </cell>
          <cell r="CZ109">
            <v>9.0315908672904399E-2</v>
          </cell>
          <cell r="DA109">
            <v>7.5969954554633956E-2</v>
          </cell>
          <cell r="DB109">
            <v>8.9239539210963725E-2</v>
          </cell>
          <cell r="DC109">
            <v>0.11723589593537143</v>
          </cell>
          <cell r="DD109">
            <v>9.144618021892903E-2</v>
          </cell>
          <cell r="DE109">
            <v>7.7034954491767005E-2</v>
          </cell>
          <cell r="DF109">
            <v>7.8420133889594457E-2</v>
          </cell>
          <cell r="DG109">
            <v>0.10410512015830342</v>
          </cell>
          <cell r="DH109">
            <v>9.1596530607608972E-2</v>
          </cell>
          <cell r="DI109">
            <v>7.7586767211629493E-2</v>
          </cell>
          <cell r="DJ109">
            <v>7.0468955988287618E-2</v>
          </cell>
          <cell r="DK109">
            <v>9.3942211712753743E-2</v>
          </cell>
          <cell r="DL109">
            <v>9.1032304356468696E-2</v>
          </cell>
          <cell r="DM109">
            <v>7.7781996014618215E-2</v>
          </cell>
          <cell r="DN109">
            <v>6.4473301006987116E-2</v>
          </cell>
        </row>
        <row r="110">
          <cell r="BK110" t="str">
            <v>January 2013 - Licenes platform seperately</v>
          </cell>
        </row>
        <row r="111">
          <cell r="BL111" t="str">
            <v>June 2013 - HR Service Automation, Facility Service Automation, and Field Service Automation</v>
          </cell>
        </row>
        <row r="112">
          <cell r="BL112" t="str">
            <v>July 9, 2013 - ServiceNow Acquires Mirror42 (Announces New ServiceNow Performance Analytics Product)</v>
          </cell>
        </row>
        <row r="113">
          <cell r="BU113" t="str">
            <v>ITOM products represented 14% of our net new ACV, and grew 170% year-over-year. And from performance analytics, which represented 5% of our net new ACV and grew 179% year-over-year.</v>
          </cell>
        </row>
        <row r="114">
          <cell r="BV114" t="str">
            <v>Dec 2015 New SOAR</v>
          </cell>
        </row>
        <row r="115">
          <cell r="BX115" t="str">
            <v>Customer service management officially launched in May at Knowledge16</v>
          </cell>
        </row>
        <row r="116">
          <cell r="C116" t="str">
            <v>Fiscal 1999 by Quarter</v>
          </cell>
          <cell r="G116" t="str">
            <v>Fiscal 2000 by Quarter</v>
          </cell>
          <cell r="K116" t="str">
            <v>Fiscal 2001 by Quarter</v>
          </cell>
          <cell r="O116" t="str">
            <v>Fiscal 2002 by Quarter</v>
          </cell>
          <cell r="S116" t="str">
            <v>Fiscal 2003 by Quarter</v>
          </cell>
          <cell r="W116" t="str">
            <v>Fiscal 2004 by Quarter</v>
          </cell>
          <cell r="AA116" t="str">
            <v>Fiscal 2005 by Quarter</v>
          </cell>
          <cell r="AE116" t="str">
            <v>Fiscal 2006 by Quarter</v>
          </cell>
          <cell r="AI116" t="str">
            <v>Fiscal 2006 by Quarter</v>
          </cell>
          <cell r="AM116" t="str">
            <v>Fiscal 2007 by Quarter</v>
          </cell>
          <cell r="AQ116" t="str">
            <v>Fiscal 2008 by Quarter</v>
          </cell>
          <cell r="AU116" t="str">
            <v>Fiscal 2009 by Quarter</v>
          </cell>
          <cell r="AY116" t="str">
            <v>Fiscal 2010 by Quarter</v>
          </cell>
          <cell r="BC116" t="str">
            <v>Fiscal 2011 by Quarter</v>
          </cell>
          <cell r="BG116" t="str">
            <v>Fiscal 2012 by Quarter</v>
          </cell>
          <cell r="BK116" t="str">
            <v>Fiscal 2013 by Quarter</v>
          </cell>
          <cell r="BO116" t="str">
            <v>Fiscal 2014 by Quarter</v>
          </cell>
          <cell r="BS116" t="str">
            <v>Fiscal 2015 by Quarter</v>
          </cell>
          <cell r="BW116" t="str">
            <v>Fiscal 2016 by Quarter</v>
          </cell>
          <cell r="CA116" t="str">
            <v>Fiscal 2017 by Quarter</v>
          </cell>
          <cell r="CE116" t="str">
            <v>Fiscal 2018 by Quarter</v>
          </cell>
          <cell r="CI116" t="str">
            <v>Fiscal 2019 by Quarter</v>
          </cell>
          <cell r="CM116" t="str">
            <v>Fiscal 2020 by Quarter</v>
          </cell>
          <cell r="CQ116" t="str">
            <v>Fiscal 2021 by Quarter</v>
          </cell>
          <cell r="CU116" t="str">
            <v>Fiscal 2022 by Quarter</v>
          </cell>
          <cell r="CY116" t="str">
            <v>Fiscal 2023 by Quarter</v>
          </cell>
          <cell r="DC116" t="str">
            <v>Fiscal 2024 by Quarter</v>
          </cell>
          <cell r="DG116" t="str">
            <v>Fiscal 2025 by Quarter</v>
          </cell>
          <cell r="DK116" t="str">
            <v>Fiscal 2026 by Quarter</v>
          </cell>
          <cell r="DP116" t="str">
            <v xml:space="preserve"> Fiscal Year Ends December</v>
          </cell>
        </row>
        <row r="117">
          <cell r="C117">
            <v>35886</v>
          </cell>
          <cell r="D117">
            <v>35977</v>
          </cell>
          <cell r="E117">
            <v>36069</v>
          </cell>
          <cell r="F117">
            <v>36161</v>
          </cell>
          <cell r="G117">
            <v>36251</v>
          </cell>
          <cell r="H117">
            <v>36342</v>
          </cell>
          <cell r="I117">
            <v>36434</v>
          </cell>
          <cell r="J117">
            <v>36526</v>
          </cell>
          <cell r="K117">
            <v>36617</v>
          </cell>
          <cell r="L117">
            <v>36708</v>
          </cell>
          <cell r="M117">
            <v>36800</v>
          </cell>
          <cell r="N117">
            <v>36892</v>
          </cell>
          <cell r="O117">
            <v>36982</v>
          </cell>
          <cell r="P117">
            <v>37073</v>
          </cell>
          <cell r="Q117">
            <v>37165</v>
          </cell>
          <cell r="R117">
            <v>37257</v>
          </cell>
          <cell r="S117">
            <v>37348</v>
          </cell>
          <cell r="T117">
            <v>37439</v>
          </cell>
          <cell r="U117">
            <v>37531</v>
          </cell>
          <cell r="V117">
            <v>37623</v>
          </cell>
          <cell r="W117">
            <v>37715</v>
          </cell>
          <cell r="X117">
            <v>37806</v>
          </cell>
          <cell r="Y117">
            <v>37898</v>
          </cell>
          <cell r="Z117">
            <v>37990</v>
          </cell>
          <cell r="AA117">
            <v>38081</v>
          </cell>
          <cell r="AB117">
            <v>38172</v>
          </cell>
          <cell r="AC117">
            <v>38264</v>
          </cell>
          <cell r="AD117">
            <v>38356</v>
          </cell>
          <cell r="AE117">
            <v>38447</v>
          </cell>
          <cell r="AF117">
            <v>38538</v>
          </cell>
          <cell r="AG117">
            <v>38630</v>
          </cell>
          <cell r="AH117">
            <v>38722</v>
          </cell>
          <cell r="AI117">
            <v>38807</v>
          </cell>
          <cell r="AJ117">
            <v>38898</v>
          </cell>
          <cell r="AK117">
            <v>38990</v>
          </cell>
          <cell r="AL117">
            <v>39082</v>
          </cell>
          <cell r="AM117">
            <v>39172</v>
          </cell>
          <cell r="AN117">
            <v>39263</v>
          </cell>
          <cell r="AO117">
            <v>39355</v>
          </cell>
          <cell r="AP117">
            <v>39447</v>
          </cell>
          <cell r="AQ117">
            <v>39538</v>
          </cell>
          <cell r="AR117">
            <v>39629</v>
          </cell>
          <cell r="AS117">
            <v>39721</v>
          </cell>
          <cell r="AT117">
            <v>39813</v>
          </cell>
          <cell r="AU117">
            <v>39903</v>
          </cell>
          <cell r="AV117">
            <v>39994</v>
          </cell>
          <cell r="AW117">
            <v>40086</v>
          </cell>
          <cell r="AX117">
            <v>40178</v>
          </cell>
          <cell r="AY117">
            <v>40268</v>
          </cell>
          <cell r="AZ117">
            <v>40359</v>
          </cell>
          <cell r="BA117">
            <v>40451</v>
          </cell>
          <cell r="BB117">
            <v>40543</v>
          </cell>
          <cell r="BC117">
            <v>40633</v>
          </cell>
          <cell r="BD117">
            <v>40724</v>
          </cell>
          <cell r="BE117">
            <v>40816</v>
          </cell>
          <cell r="BF117">
            <v>40908</v>
          </cell>
          <cell r="BG117">
            <v>40999</v>
          </cell>
          <cell r="BH117">
            <v>41072</v>
          </cell>
          <cell r="BI117">
            <v>41164</v>
          </cell>
          <cell r="BJ117">
            <v>41255</v>
          </cell>
          <cell r="BK117">
            <v>41346</v>
          </cell>
          <cell r="BL117">
            <v>41438</v>
          </cell>
          <cell r="BM117">
            <v>41529</v>
          </cell>
          <cell r="BN117">
            <v>41621</v>
          </cell>
          <cell r="BO117">
            <v>41712</v>
          </cell>
          <cell r="BP117">
            <v>41804</v>
          </cell>
          <cell r="BQ117">
            <v>41894</v>
          </cell>
          <cell r="BR117">
            <v>41987</v>
          </cell>
          <cell r="BS117">
            <v>42078</v>
          </cell>
          <cell r="BT117">
            <v>42170</v>
          </cell>
          <cell r="BU117">
            <v>42262</v>
          </cell>
          <cell r="BV117">
            <v>42353</v>
          </cell>
          <cell r="BW117">
            <v>42445</v>
          </cell>
          <cell r="BX117">
            <v>42537</v>
          </cell>
          <cell r="BY117">
            <v>42629</v>
          </cell>
          <cell r="BZ117">
            <v>42720</v>
          </cell>
          <cell r="CA117">
            <v>42811</v>
          </cell>
          <cell r="CB117">
            <v>42903</v>
          </cell>
          <cell r="CC117">
            <v>42995</v>
          </cell>
          <cell r="CD117">
            <v>43086</v>
          </cell>
          <cell r="CE117">
            <v>43177</v>
          </cell>
          <cell r="CF117">
            <v>43269</v>
          </cell>
          <cell r="CG117">
            <v>43361</v>
          </cell>
          <cell r="CH117">
            <v>43452</v>
          </cell>
          <cell r="CI117">
            <v>43543</v>
          </cell>
          <cell r="CJ117">
            <v>43635</v>
          </cell>
          <cell r="CK117">
            <v>43727</v>
          </cell>
          <cell r="CL117">
            <v>43818</v>
          </cell>
          <cell r="CM117">
            <v>43910</v>
          </cell>
          <cell r="CN117">
            <v>44002</v>
          </cell>
          <cell r="CO117">
            <v>44094</v>
          </cell>
          <cell r="CP117">
            <v>44185</v>
          </cell>
          <cell r="CQ117" t="str">
            <v>Mar-21E</v>
          </cell>
          <cell r="CR117" t="str">
            <v>Jun-21E</v>
          </cell>
          <cell r="CS117" t="str">
            <v>Sep-21E</v>
          </cell>
          <cell r="CT117" t="str">
            <v>Dec-21E</v>
          </cell>
          <cell r="CU117" t="str">
            <v>Mar-22E</v>
          </cell>
          <cell r="CV117" t="str">
            <v>Jun-22E</v>
          </cell>
          <cell r="CW117" t="str">
            <v>Sep-22E</v>
          </cell>
          <cell r="CX117" t="str">
            <v>Dec-22E</v>
          </cell>
          <cell r="CY117" t="str">
            <v>Mar-23E</v>
          </cell>
          <cell r="CZ117" t="str">
            <v>Jun-23E</v>
          </cell>
          <cell r="DA117" t="str">
            <v>Sep-23E</v>
          </cell>
          <cell r="DB117" t="str">
            <v>Dec-23E</v>
          </cell>
          <cell r="DC117" t="str">
            <v>Mar-24E</v>
          </cell>
          <cell r="DD117" t="str">
            <v>Jun-24E</v>
          </cell>
          <cell r="DE117" t="str">
            <v>Sep-24E</v>
          </cell>
          <cell r="DF117" t="str">
            <v>Dec-24E</v>
          </cell>
          <cell r="DG117" t="str">
            <v>Mar-25E</v>
          </cell>
          <cell r="DH117" t="str">
            <v>Jun-25E</v>
          </cell>
          <cell r="DI117" t="str">
            <v>Sep-25E</v>
          </cell>
          <cell r="DJ117" t="str">
            <v>Dec-25E</v>
          </cell>
          <cell r="DK117" t="str">
            <v>Mar-26E</v>
          </cell>
          <cell r="DL117" t="str">
            <v>Jun-26E</v>
          </cell>
          <cell r="DM117" t="str">
            <v>Sep-26E</v>
          </cell>
          <cell r="DN117" t="str">
            <v>Dec-26E</v>
          </cell>
          <cell r="DP117">
            <v>1998</v>
          </cell>
          <cell r="DQ117">
            <v>1999</v>
          </cell>
          <cell r="DR117">
            <v>2000</v>
          </cell>
          <cell r="DS117">
            <v>2001</v>
          </cell>
          <cell r="DT117">
            <v>2002</v>
          </cell>
          <cell r="DU117">
            <v>2003</v>
          </cell>
          <cell r="DV117">
            <v>2004</v>
          </cell>
          <cell r="DW117">
            <v>2005</v>
          </cell>
          <cell r="DX117">
            <v>2006</v>
          </cell>
          <cell r="DY117">
            <v>2007</v>
          </cell>
          <cell r="DZ117">
            <v>2008</v>
          </cell>
          <cell r="EA117">
            <v>2009</v>
          </cell>
          <cell r="EB117">
            <v>2010</v>
          </cell>
          <cell r="EC117">
            <v>2011</v>
          </cell>
          <cell r="ED117">
            <v>2012</v>
          </cell>
          <cell r="EE117">
            <v>2013</v>
          </cell>
          <cell r="EF117">
            <v>2014</v>
          </cell>
          <cell r="EG117">
            <v>2015</v>
          </cell>
          <cell r="EH117">
            <v>2016</v>
          </cell>
          <cell r="EI117">
            <v>2017</v>
          </cell>
          <cell r="EJ117">
            <v>2018</v>
          </cell>
          <cell r="EK117">
            <v>2019</v>
          </cell>
          <cell r="EL117">
            <v>2020</v>
          </cell>
          <cell r="EM117" t="str">
            <v>2021E</v>
          </cell>
          <cell r="EN117" t="str">
            <v>2022E</v>
          </cell>
          <cell r="EO117" t="str">
            <v>2023E</v>
          </cell>
          <cell r="EP117" t="str">
            <v>2024E</v>
          </cell>
          <cell r="EQ117" t="str">
            <v>2025E</v>
          </cell>
          <cell r="ER117" t="str">
            <v>2026E</v>
          </cell>
        </row>
        <row r="118">
          <cell r="A118" t="str">
            <v>Cumulative number of customers</v>
          </cell>
          <cell r="AV118">
            <v>281</v>
          </cell>
          <cell r="AZ118">
            <v>460</v>
          </cell>
          <cell r="BB118">
            <v>568</v>
          </cell>
          <cell r="BC118">
            <v>630</v>
          </cell>
          <cell r="BD118">
            <v>771</v>
          </cell>
          <cell r="BE118">
            <v>801</v>
          </cell>
          <cell r="BF118">
            <v>914</v>
          </cell>
          <cell r="BG118">
            <v>1074</v>
          </cell>
          <cell r="BH118">
            <v>1201</v>
          </cell>
          <cell r="BI118">
            <v>1346</v>
          </cell>
          <cell r="BJ118">
            <v>1512</v>
          </cell>
          <cell r="BK118">
            <v>1640</v>
          </cell>
          <cell r="BL118">
            <v>1778</v>
          </cell>
          <cell r="BM118">
            <v>1900</v>
          </cell>
          <cell r="BN118">
            <v>2060</v>
          </cell>
          <cell r="BO118">
            <v>2195</v>
          </cell>
          <cell r="BP118">
            <v>2364</v>
          </cell>
          <cell r="BQ118">
            <v>2176</v>
          </cell>
          <cell r="BR118">
            <v>2347</v>
          </cell>
          <cell r="BS118">
            <v>2872</v>
          </cell>
          <cell r="BT118">
            <v>2628</v>
          </cell>
          <cell r="BU118">
            <v>2804</v>
          </cell>
          <cell r="BV118">
            <v>2978</v>
          </cell>
          <cell r="BW118">
            <v>2978</v>
          </cell>
          <cell r="BX118">
            <v>2978</v>
          </cell>
          <cell r="BY118">
            <v>2978</v>
          </cell>
          <cell r="BZ118">
            <v>2978</v>
          </cell>
          <cell r="CA118">
            <v>2978</v>
          </cell>
          <cell r="CB118">
            <v>2978</v>
          </cell>
          <cell r="CC118">
            <v>2978</v>
          </cell>
          <cell r="CD118">
            <v>2978</v>
          </cell>
          <cell r="CE118">
            <v>2978</v>
          </cell>
          <cell r="CF118">
            <v>2978</v>
          </cell>
          <cell r="CG118">
            <v>2978</v>
          </cell>
          <cell r="CH118">
            <v>2978</v>
          </cell>
          <cell r="CI118">
            <v>2978</v>
          </cell>
          <cell r="CJ118">
            <v>2978</v>
          </cell>
          <cell r="CK118">
            <v>2978</v>
          </cell>
          <cell r="CL118">
            <v>2978</v>
          </cell>
          <cell r="CM118">
            <v>2978</v>
          </cell>
          <cell r="CN118">
            <v>2978</v>
          </cell>
          <cell r="CO118">
            <v>2978</v>
          </cell>
          <cell r="CP118">
            <v>2978</v>
          </cell>
          <cell r="CQ118">
            <v>2978</v>
          </cell>
          <cell r="CR118">
            <v>2978</v>
          </cell>
          <cell r="CS118">
            <v>2978</v>
          </cell>
          <cell r="CT118">
            <v>2978</v>
          </cell>
          <cell r="CU118">
            <v>2978</v>
          </cell>
          <cell r="CV118">
            <v>2978</v>
          </cell>
          <cell r="CW118">
            <v>2978</v>
          </cell>
          <cell r="CX118">
            <v>2978</v>
          </cell>
          <cell r="CY118">
            <v>2978</v>
          </cell>
          <cell r="CZ118">
            <v>2978</v>
          </cell>
          <cell r="DA118">
            <v>2978</v>
          </cell>
          <cell r="DB118">
            <v>2978</v>
          </cell>
          <cell r="DC118">
            <v>2978</v>
          </cell>
          <cell r="DD118">
            <v>2978</v>
          </cell>
          <cell r="DE118">
            <v>2978</v>
          </cell>
          <cell r="DF118">
            <v>2978</v>
          </cell>
          <cell r="DG118">
            <v>2978</v>
          </cell>
          <cell r="DH118">
            <v>2978</v>
          </cell>
          <cell r="DI118">
            <v>2978</v>
          </cell>
          <cell r="DJ118">
            <v>2978</v>
          </cell>
          <cell r="DK118">
            <v>2978</v>
          </cell>
          <cell r="DL118">
            <v>2978</v>
          </cell>
          <cell r="DM118">
            <v>2978</v>
          </cell>
          <cell r="DN118">
            <v>2978</v>
          </cell>
          <cell r="DP118">
            <v>0</v>
          </cell>
          <cell r="DQ118">
            <v>0</v>
          </cell>
          <cell r="DR118">
            <v>0</v>
          </cell>
          <cell r="DS118">
            <v>0</v>
          </cell>
          <cell r="DT118">
            <v>0</v>
          </cell>
          <cell r="DU118">
            <v>0</v>
          </cell>
          <cell r="DV118">
            <v>0</v>
          </cell>
          <cell r="DW118">
            <v>0</v>
          </cell>
          <cell r="DX118">
            <v>0</v>
          </cell>
          <cell r="DY118">
            <v>0</v>
          </cell>
          <cell r="DZ118">
            <v>0</v>
          </cell>
          <cell r="EA118">
            <v>0</v>
          </cell>
          <cell r="EB118">
            <v>568</v>
          </cell>
          <cell r="EC118">
            <v>914</v>
          </cell>
          <cell r="ED118">
            <v>1512</v>
          </cell>
          <cell r="EE118">
            <v>2060</v>
          </cell>
          <cell r="EF118">
            <v>2347</v>
          </cell>
          <cell r="EG118">
            <v>2978</v>
          </cell>
          <cell r="EH118">
            <v>2978</v>
          </cell>
          <cell r="EI118">
            <v>2978</v>
          </cell>
          <cell r="EJ118">
            <v>2978</v>
          </cell>
          <cell r="EK118">
            <v>2978</v>
          </cell>
          <cell r="EL118">
            <v>2978</v>
          </cell>
          <cell r="EM118">
            <v>2978</v>
          </cell>
          <cell r="EN118">
            <v>2978</v>
          </cell>
          <cell r="EO118">
            <v>2978</v>
          </cell>
          <cell r="EP118">
            <v>2978</v>
          </cell>
          <cell r="EQ118">
            <v>2978</v>
          </cell>
          <cell r="ER118">
            <v>2978</v>
          </cell>
        </row>
        <row r="119">
          <cell r="A119" t="str">
            <v>% growth y-o-y</v>
          </cell>
          <cell r="V119" t="str">
            <v>NA</v>
          </cell>
          <cell r="Z119" t="str">
            <v>NA</v>
          </cell>
          <cell r="AA119" t="str">
            <v>NA</v>
          </cell>
          <cell r="AB119" t="str">
            <v>NA</v>
          </cell>
          <cell r="AC119" t="str">
            <v>NA</v>
          </cell>
          <cell r="AD119" t="str">
            <v>NA</v>
          </cell>
          <cell r="AE119" t="str">
            <v>NA</v>
          </cell>
          <cell r="AF119" t="str">
            <v>NA</v>
          </cell>
          <cell r="AG119" t="str">
            <v>NA</v>
          </cell>
          <cell r="AH119" t="str">
            <v>NA</v>
          </cell>
          <cell r="AI119" t="str">
            <v>NA</v>
          </cell>
          <cell r="AJ119" t="str">
            <v>NA</v>
          </cell>
          <cell r="AK119" t="str">
            <v>NA</v>
          </cell>
          <cell r="AL119" t="str">
            <v>NA</v>
          </cell>
          <cell r="AM119" t="str">
            <v>NA</v>
          </cell>
          <cell r="AN119" t="str">
            <v>NA</v>
          </cell>
          <cell r="AO119" t="str">
            <v>NA</v>
          </cell>
          <cell r="AP119" t="str">
            <v>NA</v>
          </cell>
          <cell r="AQ119" t="str">
            <v>NA</v>
          </cell>
          <cell r="AR119" t="str">
            <v>NA</v>
          </cell>
          <cell r="AS119" t="str">
            <v>NA</v>
          </cell>
          <cell r="AT119" t="str">
            <v>NA</v>
          </cell>
          <cell r="AU119" t="str">
            <v>NA</v>
          </cell>
          <cell r="AV119" t="str">
            <v>NA</v>
          </cell>
          <cell r="AW119" t="str">
            <v>NA</v>
          </cell>
          <cell r="AX119" t="str">
            <v>NA</v>
          </cell>
          <cell r="AY119" t="str">
            <v>NA</v>
          </cell>
          <cell r="AZ119">
            <v>0.63701067615658369</v>
          </cell>
          <cell r="BA119" t="str">
            <v>NA</v>
          </cell>
          <cell r="BB119" t="str">
            <v>NA</v>
          </cell>
          <cell r="BC119" t="str">
            <v>NA</v>
          </cell>
          <cell r="BD119">
            <v>0.67608695652173911</v>
          </cell>
          <cell r="BE119" t="str">
            <v>NA</v>
          </cell>
          <cell r="BF119">
            <v>0.60915492957746475</v>
          </cell>
          <cell r="BG119">
            <v>0.7047619047619047</v>
          </cell>
          <cell r="BH119">
            <v>0.55771725032425423</v>
          </cell>
          <cell r="BI119">
            <v>0.68039950062421983</v>
          </cell>
          <cell r="BJ119">
            <v>0.65426695842450755</v>
          </cell>
          <cell r="BK119">
            <v>0.52700186219739287</v>
          </cell>
          <cell r="BL119">
            <v>0.48043297252289752</v>
          </cell>
          <cell r="BM119">
            <v>0.41158989598811302</v>
          </cell>
          <cell r="BN119">
            <v>0.36243386243386233</v>
          </cell>
          <cell r="BO119">
            <v>0.33841463414634143</v>
          </cell>
          <cell r="BP119">
            <v>0.3295838020247468</v>
          </cell>
          <cell r="BQ119">
            <v>0.14526315789473676</v>
          </cell>
          <cell r="BR119">
            <v>0.13932038834951466</v>
          </cell>
          <cell r="BS119">
            <v>0.30842824601366736</v>
          </cell>
          <cell r="BT119">
            <v>0.11167512690355319</v>
          </cell>
          <cell r="BU119">
            <v>0.28860294117647056</v>
          </cell>
          <cell r="BV119">
            <v>0.26885385598636558</v>
          </cell>
          <cell r="BW119">
            <v>3.6908077994429078E-2</v>
          </cell>
          <cell r="BX119">
            <v>0.13318112633181123</v>
          </cell>
          <cell r="BY119">
            <v>6.2054208273894407E-2</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Q119" t="str">
            <v>NA</v>
          </cell>
          <cell r="DR119" t="str">
            <v>NA</v>
          </cell>
          <cell r="DS119" t="str">
            <v>NA</v>
          </cell>
          <cell r="DT119" t="str">
            <v>NA</v>
          </cell>
          <cell r="DU119" t="str">
            <v>NA</v>
          </cell>
          <cell r="DV119" t="str">
            <v>NA</v>
          </cell>
          <cell r="DW119" t="str">
            <v>NA</v>
          </cell>
          <cell r="DX119" t="str">
            <v>NA</v>
          </cell>
          <cell r="DY119" t="str">
            <v>NA</v>
          </cell>
          <cell r="DZ119" t="str">
            <v>NA</v>
          </cell>
          <cell r="EA119" t="str">
            <v>NA</v>
          </cell>
          <cell r="EB119" t="str">
            <v>NA</v>
          </cell>
          <cell r="EC119">
            <v>0.60915492957746475</v>
          </cell>
          <cell r="ED119">
            <v>0.65426695842450755</v>
          </cell>
          <cell r="EE119">
            <v>0.36243386243386233</v>
          </cell>
          <cell r="EF119">
            <v>0.13932038834951466</v>
          </cell>
          <cell r="EG119">
            <v>0.26885385598636558</v>
          </cell>
          <cell r="EH119">
            <v>0</v>
          </cell>
          <cell r="EI119">
            <v>0</v>
          </cell>
          <cell r="EJ119">
            <v>0</v>
          </cell>
          <cell r="EK119">
            <v>0</v>
          </cell>
          <cell r="EL119">
            <v>0</v>
          </cell>
          <cell r="EM119">
            <v>0</v>
          </cell>
          <cell r="EN119">
            <v>0</v>
          </cell>
          <cell r="EO119">
            <v>0</v>
          </cell>
          <cell r="EP119">
            <v>0</v>
          </cell>
          <cell r="EQ119">
            <v>0</v>
          </cell>
          <cell r="ER119">
            <v>0</v>
          </cell>
        </row>
        <row r="120">
          <cell r="A120" t="str">
            <v>% growth seq</v>
          </cell>
          <cell r="V120" t="str">
            <v>NA</v>
          </cell>
          <cell r="Z120" t="str">
            <v>NA</v>
          </cell>
          <cell r="AA120" t="str">
            <v>NA</v>
          </cell>
          <cell r="AB120" t="str">
            <v>NA</v>
          </cell>
          <cell r="AC120" t="str">
            <v>NA</v>
          </cell>
          <cell r="AD120" t="str">
            <v>NA</v>
          </cell>
          <cell r="AE120" t="str">
            <v>NA</v>
          </cell>
          <cell r="AF120" t="str">
            <v>NA</v>
          </cell>
          <cell r="AG120" t="str">
            <v>NA</v>
          </cell>
          <cell r="AH120" t="str">
            <v>NA</v>
          </cell>
          <cell r="AI120" t="str">
            <v>NA</v>
          </cell>
          <cell r="AJ120" t="str">
            <v>NA</v>
          </cell>
          <cell r="AK120" t="str">
            <v>NA</v>
          </cell>
          <cell r="AL120" t="str">
            <v>NA</v>
          </cell>
          <cell r="AM120" t="str">
            <v>NA</v>
          </cell>
          <cell r="AN120" t="str">
            <v>NA</v>
          </cell>
          <cell r="AO120" t="str">
            <v>NA</v>
          </cell>
          <cell r="AP120" t="str">
            <v>NA</v>
          </cell>
          <cell r="AQ120" t="str">
            <v>NA</v>
          </cell>
          <cell r="AR120" t="str">
            <v>NA</v>
          </cell>
          <cell r="AS120" t="str">
            <v>NA</v>
          </cell>
          <cell r="AT120" t="str">
            <v>NA</v>
          </cell>
          <cell r="AU120" t="str">
            <v>NA</v>
          </cell>
          <cell r="AV120" t="str">
            <v>NA</v>
          </cell>
          <cell r="AW120">
            <v>-1</v>
          </cell>
          <cell r="AX120" t="str">
            <v>NA</v>
          </cell>
          <cell r="AY120" t="str">
            <v>NA</v>
          </cell>
          <cell r="AZ120" t="str">
            <v>NA</v>
          </cell>
          <cell r="BA120">
            <v>-1</v>
          </cell>
          <cell r="BB120" t="str">
            <v>NA</v>
          </cell>
          <cell r="BC120">
            <v>0.10915492957746475</v>
          </cell>
          <cell r="BD120">
            <v>0.2238095238095239</v>
          </cell>
          <cell r="BE120">
            <v>3.8910505836575959E-2</v>
          </cell>
          <cell r="BF120">
            <v>0.14107365792759041</v>
          </cell>
          <cell r="BG120">
            <v>0.17505470459518602</v>
          </cell>
          <cell r="BH120">
            <v>0.11824953445065178</v>
          </cell>
          <cell r="BI120">
            <v>0.12073272273105751</v>
          </cell>
          <cell r="BJ120">
            <v>0.12332838038632987</v>
          </cell>
          <cell r="BK120">
            <v>8.4656084656084651E-2</v>
          </cell>
          <cell r="BL120">
            <v>8.4146341463414709E-2</v>
          </cell>
          <cell r="BM120">
            <v>6.861642294713155E-2</v>
          </cell>
          <cell r="BN120">
            <v>8.4210526315789513E-2</v>
          </cell>
          <cell r="BO120">
            <v>6.5533980582524354E-2</v>
          </cell>
          <cell r="BP120">
            <v>7.6993166287016024E-2</v>
          </cell>
          <cell r="BQ120">
            <v>-7.9526226734348615E-2</v>
          </cell>
          <cell r="BR120">
            <v>7.8584558823529438E-2</v>
          </cell>
          <cell r="BS120">
            <v>0.2236898167873882</v>
          </cell>
          <cell r="BT120">
            <v>-8.4958217270195036E-2</v>
          </cell>
          <cell r="BU120">
            <v>6.6971080669710803E-2</v>
          </cell>
          <cell r="BV120">
            <v>6.2054208273894407E-2</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row>
        <row r="122">
          <cell r="A122" t="str">
            <v>Net new customers</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281</v>
          </cell>
          <cell r="AW122">
            <v>-281</v>
          </cell>
          <cell r="AX122">
            <v>0</v>
          </cell>
          <cell r="AY122">
            <v>0</v>
          </cell>
          <cell r="AZ122">
            <v>460</v>
          </cell>
          <cell r="BA122">
            <v>-460</v>
          </cell>
          <cell r="BB122">
            <v>568</v>
          </cell>
          <cell r="BC122">
            <v>62</v>
          </cell>
          <cell r="BD122">
            <v>141</v>
          </cell>
          <cell r="BE122">
            <v>30</v>
          </cell>
          <cell r="BF122">
            <v>113</v>
          </cell>
          <cell r="BG122">
            <v>160</v>
          </cell>
          <cell r="BH122">
            <v>127</v>
          </cell>
          <cell r="BI122">
            <v>127</v>
          </cell>
          <cell r="BJ122">
            <v>166</v>
          </cell>
          <cell r="BK122">
            <v>128</v>
          </cell>
          <cell r="BL122">
            <v>138</v>
          </cell>
          <cell r="BM122">
            <v>122</v>
          </cell>
          <cell r="BN122">
            <v>160</v>
          </cell>
          <cell r="BO122">
            <v>135</v>
          </cell>
          <cell r="BP122">
            <v>169</v>
          </cell>
          <cell r="BQ122">
            <v>130</v>
          </cell>
          <cell r="BR122">
            <v>171</v>
          </cell>
          <cell r="BS122">
            <v>114</v>
          </cell>
          <cell r="BT122">
            <v>167</v>
          </cell>
          <cell r="BU122">
            <v>176</v>
          </cell>
          <cell r="BV122">
            <v>174</v>
          </cell>
          <cell r="DP122">
            <v>0</v>
          </cell>
          <cell r="DQ122">
            <v>0</v>
          </cell>
          <cell r="DR122">
            <v>0</v>
          </cell>
          <cell r="DS122">
            <v>0</v>
          </cell>
          <cell r="DT122">
            <v>0</v>
          </cell>
          <cell r="DU122">
            <v>0</v>
          </cell>
          <cell r="DV122">
            <v>0</v>
          </cell>
          <cell r="DW122">
            <v>0</v>
          </cell>
          <cell r="DX122">
            <v>0</v>
          </cell>
          <cell r="DY122">
            <v>0</v>
          </cell>
          <cell r="DZ122">
            <v>0</v>
          </cell>
          <cell r="EA122">
            <v>0</v>
          </cell>
          <cell r="EB122">
            <v>568</v>
          </cell>
          <cell r="EC122">
            <v>346</v>
          </cell>
          <cell r="ED122">
            <v>598</v>
          </cell>
          <cell r="EE122">
            <v>548</v>
          </cell>
          <cell r="EF122">
            <v>287</v>
          </cell>
          <cell r="EG122">
            <v>631</v>
          </cell>
          <cell r="EH122">
            <v>0</v>
          </cell>
          <cell r="EI122">
            <v>0</v>
          </cell>
          <cell r="EJ122">
            <v>0</v>
          </cell>
          <cell r="EK122">
            <v>0</v>
          </cell>
          <cell r="EL122">
            <v>0</v>
          </cell>
          <cell r="EM122">
            <v>0</v>
          </cell>
          <cell r="EN122">
            <v>0</v>
          </cell>
          <cell r="EO122">
            <v>0</v>
          </cell>
          <cell r="EP122">
            <v>0</v>
          </cell>
          <cell r="EQ122">
            <v>0</v>
          </cell>
          <cell r="ER122">
            <v>0</v>
          </cell>
        </row>
        <row r="123">
          <cell r="A123" t="str">
            <v>% growth y-o-y</v>
          </cell>
          <cell r="V123" t="str">
            <v>NA</v>
          </cell>
          <cell r="Z123" t="str">
            <v>NA</v>
          </cell>
          <cell r="AA123" t="str">
            <v>NA</v>
          </cell>
          <cell r="AB123" t="str">
            <v>NA</v>
          </cell>
          <cell r="AC123" t="str">
            <v>NA</v>
          </cell>
          <cell r="AD123" t="str">
            <v>NA</v>
          </cell>
          <cell r="AE123" t="str">
            <v>NA</v>
          </cell>
          <cell r="AF123" t="str">
            <v>NA</v>
          </cell>
          <cell r="AG123" t="str">
            <v>NA</v>
          </cell>
          <cell r="AH123" t="str">
            <v>NA</v>
          </cell>
          <cell r="AI123" t="str">
            <v>NA</v>
          </cell>
          <cell r="AJ123" t="str">
            <v>NA</v>
          </cell>
          <cell r="AK123" t="str">
            <v>NA</v>
          </cell>
          <cell r="AL123" t="str">
            <v>NA</v>
          </cell>
          <cell r="AM123" t="str">
            <v>NA</v>
          </cell>
          <cell r="AN123" t="str">
            <v>NA</v>
          </cell>
          <cell r="AO123" t="str">
            <v>NA</v>
          </cell>
          <cell r="AP123" t="str">
            <v>NA</v>
          </cell>
          <cell r="AQ123" t="str">
            <v>NA</v>
          </cell>
          <cell r="AR123" t="str">
            <v>NA</v>
          </cell>
          <cell r="AS123" t="str">
            <v>NA</v>
          </cell>
          <cell r="AT123" t="str">
            <v>NA</v>
          </cell>
          <cell r="AU123" t="str">
            <v>NA</v>
          </cell>
          <cell r="AV123" t="str">
            <v>NA</v>
          </cell>
          <cell r="AW123" t="str">
            <v>NA</v>
          </cell>
          <cell r="AX123" t="str">
            <v>NA</v>
          </cell>
          <cell r="AY123" t="str">
            <v>NA</v>
          </cell>
          <cell r="AZ123">
            <v>0.63701067615658369</v>
          </cell>
          <cell r="BA123">
            <v>0.63701067615658369</v>
          </cell>
          <cell r="BB123" t="str">
            <v>NA</v>
          </cell>
          <cell r="BC123" t="str">
            <v>NA</v>
          </cell>
          <cell r="BD123">
            <v>-0.69347826086956521</v>
          </cell>
          <cell r="BE123">
            <v>-1.0652173913043479</v>
          </cell>
          <cell r="BF123">
            <v>-0.801056338028169</v>
          </cell>
          <cell r="BG123">
            <v>1.5806451612903225</v>
          </cell>
          <cell r="BH123">
            <v>-9.9290780141844004E-2</v>
          </cell>
          <cell r="BI123">
            <v>3.2333333333333334</v>
          </cell>
          <cell r="BJ123">
            <v>0.46902654867256643</v>
          </cell>
          <cell r="BK123">
            <v>-0.19999999999999996</v>
          </cell>
          <cell r="BL123">
            <v>8.6614173228346525E-2</v>
          </cell>
          <cell r="BM123">
            <v>-3.9370078740157521E-2</v>
          </cell>
          <cell r="BN123">
            <v>-3.6144578313253017E-2</v>
          </cell>
          <cell r="BO123">
            <v>5.46875E-2</v>
          </cell>
          <cell r="BP123">
            <v>0.2246376811594204</v>
          </cell>
          <cell r="BQ123">
            <v>6.5573770491803351E-2</v>
          </cell>
          <cell r="BR123">
            <v>6.8750000000000089E-2</v>
          </cell>
          <cell r="BS123">
            <v>-0.15555555555555556</v>
          </cell>
          <cell r="BT123">
            <v>-1.1834319526627168E-2</v>
          </cell>
          <cell r="BU123">
            <v>0.35384615384615392</v>
          </cell>
          <cell r="BV123">
            <v>1.7543859649122862E-2</v>
          </cell>
          <cell r="BW123">
            <v>-1</v>
          </cell>
          <cell r="BX123">
            <v>-1</v>
          </cell>
          <cell r="BY123">
            <v>-1</v>
          </cell>
          <cell r="BZ123">
            <v>-1</v>
          </cell>
          <cell r="CA123" t="str">
            <v>NA</v>
          </cell>
          <cell r="CB123" t="str">
            <v>NA</v>
          </cell>
          <cell r="CC123" t="str">
            <v>NA</v>
          </cell>
          <cell r="CD123" t="str">
            <v>NA</v>
          </cell>
          <cell r="CE123" t="str">
            <v>NA</v>
          </cell>
          <cell r="CF123" t="str">
            <v>NA</v>
          </cell>
          <cell r="CG123" t="str">
            <v>NA</v>
          </cell>
          <cell r="CH123" t="str">
            <v>NA</v>
          </cell>
          <cell r="CI123" t="str">
            <v>NA</v>
          </cell>
          <cell r="CJ123" t="str">
            <v>NA</v>
          </cell>
          <cell r="CK123" t="str">
            <v>NA</v>
          </cell>
          <cell r="CL123" t="str">
            <v>NA</v>
          </cell>
          <cell r="CM123" t="str">
            <v>NA</v>
          </cell>
          <cell r="CN123" t="str">
            <v>NA</v>
          </cell>
          <cell r="CO123" t="str">
            <v>NA</v>
          </cell>
          <cell r="CP123" t="str">
            <v>NA</v>
          </cell>
          <cell r="CQ123" t="str">
            <v>NA</v>
          </cell>
          <cell r="CR123" t="str">
            <v>NA</v>
          </cell>
          <cell r="CS123" t="str">
            <v>NA</v>
          </cell>
          <cell r="CT123" t="str">
            <v>NA</v>
          </cell>
          <cell r="CU123" t="str">
            <v>NA</v>
          </cell>
          <cell r="CV123" t="str">
            <v>NA</v>
          </cell>
          <cell r="CW123" t="str">
            <v>NA</v>
          </cell>
          <cell r="CX123" t="str">
            <v>NA</v>
          </cell>
          <cell r="CY123" t="str">
            <v>NA</v>
          </cell>
          <cell r="CZ123" t="str">
            <v>NA</v>
          </cell>
          <cell r="DA123" t="str">
            <v>NA</v>
          </cell>
          <cell r="DB123" t="str">
            <v>NA</v>
          </cell>
          <cell r="DC123" t="str">
            <v>NA</v>
          </cell>
          <cell r="DD123" t="str">
            <v>NA</v>
          </cell>
          <cell r="DE123" t="str">
            <v>NA</v>
          </cell>
          <cell r="DF123" t="str">
            <v>NA</v>
          </cell>
          <cell r="DG123" t="str">
            <v>NA</v>
          </cell>
          <cell r="DH123" t="str">
            <v>NA</v>
          </cell>
          <cell r="DI123" t="str">
            <v>NA</v>
          </cell>
          <cell r="DJ123" t="str">
            <v>NA</v>
          </cell>
          <cell r="DK123" t="str">
            <v>NA</v>
          </cell>
          <cell r="DL123" t="str">
            <v>NA</v>
          </cell>
          <cell r="DM123" t="str">
            <v>NA</v>
          </cell>
          <cell r="DN123" t="str">
            <v>NA</v>
          </cell>
          <cell r="DQ123" t="str">
            <v>NA</v>
          </cell>
          <cell r="DR123" t="str">
            <v>NA</v>
          </cell>
          <cell r="DS123" t="str">
            <v>NA</v>
          </cell>
          <cell r="DT123" t="str">
            <v>NA</v>
          </cell>
          <cell r="DU123" t="str">
            <v>NA</v>
          </cell>
          <cell r="DV123" t="str">
            <v>NA</v>
          </cell>
          <cell r="DW123" t="str">
            <v>NA</v>
          </cell>
          <cell r="DX123" t="str">
            <v>NA</v>
          </cell>
          <cell r="DY123" t="str">
            <v>NA</v>
          </cell>
          <cell r="DZ123" t="str">
            <v>NA</v>
          </cell>
          <cell r="EA123" t="str">
            <v>NA</v>
          </cell>
          <cell r="EB123" t="str">
            <v>NA</v>
          </cell>
          <cell r="EC123">
            <v>-0.39084507042253525</v>
          </cell>
          <cell r="ED123">
            <v>0.72832369942196529</v>
          </cell>
          <cell r="EE123">
            <v>-8.361204013377932E-2</v>
          </cell>
          <cell r="EF123">
            <v>-0.47627737226277367</v>
          </cell>
          <cell r="EG123">
            <v>1.1986062717770034</v>
          </cell>
          <cell r="EH123">
            <v>-1</v>
          </cell>
          <cell r="EI123" t="str">
            <v>NA</v>
          </cell>
          <cell r="EJ123" t="str">
            <v>NA</v>
          </cell>
          <cell r="EK123" t="str">
            <v>NA</v>
          </cell>
          <cell r="EL123" t="str">
            <v>NA</v>
          </cell>
          <cell r="EM123" t="str">
            <v>NA</v>
          </cell>
          <cell r="EN123" t="str">
            <v>NA</v>
          </cell>
          <cell r="EO123" t="str">
            <v>NA</v>
          </cell>
          <cell r="EP123" t="str">
            <v>NA</v>
          </cell>
          <cell r="EQ123" t="str">
            <v>NA</v>
          </cell>
          <cell r="ER123" t="str">
            <v>NA</v>
          </cell>
        </row>
        <row r="124">
          <cell r="A124" t="str">
            <v>% growth seq</v>
          </cell>
          <cell r="V124" t="str">
            <v>NA</v>
          </cell>
          <cell r="Z124" t="str">
            <v>NA</v>
          </cell>
          <cell r="AA124" t="str">
            <v>NA</v>
          </cell>
          <cell r="AB124" t="str">
            <v>NA</v>
          </cell>
          <cell r="AC124" t="str">
            <v>NA</v>
          </cell>
          <cell r="AD124" t="str">
            <v>NA</v>
          </cell>
          <cell r="AE124" t="str">
            <v>NA</v>
          </cell>
          <cell r="AF124" t="str">
            <v>NA</v>
          </cell>
          <cell r="AG124" t="str">
            <v>NA</v>
          </cell>
          <cell r="AH124" t="str">
            <v>NA</v>
          </cell>
          <cell r="AI124" t="str">
            <v>NA</v>
          </cell>
          <cell r="AJ124" t="str">
            <v>NA</v>
          </cell>
          <cell r="AK124" t="str">
            <v>NA</v>
          </cell>
          <cell r="AL124" t="str">
            <v>NA</v>
          </cell>
          <cell r="AM124" t="str">
            <v>NA</v>
          </cell>
          <cell r="AN124" t="str">
            <v>NA</v>
          </cell>
          <cell r="AO124" t="str">
            <v>NA</v>
          </cell>
          <cell r="AP124" t="str">
            <v>NA</v>
          </cell>
          <cell r="AQ124" t="str">
            <v>NA</v>
          </cell>
          <cell r="AR124" t="str">
            <v>NA</v>
          </cell>
          <cell r="AS124" t="str">
            <v>NA</v>
          </cell>
          <cell r="AT124" t="str">
            <v>NA</v>
          </cell>
          <cell r="AU124" t="str">
            <v>NA</v>
          </cell>
          <cell r="AV124" t="str">
            <v>NA</v>
          </cell>
          <cell r="AW124">
            <v>-2</v>
          </cell>
          <cell r="AX124">
            <v>-1</v>
          </cell>
          <cell r="AY124" t="str">
            <v>NA</v>
          </cell>
          <cell r="AZ124" t="str">
            <v>NA</v>
          </cell>
          <cell r="BA124">
            <v>-2</v>
          </cell>
          <cell r="BB124">
            <v>-2.2347826086956522</v>
          </cell>
          <cell r="BC124">
            <v>-0.89084507042253525</v>
          </cell>
          <cell r="BD124">
            <v>1.274193548387097</v>
          </cell>
          <cell r="BE124">
            <v>-0.78723404255319152</v>
          </cell>
          <cell r="BF124">
            <v>2.7666666666666666</v>
          </cell>
          <cell r="BG124">
            <v>0.41592920353982299</v>
          </cell>
          <cell r="BH124">
            <v>-0.20625000000000004</v>
          </cell>
          <cell r="BI124">
            <v>0</v>
          </cell>
          <cell r="BJ124">
            <v>0.30708661417322825</v>
          </cell>
          <cell r="BK124">
            <v>-0.22891566265060237</v>
          </cell>
          <cell r="BL124">
            <v>7.8125E-2</v>
          </cell>
          <cell r="BM124">
            <v>-0.11594202898550721</v>
          </cell>
          <cell r="BN124">
            <v>0.31147540983606548</v>
          </cell>
          <cell r="BO124">
            <v>-0.15625</v>
          </cell>
          <cell r="BP124">
            <v>0.25185185185185177</v>
          </cell>
          <cell r="BQ124">
            <v>-0.23076923076923073</v>
          </cell>
          <cell r="BR124">
            <v>0.31538461538461537</v>
          </cell>
          <cell r="BS124">
            <v>-0.33333333333333337</v>
          </cell>
          <cell r="BT124">
            <v>0.46491228070175428</v>
          </cell>
          <cell r="BU124">
            <v>5.3892215568862367E-2</v>
          </cell>
          <cell r="BV124">
            <v>-1.1363636363636354E-2</v>
          </cell>
          <cell r="BW124">
            <v>-1</v>
          </cell>
          <cell r="BX124" t="str">
            <v>NA</v>
          </cell>
          <cell r="BY124" t="str">
            <v>NA</v>
          </cell>
          <cell r="BZ124" t="str">
            <v>NA</v>
          </cell>
          <cell r="CA124" t="str">
            <v>NA</v>
          </cell>
          <cell r="CB124" t="str">
            <v>NA</v>
          </cell>
          <cell r="CC124" t="str">
            <v>NA</v>
          </cell>
          <cell r="CD124" t="str">
            <v>NA</v>
          </cell>
          <cell r="CE124" t="str">
            <v>NA</v>
          </cell>
          <cell r="CF124" t="str">
            <v>NA</v>
          </cell>
          <cell r="CG124" t="str">
            <v>NA</v>
          </cell>
          <cell r="CH124" t="str">
            <v>NA</v>
          </cell>
          <cell r="CI124" t="str">
            <v>NA</v>
          </cell>
          <cell r="CJ124" t="str">
            <v>NA</v>
          </cell>
          <cell r="CK124" t="str">
            <v>NA</v>
          </cell>
          <cell r="CL124" t="str">
            <v>NA</v>
          </cell>
          <cell r="CM124" t="str">
            <v>NA</v>
          </cell>
          <cell r="CN124" t="str">
            <v>NA</v>
          </cell>
          <cell r="CO124" t="str">
            <v>NA</v>
          </cell>
          <cell r="CP124" t="str">
            <v>NA</v>
          </cell>
          <cell r="CQ124" t="str">
            <v>NA</v>
          </cell>
          <cell r="CR124" t="str">
            <v>NA</v>
          </cell>
          <cell r="CS124" t="str">
            <v>NA</v>
          </cell>
          <cell r="CT124" t="str">
            <v>NA</v>
          </cell>
          <cell r="CU124" t="str">
            <v>NA</v>
          </cell>
          <cell r="CV124" t="str">
            <v>NA</v>
          </cell>
          <cell r="CW124" t="str">
            <v>NA</v>
          </cell>
          <cell r="CX124" t="str">
            <v>NA</v>
          </cell>
          <cell r="CY124" t="str">
            <v>NA</v>
          </cell>
          <cell r="CZ124" t="str">
            <v>NA</v>
          </cell>
          <cell r="DA124" t="str">
            <v>NA</v>
          </cell>
          <cell r="DB124" t="str">
            <v>NA</v>
          </cell>
          <cell r="DC124" t="str">
            <v>NA</v>
          </cell>
          <cell r="DD124" t="str">
            <v>NA</v>
          </cell>
          <cell r="DE124" t="str">
            <v>NA</v>
          </cell>
          <cell r="DF124" t="str">
            <v>NA</v>
          </cell>
          <cell r="DG124" t="str">
            <v>NA</v>
          </cell>
          <cell r="DH124" t="str">
            <v>NA</v>
          </cell>
          <cell r="DI124" t="str">
            <v>NA</v>
          </cell>
          <cell r="DJ124" t="str">
            <v>NA</v>
          </cell>
          <cell r="DK124" t="str">
            <v>NA</v>
          </cell>
          <cell r="DL124" t="str">
            <v>NA</v>
          </cell>
          <cell r="DM124" t="str">
            <v>NA</v>
          </cell>
          <cell r="DN124" t="str">
            <v>NA</v>
          </cell>
        </row>
        <row r="126">
          <cell r="A126" t="str">
            <v>Customers with &gt;$1M in ACV</v>
          </cell>
          <cell r="BX126">
            <v>283</v>
          </cell>
          <cell r="BY126">
            <v>314</v>
          </cell>
          <cell r="BZ126">
            <v>353</v>
          </cell>
          <cell r="CA126">
            <v>379</v>
          </cell>
          <cell r="CB126">
            <v>410</v>
          </cell>
          <cell r="CC126">
            <v>445</v>
          </cell>
          <cell r="CD126">
            <v>506</v>
          </cell>
          <cell r="CE126">
            <v>542</v>
          </cell>
          <cell r="CF126">
            <v>575</v>
          </cell>
          <cell r="DP126">
            <v>0</v>
          </cell>
          <cell r="DQ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353</v>
          </cell>
          <cell r="EI126">
            <v>506</v>
          </cell>
          <cell r="EJ126">
            <v>0</v>
          </cell>
          <cell r="EK126">
            <v>0</v>
          </cell>
          <cell r="EL126">
            <v>0</v>
          </cell>
          <cell r="EM126">
            <v>0</v>
          </cell>
          <cell r="EN126">
            <v>0</v>
          </cell>
          <cell r="EO126">
            <v>0</v>
          </cell>
          <cell r="EP126">
            <v>0</v>
          </cell>
          <cell r="EQ126">
            <v>0</v>
          </cell>
          <cell r="ER126">
            <v>0</v>
          </cell>
        </row>
        <row r="127">
          <cell r="A127" t="str">
            <v>% growth y-o-y</v>
          </cell>
          <cell r="V127" t="str">
            <v>NA</v>
          </cell>
          <cell r="Z127" t="str">
            <v>NA</v>
          </cell>
          <cell r="AA127" t="str">
            <v>NA</v>
          </cell>
          <cell r="AB127" t="str">
            <v>NA</v>
          </cell>
          <cell r="AC127" t="str">
            <v>NA</v>
          </cell>
          <cell r="AD127" t="str">
            <v>NA</v>
          </cell>
          <cell r="AE127" t="str">
            <v>NA</v>
          </cell>
          <cell r="AF127" t="str">
            <v>NA</v>
          </cell>
          <cell r="AG127" t="str">
            <v>NA</v>
          </cell>
          <cell r="AH127" t="str">
            <v>NA</v>
          </cell>
          <cell r="AI127" t="str">
            <v>NA</v>
          </cell>
          <cell r="AJ127" t="str">
            <v>NA</v>
          </cell>
          <cell r="AK127" t="str">
            <v>NA</v>
          </cell>
          <cell r="AL127" t="str">
            <v>NA</v>
          </cell>
          <cell r="AM127" t="str">
            <v>NA</v>
          </cell>
          <cell r="AN127" t="str">
            <v>NA</v>
          </cell>
          <cell r="AO127" t="str">
            <v>NA</v>
          </cell>
          <cell r="AP127" t="str">
            <v>NA</v>
          </cell>
          <cell r="AQ127" t="str">
            <v>NA</v>
          </cell>
          <cell r="AR127" t="str">
            <v>NA</v>
          </cell>
          <cell r="AS127" t="str">
            <v>NA</v>
          </cell>
          <cell r="AT127" t="str">
            <v>NA</v>
          </cell>
          <cell r="AU127" t="str">
            <v>NA</v>
          </cell>
          <cell r="AV127" t="str">
            <v>NA</v>
          </cell>
          <cell r="AW127" t="str">
            <v>NA</v>
          </cell>
          <cell r="AX127" t="str">
            <v>NA</v>
          </cell>
          <cell r="AY127" t="str">
            <v>NA</v>
          </cell>
          <cell r="AZ127" t="str">
            <v>NA</v>
          </cell>
          <cell r="BA127" t="str">
            <v>NA</v>
          </cell>
          <cell r="BB127" t="str">
            <v>NA</v>
          </cell>
          <cell r="BC127" t="str">
            <v>NA</v>
          </cell>
          <cell r="BD127" t="str">
            <v>NA</v>
          </cell>
          <cell r="BE127" t="str">
            <v>NA</v>
          </cell>
          <cell r="BF127" t="str">
            <v>NA</v>
          </cell>
          <cell r="BG127" t="str">
            <v>NA</v>
          </cell>
          <cell r="BH127" t="str">
            <v>NA</v>
          </cell>
          <cell r="BI127" t="str">
            <v>NA</v>
          </cell>
          <cell r="BJ127" t="str">
            <v>NA</v>
          </cell>
          <cell r="BK127" t="str">
            <v>NA</v>
          </cell>
          <cell r="BL127" t="str">
            <v>NA</v>
          </cell>
          <cell r="BM127" t="str">
            <v>NA</v>
          </cell>
          <cell r="BN127" t="str">
            <v>NA</v>
          </cell>
          <cell r="BO127" t="str">
            <v>NA</v>
          </cell>
          <cell r="BP127" t="str">
            <v>NA</v>
          </cell>
          <cell r="BQ127" t="str">
            <v>NA</v>
          </cell>
          <cell r="BR127" t="str">
            <v>NA</v>
          </cell>
          <cell r="BS127" t="str">
            <v>NA</v>
          </cell>
          <cell r="BT127" t="str">
            <v>NA</v>
          </cell>
          <cell r="BU127" t="str">
            <v>NA</v>
          </cell>
          <cell r="BV127" t="str">
            <v>NA</v>
          </cell>
          <cell r="BW127" t="str">
            <v>NA</v>
          </cell>
          <cell r="BX127" t="str">
            <v>NA</v>
          </cell>
          <cell r="BY127" t="str">
            <v>NA</v>
          </cell>
          <cell r="BZ127" t="str">
            <v>NA</v>
          </cell>
          <cell r="CA127" t="str">
            <v>NA</v>
          </cell>
          <cell r="CB127">
            <v>0.44876325088339231</v>
          </cell>
          <cell r="CC127">
            <v>0.41719745222929938</v>
          </cell>
          <cell r="CD127">
            <v>0.43342776203966005</v>
          </cell>
          <cell r="CE127">
            <v>0.43007915567282318</v>
          </cell>
          <cell r="CF127">
            <v>0.40243902439024382</v>
          </cell>
          <cell r="CG127">
            <v>-1</v>
          </cell>
          <cell r="CH127">
            <v>-1</v>
          </cell>
          <cell r="CI127">
            <v>-1</v>
          </cell>
          <cell r="CJ127">
            <v>-1</v>
          </cell>
          <cell r="CK127" t="str">
            <v>NA</v>
          </cell>
          <cell r="CL127" t="str">
            <v>NA</v>
          </cell>
          <cell r="CM127" t="str">
            <v>NA</v>
          </cell>
          <cell r="CN127" t="str">
            <v>NA</v>
          </cell>
          <cell r="CO127" t="str">
            <v>NA</v>
          </cell>
          <cell r="CP127" t="str">
            <v>NA</v>
          </cell>
          <cell r="CQ127" t="str">
            <v>NA</v>
          </cell>
          <cell r="CR127" t="str">
            <v>NA</v>
          </cell>
          <cell r="CS127" t="str">
            <v>NA</v>
          </cell>
          <cell r="CT127" t="str">
            <v>NA</v>
          </cell>
          <cell r="CU127" t="str">
            <v>NA</v>
          </cell>
          <cell r="CV127" t="str">
            <v>NA</v>
          </cell>
          <cell r="CW127" t="str">
            <v>NA</v>
          </cell>
          <cell r="CX127" t="str">
            <v>NA</v>
          </cell>
          <cell r="CY127" t="str">
            <v>NA</v>
          </cell>
          <cell r="CZ127" t="str">
            <v>NA</v>
          </cell>
          <cell r="DA127" t="str">
            <v>NA</v>
          </cell>
          <cell r="DB127" t="str">
            <v>NA</v>
          </cell>
          <cell r="DC127" t="str">
            <v>NA</v>
          </cell>
          <cell r="DD127" t="str">
            <v>NA</v>
          </cell>
          <cell r="DE127" t="str">
            <v>NA</v>
          </cell>
          <cell r="DF127" t="str">
            <v>NA</v>
          </cell>
          <cell r="DG127" t="str">
            <v>NA</v>
          </cell>
          <cell r="DH127" t="str">
            <v>NA</v>
          </cell>
          <cell r="DI127" t="str">
            <v>NA</v>
          </cell>
          <cell r="DJ127" t="str">
            <v>NA</v>
          </cell>
          <cell r="DK127" t="str">
            <v>NA</v>
          </cell>
          <cell r="DL127" t="str">
            <v>NA</v>
          </cell>
          <cell r="DM127" t="str">
            <v>NA</v>
          </cell>
          <cell r="DN127" t="str">
            <v>NA</v>
          </cell>
          <cell r="DQ127" t="str">
            <v>NA</v>
          </cell>
          <cell r="DR127" t="str">
            <v>NA</v>
          </cell>
          <cell r="DS127" t="str">
            <v>NA</v>
          </cell>
          <cell r="DT127" t="str">
            <v>NA</v>
          </cell>
          <cell r="DU127" t="str">
            <v>NA</v>
          </cell>
          <cell r="DV127" t="str">
            <v>NA</v>
          </cell>
          <cell r="DW127" t="str">
            <v>NA</v>
          </cell>
          <cell r="DX127" t="str">
            <v>NA</v>
          </cell>
          <cell r="DY127" t="str">
            <v>NA</v>
          </cell>
          <cell r="DZ127" t="str">
            <v>NA</v>
          </cell>
          <cell r="EA127" t="str">
            <v>NA</v>
          </cell>
          <cell r="EB127" t="str">
            <v>NA</v>
          </cell>
          <cell r="EC127" t="str">
            <v>NA</v>
          </cell>
          <cell r="ED127" t="str">
            <v>NA</v>
          </cell>
          <cell r="EE127" t="str">
            <v>NA</v>
          </cell>
          <cell r="EF127" t="str">
            <v>NA</v>
          </cell>
          <cell r="EG127" t="str">
            <v>NA</v>
          </cell>
          <cell r="EH127" t="str">
            <v>NA</v>
          </cell>
          <cell r="EI127">
            <v>0.43342776203966005</v>
          </cell>
          <cell r="EJ127">
            <v>-1</v>
          </cell>
          <cell r="EK127" t="str">
            <v>NA</v>
          </cell>
          <cell r="EL127" t="str">
            <v>NA</v>
          </cell>
          <cell r="EM127" t="str">
            <v>NA</v>
          </cell>
          <cell r="EN127" t="str">
            <v>NA</v>
          </cell>
          <cell r="EO127" t="str">
            <v>NA</v>
          </cell>
          <cell r="EP127" t="str">
            <v>NA</v>
          </cell>
          <cell r="EQ127" t="str">
            <v>NA</v>
          </cell>
          <cell r="ER127" t="str">
            <v>NA</v>
          </cell>
        </row>
        <row r="128">
          <cell r="A128" t="str">
            <v>% growth seq</v>
          </cell>
          <cell r="V128" t="str">
            <v>NA</v>
          </cell>
          <cell r="Z128" t="str">
            <v>NA</v>
          </cell>
          <cell r="AA128" t="str">
            <v>NA</v>
          </cell>
          <cell r="AB128" t="str">
            <v>NA</v>
          </cell>
          <cell r="AC128" t="str">
            <v>NA</v>
          </cell>
          <cell r="AD128" t="str">
            <v>NA</v>
          </cell>
          <cell r="AE128" t="str">
            <v>NA</v>
          </cell>
          <cell r="AF128" t="str">
            <v>NA</v>
          </cell>
          <cell r="AG128" t="str">
            <v>NA</v>
          </cell>
          <cell r="AH128" t="str">
            <v>NA</v>
          </cell>
          <cell r="AI128" t="str">
            <v>NA</v>
          </cell>
          <cell r="AJ128" t="str">
            <v>NA</v>
          </cell>
          <cell r="AK128" t="str">
            <v>NA</v>
          </cell>
          <cell r="AL128" t="str">
            <v>NA</v>
          </cell>
          <cell r="AM128" t="str">
            <v>NA</v>
          </cell>
          <cell r="AN128" t="str">
            <v>NA</v>
          </cell>
          <cell r="AO128" t="str">
            <v>NA</v>
          </cell>
          <cell r="AP128" t="str">
            <v>NA</v>
          </cell>
          <cell r="AQ128" t="str">
            <v>NA</v>
          </cell>
          <cell r="AR128" t="str">
            <v>NA</v>
          </cell>
          <cell r="AS128" t="str">
            <v>NA</v>
          </cell>
          <cell r="AT128" t="str">
            <v>NA</v>
          </cell>
          <cell r="AU128" t="str">
            <v>NA</v>
          </cell>
          <cell r="AV128" t="str">
            <v>NA</v>
          </cell>
          <cell r="AW128" t="str">
            <v>NA</v>
          </cell>
          <cell r="AX128" t="str">
            <v>NA</v>
          </cell>
          <cell r="AY128" t="str">
            <v>NA</v>
          </cell>
          <cell r="AZ128" t="str">
            <v>NA</v>
          </cell>
          <cell r="BA128" t="str">
            <v>NA</v>
          </cell>
          <cell r="BB128" t="str">
            <v>NA</v>
          </cell>
          <cell r="BC128" t="str">
            <v>NA</v>
          </cell>
          <cell r="BD128" t="str">
            <v>NA</v>
          </cell>
          <cell r="BE128" t="str">
            <v>NA</v>
          </cell>
          <cell r="BF128" t="str">
            <v>NA</v>
          </cell>
          <cell r="BG128" t="str">
            <v>NA</v>
          </cell>
          <cell r="BH128" t="str">
            <v>NA</v>
          </cell>
          <cell r="BI128" t="str">
            <v>NA</v>
          </cell>
          <cell r="BJ128" t="str">
            <v>NA</v>
          </cell>
          <cell r="BK128" t="str">
            <v>NA</v>
          </cell>
          <cell r="BL128" t="str">
            <v>NA</v>
          </cell>
          <cell r="BM128" t="str">
            <v>NA</v>
          </cell>
          <cell r="BN128" t="str">
            <v>NA</v>
          </cell>
          <cell r="BO128" t="str">
            <v>NA</v>
          </cell>
          <cell r="BP128" t="str">
            <v>NA</v>
          </cell>
          <cell r="BQ128" t="str">
            <v>NA</v>
          </cell>
          <cell r="BR128" t="str">
            <v>NA</v>
          </cell>
          <cell r="BS128" t="str">
            <v>NA</v>
          </cell>
          <cell r="BT128" t="str">
            <v>NA</v>
          </cell>
          <cell r="BU128" t="str">
            <v>NA</v>
          </cell>
          <cell r="BV128" t="str">
            <v>NA</v>
          </cell>
          <cell r="BW128" t="str">
            <v>NA</v>
          </cell>
          <cell r="BX128" t="str">
            <v>NA</v>
          </cell>
          <cell r="BY128">
            <v>0.10954063604240272</v>
          </cell>
          <cell r="BZ128">
            <v>0.12420382165605104</v>
          </cell>
          <cell r="CA128">
            <v>7.3654390934844161E-2</v>
          </cell>
          <cell r="CB128">
            <v>8.1794195250659563E-2</v>
          </cell>
          <cell r="CC128">
            <v>8.5365853658536661E-2</v>
          </cell>
          <cell r="CD128">
            <v>0.13707865168539324</v>
          </cell>
          <cell r="CE128">
            <v>7.1146245059288571E-2</v>
          </cell>
          <cell r="CF128">
            <v>6.0885608856088513E-2</v>
          </cell>
          <cell r="CG128">
            <v>-1</v>
          </cell>
          <cell r="CH128" t="str">
            <v>NA</v>
          </cell>
          <cell r="CI128" t="str">
            <v>NA</v>
          </cell>
          <cell r="CJ128" t="str">
            <v>NA</v>
          </cell>
          <cell r="CK128" t="str">
            <v>NA</v>
          </cell>
          <cell r="CL128" t="str">
            <v>NA</v>
          </cell>
          <cell r="CM128" t="str">
            <v>NA</v>
          </cell>
          <cell r="CN128" t="str">
            <v>NA</v>
          </cell>
          <cell r="CO128" t="str">
            <v>NA</v>
          </cell>
          <cell r="CP128" t="str">
            <v>NA</v>
          </cell>
          <cell r="CQ128" t="str">
            <v>NA</v>
          </cell>
          <cell r="CR128" t="str">
            <v>NA</v>
          </cell>
          <cell r="CS128" t="str">
            <v>NA</v>
          </cell>
          <cell r="CT128" t="str">
            <v>NA</v>
          </cell>
          <cell r="CU128" t="str">
            <v>NA</v>
          </cell>
          <cell r="CV128" t="str">
            <v>NA</v>
          </cell>
          <cell r="CW128" t="str">
            <v>NA</v>
          </cell>
          <cell r="CX128" t="str">
            <v>NA</v>
          </cell>
          <cell r="CY128" t="str">
            <v>NA</v>
          </cell>
          <cell r="CZ128" t="str">
            <v>NA</v>
          </cell>
          <cell r="DA128" t="str">
            <v>NA</v>
          </cell>
          <cell r="DB128" t="str">
            <v>NA</v>
          </cell>
          <cell r="DC128" t="str">
            <v>NA</v>
          </cell>
          <cell r="DD128" t="str">
            <v>NA</v>
          </cell>
          <cell r="DE128" t="str">
            <v>NA</v>
          </cell>
          <cell r="DF128" t="str">
            <v>NA</v>
          </cell>
          <cell r="DG128" t="str">
            <v>NA</v>
          </cell>
          <cell r="DH128" t="str">
            <v>NA</v>
          </cell>
          <cell r="DI128" t="str">
            <v>NA</v>
          </cell>
          <cell r="DJ128" t="str">
            <v>NA</v>
          </cell>
          <cell r="DK128" t="str">
            <v>NA</v>
          </cell>
          <cell r="DL128" t="str">
            <v>NA</v>
          </cell>
          <cell r="DM128" t="str">
            <v>NA</v>
          </cell>
          <cell r="DN128" t="str">
            <v>NA</v>
          </cell>
        </row>
        <row r="130">
          <cell r="A130" t="str">
            <v>Customers with &gt;$1M in ACV</v>
          </cell>
          <cell r="BM130">
            <v>67</v>
          </cell>
          <cell r="BN130">
            <v>81</v>
          </cell>
          <cell r="BO130">
            <v>96</v>
          </cell>
          <cell r="BP130">
            <v>111</v>
          </cell>
          <cell r="BQ130">
            <v>127</v>
          </cell>
          <cell r="BR130">
            <v>153</v>
          </cell>
          <cell r="BS130">
            <v>169</v>
          </cell>
          <cell r="BT130">
            <v>193</v>
          </cell>
          <cell r="BU130">
            <v>209</v>
          </cell>
          <cell r="BV130">
            <v>232</v>
          </cell>
          <cell r="BW130">
            <v>252</v>
          </cell>
          <cell r="BX130">
            <v>280</v>
          </cell>
          <cell r="BY130">
            <v>308</v>
          </cell>
          <cell r="BZ130">
            <v>346</v>
          </cell>
          <cell r="CA130">
            <v>370</v>
          </cell>
          <cell r="CB130">
            <v>401</v>
          </cell>
          <cell r="CC130">
            <v>436</v>
          </cell>
          <cell r="CD130">
            <v>500</v>
          </cell>
          <cell r="CE130">
            <v>536</v>
          </cell>
          <cell r="CF130">
            <v>579</v>
          </cell>
          <cell r="CG130">
            <v>610</v>
          </cell>
          <cell r="CH130">
            <v>678</v>
          </cell>
          <cell r="CI130">
            <v>718</v>
          </cell>
          <cell r="CJ130">
            <v>764</v>
          </cell>
          <cell r="CK130">
            <v>806</v>
          </cell>
          <cell r="CL130">
            <v>890</v>
          </cell>
          <cell r="CM130">
            <v>933</v>
          </cell>
          <cell r="CN130">
            <v>964</v>
          </cell>
          <cell r="CO130">
            <v>1012</v>
          </cell>
          <cell r="CP130">
            <v>1903</v>
          </cell>
          <cell r="DP130">
            <v>0</v>
          </cell>
          <cell r="DQ130">
            <v>0</v>
          </cell>
          <cell r="DR130">
            <v>0</v>
          </cell>
          <cell r="DS130">
            <v>0</v>
          </cell>
          <cell r="DT130">
            <v>0</v>
          </cell>
          <cell r="DU130">
            <v>0</v>
          </cell>
          <cell r="DV130">
            <v>0</v>
          </cell>
          <cell r="DW130">
            <v>0</v>
          </cell>
          <cell r="DX130">
            <v>0</v>
          </cell>
          <cell r="DY130">
            <v>0</v>
          </cell>
          <cell r="DZ130">
            <v>0</v>
          </cell>
          <cell r="EA130">
            <v>0</v>
          </cell>
          <cell r="EB130">
            <v>0</v>
          </cell>
          <cell r="EC130">
            <v>0</v>
          </cell>
          <cell r="ED130">
            <v>0</v>
          </cell>
          <cell r="EE130">
            <v>81</v>
          </cell>
          <cell r="EF130">
            <v>153</v>
          </cell>
          <cell r="EG130">
            <v>232</v>
          </cell>
          <cell r="EH130">
            <v>346</v>
          </cell>
          <cell r="EI130">
            <v>500</v>
          </cell>
          <cell r="EJ130">
            <v>678</v>
          </cell>
          <cell r="EK130">
            <v>890</v>
          </cell>
          <cell r="EL130">
            <v>1903</v>
          </cell>
          <cell r="EM130">
            <v>0</v>
          </cell>
          <cell r="EN130">
            <v>0</v>
          </cell>
          <cell r="EO130">
            <v>0</v>
          </cell>
          <cell r="EP130">
            <v>0</v>
          </cell>
          <cell r="EQ130">
            <v>0</v>
          </cell>
          <cell r="ER130">
            <v>0</v>
          </cell>
        </row>
        <row r="131">
          <cell r="A131" t="str">
            <v>% growth y-o-y</v>
          </cell>
          <cell r="V131" t="str">
            <v>NA</v>
          </cell>
          <cell r="Z131" t="str">
            <v>NA</v>
          </cell>
          <cell r="AA131" t="str">
            <v>NA</v>
          </cell>
          <cell r="AB131" t="str">
            <v>NA</v>
          </cell>
          <cell r="AC131" t="str">
            <v>NA</v>
          </cell>
          <cell r="AD131" t="str">
            <v>NA</v>
          </cell>
          <cell r="AE131" t="str">
            <v>NA</v>
          </cell>
          <cell r="AF131" t="str">
            <v>NA</v>
          </cell>
          <cell r="AG131" t="str">
            <v>NA</v>
          </cell>
          <cell r="AH131" t="str">
            <v>NA</v>
          </cell>
          <cell r="AI131" t="str">
            <v>NA</v>
          </cell>
          <cell r="AJ131" t="str">
            <v>NA</v>
          </cell>
          <cell r="AK131" t="str">
            <v>NA</v>
          </cell>
          <cell r="AL131" t="str">
            <v>NA</v>
          </cell>
          <cell r="AM131" t="str">
            <v>NA</v>
          </cell>
          <cell r="AN131" t="str">
            <v>NA</v>
          </cell>
          <cell r="AO131" t="str">
            <v>NA</v>
          </cell>
          <cell r="AP131" t="str">
            <v>NA</v>
          </cell>
          <cell r="AQ131" t="str">
            <v>NA</v>
          </cell>
          <cell r="AR131" t="str">
            <v>NA</v>
          </cell>
          <cell r="AS131" t="str">
            <v>NA</v>
          </cell>
          <cell r="AT131" t="str">
            <v>NA</v>
          </cell>
          <cell r="AU131" t="str">
            <v>NA</v>
          </cell>
          <cell r="AV131" t="str">
            <v>NA</v>
          </cell>
          <cell r="AW131" t="str">
            <v>NA</v>
          </cell>
          <cell r="AX131" t="str">
            <v>NA</v>
          </cell>
          <cell r="AY131" t="str">
            <v>NA</v>
          </cell>
          <cell r="AZ131" t="str">
            <v>NA</v>
          </cell>
          <cell r="BA131" t="str">
            <v>NA</v>
          </cell>
          <cell r="BB131" t="str">
            <v>NA</v>
          </cell>
          <cell r="BC131" t="str">
            <v>NA</v>
          </cell>
          <cell r="BD131" t="str">
            <v>NA</v>
          </cell>
          <cell r="BE131" t="str">
            <v>NA</v>
          </cell>
          <cell r="BF131" t="str">
            <v>NA</v>
          </cell>
          <cell r="BG131" t="str">
            <v>NA</v>
          </cell>
          <cell r="BH131" t="str">
            <v>NA</v>
          </cell>
          <cell r="BI131" t="str">
            <v>NA</v>
          </cell>
          <cell r="BJ131" t="str">
            <v>NA</v>
          </cell>
          <cell r="BK131" t="str">
            <v>NA</v>
          </cell>
          <cell r="BL131" t="str">
            <v>NA</v>
          </cell>
          <cell r="BM131" t="str">
            <v>NA</v>
          </cell>
          <cell r="BN131" t="str">
            <v>NA</v>
          </cell>
          <cell r="BO131" t="str">
            <v>NA</v>
          </cell>
          <cell r="BP131" t="str">
            <v>NA</v>
          </cell>
          <cell r="BQ131">
            <v>0.89552238805970141</v>
          </cell>
          <cell r="BR131">
            <v>0.88888888888888884</v>
          </cell>
          <cell r="BS131">
            <v>0.76041666666666674</v>
          </cell>
          <cell r="BT131">
            <v>0.73873873873873874</v>
          </cell>
          <cell r="BU131">
            <v>0.64566929133858264</v>
          </cell>
          <cell r="BV131">
            <v>0.51633986928104569</v>
          </cell>
          <cell r="BW131">
            <v>0.49112426035502965</v>
          </cell>
          <cell r="BX131">
            <v>0.45077720207253891</v>
          </cell>
          <cell r="BY131">
            <v>0.47368421052631571</v>
          </cell>
          <cell r="BZ131">
            <v>0.49137931034482762</v>
          </cell>
          <cell r="CA131">
            <v>0.46825396825396814</v>
          </cell>
          <cell r="CB131">
            <v>0.43214285714285716</v>
          </cell>
          <cell r="CC131">
            <v>0.4155844155844155</v>
          </cell>
          <cell r="CD131">
            <v>0.44508670520231219</v>
          </cell>
          <cell r="CE131">
            <v>0.44864864864864873</v>
          </cell>
          <cell r="CF131">
            <v>0.44389027431421457</v>
          </cell>
          <cell r="CG131">
            <v>0.39908256880733939</v>
          </cell>
          <cell r="CH131">
            <v>0.35600000000000009</v>
          </cell>
          <cell r="CI131">
            <v>0.33955223880597019</v>
          </cell>
          <cell r="CJ131">
            <v>0.3195164075993091</v>
          </cell>
          <cell r="CK131">
            <v>0.32131147540983607</v>
          </cell>
          <cell r="CL131">
            <v>0.31268436578171088</v>
          </cell>
          <cell r="CM131">
            <v>0.29944289693593307</v>
          </cell>
          <cell r="CN131">
            <v>0.26178010471204183</v>
          </cell>
          <cell r="CO131">
            <v>0.25558312655086857</v>
          </cell>
          <cell r="CP131">
            <v>1.1382022471910114</v>
          </cell>
          <cell r="DQ131" t="str">
            <v>NA</v>
          </cell>
          <cell r="DR131" t="str">
            <v>NA</v>
          </cell>
          <cell r="DS131" t="str">
            <v>NA</v>
          </cell>
          <cell r="DT131" t="str">
            <v>NA</v>
          </cell>
          <cell r="DU131" t="str">
            <v>NA</v>
          </cell>
          <cell r="DV131" t="str">
            <v>NA</v>
          </cell>
          <cell r="DW131" t="str">
            <v>NA</v>
          </cell>
          <cell r="DX131" t="str">
            <v>NA</v>
          </cell>
          <cell r="DY131" t="str">
            <v>NA</v>
          </cell>
          <cell r="DZ131" t="str">
            <v>NA</v>
          </cell>
          <cell r="EA131" t="str">
            <v>NA</v>
          </cell>
          <cell r="EB131" t="str">
            <v>NA</v>
          </cell>
          <cell r="EC131" t="str">
            <v>NA</v>
          </cell>
          <cell r="ED131" t="str">
            <v>NA</v>
          </cell>
          <cell r="EE131" t="str">
            <v>NA</v>
          </cell>
          <cell r="EF131">
            <v>0.88888888888888884</v>
          </cell>
          <cell r="EG131">
            <v>0.51633986928104569</v>
          </cell>
          <cell r="EH131">
            <v>0.49137931034482762</v>
          </cell>
          <cell r="EI131">
            <v>0.44508670520231219</v>
          </cell>
          <cell r="EJ131">
            <v>0.35600000000000009</v>
          </cell>
          <cell r="EK131">
            <v>0.31268436578171088</v>
          </cell>
          <cell r="EL131">
            <v>1.1382022471910114</v>
          </cell>
          <cell r="EM131">
            <v>-1</v>
          </cell>
          <cell r="EN131" t="str">
            <v>NA</v>
          </cell>
          <cell r="EO131" t="str">
            <v>NA</v>
          </cell>
          <cell r="EP131" t="str">
            <v>NA</v>
          </cell>
          <cell r="EQ131" t="str">
            <v>NA</v>
          </cell>
          <cell r="ER131" t="str">
            <v>NA</v>
          </cell>
        </row>
        <row r="132">
          <cell r="A132" t="str">
            <v>% growth seq</v>
          </cell>
          <cell r="V132" t="str">
            <v>NA</v>
          </cell>
          <cell r="Z132" t="str">
            <v>NA</v>
          </cell>
          <cell r="AA132" t="str">
            <v>NA</v>
          </cell>
          <cell r="AB132" t="str">
            <v>NA</v>
          </cell>
          <cell r="AC132" t="str">
            <v>NA</v>
          </cell>
          <cell r="AD132" t="str">
            <v>NA</v>
          </cell>
          <cell r="AE132" t="str">
            <v>NA</v>
          </cell>
          <cell r="AF132" t="str">
            <v>NA</v>
          </cell>
          <cell r="AG132" t="str">
            <v>NA</v>
          </cell>
          <cell r="AH132" t="str">
            <v>NA</v>
          </cell>
          <cell r="AI132" t="str">
            <v>NA</v>
          </cell>
          <cell r="AJ132" t="str">
            <v>NA</v>
          </cell>
          <cell r="AK132" t="str">
            <v>NA</v>
          </cell>
          <cell r="AL132" t="str">
            <v>NA</v>
          </cell>
          <cell r="AM132" t="str">
            <v>NA</v>
          </cell>
          <cell r="AN132" t="str">
            <v>NA</v>
          </cell>
          <cell r="AO132" t="str">
            <v>NA</v>
          </cell>
          <cell r="AP132" t="str">
            <v>NA</v>
          </cell>
          <cell r="AQ132" t="str">
            <v>NA</v>
          </cell>
          <cell r="AR132" t="str">
            <v>NA</v>
          </cell>
          <cell r="AS132" t="str">
            <v>NA</v>
          </cell>
          <cell r="AT132" t="str">
            <v>NA</v>
          </cell>
          <cell r="AU132" t="str">
            <v>NA</v>
          </cell>
          <cell r="AV132" t="str">
            <v>NA</v>
          </cell>
          <cell r="AW132" t="str">
            <v>NA</v>
          </cell>
          <cell r="AX132" t="str">
            <v>NA</v>
          </cell>
          <cell r="AY132" t="str">
            <v>NA</v>
          </cell>
          <cell r="AZ132" t="str">
            <v>NA</v>
          </cell>
          <cell r="BA132" t="str">
            <v>NA</v>
          </cell>
          <cell r="BB132" t="str">
            <v>NA</v>
          </cell>
          <cell r="BC132" t="str">
            <v>NA</v>
          </cell>
          <cell r="BD132" t="str">
            <v>NA</v>
          </cell>
          <cell r="BE132" t="str">
            <v>NA</v>
          </cell>
          <cell r="BF132" t="str">
            <v>NA</v>
          </cell>
          <cell r="BG132" t="str">
            <v>NA</v>
          </cell>
          <cell r="BH132" t="str">
            <v>NA</v>
          </cell>
          <cell r="BI132" t="str">
            <v>NA</v>
          </cell>
          <cell r="BJ132" t="str">
            <v>NA</v>
          </cell>
          <cell r="BK132" t="str">
            <v>NA</v>
          </cell>
          <cell r="BL132" t="str">
            <v>NA</v>
          </cell>
          <cell r="BM132" t="str">
            <v>NA</v>
          </cell>
          <cell r="BN132">
            <v>0.20895522388059695</v>
          </cell>
          <cell r="BO132">
            <v>0.18518518518518512</v>
          </cell>
          <cell r="BP132">
            <v>0.15625</v>
          </cell>
          <cell r="BQ132">
            <v>0.14414414414414423</v>
          </cell>
          <cell r="BR132">
            <v>0.20472440944881898</v>
          </cell>
          <cell r="BS132">
            <v>0.10457516339869288</v>
          </cell>
          <cell r="BT132">
            <v>0.14201183431952669</v>
          </cell>
          <cell r="BU132">
            <v>8.290155440414515E-2</v>
          </cell>
          <cell r="BV132">
            <v>0.11004784688995217</v>
          </cell>
          <cell r="BW132">
            <v>8.6206896551724199E-2</v>
          </cell>
          <cell r="BX132">
            <v>0.11111111111111116</v>
          </cell>
          <cell r="BY132">
            <v>0.10000000000000009</v>
          </cell>
          <cell r="BZ132">
            <v>0.12337662337662336</v>
          </cell>
          <cell r="CA132">
            <v>6.9364161849710948E-2</v>
          </cell>
          <cell r="CB132">
            <v>8.3783783783783816E-2</v>
          </cell>
          <cell r="CC132">
            <v>8.7281795511221949E-2</v>
          </cell>
          <cell r="CD132">
            <v>0.14678899082568808</v>
          </cell>
          <cell r="CE132">
            <v>7.2000000000000064E-2</v>
          </cell>
          <cell r="CF132">
            <v>8.0223880597015018E-2</v>
          </cell>
          <cell r="CG132">
            <v>5.3540587219343738E-2</v>
          </cell>
          <cell r="CH132">
            <v>0.11147540983606552</v>
          </cell>
          <cell r="CI132">
            <v>5.8997050147492569E-2</v>
          </cell>
          <cell r="CJ132">
            <v>6.4066852367687943E-2</v>
          </cell>
          <cell r="CK132">
            <v>5.4973821989528826E-2</v>
          </cell>
          <cell r="CL132">
            <v>0.10421836228287851</v>
          </cell>
          <cell r="CM132">
            <v>4.8314606741572952E-2</v>
          </cell>
          <cell r="CN132">
            <v>3.3226152197213255E-2</v>
          </cell>
          <cell r="CO132">
            <v>4.9792531120331995E-2</v>
          </cell>
          <cell r="CP132">
            <v>0.88043478260869557</v>
          </cell>
        </row>
        <row r="134">
          <cell r="A134" t="str">
            <v>Deals &gt;$1M</v>
          </cell>
          <cell r="BZ134">
            <v>27</v>
          </cell>
          <cell r="CC134">
            <v>22</v>
          </cell>
          <cell r="CD134">
            <v>41</v>
          </cell>
          <cell r="CE134">
            <v>21</v>
          </cell>
          <cell r="CF134">
            <v>28</v>
          </cell>
          <cell r="CG134">
            <v>25</v>
          </cell>
          <cell r="CH134">
            <v>51</v>
          </cell>
          <cell r="CI134">
            <v>25</v>
          </cell>
          <cell r="CJ134">
            <v>39</v>
          </cell>
          <cell r="CK134">
            <v>46</v>
          </cell>
          <cell r="CL134">
            <v>76</v>
          </cell>
          <cell r="CM134">
            <v>37</v>
          </cell>
          <cell r="CN134">
            <v>40</v>
          </cell>
          <cell r="CO134">
            <v>41</v>
          </cell>
          <cell r="CP134">
            <v>89</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27</v>
          </cell>
          <cell r="EI134">
            <v>41</v>
          </cell>
          <cell r="EJ134">
            <v>51</v>
          </cell>
          <cell r="EK134">
            <v>76</v>
          </cell>
          <cell r="EL134">
            <v>89</v>
          </cell>
          <cell r="EM134">
            <v>0</v>
          </cell>
          <cell r="EN134">
            <v>0</v>
          </cell>
          <cell r="EO134">
            <v>0</v>
          </cell>
          <cell r="EP134">
            <v>0</v>
          </cell>
          <cell r="EQ134">
            <v>0</v>
          </cell>
          <cell r="ER134">
            <v>0</v>
          </cell>
        </row>
        <row r="135">
          <cell r="A135" t="str">
            <v>% growth y-o-y</v>
          </cell>
          <cell r="V135" t="str">
            <v>NA</v>
          </cell>
          <cell r="Z135" t="str">
            <v>NA</v>
          </cell>
          <cell r="AA135" t="str">
            <v>NA</v>
          </cell>
          <cell r="AB135" t="str">
            <v>NA</v>
          </cell>
          <cell r="AC135" t="str">
            <v>NA</v>
          </cell>
          <cell r="AD135" t="str">
            <v>NA</v>
          </cell>
          <cell r="AE135" t="str">
            <v>NA</v>
          </cell>
          <cell r="AF135" t="str">
            <v>NA</v>
          </cell>
          <cell r="AG135" t="str">
            <v>NA</v>
          </cell>
          <cell r="AH135" t="str">
            <v>NA</v>
          </cell>
          <cell r="AI135" t="str">
            <v>NA</v>
          </cell>
          <cell r="AJ135" t="str">
            <v>NA</v>
          </cell>
          <cell r="AK135" t="str">
            <v>NA</v>
          </cell>
          <cell r="AL135" t="str">
            <v>NA</v>
          </cell>
          <cell r="AM135" t="str">
            <v>NA</v>
          </cell>
          <cell r="AN135" t="str">
            <v>NA</v>
          </cell>
          <cell r="AO135" t="str">
            <v>NA</v>
          </cell>
          <cell r="AP135" t="str">
            <v>NA</v>
          </cell>
          <cell r="AQ135" t="str">
            <v>NA</v>
          </cell>
          <cell r="AR135" t="str">
            <v>NA</v>
          </cell>
          <cell r="AS135" t="str">
            <v>NA</v>
          </cell>
          <cell r="AT135" t="str">
            <v>NA</v>
          </cell>
          <cell r="AU135" t="str">
            <v>NA</v>
          </cell>
          <cell r="AV135" t="str">
            <v>NA</v>
          </cell>
          <cell r="AW135" t="str">
            <v>NA</v>
          </cell>
          <cell r="AX135" t="str">
            <v>NA</v>
          </cell>
          <cell r="AY135" t="str">
            <v>NA</v>
          </cell>
          <cell r="AZ135" t="str">
            <v>NA</v>
          </cell>
          <cell r="BA135" t="str">
            <v>NA</v>
          </cell>
          <cell r="BB135" t="str">
            <v>NA</v>
          </cell>
          <cell r="BC135" t="str">
            <v>NA</v>
          </cell>
          <cell r="BD135" t="str">
            <v>NA</v>
          </cell>
          <cell r="BE135" t="str">
            <v>NA</v>
          </cell>
          <cell r="BF135" t="str">
            <v>NA</v>
          </cell>
          <cell r="BG135" t="str">
            <v>NA</v>
          </cell>
          <cell r="BH135" t="str">
            <v>NA</v>
          </cell>
          <cell r="BI135" t="str">
            <v>NA</v>
          </cell>
          <cell r="BJ135" t="str">
            <v>NA</v>
          </cell>
          <cell r="BK135" t="str">
            <v>NA</v>
          </cell>
          <cell r="BL135" t="str">
            <v>NA</v>
          </cell>
          <cell r="BM135" t="str">
            <v>NA</v>
          </cell>
          <cell r="BN135" t="str">
            <v>NA</v>
          </cell>
          <cell r="BO135" t="str">
            <v>NA</v>
          </cell>
          <cell r="BP135" t="str">
            <v>NA</v>
          </cell>
          <cell r="BQ135" t="str">
            <v>NA</v>
          </cell>
          <cell r="BR135" t="str">
            <v>NA</v>
          </cell>
          <cell r="BS135" t="str">
            <v>NA</v>
          </cell>
          <cell r="BT135" t="str">
            <v>NA</v>
          </cell>
          <cell r="BU135" t="str">
            <v>NA</v>
          </cell>
          <cell r="BV135" t="str">
            <v>NA</v>
          </cell>
          <cell r="BW135" t="str">
            <v>NA</v>
          </cell>
          <cell r="BX135" t="str">
            <v>NA</v>
          </cell>
          <cell r="BY135" t="str">
            <v>NA</v>
          </cell>
          <cell r="BZ135" t="str">
            <v>NA</v>
          </cell>
          <cell r="CA135" t="str">
            <v>NA</v>
          </cell>
          <cell r="CB135" t="str">
            <v>NA</v>
          </cell>
          <cell r="CC135" t="str">
            <v>NA</v>
          </cell>
          <cell r="CD135">
            <v>0.5185185185185186</v>
          </cell>
          <cell r="CE135" t="str">
            <v>NA</v>
          </cell>
          <cell r="CF135" t="str">
            <v>NA</v>
          </cell>
          <cell r="CG135">
            <v>0.13636363636363646</v>
          </cell>
          <cell r="CH135">
            <v>0.24390243902439024</v>
          </cell>
          <cell r="CI135">
            <v>0.19047619047619047</v>
          </cell>
          <cell r="CJ135">
            <v>0.39285714285714279</v>
          </cell>
          <cell r="CK135">
            <v>0.84000000000000008</v>
          </cell>
          <cell r="CL135">
            <v>0.49019607843137258</v>
          </cell>
          <cell r="CM135">
            <v>0.48</v>
          </cell>
          <cell r="CN135">
            <v>2.564102564102555E-2</v>
          </cell>
          <cell r="CO135">
            <v>-0.10869565217391308</v>
          </cell>
          <cell r="CP135">
            <v>0.17105263157894735</v>
          </cell>
          <cell r="CQ135">
            <v>-1</v>
          </cell>
          <cell r="CR135">
            <v>-1</v>
          </cell>
          <cell r="CS135">
            <v>-1</v>
          </cell>
          <cell r="CT135">
            <v>-1</v>
          </cell>
          <cell r="CU135" t="str">
            <v>NA</v>
          </cell>
          <cell r="CV135" t="str">
            <v>NA</v>
          </cell>
          <cell r="CW135" t="str">
            <v>NA</v>
          </cell>
          <cell r="CX135" t="str">
            <v>NA</v>
          </cell>
          <cell r="CY135" t="str">
            <v>NA</v>
          </cell>
          <cell r="CZ135" t="str">
            <v>NA</v>
          </cell>
          <cell r="DA135" t="str">
            <v>NA</v>
          </cell>
          <cell r="DB135" t="str">
            <v>NA</v>
          </cell>
          <cell r="DC135" t="str">
            <v>NA</v>
          </cell>
          <cell r="DD135" t="str">
            <v>NA</v>
          </cell>
          <cell r="DE135" t="str">
            <v>NA</v>
          </cell>
          <cell r="DF135" t="str">
            <v>NA</v>
          </cell>
          <cell r="DG135" t="str">
            <v>NA</v>
          </cell>
          <cell r="DH135" t="str">
            <v>NA</v>
          </cell>
          <cell r="DI135" t="str">
            <v>NA</v>
          </cell>
          <cell r="DJ135" t="str">
            <v>NA</v>
          </cell>
          <cell r="DK135" t="str">
            <v>NA</v>
          </cell>
          <cell r="DL135" t="str">
            <v>NA</v>
          </cell>
          <cell r="DM135" t="str">
            <v>NA</v>
          </cell>
          <cell r="DN135" t="str">
            <v>NA</v>
          </cell>
          <cell r="DQ135" t="str">
            <v>NA</v>
          </cell>
          <cell r="DR135" t="str">
            <v>NA</v>
          </cell>
          <cell r="DS135" t="str">
            <v>NA</v>
          </cell>
          <cell r="DT135" t="str">
            <v>NA</v>
          </cell>
          <cell r="DU135" t="str">
            <v>NA</v>
          </cell>
          <cell r="DV135" t="str">
            <v>NA</v>
          </cell>
          <cell r="DW135" t="str">
            <v>NA</v>
          </cell>
          <cell r="DX135" t="str">
            <v>NA</v>
          </cell>
          <cell r="DY135" t="str">
            <v>NA</v>
          </cell>
          <cell r="DZ135" t="str">
            <v>NA</v>
          </cell>
          <cell r="EA135" t="str">
            <v>NA</v>
          </cell>
          <cell r="EB135" t="str">
            <v>NA</v>
          </cell>
          <cell r="EC135" t="str">
            <v>NA</v>
          </cell>
          <cell r="ED135" t="str">
            <v>NA</v>
          </cell>
          <cell r="EE135" t="str">
            <v>NA</v>
          </cell>
          <cell r="EF135" t="str">
            <v>NA</v>
          </cell>
          <cell r="EG135" t="str">
            <v>NA</v>
          </cell>
          <cell r="EH135" t="str">
            <v>NA</v>
          </cell>
          <cell r="EI135">
            <v>0.5185185185185186</v>
          </cell>
          <cell r="EJ135">
            <v>0.24390243902439024</v>
          </cell>
          <cell r="EK135">
            <v>0.49019607843137258</v>
          </cell>
          <cell r="EL135">
            <v>0.17105263157894735</v>
          </cell>
          <cell r="EM135">
            <v>-1</v>
          </cell>
          <cell r="EN135" t="str">
            <v>NA</v>
          </cell>
          <cell r="EO135" t="str">
            <v>NA</v>
          </cell>
          <cell r="EP135" t="str">
            <v>NA</v>
          </cell>
          <cell r="EQ135" t="str">
            <v>NA</v>
          </cell>
          <cell r="ER135" t="str">
            <v>NA</v>
          </cell>
        </row>
        <row r="136">
          <cell r="A136" t="str">
            <v>% growth seq</v>
          </cell>
          <cell r="V136" t="str">
            <v>NA</v>
          </cell>
          <cell r="Z136" t="str">
            <v>NA</v>
          </cell>
          <cell r="AA136" t="str">
            <v>NA</v>
          </cell>
          <cell r="AB136" t="str">
            <v>NA</v>
          </cell>
          <cell r="AC136" t="str">
            <v>NA</v>
          </cell>
          <cell r="AD136" t="str">
            <v>NA</v>
          </cell>
          <cell r="AE136" t="str">
            <v>NA</v>
          </cell>
          <cell r="AF136" t="str">
            <v>NA</v>
          </cell>
          <cell r="AG136" t="str">
            <v>NA</v>
          </cell>
          <cell r="AH136" t="str">
            <v>NA</v>
          </cell>
          <cell r="AI136" t="str">
            <v>NA</v>
          </cell>
          <cell r="AJ136" t="str">
            <v>NA</v>
          </cell>
          <cell r="AK136" t="str">
            <v>NA</v>
          </cell>
          <cell r="AL136" t="str">
            <v>NA</v>
          </cell>
          <cell r="AM136" t="str">
            <v>NA</v>
          </cell>
          <cell r="AN136" t="str">
            <v>NA</v>
          </cell>
          <cell r="AO136" t="str">
            <v>NA</v>
          </cell>
          <cell r="AP136" t="str">
            <v>NA</v>
          </cell>
          <cell r="AQ136" t="str">
            <v>NA</v>
          </cell>
          <cell r="AR136" t="str">
            <v>NA</v>
          </cell>
          <cell r="AS136" t="str">
            <v>NA</v>
          </cell>
          <cell r="AT136" t="str">
            <v>NA</v>
          </cell>
          <cell r="AU136" t="str">
            <v>NA</v>
          </cell>
          <cell r="AV136" t="str">
            <v>NA</v>
          </cell>
          <cell r="AW136" t="str">
            <v>NA</v>
          </cell>
          <cell r="AX136" t="str">
            <v>NA</v>
          </cell>
          <cell r="AY136" t="str">
            <v>NA</v>
          </cell>
          <cell r="AZ136" t="str">
            <v>NA</v>
          </cell>
          <cell r="BA136" t="str">
            <v>NA</v>
          </cell>
          <cell r="BB136" t="str">
            <v>NA</v>
          </cell>
          <cell r="BC136" t="str">
            <v>NA</v>
          </cell>
          <cell r="BD136" t="str">
            <v>NA</v>
          </cell>
          <cell r="BE136" t="str">
            <v>NA</v>
          </cell>
          <cell r="BF136" t="str">
            <v>NA</v>
          </cell>
          <cell r="BG136" t="str">
            <v>NA</v>
          </cell>
          <cell r="BH136" t="str">
            <v>NA</v>
          </cell>
          <cell r="BI136" t="str">
            <v>NA</v>
          </cell>
          <cell r="BJ136" t="str">
            <v>NA</v>
          </cell>
          <cell r="BK136" t="str">
            <v>NA</v>
          </cell>
          <cell r="BL136" t="str">
            <v>NA</v>
          </cell>
          <cell r="BM136" t="str">
            <v>NA</v>
          </cell>
          <cell r="BN136" t="str">
            <v>NA</v>
          </cell>
          <cell r="BO136" t="str">
            <v>NA</v>
          </cell>
          <cell r="BP136" t="str">
            <v>NA</v>
          </cell>
          <cell r="BQ136" t="str">
            <v>NA</v>
          </cell>
          <cell r="BR136" t="str">
            <v>NA</v>
          </cell>
          <cell r="BS136" t="str">
            <v>NA</v>
          </cell>
          <cell r="BT136" t="str">
            <v>NA</v>
          </cell>
          <cell r="BU136" t="str">
            <v>NA</v>
          </cell>
          <cell r="BV136" t="str">
            <v>NA</v>
          </cell>
          <cell r="BW136" t="str">
            <v>NA</v>
          </cell>
          <cell r="BX136" t="str">
            <v>NA</v>
          </cell>
          <cell r="BY136" t="str">
            <v>NA</v>
          </cell>
          <cell r="BZ136" t="str">
            <v>NA</v>
          </cell>
          <cell r="CA136">
            <v>-1</v>
          </cell>
          <cell r="CB136" t="str">
            <v>NA</v>
          </cell>
          <cell r="CC136" t="str">
            <v>NA</v>
          </cell>
          <cell r="CD136">
            <v>0.86363636363636354</v>
          </cell>
          <cell r="CE136">
            <v>-0.48780487804878048</v>
          </cell>
          <cell r="CF136">
            <v>0.33333333333333326</v>
          </cell>
          <cell r="CG136">
            <v>-0.1071428571428571</v>
          </cell>
          <cell r="CH136">
            <v>1.04</v>
          </cell>
          <cell r="CI136">
            <v>-0.50980392156862742</v>
          </cell>
          <cell r="CJ136">
            <v>0.56000000000000005</v>
          </cell>
          <cell r="CK136">
            <v>0.17948717948717952</v>
          </cell>
          <cell r="CL136">
            <v>0.65217391304347827</v>
          </cell>
          <cell r="CM136">
            <v>-0.51315789473684204</v>
          </cell>
          <cell r="CN136">
            <v>8.1081081081081141E-2</v>
          </cell>
          <cell r="CO136">
            <v>2.4999999999999911E-2</v>
          </cell>
          <cell r="CP136">
            <v>1.1707317073170733</v>
          </cell>
          <cell r="CQ136">
            <v>-1</v>
          </cell>
          <cell r="CR136" t="str">
            <v>NA</v>
          </cell>
          <cell r="CS136" t="str">
            <v>NA</v>
          </cell>
          <cell r="CT136" t="str">
            <v>NA</v>
          </cell>
          <cell r="CU136" t="str">
            <v>NA</v>
          </cell>
          <cell r="CV136" t="str">
            <v>NA</v>
          </cell>
          <cell r="CW136" t="str">
            <v>NA</v>
          </cell>
          <cell r="CX136" t="str">
            <v>NA</v>
          </cell>
          <cell r="CY136" t="str">
            <v>NA</v>
          </cell>
          <cell r="CZ136" t="str">
            <v>NA</v>
          </cell>
          <cell r="DA136" t="str">
            <v>NA</v>
          </cell>
          <cell r="DB136" t="str">
            <v>NA</v>
          </cell>
          <cell r="DC136" t="str">
            <v>NA</v>
          </cell>
          <cell r="DD136" t="str">
            <v>NA</v>
          </cell>
          <cell r="DE136" t="str">
            <v>NA</v>
          </cell>
          <cell r="DF136" t="str">
            <v>NA</v>
          </cell>
          <cell r="DG136" t="str">
            <v>NA</v>
          </cell>
          <cell r="DH136" t="str">
            <v>NA</v>
          </cell>
          <cell r="DI136" t="str">
            <v>NA</v>
          </cell>
          <cell r="DJ136" t="str">
            <v>NA</v>
          </cell>
          <cell r="DK136" t="str">
            <v>NA</v>
          </cell>
          <cell r="DL136" t="str">
            <v>NA</v>
          </cell>
          <cell r="DM136" t="str">
            <v>NA</v>
          </cell>
          <cell r="DN136" t="str">
            <v>NA</v>
          </cell>
        </row>
        <row r="139">
          <cell r="C139" t="str">
            <v>Fiscal 1999 by Quarter</v>
          </cell>
          <cell r="G139" t="str">
            <v>Fiscal 2000 by Quarter</v>
          </cell>
          <cell r="K139" t="str">
            <v>Fiscal 2001 by Quarter</v>
          </cell>
          <cell r="O139" t="str">
            <v>Fiscal 2002 by Quarter</v>
          </cell>
          <cell r="S139" t="str">
            <v>Fiscal 2003 by Quarter</v>
          </cell>
          <cell r="W139" t="str">
            <v>Fiscal 2004 by Quarter</v>
          </cell>
          <cell r="AA139" t="str">
            <v>Fiscal 2005 by Quarter</v>
          </cell>
          <cell r="AE139" t="str">
            <v>Fiscal 2006 by Quarter</v>
          </cell>
          <cell r="AI139" t="str">
            <v>Fiscal 2006 by Quarter</v>
          </cell>
          <cell r="AM139" t="str">
            <v>Fiscal 2007 by Quarter</v>
          </cell>
          <cell r="AQ139" t="str">
            <v>Fiscal 2008 by Quarter</v>
          </cell>
          <cell r="AU139" t="str">
            <v>Fiscal 2009 by Quarter</v>
          </cell>
          <cell r="AY139" t="str">
            <v>Fiscal 2010 by Quarter</v>
          </cell>
          <cell r="BC139" t="str">
            <v>Fiscal 2011 by Quarter</v>
          </cell>
          <cell r="BG139" t="str">
            <v>Fiscal 2012 by Quarter</v>
          </cell>
          <cell r="BK139" t="str">
            <v>Fiscal 2013 by Quarter</v>
          </cell>
          <cell r="BO139" t="str">
            <v>Fiscal 2014 by Quarter</v>
          </cell>
          <cell r="BS139" t="str">
            <v>Fiscal 2015 by Quarter</v>
          </cell>
          <cell r="BW139" t="str">
            <v>Fiscal 2016 by Quarter</v>
          </cell>
          <cell r="CA139" t="str">
            <v>Fiscal 2017 by Quarter</v>
          </cell>
          <cell r="CE139" t="str">
            <v>Fiscal 2018 by Quarter</v>
          </cell>
          <cell r="CI139" t="str">
            <v>Fiscal 2019 by Quarter</v>
          </cell>
          <cell r="CM139" t="str">
            <v>Fiscal 2020 by Quarter</v>
          </cell>
          <cell r="CQ139" t="str">
            <v>Fiscal 2021 by Quarter</v>
          </cell>
          <cell r="CU139" t="str">
            <v>Fiscal 2022 by Quarter</v>
          </cell>
          <cell r="CY139" t="str">
            <v>Fiscal 2023 by Quarter</v>
          </cell>
          <cell r="DC139" t="str">
            <v>Fiscal 2024 by Quarter</v>
          </cell>
          <cell r="DG139" t="str">
            <v>Fiscal 2025 by Quarter</v>
          </cell>
          <cell r="DK139" t="str">
            <v>Fiscal 2026 by Quarter</v>
          </cell>
          <cell r="DP139" t="str">
            <v xml:space="preserve"> Fiscal Year Ends December</v>
          </cell>
        </row>
        <row r="140">
          <cell r="C140">
            <v>35886</v>
          </cell>
          <cell r="D140">
            <v>35977</v>
          </cell>
          <cell r="E140">
            <v>36069</v>
          </cell>
          <cell r="F140">
            <v>36161</v>
          </cell>
          <cell r="G140">
            <v>36251</v>
          </cell>
          <cell r="H140">
            <v>36342</v>
          </cell>
          <cell r="I140">
            <v>36434</v>
          </cell>
          <cell r="J140">
            <v>36526</v>
          </cell>
          <cell r="K140">
            <v>36617</v>
          </cell>
          <cell r="L140">
            <v>36708</v>
          </cell>
          <cell r="M140">
            <v>36800</v>
          </cell>
          <cell r="N140">
            <v>36892</v>
          </cell>
          <cell r="O140">
            <v>36982</v>
          </cell>
          <cell r="P140">
            <v>37073</v>
          </cell>
          <cell r="Q140">
            <v>37165</v>
          </cell>
          <cell r="R140">
            <v>37257</v>
          </cell>
          <cell r="S140">
            <v>37348</v>
          </cell>
          <cell r="T140">
            <v>37439</v>
          </cell>
          <cell r="U140">
            <v>37531</v>
          </cell>
          <cell r="V140">
            <v>37623</v>
          </cell>
          <cell r="W140">
            <v>37715</v>
          </cell>
          <cell r="X140">
            <v>37806</v>
          </cell>
          <cell r="Y140">
            <v>37898</v>
          </cell>
          <cell r="Z140">
            <v>37990</v>
          </cell>
          <cell r="AA140">
            <v>38081</v>
          </cell>
          <cell r="AB140">
            <v>38172</v>
          </cell>
          <cell r="AC140">
            <v>38264</v>
          </cell>
          <cell r="AD140">
            <v>38356</v>
          </cell>
          <cell r="AE140">
            <v>38447</v>
          </cell>
          <cell r="AF140">
            <v>38538</v>
          </cell>
          <cell r="AG140">
            <v>38630</v>
          </cell>
          <cell r="AH140">
            <v>38722</v>
          </cell>
          <cell r="AI140">
            <v>38807</v>
          </cell>
          <cell r="AJ140">
            <v>38898</v>
          </cell>
          <cell r="AK140">
            <v>38990</v>
          </cell>
          <cell r="AL140">
            <v>39082</v>
          </cell>
          <cell r="AM140">
            <v>39172</v>
          </cell>
          <cell r="AN140">
            <v>39263</v>
          </cell>
          <cell r="AO140">
            <v>39355</v>
          </cell>
          <cell r="AP140">
            <v>39447</v>
          </cell>
          <cell r="AQ140">
            <v>39538</v>
          </cell>
          <cell r="AR140">
            <v>39629</v>
          </cell>
          <cell r="AS140">
            <v>39721</v>
          </cell>
          <cell r="AT140">
            <v>39813</v>
          </cell>
          <cell r="AU140">
            <v>39903</v>
          </cell>
          <cell r="AV140">
            <v>39994</v>
          </cell>
          <cell r="AW140">
            <v>40086</v>
          </cell>
          <cell r="AX140">
            <v>40178</v>
          </cell>
          <cell r="AY140">
            <v>40268</v>
          </cell>
          <cell r="AZ140">
            <v>40359</v>
          </cell>
          <cell r="BA140">
            <v>40451</v>
          </cell>
          <cell r="BB140">
            <v>40543</v>
          </cell>
          <cell r="BC140">
            <v>40633</v>
          </cell>
          <cell r="BD140">
            <v>40724</v>
          </cell>
          <cell r="BE140">
            <v>40816</v>
          </cell>
          <cell r="BF140">
            <v>40908</v>
          </cell>
          <cell r="BG140">
            <v>40999</v>
          </cell>
          <cell r="BH140">
            <v>41072</v>
          </cell>
          <cell r="BI140">
            <v>41164</v>
          </cell>
          <cell r="BJ140">
            <v>41255</v>
          </cell>
          <cell r="BK140">
            <v>41346</v>
          </cell>
          <cell r="BL140">
            <v>41438</v>
          </cell>
          <cell r="BM140">
            <v>41529</v>
          </cell>
          <cell r="BN140">
            <v>41621</v>
          </cell>
          <cell r="BO140">
            <v>41712</v>
          </cell>
          <cell r="BP140">
            <v>41804</v>
          </cell>
          <cell r="BQ140">
            <v>41894</v>
          </cell>
          <cell r="BR140">
            <v>41987</v>
          </cell>
          <cell r="BS140">
            <v>42078</v>
          </cell>
          <cell r="BT140">
            <v>42170</v>
          </cell>
          <cell r="BU140">
            <v>42262</v>
          </cell>
          <cell r="BV140">
            <v>42353</v>
          </cell>
          <cell r="BW140">
            <v>42445</v>
          </cell>
          <cell r="BX140">
            <v>42537</v>
          </cell>
          <cell r="BY140">
            <v>42629</v>
          </cell>
          <cell r="BZ140">
            <v>42720</v>
          </cell>
          <cell r="CA140">
            <v>42811</v>
          </cell>
          <cell r="CB140">
            <v>42903</v>
          </cell>
          <cell r="CC140">
            <v>42995</v>
          </cell>
          <cell r="CD140">
            <v>43086</v>
          </cell>
          <cell r="CE140">
            <v>43177</v>
          </cell>
          <cell r="CF140">
            <v>43269</v>
          </cell>
          <cell r="CG140">
            <v>43361</v>
          </cell>
          <cell r="CH140">
            <v>43452</v>
          </cell>
          <cell r="CI140">
            <v>43543</v>
          </cell>
          <cell r="CJ140">
            <v>43635</v>
          </cell>
          <cell r="CK140">
            <v>43727</v>
          </cell>
          <cell r="CL140">
            <v>43818</v>
          </cell>
          <cell r="CM140">
            <v>43910</v>
          </cell>
          <cell r="CN140">
            <v>44002</v>
          </cell>
          <cell r="CO140">
            <v>44094</v>
          </cell>
          <cell r="CP140">
            <v>44185</v>
          </cell>
          <cell r="CQ140" t="str">
            <v>Mar-21E</v>
          </cell>
          <cell r="CR140" t="str">
            <v>Jun-21E</v>
          </cell>
          <cell r="CS140" t="str">
            <v>Sep-21E</v>
          </cell>
          <cell r="CT140" t="str">
            <v>Dec-21E</v>
          </cell>
          <cell r="CU140" t="str">
            <v>Mar-22E</v>
          </cell>
          <cell r="CV140" t="str">
            <v>Jun-22E</v>
          </cell>
          <cell r="CW140" t="str">
            <v>Sep-22E</v>
          </cell>
          <cell r="CX140" t="str">
            <v>Dec-22E</v>
          </cell>
          <cell r="CY140" t="str">
            <v>Mar-23E</v>
          </cell>
          <cell r="CZ140" t="str">
            <v>Jun-23E</v>
          </cell>
          <cell r="DA140" t="str">
            <v>Sep-23E</v>
          </cell>
          <cell r="DB140" t="str">
            <v>Dec-23E</v>
          </cell>
          <cell r="DC140" t="str">
            <v>Mar-24E</v>
          </cell>
          <cell r="DD140" t="str">
            <v>Jun-24E</v>
          </cell>
          <cell r="DE140" t="str">
            <v>Sep-24E</v>
          </cell>
          <cell r="DF140" t="str">
            <v>Dec-24E</v>
          </cell>
          <cell r="DG140" t="str">
            <v>Mar-25E</v>
          </cell>
          <cell r="DH140" t="str">
            <v>Jun-25E</v>
          </cell>
          <cell r="DI140" t="str">
            <v>Sep-25E</v>
          </cell>
          <cell r="DJ140" t="str">
            <v>Dec-25E</v>
          </cell>
          <cell r="DK140" t="str">
            <v>Mar-26E</v>
          </cell>
          <cell r="DL140" t="str">
            <v>Jun-26E</v>
          </cell>
          <cell r="DM140" t="str">
            <v>Sep-26E</v>
          </cell>
          <cell r="DN140" t="str">
            <v>Dec-26E</v>
          </cell>
          <cell r="DP140">
            <v>1998</v>
          </cell>
          <cell r="DQ140">
            <v>1999</v>
          </cell>
          <cell r="DR140">
            <v>2000</v>
          </cell>
          <cell r="DS140">
            <v>2001</v>
          </cell>
          <cell r="DT140">
            <v>2002</v>
          </cell>
          <cell r="DU140">
            <v>2003</v>
          </cell>
          <cell r="DV140">
            <v>2004</v>
          </cell>
          <cell r="DW140">
            <v>2005</v>
          </cell>
          <cell r="DX140">
            <v>2006</v>
          </cell>
          <cell r="DY140">
            <v>2007</v>
          </cell>
          <cell r="DZ140">
            <v>2008</v>
          </cell>
          <cell r="EA140">
            <v>2009</v>
          </cell>
          <cell r="EB140">
            <v>2010</v>
          </cell>
          <cell r="EC140">
            <v>2011</v>
          </cell>
          <cell r="ED140">
            <v>2012</v>
          </cell>
          <cell r="EE140">
            <v>2013</v>
          </cell>
          <cell r="EF140">
            <v>2014</v>
          </cell>
          <cell r="EG140">
            <v>2015</v>
          </cell>
          <cell r="EH140">
            <v>2016</v>
          </cell>
          <cell r="EI140">
            <v>2017</v>
          </cell>
          <cell r="EJ140">
            <v>2018</v>
          </cell>
          <cell r="EK140">
            <v>2019</v>
          </cell>
          <cell r="EL140">
            <v>2020</v>
          </cell>
          <cell r="EM140" t="str">
            <v>2021E</v>
          </cell>
          <cell r="EN140" t="str">
            <v>2022E</v>
          </cell>
          <cell r="EO140" t="str">
            <v>2023E</v>
          </cell>
          <cell r="EP140" t="str">
            <v>2024E</v>
          </cell>
          <cell r="EQ140" t="str">
            <v>2025E</v>
          </cell>
          <cell r="ER140" t="str">
            <v>2026E</v>
          </cell>
        </row>
        <row r="141">
          <cell r="A141" t="str">
            <v>G2K customers</v>
          </cell>
          <cell r="BX141">
            <v>666</v>
          </cell>
          <cell r="BY141">
            <v>688</v>
          </cell>
          <cell r="BZ141">
            <v>715</v>
          </cell>
          <cell r="CA141">
            <v>738</v>
          </cell>
          <cell r="CB141">
            <v>764</v>
          </cell>
          <cell r="CC141">
            <v>787</v>
          </cell>
          <cell r="CD141">
            <v>803</v>
          </cell>
          <cell r="CE141">
            <v>816</v>
          </cell>
          <cell r="CF141">
            <v>840</v>
          </cell>
          <cell r="CG141">
            <v>860</v>
          </cell>
          <cell r="CH141">
            <v>883</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cell r="DN141">
            <v>0</v>
          </cell>
          <cell r="DP141">
            <v>0</v>
          </cell>
          <cell r="DQ141">
            <v>0</v>
          </cell>
          <cell r="DR141">
            <v>0</v>
          </cell>
          <cell r="DS141">
            <v>0</v>
          </cell>
          <cell r="DT141">
            <v>0</v>
          </cell>
          <cell r="DU141">
            <v>0</v>
          </cell>
          <cell r="DV141">
            <v>0</v>
          </cell>
          <cell r="DW141">
            <v>0</v>
          </cell>
          <cell r="DX141">
            <v>0</v>
          </cell>
          <cell r="DY141">
            <v>0</v>
          </cell>
          <cell r="DZ141">
            <v>0</v>
          </cell>
          <cell r="EA141">
            <v>0</v>
          </cell>
          <cell r="EB141">
            <v>0</v>
          </cell>
          <cell r="EC141">
            <v>0</v>
          </cell>
          <cell r="ED141">
            <v>0</v>
          </cell>
          <cell r="EE141">
            <v>0</v>
          </cell>
          <cell r="EF141">
            <v>0</v>
          </cell>
          <cell r="EG141">
            <v>0</v>
          </cell>
          <cell r="EH141">
            <v>715</v>
          </cell>
          <cell r="EI141">
            <v>803</v>
          </cell>
          <cell r="EJ141">
            <v>883</v>
          </cell>
          <cell r="EK141">
            <v>0</v>
          </cell>
          <cell r="EL141">
            <v>0</v>
          </cell>
          <cell r="EM141">
            <v>0</v>
          </cell>
          <cell r="EN141">
            <v>0</v>
          </cell>
          <cell r="EO141">
            <v>0</v>
          </cell>
          <cell r="EP141">
            <v>0</v>
          </cell>
          <cell r="EQ141">
            <v>0</v>
          </cell>
          <cell r="ER141">
            <v>0</v>
          </cell>
        </row>
        <row r="142">
          <cell r="A142" t="str">
            <v>G2K penetration</v>
          </cell>
          <cell r="BW142">
            <v>0</v>
          </cell>
          <cell r="BX142">
            <v>0.33300000000000002</v>
          </cell>
          <cell r="BY142">
            <v>0.34399999999999997</v>
          </cell>
          <cell r="BZ142">
            <v>0.35749999999999998</v>
          </cell>
          <cell r="CA142">
            <v>0.36899999999999999</v>
          </cell>
          <cell r="CB142">
            <v>0.38200000000000001</v>
          </cell>
          <cell r="CC142">
            <v>0.39350000000000002</v>
          </cell>
          <cell r="CD142">
            <v>0.40150000000000002</v>
          </cell>
          <cell r="CE142">
            <v>0.40799999999999997</v>
          </cell>
          <cell r="CF142">
            <v>0.42</v>
          </cell>
          <cell r="CG142">
            <v>0.43</v>
          </cell>
          <cell r="CH142">
            <v>0.4415</v>
          </cell>
          <cell r="CI142">
            <v>0</v>
          </cell>
          <cell r="CJ142">
            <v>0</v>
          </cell>
          <cell r="CK142">
            <v>0</v>
          </cell>
          <cell r="CL142">
            <v>0</v>
          </cell>
          <cell r="CM142">
            <v>0</v>
          </cell>
          <cell r="CN142">
            <v>0</v>
          </cell>
          <cell r="CO142">
            <v>0</v>
          </cell>
          <cell r="CP142">
            <v>0</v>
          </cell>
          <cell r="CQ142">
            <v>0</v>
          </cell>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row>
        <row r="143">
          <cell r="A143" t="str">
            <v>% growth y-o-y</v>
          </cell>
          <cell r="BW143" t="str">
            <v>NA</v>
          </cell>
          <cell r="BX143" t="str">
            <v>NA</v>
          </cell>
          <cell r="BY143" t="str">
            <v>NA</v>
          </cell>
          <cell r="BZ143" t="str">
            <v>NA</v>
          </cell>
          <cell r="CA143" t="str">
            <v>NA</v>
          </cell>
          <cell r="CB143">
            <v>0.14714714714714705</v>
          </cell>
          <cell r="CC143">
            <v>0.14389534883720922</v>
          </cell>
          <cell r="CD143">
            <v>0.12307692307692308</v>
          </cell>
          <cell r="CE143">
            <v>0.10569105691056913</v>
          </cell>
          <cell r="CF143">
            <v>9.9476439790575855E-2</v>
          </cell>
          <cell r="CG143">
            <v>9.2757306226175285E-2</v>
          </cell>
          <cell r="CH143">
            <v>9.9626400996263964E-2</v>
          </cell>
          <cell r="CI143">
            <v>-1</v>
          </cell>
          <cell r="CJ143">
            <v>-1</v>
          </cell>
          <cell r="CK143">
            <v>-1</v>
          </cell>
          <cell r="CL143">
            <v>-1</v>
          </cell>
          <cell r="CM143" t="str">
            <v>NA</v>
          </cell>
          <cell r="CN143" t="str">
            <v>NA</v>
          </cell>
          <cell r="CO143" t="str">
            <v>NA</v>
          </cell>
          <cell r="CP143" t="str">
            <v>NA</v>
          </cell>
          <cell r="CQ143" t="str">
            <v>NA</v>
          </cell>
          <cell r="CR143" t="str">
            <v>NA</v>
          </cell>
          <cell r="CS143" t="str">
            <v>NA</v>
          </cell>
          <cell r="CT143" t="str">
            <v>NA</v>
          </cell>
          <cell r="CU143" t="str">
            <v>NA</v>
          </cell>
          <cell r="CV143" t="str">
            <v>NA</v>
          </cell>
          <cell r="CW143" t="str">
            <v>NA</v>
          </cell>
          <cell r="CX143" t="str">
            <v>NA</v>
          </cell>
          <cell r="CY143" t="str">
            <v>NA</v>
          </cell>
          <cell r="CZ143" t="str">
            <v>NA</v>
          </cell>
          <cell r="DA143" t="str">
            <v>NA</v>
          </cell>
          <cell r="DB143" t="str">
            <v>NA</v>
          </cell>
          <cell r="DC143" t="str">
            <v>NA</v>
          </cell>
          <cell r="DD143" t="str">
            <v>NA</v>
          </cell>
          <cell r="DE143" t="str">
            <v>NA</v>
          </cell>
          <cell r="DF143" t="str">
            <v>NA</v>
          </cell>
          <cell r="DG143" t="str">
            <v>NA</v>
          </cell>
          <cell r="DH143" t="str">
            <v>NA</v>
          </cell>
          <cell r="DI143" t="str">
            <v>NA</v>
          </cell>
          <cell r="DJ143" t="str">
            <v>NA</v>
          </cell>
          <cell r="DK143" t="str">
            <v>NA</v>
          </cell>
          <cell r="DL143" t="str">
            <v>NA</v>
          </cell>
          <cell r="DM143" t="str">
            <v>NA</v>
          </cell>
          <cell r="DN143" t="str">
            <v>NA</v>
          </cell>
          <cell r="DQ143" t="str">
            <v>NA</v>
          </cell>
          <cell r="DR143" t="str">
            <v>NA</v>
          </cell>
          <cell r="DS143" t="str">
            <v>NA</v>
          </cell>
          <cell r="DT143" t="str">
            <v>NA</v>
          </cell>
          <cell r="DU143" t="str">
            <v>NA</v>
          </cell>
          <cell r="DV143" t="str">
            <v>NA</v>
          </cell>
          <cell r="DW143" t="str">
            <v>NA</v>
          </cell>
          <cell r="DX143" t="str">
            <v>NA</v>
          </cell>
          <cell r="DY143" t="str">
            <v>NA</v>
          </cell>
          <cell r="DZ143" t="str">
            <v>NA</v>
          </cell>
          <cell r="EA143" t="str">
            <v>NA</v>
          </cell>
          <cell r="EB143" t="str">
            <v>NA</v>
          </cell>
          <cell r="EC143" t="str">
            <v>NA</v>
          </cell>
          <cell r="ED143" t="str">
            <v>NA</v>
          </cell>
          <cell r="EE143" t="str">
            <v>NA</v>
          </cell>
          <cell r="EF143" t="str">
            <v>NA</v>
          </cell>
          <cell r="EG143" t="str">
            <v>NA</v>
          </cell>
          <cell r="EH143" t="str">
            <v>NA</v>
          </cell>
          <cell r="EI143">
            <v>0.12307692307692308</v>
          </cell>
          <cell r="EJ143">
            <v>9.9626400996263964E-2</v>
          </cell>
          <cell r="EK143">
            <v>-1</v>
          </cell>
          <cell r="EL143" t="str">
            <v>NA</v>
          </cell>
          <cell r="EM143" t="str">
            <v>NA</v>
          </cell>
          <cell r="EN143" t="str">
            <v>NA</v>
          </cell>
          <cell r="EO143" t="str">
            <v>NA</v>
          </cell>
          <cell r="EP143" t="str">
            <v>NA</v>
          </cell>
          <cell r="EQ143" t="str">
            <v>NA</v>
          </cell>
          <cell r="ER143" t="str">
            <v>NA</v>
          </cell>
        </row>
        <row r="144">
          <cell r="A144" t="str">
            <v>% growth seq</v>
          </cell>
          <cell r="BW144" t="str">
            <v>NA</v>
          </cell>
          <cell r="BX144" t="str">
            <v>NA</v>
          </cell>
          <cell r="BY144">
            <v>3.3033033033033066E-2</v>
          </cell>
          <cell r="BZ144">
            <v>3.9244186046511587E-2</v>
          </cell>
          <cell r="CA144">
            <v>3.2167832167832255E-2</v>
          </cell>
          <cell r="CB144">
            <v>3.5230352303523116E-2</v>
          </cell>
          <cell r="CC144">
            <v>3.0104712041884918E-2</v>
          </cell>
          <cell r="CD144">
            <v>2.0330368487928796E-2</v>
          </cell>
          <cell r="CE144">
            <v>1.6189290161892966E-2</v>
          </cell>
          <cell r="CF144">
            <v>2.9411764705882248E-2</v>
          </cell>
          <cell r="CG144">
            <v>2.3809523809523725E-2</v>
          </cell>
          <cell r="CH144">
            <v>2.6744186046511631E-2</v>
          </cell>
          <cell r="CI144">
            <v>-1</v>
          </cell>
          <cell r="CJ144" t="str">
            <v>NA</v>
          </cell>
          <cell r="CK144" t="str">
            <v>NA</v>
          </cell>
          <cell r="CL144" t="str">
            <v>NA</v>
          </cell>
          <cell r="CM144" t="str">
            <v>NA</v>
          </cell>
          <cell r="CN144" t="str">
            <v>NA</v>
          </cell>
          <cell r="CO144" t="str">
            <v>NA</v>
          </cell>
          <cell r="CP144" t="str">
            <v>NA</v>
          </cell>
          <cell r="CQ144" t="str">
            <v>NA</v>
          </cell>
          <cell r="CR144" t="str">
            <v>NA</v>
          </cell>
          <cell r="CS144" t="str">
            <v>NA</v>
          </cell>
          <cell r="CT144" t="str">
            <v>NA</v>
          </cell>
          <cell r="CU144" t="str">
            <v>NA</v>
          </cell>
          <cell r="CV144" t="str">
            <v>NA</v>
          </cell>
          <cell r="CW144" t="str">
            <v>NA</v>
          </cell>
          <cell r="CX144" t="str">
            <v>NA</v>
          </cell>
          <cell r="CY144" t="str">
            <v>NA</v>
          </cell>
          <cell r="CZ144" t="str">
            <v>NA</v>
          </cell>
          <cell r="DA144" t="str">
            <v>NA</v>
          </cell>
          <cell r="DB144" t="str">
            <v>NA</v>
          </cell>
          <cell r="DC144" t="str">
            <v>NA</v>
          </cell>
          <cell r="DD144" t="str">
            <v>NA</v>
          </cell>
          <cell r="DE144" t="str">
            <v>NA</v>
          </cell>
          <cell r="DF144" t="str">
            <v>NA</v>
          </cell>
          <cell r="DG144" t="str">
            <v>NA</v>
          </cell>
          <cell r="DH144" t="str">
            <v>NA</v>
          </cell>
          <cell r="DI144" t="str">
            <v>NA</v>
          </cell>
          <cell r="DJ144" t="str">
            <v>NA</v>
          </cell>
          <cell r="DK144" t="str">
            <v>NA</v>
          </cell>
          <cell r="DL144" t="str">
            <v>NA</v>
          </cell>
          <cell r="DM144" t="str">
            <v>NA</v>
          </cell>
          <cell r="DN144" t="str">
            <v>NA</v>
          </cell>
        </row>
        <row r="146">
          <cell r="A146" t="str">
            <v>Net G2K adds</v>
          </cell>
          <cell r="BW146">
            <v>0</v>
          </cell>
          <cell r="BX146">
            <v>666</v>
          </cell>
          <cell r="BY146">
            <v>22</v>
          </cell>
          <cell r="BZ146">
            <v>27</v>
          </cell>
          <cell r="CA146">
            <v>23</v>
          </cell>
          <cell r="CB146">
            <v>26</v>
          </cell>
          <cell r="CC146">
            <v>23</v>
          </cell>
          <cell r="CD146">
            <v>16</v>
          </cell>
          <cell r="CE146">
            <v>13</v>
          </cell>
          <cell r="CF146">
            <v>24</v>
          </cell>
          <cell r="CG146">
            <v>20</v>
          </cell>
          <cell r="CH146">
            <v>23</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P146">
            <v>0</v>
          </cell>
          <cell r="DQ146">
            <v>0</v>
          </cell>
          <cell r="DR146">
            <v>0</v>
          </cell>
          <cell r="DS146">
            <v>0</v>
          </cell>
          <cell r="DT146">
            <v>0</v>
          </cell>
          <cell r="DU146">
            <v>0</v>
          </cell>
          <cell r="DV146">
            <v>0</v>
          </cell>
          <cell r="DW146">
            <v>0</v>
          </cell>
          <cell r="DX146">
            <v>0</v>
          </cell>
          <cell r="DY146">
            <v>0</v>
          </cell>
          <cell r="DZ146">
            <v>0</v>
          </cell>
          <cell r="EA146">
            <v>0</v>
          </cell>
          <cell r="EB146">
            <v>0</v>
          </cell>
          <cell r="EC146">
            <v>0</v>
          </cell>
          <cell r="ED146">
            <v>0</v>
          </cell>
          <cell r="EE146">
            <v>0</v>
          </cell>
          <cell r="EF146">
            <v>0</v>
          </cell>
          <cell r="EG146">
            <v>0</v>
          </cell>
          <cell r="EH146">
            <v>715</v>
          </cell>
          <cell r="EI146">
            <v>88</v>
          </cell>
          <cell r="EJ146">
            <v>80</v>
          </cell>
          <cell r="EK146">
            <v>-883</v>
          </cell>
          <cell r="EL146">
            <v>0</v>
          </cell>
          <cell r="EM146">
            <v>0</v>
          </cell>
          <cell r="EN146">
            <v>0</v>
          </cell>
          <cell r="EO146">
            <v>0</v>
          </cell>
          <cell r="EP146">
            <v>0</v>
          </cell>
          <cell r="EQ146">
            <v>0</v>
          </cell>
          <cell r="ER146">
            <v>0</v>
          </cell>
        </row>
        <row r="147">
          <cell r="A147" t="str">
            <v>% growth y-o-y</v>
          </cell>
          <cell r="BW147" t="str">
            <v>NA</v>
          </cell>
          <cell r="BX147" t="str">
            <v>NA</v>
          </cell>
          <cell r="BY147" t="str">
            <v>NA</v>
          </cell>
          <cell r="BZ147" t="str">
            <v>NA</v>
          </cell>
          <cell r="CA147" t="str">
            <v>NA</v>
          </cell>
          <cell r="CB147">
            <v>-0.96096096096096095</v>
          </cell>
          <cell r="CC147">
            <v>4.5454545454545414E-2</v>
          </cell>
          <cell r="CD147">
            <v>-0.40740740740740744</v>
          </cell>
          <cell r="CE147">
            <v>-0.43478260869565222</v>
          </cell>
          <cell r="CF147">
            <v>-7.6923076923076872E-2</v>
          </cell>
          <cell r="CG147">
            <v>-0.13043478260869568</v>
          </cell>
          <cell r="CH147">
            <v>0.4375</v>
          </cell>
          <cell r="CI147">
            <v>-1</v>
          </cell>
          <cell r="CJ147">
            <v>-1</v>
          </cell>
          <cell r="CK147">
            <v>-1</v>
          </cell>
          <cell r="CL147">
            <v>-1</v>
          </cell>
          <cell r="CM147" t="str">
            <v>NA</v>
          </cell>
          <cell r="CN147" t="str">
            <v>NA</v>
          </cell>
          <cell r="CO147" t="str">
            <v>NA</v>
          </cell>
          <cell r="CP147" t="str">
            <v>NA</v>
          </cell>
          <cell r="CQ147" t="str">
            <v>NA</v>
          </cell>
          <cell r="CR147" t="str">
            <v>NA</v>
          </cell>
          <cell r="CS147" t="str">
            <v>NA</v>
          </cell>
          <cell r="CT147" t="str">
            <v>NA</v>
          </cell>
          <cell r="CU147" t="str">
            <v>NA</v>
          </cell>
          <cell r="CV147" t="str">
            <v>NA</v>
          </cell>
          <cell r="CW147" t="str">
            <v>NA</v>
          </cell>
          <cell r="CX147" t="str">
            <v>NA</v>
          </cell>
          <cell r="CY147" t="str">
            <v>NA</v>
          </cell>
          <cell r="CZ147" t="str">
            <v>NA</v>
          </cell>
          <cell r="DA147" t="str">
            <v>NA</v>
          </cell>
          <cell r="DB147" t="str">
            <v>NA</v>
          </cell>
          <cell r="DC147" t="str">
            <v>NA</v>
          </cell>
          <cell r="DD147" t="str">
            <v>NA</v>
          </cell>
          <cell r="DE147" t="str">
            <v>NA</v>
          </cell>
          <cell r="DF147" t="str">
            <v>NA</v>
          </cell>
          <cell r="DG147" t="str">
            <v>NA</v>
          </cell>
          <cell r="DH147" t="str">
            <v>NA</v>
          </cell>
          <cell r="DI147" t="str">
            <v>NA</v>
          </cell>
          <cell r="DJ147" t="str">
            <v>NA</v>
          </cell>
          <cell r="DK147" t="str">
            <v>NA</v>
          </cell>
          <cell r="DL147" t="str">
            <v>NA</v>
          </cell>
          <cell r="DM147" t="str">
            <v>NA</v>
          </cell>
          <cell r="DN147" t="str">
            <v>NA</v>
          </cell>
          <cell r="DQ147" t="str">
            <v>NA</v>
          </cell>
          <cell r="DR147" t="str">
            <v>NA</v>
          </cell>
          <cell r="DS147" t="str">
            <v>NA</v>
          </cell>
          <cell r="DT147" t="str">
            <v>NA</v>
          </cell>
          <cell r="DU147" t="str">
            <v>NA</v>
          </cell>
          <cell r="DV147" t="str">
            <v>NA</v>
          </cell>
          <cell r="DW147" t="str">
            <v>NA</v>
          </cell>
          <cell r="DX147" t="str">
            <v>NA</v>
          </cell>
          <cell r="DY147" t="str">
            <v>NA</v>
          </cell>
          <cell r="DZ147" t="str">
            <v>NA</v>
          </cell>
          <cell r="EA147" t="str">
            <v>NA</v>
          </cell>
          <cell r="EB147" t="str">
            <v>NA</v>
          </cell>
          <cell r="EC147" t="str">
            <v>NA</v>
          </cell>
          <cell r="ED147" t="str">
            <v>NA</v>
          </cell>
          <cell r="EE147" t="str">
            <v>NA</v>
          </cell>
          <cell r="EF147" t="str">
            <v>NA</v>
          </cell>
          <cell r="EG147" t="str">
            <v>NA</v>
          </cell>
          <cell r="EH147" t="str">
            <v>NA</v>
          </cell>
          <cell r="EI147">
            <v>-0.87692307692307692</v>
          </cell>
          <cell r="EJ147">
            <v>-9.0909090909090939E-2</v>
          </cell>
          <cell r="EK147">
            <v>-12.0375</v>
          </cell>
          <cell r="EL147">
            <v>-1</v>
          </cell>
          <cell r="EM147" t="str">
            <v>NA</v>
          </cell>
          <cell r="EN147" t="str">
            <v>NA</v>
          </cell>
          <cell r="EO147" t="str">
            <v>NA</v>
          </cell>
          <cell r="EP147" t="str">
            <v>NA</v>
          </cell>
          <cell r="EQ147" t="str">
            <v>NA</v>
          </cell>
          <cell r="ER147" t="str">
            <v>NA</v>
          </cell>
        </row>
        <row r="148">
          <cell r="A148" t="str">
            <v>% growth seq</v>
          </cell>
          <cell r="BW148" t="str">
            <v>NA</v>
          </cell>
          <cell r="BX148" t="str">
            <v>NA</v>
          </cell>
          <cell r="BY148">
            <v>-0.96696696696696693</v>
          </cell>
          <cell r="BZ148">
            <v>0.22727272727272729</v>
          </cell>
          <cell r="CA148">
            <v>-0.14814814814814814</v>
          </cell>
          <cell r="CB148">
            <v>0.13043478260869557</v>
          </cell>
          <cell r="CC148">
            <v>-0.11538461538461542</v>
          </cell>
          <cell r="CD148">
            <v>-0.30434782608695654</v>
          </cell>
          <cell r="CE148">
            <v>-0.1875</v>
          </cell>
          <cell r="CF148">
            <v>0.84615384615384626</v>
          </cell>
          <cell r="CG148">
            <v>-0.16666666666666663</v>
          </cell>
          <cell r="CH148">
            <v>0.14999999999999991</v>
          </cell>
          <cell r="CI148">
            <v>-1</v>
          </cell>
          <cell r="CJ148" t="str">
            <v>NA</v>
          </cell>
          <cell r="CK148" t="str">
            <v>NA</v>
          </cell>
          <cell r="CL148" t="str">
            <v>NA</v>
          </cell>
          <cell r="CM148" t="str">
            <v>NA</v>
          </cell>
          <cell r="CN148" t="str">
            <v>NA</v>
          </cell>
          <cell r="CO148" t="str">
            <v>NA</v>
          </cell>
          <cell r="CP148" t="str">
            <v>NA</v>
          </cell>
          <cell r="CQ148" t="str">
            <v>NA</v>
          </cell>
          <cell r="CR148" t="str">
            <v>NA</v>
          </cell>
          <cell r="CS148" t="str">
            <v>NA</v>
          </cell>
          <cell r="CT148" t="str">
            <v>NA</v>
          </cell>
          <cell r="CU148" t="str">
            <v>NA</v>
          </cell>
          <cell r="CV148" t="str">
            <v>NA</v>
          </cell>
          <cell r="CW148" t="str">
            <v>NA</v>
          </cell>
          <cell r="CX148" t="str">
            <v>NA</v>
          </cell>
          <cell r="CY148" t="str">
            <v>NA</v>
          </cell>
          <cell r="CZ148" t="str">
            <v>NA</v>
          </cell>
          <cell r="DA148" t="str">
            <v>NA</v>
          </cell>
          <cell r="DB148" t="str">
            <v>NA</v>
          </cell>
          <cell r="DC148" t="str">
            <v>NA</v>
          </cell>
          <cell r="DD148" t="str">
            <v>NA</v>
          </cell>
          <cell r="DE148" t="str">
            <v>NA</v>
          </cell>
          <cell r="DF148" t="str">
            <v>NA</v>
          </cell>
          <cell r="DG148" t="str">
            <v>NA</v>
          </cell>
          <cell r="DH148" t="str">
            <v>NA</v>
          </cell>
          <cell r="DI148" t="str">
            <v>NA</v>
          </cell>
          <cell r="DJ148" t="str">
            <v>NA</v>
          </cell>
          <cell r="DK148" t="str">
            <v>NA</v>
          </cell>
          <cell r="DL148" t="str">
            <v>NA</v>
          </cell>
          <cell r="DM148" t="str">
            <v>NA</v>
          </cell>
          <cell r="DN148" t="str">
            <v>NA</v>
          </cell>
        </row>
        <row r="150">
          <cell r="A150" t="str">
            <v>ACV/G2K</v>
          </cell>
          <cell r="BX150">
            <v>966</v>
          </cell>
          <cell r="BY150">
            <v>1026</v>
          </cell>
          <cell r="BZ150">
            <v>1128</v>
          </cell>
          <cell r="CA150">
            <v>1154</v>
          </cell>
          <cell r="CB150">
            <v>1182</v>
          </cell>
          <cell r="CC150">
            <v>1223</v>
          </cell>
          <cell r="CD150">
            <v>1352</v>
          </cell>
          <cell r="CE150">
            <v>1407</v>
          </cell>
          <cell r="CF150">
            <v>1475</v>
          </cell>
          <cell r="CG150">
            <v>1531</v>
          </cell>
          <cell r="CH150">
            <v>1676</v>
          </cell>
          <cell r="DP150">
            <v>0</v>
          </cell>
          <cell r="DQ150">
            <v>0</v>
          </cell>
          <cell r="DR150">
            <v>0</v>
          </cell>
          <cell r="DS150">
            <v>0</v>
          </cell>
          <cell r="DT150">
            <v>0</v>
          </cell>
          <cell r="DU150">
            <v>0</v>
          </cell>
          <cell r="DV150">
            <v>0</v>
          </cell>
          <cell r="DW150">
            <v>0</v>
          </cell>
          <cell r="DX150">
            <v>0</v>
          </cell>
          <cell r="DY150">
            <v>0</v>
          </cell>
          <cell r="DZ150">
            <v>0</v>
          </cell>
          <cell r="EA150">
            <v>0</v>
          </cell>
          <cell r="EB150">
            <v>0</v>
          </cell>
          <cell r="EC150">
            <v>0</v>
          </cell>
          <cell r="ED150">
            <v>0</v>
          </cell>
          <cell r="EE150">
            <v>0</v>
          </cell>
          <cell r="EF150">
            <v>0</v>
          </cell>
          <cell r="EG150">
            <v>0</v>
          </cell>
          <cell r="EH150">
            <v>1128</v>
          </cell>
          <cell r="EI150">
            <v>1352</v>
          </cell>
          <cell r="EJ150">
            <v>1676</v>
          </cell>
          <cell r="EK150">
            <v>0</v>
          </cell>
          <cell r="EL150">
            <v>0</v>
          </cell>
          <cell r="EM150">
            <v>0</v>
          </cell>
          <cell r="EN150">
            <v>0</v>
          </cell>
          <cell r="EO150">
            <v>0</v>
          </cell>
          <cell r="EP150">
            <v>0</v>
          </cell>
          <cell r="EQ150">
            <v>0</v>
          </cell>
          <cell r="ER150">
            <v>0</v>
          </cell>
        </row>
        <row r="151">
          <cell r="A151" t="str">
            <v>% growth y-o-y</v>
          </cell>
          <cell r="BW151" t="str">
            <v>NA</v>
          </cell>
          <cell r="BX151" t="str">
            <v>NA</v>
          </cell>
          <cell r="BY151" t="str">
            <v>NA</v>
          </cell>
          <cell r="BZ151" t="str">
            <v>NA</v>
          </cell>
          <cell r="CA151" t="str">
            <v>NA</v>
          </cell>
          <cell r="CB151">
            <v>0.22360248447204967</v>
          </cell>
          <cell r="CC151">
            <v>0.19200779727095507</v>
          </cell>
          <cell r="CD151">
            <v>0.19858156028368801</v>
          </cell>
          <cell r="CE151">
            <v>0.21923743500866544</v>
          </cell>
          <cell r="CF151">
            <v>0.24788494077834189</v>
          </cell>
          <cell r="CG151">
            <v>0.25183973834832374</v>
          </cell>
          <cell r="CH151">
            <v>0.23964497041420119</v>
          </cell>
          <cell r="CI151">
            <v>-1</v>
          </cell>
          <cell r="CJ151">
            <v>-1</v>
          </cell>
          <cell r="CK151">
            <v>-1</v>
          </cell>
          <cell r="CL151">
            <v>-1</v>
          </cell>
          <cell r="CM151" t="str">
            <v>NA</v>
          </cell>
          <cell r="CN151" t="str">
            <v>NA</v>
          </cell>
          <cell r="CO151" t="str">
            <v>NA</v>
          </cell>
          <cell r="CP151" t="str">
            <v>NA</v>
          </cell>
          <cell r="CQ151" t="str">
            <v>NA</v>
          </cell>
          <cell r="CR151" t="str">
            <v>NA</v>
          </cell>
          <cell r="CS151" t="str">
            <v>NA</v>
          </cell>
          <cell r="CT151" t="str">
            <v>NA</v>
          </cell>
          <cell r="CU151" t="str">
            <v>NA</v>
          </cell>
          <cell r="CV151" t="str">
            <v>NA</v>
          </cell>
          <cell r="CW151" t="str">
            <v>NA</v>
          </cell>
          <cell r="CX151" t="str">
            <v>NA</v>
          </cell>
          <cell r="CY151" t="str">
            <v>NA</v>
          </cell>
          <cell r="CZ151" t="str">
            <v>NA</v>
          </cell>
          <cell r="DA151" t="str">
            <v>NA</v>
          </cell>
          <cell r="DB151" t="str">
            <v>NA</v>
          </cell>
          <cell r="DC151" t="str">
            <v>NA</v>
          </cell>
          <cell r="DD151" t="str">
            <v>NA</v>
          </cell>
          <cell r="DE151" t="str">
            <v>NA</v>
          </cell>
          <cell r="DF151" t="str">
            <v>NA</v>
          </cell>
          <cell r="DG151" t="str">
            <v>NA</v>
          </cell>
          <cell r="DH151" t="str">
            <v>NA</v>
          </cell>
          <cell r="DI151" t="str">
            <v>NA</v>
          </cell>
          <cell r="DJ151" t="str">
            <v>NA</v>
          </cell>
          <cell r="DK151" t="str">
            <v>NA</v>
          </cell>
          <cell r="DL151" t="str">
            <v>NA</v>
          </cell>
          <cell r="DM151" t="str">
            <v>NA</v>
          </cell>
          <cell r="DN151" t="str">
            <v>NA</v>
          </cell>
          <cell r="DQ151" t="str">
            <v>NA</v>
          </cell>
          <cell r="DR151" t="str">
            <v>NA</v>
          </cell>
          <cell r="DS151" t="str">
            <v>NA</v>
          </cell>
          <cell r="DT151" t="str">
            <v>NA</v>
          </cell>
          <cell r="DU151" t="str">
            <v>NA</v>
          </cell>
          <cell r="DV151" t="str">
            <v>NA</v>
          </cell>
          <cell r="DW151" t="str">
            <v>NA</v>
          </cell>
          <cell r="DX151" t="str">
            <v>NA</v>
          </cell>
          <cell r="DY151" t="str">
            <v>NA</v>
          </cell>
          <cell r="DZ151" t="str">
            <v>NA</v>
          </cell>
          <cell r="EA151" t="str">
            <v>NA</v>
          </cell>
          <cell r="EB151" t="str">
            <v>NA</v>
          </cell>
          <cell r="EC151" t="str">
            <v>NA</v>
          </cell>
          <cell r="ED151" t="str">
            <v>NA</v>
          </cell>
          <cell r="EE151" t="str">
            <v>NA</v>
          </cell>
          <cell r="EF151" t="str">
            <v>NA</v>
          </cell>
          <cell r="EG151" t="str">
            <v>NA</v>
          </cell>
          <cell r="EH151" t="str">
            <v>NA</v>
          </cell>
          <cell r="EI151">
            <v>0.19858156028368801</v>
          </cell>
          <cell r="EJ151">
            <v>0.23964497041420119</v>
          </cell>
          <cell r="EK151">
            <v>-1</v>
          </cell>
          <cell r="EL151" t="str">
            <v>NA</v>
          </cell>
          <cell r="EM151" t="str">
            <v>NA</v>
          </cell>
          <cell r="EN151" t="str">
            <v>NA</v>
          </cell>
          <cell r="EO151" t="str">
            <v>NA</v>
          </cell>
          <cell r="EP151" t="str">
            <v>NA</v>
          </cell>
          <cell r="EQ151" t="str">
            <v>NA</v>
          </cell>
          <cell r="ER151" t="str">
            <v>NA</v>
          </cell>
        </row>
        <row r="152">
          <cell r="A152" t="str">
            <v>% growth seq</v>
          </cell>
          <cell r="BW152" t="str">
            <v>NA</v>
          </cell>
          <cell r="BX152" t="str">
            <v>NA</v>
          </cell>
          <cell r="BY152">
            <v>6.211180124223592E-2</v>
          </cell>
          <cell r="BZ152">
            <v>9.9415204678362512E-2</v>
          </cell>
          <cell r="CA152">
            <v>2.3049645390070816E-2</v>
          </cell>
          <cell r="CB152">
            <v>2.4263431542461023E-2</v>
          </cell>
          <cell r="CC152">
            <v>3.4686971235194486E-2</v>
          </cell>
          <cell r="CD152">
            <v>0.10547833197056411</v>
          </cell>
          <cell r="CE152">
            <v>4.0680473372781023E-2</v>
          </cell>
          <cell r="CF152">
            <v>4.8329779673063289E-2</v>
          </cell>
          <cell r="CG152">
            <v>3.7966101694915322E-2</v>
          </cell>
          <cell r="CH152">
            <v>9.4709340300457301E-2</v>
          </cell>
          <cell r="CI152">
            <v>-1</v>
          </cell>
          <cell r="CJ152" t="str">
            <v>NA</v>
          </cell>
          <cell r="CK152" t="str">
            <v>NA</v>
          </cell>
          <cell r="CL152" t="str">
            <v>NA</v>
          </cell>
          <cell r="CM152" t="str">
            <v>NA</v>
          </cell>
          <cell r="CN152" t="str">
            <v>NA</v>
          </cell>
          <cell r="CO152" t="str">
            <v>NA</v>
          </cell>
          <cell r="CP152" t="str">
            <v>NA</v>
          </cell>
          <cell r="CQ152" t="str">
            <v>NA</v>
          </cell>
          <cell r="CR152" t="str">
            <v>NA</v>
          </cell>
          <cell r="CS152" t="str">
            <v>NA</v>
          </cell>
          <cell r="CT152" t="str">
            <v>NA</v>
          </cell>
          <cell r="CU152" t="str">
            <v>NA</v>
          </cell>
          <cell r="CV152" t="str">
            <v>NA</v>
          </cell>
          <cell r="CW152" t="str">
            <v>NA</v>
          </cell>
          <cell r="CX152" t="str">
            <v>NA</v>
          </cell>
          <cell r="CY152" t="str">
            <v>NA</v>
          </cell>
          <cell r="CZ152" t="str">
            <v>NA</v>
          </cell>
          <cell r="DA152" t="str">
            <v>NA</v>
          </cell>
          <cell r="DB152" t="str">
            <v>NA</v>
          </cell>
          <cell r="DC152" t="str">
            <v>NA</v>
          </cell>
          <cell r="DD152" t="str">
            <v>NA</v>
          </cell>
          <cell r="DE152" t="str">
            <v>NA</v>
          </cell>
          <cell r="DF152" t="str">
            <v>NA</v>
          </cell>
          <cell r="DG152" t="str">
            <v>NA</v>
          </cell>
          <cell r="DH152" t="str">
            <v>NA</v>
          </cell>
          <cell r="DI152" t="str">
            <v>NA</v>
          </cell>
          <cell r="DJ152" t="str">
            <v>NA</v>
          </cell>
          <cell r="DK152" t="str">
            <v>NA</v>
          </cell>
          <cell r="DL152" t="str">
            <v>NA</v>
          </cell>
          <cell r="DM152" t="str">
            <v>NA</v>
          </cell>
          <cell r="DN152" t="str">
            <v>NA</v>
          </cell>
        </row>
        <row r="155">
          <cell r="C155" t="str">
            <v>Fiscal 1999 by Quarter</v>
          </cell>
          <cell r="G155" t="str">
            <v>Fiscal 2000 by Quarter</v>
          </cell>
          <cell r="K155" t="str">
            <v>Fiscal 2001 by Quarter</v>
          </cell>
          <cell r="O155" t="str">
            <v>Fiscal 2002 by Quarter</v>
          </cell>
          <cell r="S155" t="str">
            <v>Fiscal 2003 by Quarter</v>
          </cell>
          <cell r="W155" t="str">
            <v>Fiscal 2004 by Quarter</v>
          </cell>
          <cell r="AA155" t="str">
            <v>Fiscal 2005 by Quarter</v>
          </cell>
          <cell r="AE155" t="str">
            <v>Fiscal 2006 by Quarter</v>
          </cell>
          <cell r="AI155" t="str">
            <v>Fiscal 2006 by Quarter</v>
          </cell>
          <cell r="AM155" t="str">
            <v>Fiscal 2007 by Quarter</v>
          </cell>
          <cell r="AQ155" t="str">
            <v>Fiscal 2008 by Quarter</v>
          </cell>
          <cell r="AU155" t="str">
            <v>Fiscal 2009 by Quarter</v>
          </cell>
          <cell r="AY155" t="str">
            <v>Fiscal 2010 by Quarter</v>
          </cell>
          <cell r="BC155" t="str">
            <v>Fiscal 2011 by Quarter</v>
          </cell>
          <cell r="BG155" t="str">
            <v>Fiscal 2012 by Quarter</v>
          </cell>
          <cell r="BK155" t="str">
            <v>Fiscal 2013 by Quarter</v>
          </cell>
          <cell r="BO155" t="str">
            <v>Fiscal 2014 by Quarter</v>
          </cell>
          <cell r="BS155" t="str">
            <v>Fiscal 2015 by Quarter</v>
          </cell>
          <cell r="BW155" t="str">
            <v>Fiscal 2016 by Quarter</v>
          </cell>
          <cell r="CA155" t="str">
            <v>Fiscal 2017 by Quarter</v>
          </cell>
          <cell r="CE155" t="str">
            <v>Fiscal 2018 by Quarter</v>
          </cell>
          <cell r="CI155" t="str">
            <v>Fiscal 2019 by Quarter</v>
          </cell>
          <cell r="CM155" t="str">
            <v>Fiscal 2020 by Quarter</v>
          </cell>
          <cell r="CQ155" t="str">
            <v>Fiscal 2021 by Quarter</v>
          </cell>
          <cell r="CU155" t="str">
            <v>Fiscal 2022 by Quarter</v>
          </cell>
          <cell r="CY155" t="str">
            <v>Fiscal 2023 by Quarter</v>
          </cell>
          <cell r="DC155" t="str">
            <v>Fiscal 2024 by Quarter</v>
          </cell>
          <cell r="DG155" t="str">
            <v>Fiscal 2025 by Quarter</v>
          </cell>
          <cell r="DK155" t="str">
            <v>Fiscal 2026 by Quarter</v>
          </cell>
          <cell r="DP155" t="str">
            <v xml:space="preserve"> Fiscal Year Ends December</v>
          </cell>
        </row>
        <row r="156">
          <cell r="C156">
            <v>35886</v>
          </cell>
          <cell r="D156">
            <v>35977</v>
          </cell>
          <cell r="E156">
            <v>36069</v>
          </cell>
          <cell r="F156">
            <v>36161</v>
          </cell>
          <cell r="G156">
            <v>36251</v>
          </cell>
          <cell r="H156">
            <v>36342</v>
          </cell>
          <cell r="I156">
            <v>36434</v>
          </cell>
          <cell r="J156">
            <v>36526</v>
          </cell>
          <cell r="K156">
            <v>36617</v>
          </cell>
          <cell r="L156">
            <v>36708</v>
          </cell>
          <cell r="M156">
            <v>36800</v>
          </cell>
          <cell r="N156">
            <v>36892</v>
          </cell>
          <cell r="O156">
            <v>36982</v>
          </cell>
          <cell r="P156">
            <v>37073</v>
          </cell>
          <cell r="Q156">
            <v>37165</v>
          </cell>
          <cell r="R156">
            <v>37257</v>
          </cell>
          <cell r="S156">
            <v>37348</v>
          </cell>
          <cell r="T156">
            <v>37439</v>
          </cell>
          <cell r="U156">
            <v>37531</v>
          </cell>
          <cell r="V156">
            <v>37623</v>
          </cell>
          <cell r="W156">
            <v>37715</v>
          </cell>
          <cell r="X156">
            <v>37806</v>
          </cell>
          <cell r="Y156">
            <v>37898</v>
          </cell>
          <cell r="Z156">
            <v>37990</v>
          </cell>
          <cell r="AA156">
            <v>38081</v>
          </cell>
          <cell r="AB156">
            <v>38172</v>
          </cell>
          <cell r="AC156">
            <v>38264</v>
          </cell>
          <cell r="AD156">
            <v>38356</v>
          </cell>
          <cell r="AE156">
            <v>38447</v>
          </cell>
          <cell r="AF156">
            <v>38538</v>
          </cell>
          <cell r="AG156">
            <v>38630</v>
          </cell>
          <cell r="AH156">
            <v>38722</v>
          </cell>
          <cell r="AI156">
            <v>38807</v>
          </cell>
          <cell r="AJ156">
            <v>38898</v>
          </cell>
          <cell r="AK156">
            <v>38990</v>
          </cell>
          <cell r="AL156">
            <v>39082</v>
          </cell>
          <cell r="AM156">
            <v>39172</v>
          </cell>
          <cell r="AN156">
            <v>39263</v>
          </cell>
          <cell r="AO156">
            <v>39355</v>
          </cell>
          <cell r="AP156">
            <v>39447</v>
          </cell>
          <cell r="AQ156">
            <v>39538</v>
          </cell>
          <cell r="AR156">
            <v>39629</v>
          </cell>
          <cell r="AS156">
            <v>39721</v>
          </cell>
          <cell r="AT156">
            <v>39813</v>
          </cell>
          <cell r="AU156">
            <v>39903</v>
          </cell>
          <cell r="AV156">
            <v>39994</v>
          </cell>
          <cell r="AW156">
            <v>40086</v>
          </cell>
          <cell r="AX156">
            <v>40178</v>
          </cell>
          <cell r="AY156">
            <v>40268</v>
          </cell>
          <cell r="AZ156">
            <v>40359</v>
          </cell>
          <cell r="BA156">
            <v>40451</v>
          </cell>
          <cell r="BB156">
            <v>40543</v>
          </cell>
          <cell r="BC156">
            <v>40633</v>
          </cell>
          <cell r="BD156">
            <v>40724</v>
          </cell>
          <cell r="BE156">
            <v>40816</v>
          </cell>
          <cell r="BF156">
            <v>40908</v>
          </cell>
          <cell r="BG156">
            <v>40999</v>
          </cell>
          <cell r="BH156">
            <v>41072</v>
          </cell>
          <cell r="BI156">
            <v>41164</v>
          </cell>
          <cell r="BJ156">
            <v>41255</v>
          </cell>
          <cell r="BK156">
            <v>41346</v>
          </cell>
          <cell r="BL156">
            <v>41438</v>
          </cell>
          <cell r="BM156">
            <v>41529</v>
          </cell>
          <cell r="BN156">
            <v>41621</v>
          </cell>
          <cell r="BO156">
            <v>41712</v>
          </cell>
          <cell r="BP156">
            <v>41804</v>
          </cell>
          <cell r="BQ156">
            <v>41894</v>
          </cell>
          <cell r="BR156">
            <v>41987</v>
          </cell>
          <cell r="BS156">
            <v>42078</v>
          </cell>
          <cell r="BT156">
            <v>42170</v>
          </cell>
          <cell r="BU156">
            <v>42262</v>
          </cell>
          <cell r="BV156">
            <v>42353</v>
          </cell>
          <cell r="BW156">
            <v>42445</v>
          </cell>
          <cell r="BX156">
            <v>42537</v>
          </cell>
          <cell r="BY156">
            <v>42629</v>
          </cell>
          <cell r="BZ156">
            <v>42720</v>
          </cell>
          <cell r="CA156">
            <v>42811</v>
          </cell>
          <cell r="CB156">
            <v>42903</v>
          </cell>
          <cell r="CC156">
            <v>42995</v>
          </cell>
          <cell r="CD156">
            <v>43086</v>
          </cell>
          <cell r="CE156">
            <v>43177</v>
          </cell>
          <cell r="CF156">
            <v>43269</v>
          </cell>
          <cell r="CG156">
            <v>43361</v>
          </cell>
          <cell r="CH156">
            <v>43452</v>
          </cell>
          <cell r="CI156">
            <v>43543</v>
          </cell>
          <cell r="CJ156">
            <v>43635</v>
          </cell>
          <cell r="CK156">
            <v>43727</v>
          </cell>
          <cell r="CL156">
            <v>43818</v>
          </cell>
          <cell r="CM156">
            <v>43910</v>
          </cell>
          <cell r="CN156">
            <v>44002</v>
          </cell>
          <cell r="CO156">
            <v>44094</v>
          </cell>
          <cell r="CP156">
            <v>44185</v>
          </cell>
          <cell r="CQ156" t="str">
            <v>Mar-21E</v>
          </cell>
          <cell r="CR156" t="str">
            <v>Jun-21E</v>
          </cell>
          <cell r="CS156" t="str">
            <v>Sep-21E</v>
          </cell>
          <cell r="CT156" t="str">
            <v>Dec-21E</v>
          </cell>
          <cell r="CU156" t="str">
            <v>Mar-22E</v>
          </cell>
          <cell r="CV156" t="str">
            <v>Jun-22E</v>
          </cell>
          <cell r="CW156" t="str">
            <v>Sep-22E</v>
          </cell>
          <cell r="CX156" t="str">
            <v>Dec-22E</v>
          </cell>
          <cell r="CY156" t="str">
            <v>Mar-23E</v>
          </cell>
          <cell r="CZ156" t="str">
            <v>Jun-23E</v>
          </cell>
          <cell r="DA156" t="str">
            <v>Sep-23E</v>
          </cell>
          <cell r="DB156" t="str">
            <v>Dec-23E</v>
          </cell>
          <cell r="DC156" t="str">
            <v>Mar-24E</v>
          </cell>
          <cell r="DD156" t="str">
            <v>Jun-24E</v>
          </cell>
          <cell r="DE156" t="str">
            <v>Sep-24E</v>
          </cell>
          <cell r="DF156" t="str">
            <v>Dec-24E</v>
          </cell>
          <cell r="DG156" t="str">
            <v>Mar-25E</v>
          </cell>
          <cell r="DH156" t="str">
            <v>Jun-25E</v>
          </cell>
          <cell r="DI156" t="str">
            <v>Sep-25E</v>
          </cell>
          <cell r="DJ156" t="str">
            <v>Dec-25E</v>
          </cell>
          <cell r="DK156" t="str">
            <v>Mar-26E</v>
          </cell>
          <cell r="DL156" t="str">
            <v>Jun-26E</v>
          </cell>
          <cell r="DM156" t="str">
            <v>Sep-26E</v>
          </cell>
          <cell r="DN156" t="str">
            <v>Dec-26E</v>
          </cell>
          <cell r="DP156">
            <v>1998</v>
          </cell>
          <cell r="DQ156">
            <v>1999</v>
          </cell>
          <cell r="DR156">
            <v>2000</v>
          </cell>
          <cell r="DS156">
            <v>2001</v>
          </cell>
          <cell r="DT156">
            <v>2002</v>
          </cell>
          <cell r="DU156">
            <v>2003</v>
          </cell>
          <cell r="DV156">
            <v>2004</v>
          </cell>
          <cell r="DW156">
            <v>2005</v>
          </cell>
          <cell r="DX156">
            <v>2006</v>
          </cell>
          <cell r="DY156">
            <v>2007</v>
          </cell>
          <cell r="DZ156">
            <v>2008</v>
          </cell>
          <cell r="EA156">
            <v>2009</v>
          </cell>
          <cell r="EB156">
            <v>2010</v>
          </cell>
          <cell r="EC156">
            <v>2011</v>
          </cell>
          <cell r="ED156">
            <v>2012</v>
          </cell>
          <cell r="EE156">
            <v>2013</v>
          </cell>
          <cell r="EF156">
            <v>2014</v>
          </cell>
          <cell r="EG156">
            <v>2015</v>
          </cell>
          <cell r="EH156">
            <v>2016</v>
          </cell>
          <cell r="EI156">
            <v>2017</v>
          </cell>
          <cell r="EJ156">
            <v>2018</v>
          </cell>
          <cell r="EK156">
            <v>2019</v>
          </cell>
          <cell r="EL156">
            <v>2020</v>
          </cell>
          <cell r="EM156" t="str">
            <v>2021E</v>
          </cell>
          <cell r="EN156" t="str">
            <v>2022E</v>
          </cell>
          <cell r="EO156" t="str">
            <v>2023E</v>
          </cell>
          <cell r="EP156" t="str">
            <v>2024E</v>
          </cell>
          <cell r="EQ156" t="str">
            <v>2025E</v>
          </cell>
          <cell r="ER156" t="str">
            <v>2026E</v>
          </cell>
        </row>
        <row r="157">
          <cell r="A157" t="str">
            <v>G2K customers</v>
          </cell>
          <cell r="AV157">
            <v>281</v>
          </cell>
          <cell r="BR157">
            <v>533</v>
          </cell>
          <cell r="BS157">
            <v>558</v>
          </cell>
          <cell r="BT157">
            <v>581</v>
          </cell>
          <cell r="BU157">
            <v>607</v>
          </cell>
          <cell r="BV157">
            <v>637</v>
          </cell>
          <cell r="BW157">
            <v>657</v>
          </cell>
          <cell r="BX157">
            <v>683</v>
          </cell>
          <cell r="BY157">
            <v>705</v>
          </cell>
          <cell r="BZ157">
            <v>734</v>
          </cell>
          <cell r="CA157">
            <v>761</v>
          </cell>
          <cell r="CB157">
            <v>790</v>
          </cell>
          <cell r="CC157">
            <v>815</v>
          </cell>
          <cell r="CD157">
            <v>838</v>
          </cell>
          <cell r="CE157">
            <v>850</v>
          </cell>
          <cell r="DP157">
            <v>0</v>
          </cell>
          <cell r="DQ157">
            <v>0</v>
          </cell>
          <cell r="DR157">
            <v>0</v>
          </cell>
          <cell r="DS157">
            <v>0</v>
          </cell>
          <cell r="DT157">
            <v>0</v>
          </cell>
          <cell r="DU157">
            <v>0</v>
          </cell>
          <cell r="DV157">
            <v>0</v>
          </cell>
          <cell r="DW157">
            <v>0</v>
          </cell>
          <cell r="DX157">
            <v>0</v>
          </cell>
          <cell r="DY157">
            <v>0</v>
          </cell>
          <cell r="DZ157">
            <v>0</v>
          </cell>
          <cell r="EA157">
            <v>0</v>
          </cell>
          <cell r="EB157">
            <v>0</v>
          </cell>
          <cell r="EC157">
            <v>0</v>
          </cell>
          <cell r="ED157">
            <v>0</v>
          </cell>
          <cell r="EE157">
            <v>0</v>
          </cell>
          <cell r="EF157">
            <v>533</v>
          </cell>
          <cell r="EG157">
            <v>637</v>
          </cell>
          <cell r="EH157">
            <v>734</v>
          </cell>
          <cell r="EI157">
            <v>838</v>
          </cell>
          <cell r="EJ157">
            <v>0</v>
          </cell>
          <cell r="EK157">
            <v>0</v>
          </cell>
          <cell r="EL157">
            <v>0</v>
          </cell>
          <cell r="EM157">
            <v>0</v>
          </cell>
          <cell r="EN157">
            <v>0</v>
          </cell>
          <cell r="EO157">
            <v>0</v>
          </cell>
          <cell r="EP157">
            <v>0</v>
          </cell>
          <cell r="EQ157">
            <v>0</v>
          </cell>
          <cell r="ER157">
            <v>0</v>
          </cell>
        </row>
        <row r="158">
          <cell r="A158" t="str">
            <v>G2K penetration</v>
          </cell>
          <cell r="BR158">
            <v>0.26650000000000001</v>
          </cell>
          <cell r="BS158">
            <v>0.27900000000000003</v>
          </cell>
          <cell r="BT158">
            <v>0.29049999999999998</v>
          </cell>
          <cell r="BU158">
            <v>0.30349999999999999</v>
          </cell>
          <cell r="BV158">
            <v>0.31850000000000001</v>
          </cell>
          <cell r="BW158">
            <v>0.32850000000000001</v>
          </cell>
          <cell r="BX158">
            <v>0.34150000000000003</v>
          </cell>
          <cell r="BY158">
            <v>0.35249999999999998</v>
          </cell>
          <cell r="BZ158">
            <v>0.36699999999999999</v>
          </cell>
          <cell r="CA158">
            <v>0.3805</v>
          </cell>
          <cell r="CB158">
            <v>0.39500000000000002</v>
          </cell>
          <cell r="CC158">
            <v>0.40749999999999997</v>
          </cell>
          <cell r="CD158">
            <v>0.41899999999999998</v>
          </cell>
          <cell r="CE158">
            <v>0.42499999999999999</v>
          </cell>
        </row>
        <row r="159">
          <cell r="A159" t="str">
            <v>% growth y-o-y</v>
          </cell>
          <cell r="V159" t="str">
            <v>NA</v>
          </cell>
          <cell r="Z159" t="str">
            <v>NA</v>
          </cell>
          <cell r="AA159" t="str">
            <v>NA</v>
          </cell>
          <cell r="AB159" t="str">
            <v>NA</v>
          </cell>
          <cell r="AC159" t="str">
            <v>NA</v>
          </cell>
          <cell r="AD159" t="str">
            <v>NA</v>
          </cell>
          <cell r="AE159" t="str">
            <v>NA</v>
          </cell>
          <cell r="AF159" t="str">
            <v>NA</v>
          </cell>
          <cell r="AG159" t="str">
            <v>NA</v>
          </cell>
          <cell r="AH159" t="str">
            <v>NA</v>
          </cell>
          <cell r="AI159" t="str">
            <v>NA</v>
          </cell>
          <cell r="AJ159" t="str">
            <v>NA</v>
          </cell>
          <cell r="AK159" t="str">
            <v>NA</v>
          </cell>
          <cell r="AL159" t="str">
            <v>NA</v>
          </cell>
          <cell r="AM159" t="str">
            <v>NA</v>
          </cell>
          <cell r="AN159" t="str">
            <v>NA</v>
          </cell>
          <cell r="AO159" t="str">
            <v>NA</v>
          </cell>
          <cell r="AP159" t="str">
            <v>NA</v>
          </cell>
          <cell r="AQ159" t="str">
            <v>NA</v>
          </cell>
          <cell r="AR159" t="str">
            <v>NA</v>
          </cell>
          <cell r="AS159" t="str">
            <v>NA</v>
          </cell>
          <cell r="AT159" t="str">
            <v>NA</v>
          </cell>
          <cell r="AU159" t="str">
            <v>NA</v>
          </cell>
          <cell r="AV159" t="str">
            <v>NA</v>
          </cell>
          <cell r="AW159" t="str">
            <v>NA</v>
          </cell>
          <cell r="AX159" t="str">
            <v>NA</v>
          </cell>
          <cell r="AY159" t="str">
            <v>NA</v>
          </cell>
          <cell r="AZ159">
            <v>-1</v>
          </cell>
          <cell r="BA159" t="str">
            <v>NA</v>
          </cell>
          <cell r="BB159" t="str">
            <v>NA</v>
          </cell>
          <cell r="BC159" t="str">
            <v>NA</v>
          </cell>
          <cell r="BD159" t="str">
            <v>NA</v>
          </cell>
          <cell r="BE159" t="str">
            <v>NA</v>
          </cell>
          <cell r="BF159" t="str">
            <v>NA</v>
          </cell>
          <cell r="BG159" t="str">
            <v>NA</v>
          </cell>
          <cell r="BH159" t="str">
            <v>NA</v>
          </cell>
          <cell r="BI159" t="str">
            <v>NA</v>
          </cell>
          <cell r="BJ159" t="str">
            <v>NA</v>
          </cell>
          <cell r="BK159" t="str">
            <v>NA</v>
          </cell>
          <cell r="BL159" t="str">
            <v>NA</v>
          </cell>
          <cell r="BM159" t="str">
            <v>NA</v>
          </cell>
          <cell r="BN159" t="str">
            <v>NA</v>
          </cell>
          <cell r="BO159" t="str">
            <v>NA</v>
          </cell>
          <cell r="BP159" t="str">
            <v>NA</v>
          </cell>
          <cell r="BQ159" t="str">
            <v>NA</v>
          </cell>
          <cell r="BR159" t="str">
            <v>NA</v>
          </cell>
          <cell r="BS159" t="str">
            <v>NA</v>
          </cell>
          <cell r="BT159" t="str">
            <v>NA</v>
          </cell>
          <cell r="BU159" t="str">
            <v>NA</v>
          </cell>
          <cell r="BV159">
            <v>0.19512195121951215</v>
          </cell>
          <cell r="BW159">
            <v>0.17741935483870974</v>
          </cell>
          <cell r="BX159">
            <v>0.17555938037865748</v>
          </cell>
          <cell r="BY159">
            <v>0.16144975288303121</v>
          </cell>
          <cell r="BZ159">
            <v>0.15227629513343799</v>
          </cell>
          <cell r="CA159">
            <v>0.15829528158295281</v>
          </cell>
          <cell r="CB159">
            <v>0.15666178623718885</v>
          </cell>
          <cell r="CC159">
            <v>0.15602836879432624</v>
          </cell>
          <cell r="CD159">
            <v>0.14168937329700282</v>
          </cell>
          <cell r="CE159">
            <v>0.11695137976346914</v>
          </cell>
          <cell r="DQ159" t="str">
            <v>NA</v>
          </cell>
          <cell r="DR159" t="str">
            <v>NA</v>
          </cell>
          <cell r="DS159" t="str">
            <v>NA</v>
          </cell>
          <cell r="DT159" t="str">
            <v>NA</v>
          </cell>
          <cell r="DU159" t="str">
            <v>NA</v>
          </cell>
          <cell r="DV159" t="str">
            <v>NA</v>
          </cell>
          <cell r="DW159" t="str">
            <v>NA</v>
          </cell>
          <cell r="DX159" t="str">
            <v>NA</v>
          </cell>
          <cell r="DY159" t="str">
            <v>NA</v>
          </cell>
          <cell r="DZ159" t="str">
            <v>NA</v>
          </cell>
          <cell r="EA159" t="str">
            <v>NA</v>
          </cell>
          <cell r="EB159" t="str">
            <v>NA</v>
          </cell>
          <cell r="EC159" t="str">
            <v>NA</v>
          </cell>
          <cell r="ED159" t="str">
            <v>NA</v>
          </cell>
          <cell r="EE159" t="str">
            <v>NA</v>
          </cell>
          <cell r="EF159" t="str">
            <v>NA</v>
          </cell>
          <cell r="EG159">
            <v>0.19512195121951215</v>
          </cell>
          <cell r="EH159">
            <v>0.15227629513343799</v>
          </cell>
          <cell r="EI159">
            <v>0.14168937329700282</v>
          </cell>
          <cell r="EJ159">
            <v>-1</v>
          </cell>
          <cell r="EK159" t="str">
            <v>NA</v>
          </cell>
          <cell r="EL159" t="str">
            <v>NA</v>
          </cell>
          <cell r="EM159" t="str">
            <v>NA</v>
          </cell>
          <cell r="EN159" t="str">
            <v>NA</v>
          </cell>
          <cell r="EO159" t="str">
            <v>NA</v>
          </cell>
          <cell r="EP159" t="str">
            <v>NA</v>
          </cell>
          <cell r="EQ159" t="str">
            <v>NA</v>
          </cell>
          <cell r="ER159" t="str">
            <v>NA</v>
          </cell>
        </row>
        <row r="160">
          <cell r="A160" t="str">
            <v>% growth seq</v>
          </cell>
          <cell r="V160" t="str">
            <v>NA</v>
          </cell>
          <cell r="Z160" t="str">
            <v>NA</v>
          </cell>
          <cell r="AA160" t="str">
            <v>NA</v>
          </cell>
          <cell r="AB160" t="str">
            <v>NA</v>
          </cell>
          <cell r="AC160" t="str">
            <v>NA</v>
          </cell>
          <cell r="AD160" t="str">
            <v>NA</v>
          </cell>
          <cell r="AE160" t="str">
            <v>NA</v>
          </cell>
          <cell r="AF160" t="str">
            <v>NA</v>
          </cell>
          <cell r="AG160" t="str">
            <v>NA</v>
          </cell>
          <cell r="AH160" t="str">
            <v>NA</v>
          </cell>
          <cell r="AI160" t="str">
            <v>NA</v>
          </cell>
          <cell r="AJ160" t="str">
            <v>NA</v>
          </cell>
          <cell r="AK160" t="str">
            <v>NA</v>
          </cell>
          <cell r="AL160" t="str">
            <v>NA</v>
          </cell>
          <cell r="AM160" t="str">
            <v>NA</v>
          </cell>
          <cell r="AN160" t="str">
            <v>NA</v>
          </cell>
          <cell r="AO160" t="str">
            <v>NA</v>
          </cell>
          <cell r="AP160" t="str">
            <v>NA</v>
          </cell>
          <cell r="AQ160" t="str">
            <v>NA</v>
          </cell>
          <cell r="AR160" t="str">
            <v>NA</v>
          </cell>
          <cell r="AS160" t="str">
            <v>NA</v>
          </cell>
          <cell r="AT160" t="str">
            <v>NA</v>
          </cell>
          <cell r="AU160" t="str">
            <v>NA</v>
          </cell>
          <cell r="AV160" t="str">
            <v>NA</v>
          </cell>
          <cell r="AW160">
            <v>-1</v>
          </cell>
          <cell r="AX160" t="str">
            <v>NA</v>
          </cell>
          <cell r="AY160" t="str">
            <v>NA</v>
          </cell>
          <cell r="AZ160" t="str">
            <v>NA</v>
          </cell>
          <cell r="BA160" t="str">
            <v>NA</v>
          </cell>
          <cell r="BB160" t="str">
            <v>NA</v>
          </cell>
          <cell r="BC160" t="str">
            <v>NA</v>
          </cell>
          <cell r="BD160" t="str">
            <v>NA</v>
          </cell>
          <cell r="BE160" t="str">
            <v>NA</v>
          </cell>
          <cell r="BF160" t="str">
            <v>NA</v>
          </cell>
          <cell r="BG160" t="str">
            <v>NA</v>
          </cell>
          <cell r="BH160" t="str">
            <v>NA</v>
          </cell>
          <cell r="BI160" t="str">
            <v>NA</v>
          </cell>
          <cell r="BJ160" t="str">
            <v>NA</v>
          </cell>
          <cell r="BK160" t="str">
            <v>NA</v>
          </cell>
          <cell r="BL160" t="str">
            <v>NA</v>
          </cell>
          <cell r="BM160" t="str">
            <v>NA</v>
          </cell>
          <cell r="BN160" t="str">
            <v>NA</v>
          </cell>
          <cell r="BO160" t="str">
            <v>NA</v>
          </cell>
          <cell r="BP160" t="str">
            <v>NA</v>
          </cell>
          <cell r="BQ160" t="str">
            <v>NA</v>
          </cell>
          <cell r="BR160" t="str">
            <v>NA</v>
          </cell>
          <cell r="BS160">
            <v>4.6904315196998114E-2</v>
          </cell>
          <cell r="BT160">
            <v>4.1218637992831431E-2</v>
          </cell>
          <cell r="BU160">
            <v>4.4750430292598953E-2</v>
          </cell>
          <cell r="BV160">
            <v>4.9423393739703503E-2</v>
          </cell>
          <cell r="BW160">
            <v>3.1397174254317095E-2</v>
          </cell>
          <cell r="BX160">
            <v>3.9573820395738313E-2</v>
          </cell>
          <cell r="BY160">
            <v>3.2210834553440648E-2</v>
          </cell>
          <cell r="BZ160">
            <v>4.1134751773049594E-2</v>
          </cell>
          <cell r="CA160">
            <v>3.6784741144414212E-2</v>
          </cell>
          <cell r="CB160">
            <v>3.8107752956636043E-2</v>
          </cell>
          <cell r="CC160">
            <v>3.1645569620253111E-2</v>
          </cell>
          <cell r="CD160">
            <v>2.8220858895705581E-2</v>
          </cell>
          <cell r="CE160">
            <v>1.4319809069212486E-2</v>
          </cell>
        </row>
        <row r="162">
          <cell r="A162" t="str">
            <v>Net G2K adds</v>
          </cell>
          <cell r="BO162">
            <v>0</v>
          </cell>
          <cell r="BP162">
            <v>0</v>
          </cell>
          <cell r="BQ162">
            <v>0</v>
          </cell>
          <cell r="BR162">
            <v>0</v>
          </cell>
          <cell r="BS162">
            <v>25</v>
          </cell>
          <cell r="BT162">
            <v>23</v>
          </cell>
          <cell r="BU162">
            <v>26</v>
          </cell>
          <cell r="BV162">
            <v>30</v>
          </cell>
          <cell r="BW162">
            <v>20</v>
          </cell>
          <cell r="BX162">
            <v>26</v>
          </cell>
          <cell r="BY162">
            <v>22</v>
          </cell>
          <cell r="BZ162">
            <v>29</v>
          </cell>
          <cell r="CA162">
            <v>27</v>
          </cell>
          <cell r="CB162">
            <v>29</v>
          </cell>
          <cell r="CC162">
            <v>25</v>
          </cell>
          <cell r="CD162">
            <v>23</v>
          </cell>
          <cell r="CE162">
            <v>12</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533</v>
          </cell>
          <cell r="EG162">
            <v>104</v>
          </cell>
          <cell r="EH162">
            <v>97</v>
          </cell>
          <cell r="EI162">
            <v>104</v>
          </cell>
          <cell r="EJ162">
            <v>-838</v>
          </cell>
          <cell r="EK162">
            <v>0</v>
          </cell>
          <cell r="EL162">
            <v>0</v>
          </cell>
          <cell r="EM162">
            <v>0</v>
          </cell>
          <cell r="EN162">
            <v>0</v>
          </cell>
          <cell r="EO162">
            <v>0</v>
          </cell>
          <cell r="EP162">
            <v>0</v>
          </cell>
          <cell r="EQ162">
            <v>0</v>
          </cell>
          <cell r="ER162">
            <v>0</v>
          </cell>
        </row>
        <row r="163">
          <cell r="A163" t="str">
            <v>% growth y-o-y</v>
          </cell>
          <cell r="V163" t="str">
            <v>NA</v>
          </cell>
          <cell r="Z163" t="str">
            <v>NA</v>
          </cell>
          <cell r="AA163" t="str">
            <v>NA</v>
          </cell>
          <cell r="AB163" t="str">
            <v>NA</v>
          </cell>
          <cell r="AC163" t="str">
            <v>NA</v>
          </cell>
          <cell r="AD163" t="str">
            <v>NA</v>
          </cell>
          <cell r="AE163" t="str">
            <v>NA</v>
          </cell>
          <cell r="AF163" t="str">
            <v>NA</v>
          </cell>
          <cell r="AG163" t="str">
            <v>NA</v>
          </cell>
          <cell r="AH163" t="str">
            <v>NA</v>
          </cell>
          <cell r="AI163" t="str">
            <v>NA</v>
          </cell>
          <cell r="AJ163" t="str">
            <v>NA</v>
          </cell>
          <cell r="AK163" t="str">
            <v>NA</v>
          </cell>
          <cell r="AL163" t="str">
            <v>NA</v>
          </cell>
          <cell r="AM163" t="str">
            <v>NA</v>
          </cell>
          <cell r="AN163" t="str">
            <v>NA</v>
          </cell>
          <cell r="AO163" t="str">
            <v>NA</v>
          </cell>
          <cell r="AP163" t="str">
            <v>NA</v>
          </cell>
          <cell r="AQ163" t="str">
            <v>NA</v>
          </cell>
          <cell r="AR163" t="str">
            <v>NA</v>
          </cell>
          <cell r="AS163" t="str">
            <v>NA</v>
          </cell>
          <cell r="AT163" t="str">
            <v>NA</v>
          </cell>
          <cell r="AU163" t="str">
            <v>NA</v>
          </cell>
          <cell r="AV163" t="str">
            <v>NA</v>
          </cell>
          <cell r="AW163" t="str">
            <v>NA</v>
          </cell>
          <cell r="AX163" t="str">
            <v>NA</v>
          </cell>
          <cell r="AY163" t="str">
            <v>NA</v>
          </cell>
          <cell r="AZ163" t="str">
            <v>NA</v>
          </cell>
          <cell r="BA163" t="str">
            <v>NA</v>
          </cell>
          <cell r="BB163" t="str">
            <v>NA</v>
          </cell>
          <cell r="BC163" t="str">
            <v>NA</v>
          </cell>
          <cell r="BD163" t="str">
            <v>NA</v>
          </cell>
          <cell r="BE163" t="str">
            <v>NA</v>
          </cell>
          <cell r="BF163" t="str">
            <v>NA</v>
          </cell>
          <cell r="BG163" t="str">
            <v>NA</v>
          </cell>
          <cell r="BH163" t="str">
            <v>NA</v>
          </cell>
          <cell r="BI163" t="str">
            <v>NA</v>
          </cell>
          <cell r="BJ163" t="str">
            <v>NA</v>
          </cell>
          <cell r="BK163" t="str">
            <v>NA</v>
          </cell>
          <cell r="BL163" t="str">
            <v>NA</v>
          </cell>
          <cell r="BM163" t="str">
            <v>NA</v>
          </cell>
          <cell r="BN163" t="str">
            <v>NA</v>
          </cell>
          <cell r="BO163" t="str">
            <v>NA</v>
          </cell>
          <cell r="BP163" t="str">
            <v>NA</v>
          </cell>
          <cell r="BQ163" t="str">
            <v>NA</v>
          </cell>
          <cell r="BR163" t="str">
            <v>NA</v>
          </cell>
          <cell r="BS163" t="str">
            <v>NA</v>
          </cell>
          <cell r="BT163" t="str">
            <v>NA</v>
          </cell>
          <cell r="BU163" t="str">
            <v>NA</v>
          </cell>
          <cell r="BV163" t="str">
            <v>NA</v>
          </cell>
          <cell r="BW163">
            <v>-0.19999999999999996</v>
          </cell>
          <cell r="BX163">
            <v>0.13043478260869557</v>
          </cell>
          <cell r="BY163">
            <v>-0.15384615384615385</v>
          </cell>
          <cell r="BZ163">
            <v>-3.3333333333333326E-2</v>
          </cell>
          <cell r="CA163">
            <v>0.35000000000000009</v>
          </cell>
          <cell r="CB163">
            <v>0.11538461538461542</v>
          </cell>
          <cell r="CC163">
            <v>0.13636363636363646</v>
          </cell>
          <cell r="CD163">
            <v>-0.2068965517241379</v>
          </cell>
          <cell r="CE163">
            <v>-0.55555555555555558</v>
          </cell>
          <cell r="DQ163" t="str">
            <v>NA</v>
          </cell>
          <cell r="DR163" t="str">
            <v>NA</v>
          </cell>
          <cell r="DS163" t="str">
            <v>NA</v>
          </cell>
          <cell r="DT163" t="str">
            <v>NA</v>
          </cell>
          <cell r="DU163" t="str">
            <v>NA</v>
          </cell>
          <cell r="DV163" t="str">
            <v>NA</v>
          </cell>
          <cell r="DW163" t="str">
            <v>NA</v>
          </cell>
          <cell r="DX163" t="str">
            <v>NA</v>
          </cell>
          <cell r="DY163" t="str">
            <v>NA</v>
          </cell>
          <cell r="DZ163" t="str">
            <v>NA</v>
          </cell>
          <cell r="EA163" t="str">
            <v>NA</v>
          </cell>
          <cell r="EB163" t="str">
            <v>NA</v>
          </cell>
          <cell r="EC163" t="str">
            <v>NA</v>
          </cell>
          <cell r="ED163" t="str">
            <v>NA</v>
          </cell>
          <cell r="EE163" t="str">
            <v>NA</v>
          </cell>
          <cell r="EF163" t="str">
            <v>NA</v>
          </cell>
          <cell r="EG163">
            <v>-0.80487804878048785</v>
          </cell>
          <cell r="EH163">
            <v>-6.7307692307692291E-2</v>
          </cell>
          <cell r="EI163">
            <v>7.2164948453608213E-2</v>
          </cell>
          <cell r="EJ163">
            <v>-9.0576923076923084</v>
          </cell>
          <cell r="EK163">
            <v>-1</v>
          </cell>
          <cell r="EL163" t="str">
            <v>NA</v>
          </cell>
          <cell r="EM163" t="str">
            <v>NA</v>
          </cell>
          <cell r="EN163" t="str">
            <v>NA</v>
          </cell>
          <cell r="EO163" t="str">
            <v>NA</v>
          </cell>
          <cell r="EP163" t="str">
            <v>NA</v>
          </cell>
          <cell r="EQ163" t="str">
            <v>NA</v>
          </cell>
          <cell r="ER163" t="str">
            <v>NA</v>
          </cell>
        </row>
        <row r="164">
          <cell r="A164" t="str">
            <v>% growth seq</v>
          </cell>
          <cell r="V164" t="str">
            <v>NA</v>
          </cell>
          <cell r="Z164" t="str">
            <v>NA</v>
          </cell>
          <cell r="AA164" t="str">
            <v>NA</v>
          </cell>
          <cell r="AB164" t="str">
            <v>NA</v>
          </cell>
          <cell r="AC164" t="str">
            <v>NA</v>
          </cell>
          <cell r="AD164" t="str">
            <v>NA</v>
          </cell>
          <cell r="AE164" t="str">
            <v>NA</v>
          </cell>
          <cell r="AF164" t="str">
            <v>NA</v>
          </cell>
          <cell r="AG164" t="str">
            <v>NA</v>
          </cell>
          <cell r="AH164" t="str">
            <v>NA</v>
          </cell>
          <cell r="AI164" t="str">
            <v>NA</v>
          </cell>
          <cell r="AJ164" t="str">
            <v>NA</v>
          </cell>
          <cell r="AK164" t="str">
            <v>NA</v>
          </cell>
          <cell r="AL164" t="str">
            <v>NA</v>
          </cell>
          <cell r="AM164" t="str">
            <v>NA</v>
          </cell>
          <cell r="AN164" t="str">
            <v>NA</v>
          </cell>
          <cell r="AO164" t="str">
            <v>NA</v>
          </cell>
          <cell r="AP164" t="str">
            <v>NA</v>
          </cell>
          <cell r="AQ164" t="str">
            <v>NA</v>
          </cell>
          <cell r="AR164" t="str">
            <v>NA</v>
          </cell>
          <cell r="AS164" t="str">
            <v>NA</v>
          </cell>
          <cell r="AT164" t="str">
            <v>NA</v>
          </cell>
          <cell r="AU164" t="str">
            <v>NA</v>
          </cell>
          <cell r="AV164" t="str">
            <v>NA</v>
          </cell>
          <cell r="AW164" t="str">
            <v>NA</v>
          </cell>
          <cell r="AX164" t="str">
            <v>NA</v>
          </cell>
          <cell r="AY164" t="str">
            <v>NA</v>
          </cell>
          <cell r="AZ164" t="str">
            <v>NA</v>
          </cell>
          <cell r="BA164" t="str">
            <v>NA</v>
          </cell>
          <cell r="BB164" t="str">
            <v>NA</v>
          </cell>
          <cell r="BC164" t="str">
            <v>NA</v>
          </cell>
          <cell r="BD164" t="str">
            <v>NA</v>
          </cell>
          <cell r="BE164" t="str">
            <v>NA</v>
          </cell>
          <cell r="BF164" t="str">
            <v>NA</v>
          </cell>
          <cell r="BG164" t="str">
            <v>NA</v>
          </cell>
          <cell r="BH164" t="str">
            <v>NA</v>
          </cell>
          <cell r="BI164" t="str">
            <v>NA</v>
          </cell>
          <cell r="BJ164" t="str">
            <v>NA</v>
          </cell>
          <cell r="BK164" t="str">
            <v>NA</v>
          </cell>
          <cell r="BL164" t="str">
            <v>NA</v>
          </cell>
          <cell r="BM164" t="str">
            <v>NA</v>
          </cell>
          <cell r="BN164" t="str">
            <v>NA</v>
          </cell>
          <cell r="BO164" t="str">
            <v>NA</v>
          </cell>
          <cell r="BP164" t="str">
            <v>NA</v>
          </cell>
          <cell r="BQ164" t="str">
            <v>NA</v>
          </cell>
          <cell r="BR164" t="str">
            <v>NA</v>
          </cell>
          <cell r="BS164" t="str">
            <v>NA</v>
          </cell>
          <cell r="BT164">
            <v>-7.999999999999996E-2</v>
          </cell>
          <cell r="BU164">
            <v>0.13043478260869557</v>
          </cell>
          <cell r="BV164">
            <v>0.15384615384615374</v>
          </cell>
          <cell r="BW164">
            <v>-0.33333333333333337</v>
          </cell>
          <cell r="BX164">
            <v>0.30000000000000004</v>
          </cell>
          <cell r="BY164">
            <v>-0.15384615384615385</v>
          </cell>
          <cell r="BZ164">
            <v>0.31818181818181812</v>
          </cell>
          <cell r="CA164">
            <v>-6.8965517241379337E-2</v>
          </cell>
          <cell r="CB164">
            <v>7.4074074074074181E-2</v>
          </cell>
          <cell r="CC164">
            <v>-0.13793103448275867</v>
          </cell>
          <cell r="CD164">
            <v>-7.999999999999996E-2</v>
          </cell>
          <cell r="CE164">
            <v>-0.47826086956521741</v>
          </cell>
        </row>
        <row r="166">
          <cell r="A166" t="str">
            <v>ACV/G2K</v>
          </cell>
          <cell r="BR166">
            <v>723</v>
          </cell>
          <cell r="BS166">
            <v>753</v>
          </cell>
          <cell r="BT166">
            <v>803</v>
          </cell>
          <cell r="BU166">
            <v>832</v>
          </cell>
          <cell r="BV166">
            <v>882</v>
          </cell>
          <cell r="BW166">
            <v>916</v>
          </cell>
          <cell r="BX166">
            <v>940</v>
          </cell>
          <cell r="BY166">
            <v>1001</v>
          </cell>
          <cell r="BZ166">
            <v>1101</v>
          </cell>
          <cell r="CA166">
            <v>1122</v>
          </cell>
          <cell r="CB166">
            <v>1149</v>
          </cell>
          <cell r="CC166">
            <v>1187</v>
          </cell>
          <cell r="CD166">
            <v>1309</v>
          </cell>
          <cell r="CE166">
            <v>1365</v>
          </cell>
          <cell r="DP166">
            <v>0</v>
          </cell>
          <cell r="DQ166">
            <v>0</v>
          </cell>
          <cell r="DR166">
            <v>0</v>
          </cell>
          <cell r="DS166">
            <v>0</v>
          </cell>
          <cell r="DT166">
            <v>0</v>
          </cell>
          <cell r="DU166">
            <v>0</v>
          </cell>
          <cell r="DV166">
            <v>0</v>
          </cell>
          <cell r="DW166">
            <v>0</v>
          </cell>
          <cell r="DX166">
            <v>0</v>
          </cell>
          <cell r="DY166">
            <v>0</v>
          </cell>
          <cell r="DZ166">
            <v>0</v>
          </cell>
          <cell r="EA166">
            <v>0</v>
          </cell>
          <cell r="EB166">
            <v>0</v>
          </cell>
          <cell r="EC166">
            <v>0</v>
          </cell>
          <cell r="ED166">
            <v>0</v>
          </cell>
          <cell r="EE166">
            <v>0</v>
          </cell>
          <cell r="EF166">
            <v>723</v>
          </cell>
          <cell r="EG166">
            <v>882</v>
          </cell>
          <cell r="EH166">
            <v>1101</v>
          </cell>
          <cell r="EI166">
            <v>1309</v>
          </cell>
          <cell r="EJ166">
            <v>0</v>
          </cell>
          <cell r="EK166">
            <v>0</v>
          </cell>
          <cell r="EL166">
            <v>0</v>
          </cell>
          <cell r="EM166">
            <v>0</v>
          </cell>
          <cell r="EN166">
            <v>0</v>
          </cell>
          <cell r="EO166">
            <v>0</v>
          </cell>
          <cell r="EP166">
            <v>0</v>
          </cell>
          <cell r="EQ166">
            <v>0</v>
          </cell>
          <cell r="ER166">
            <v>0</v>
          </cell>
        </row>
        <row r="167">
          <cell r="A167" t="str">
            <v>% growth y-o-y</v>
          </cell>
          <cell r="V167" t="str">
            <v>NA</v>
          </cell>
          <cell r="Z167" t="str">
            <v>NA</v>
          </cell>
          <cell r="AA167" t="str">
            <v>NA</v>
          </cell>
          <cell r="AB167" t="str">
            <v>NA</v>
          </cell>
          <cell r="AC167" t="str">
            <v>NA</v>
          </cell>
          <cell r="AD167" t="str">
            <v>NA</v>
          </cell>
          <cell r="AE167" t="str">
            <v>NA</v>
          </cell>
          <cell r="AF167" t="str">
            <v>NA</v>
          </cell>
          <cell r="AG167" t="str">
            <v>NA</v>
          </cell>
          <cell r="AH167" t="str">
            <v>NA</v>
          </cell>
          <cell r="AI167" t="str">
            <v>NA</v>
          </cell>
          <cell r="AJ167" t="str">
            <v>NA</v>
          </cell>
          <cell r="AK167" t="str">
            <v>NA</v>
          </cell>
          <cell r="AL167" t="str">
            <v>NA</v>
          </cell>
          <cell r="AM167" t="str">
            <v>NA</v>
          </cell>
          <cell r="AN167" t="str">
            <v>NA</v>
          </cell>
          <cell r="AO167" t="str">
            <v>NA</v>
          </cell>
          <cell r="AP167" t="str">
            <v>NA</v>
          </cell>
          <cell r="AQ167" t="str">
            <v>NA</v>
          </cell>
          <cell r="AR167" t="str">
            <v>NA</v>
          </cell>
          <cell r="AS167" t="str">
            <v>NA</v>
          </cell>
          <cell r="AT167" t="str">
            <v>NA</v>
          </cell>
          <cell r="AU167" t="str">
            <v>NA</v>
          </cell>
          <cell r="AV167" t="str">
            <v>NA</v>
          </cell>
          <cell r="AW167" t="str">
            <v>NA</v>
          </cell>
          <cell r="AX167" t="str">
            <v>NA</v>
          </cell>
          <cell r="AY167" t="str">
            <v>NA</v>
          </cell>
          <cell r="AZ167" t="str">
            <v>NA</v>
          </cell>
          <cell r="BA167" t="str">
            <v>NA</v>
          </cell>
          <cell r="BB167" t="str">
            <v>NA</v>
          </cell>
          <cell r="BC167" t="str">
            <v>NA</v>
          </cell>
          <cell r="BD167" t="str">
            <v>NA</v>
          </cell>
          <cell r="BE167" t="str">
            <v>NA</v>
          </cell>
          <cell r="BF167" t="str">
            <v>NA</v>
          </cell>
          <cell r="BG167" t="str">
            <v>NA</v>
          </cell>
          <cell r="BH167" t="str">
            <v>NA</v>
          </cell>
          <cell r="BI167" t="str">
            <v>NA</v>
          </cell>
          <cell r="BJ167" t="str">
            <v>NA</v>
          </cell>
          <cell r="BK167" t="str">
            <v>NA</v>
          </cell>
          <cell r="BL167" t="str">
            <v>NA</v>
          </cell>
          <cell r="BM167" t="str">
            <v>NA</v>
          </cell>
          <cell r="BN167" t="str">
            <v>NA</v>
          </cell>
          <cell r="BO167" t="str">
            <v>NA</v>
          </cell>
          <cell r="BP167" t="str">
            <v>NA</v>
          </cell>
          <cell r="BQ167" t="str">
            <v>NA</v>
          </cell>
          <cell r="BR167" t="str">
            <v>NA</v>
          </cell>
          <cell r="BS167" t="str">
            <v>NA</v>
          </cell>
          <cell r="BT167" t="str">
            <v>NA</v>
          </cell>
          <cell r="BU167" t="str">
            <v>NA</v>
          </cell>
          <cell r="BV167">
            <v>0.21991701244813289</v>
          </cell>
          <cell r="BW167">
            <v>0.2164674634794157</v>
          </cell>
          <cell r="BX167">
            <v>0.17061021170610213</v>
          </cell>
          <cell r="BY167">
            <v>0.203125</v>
          </cell>
          <cell r="BZ167">
            <v>0.2482993197278911</v>
          </cell>
          <cell r="CA167">
            <v>0.22489082969432306</v>
          </cell>
          <cell r="CB167">
            <v>0.2223404255319148</v>
          </cell>
          <cell r="CC167">
            <v>0.18581418581418574</v>
          </cell>
          <cell r="CD167">
            <v>0.18891916439600354</v>
          </cell>
          <cell r="CE167">
            <v>0.21657754010695185</v>
          </cell>
          <cell r="DQ167" t="str">
            <v>NA</v>
          </cell>
          <cell r="DR167" t="str">
            <v>NA</v>
          </cell>
          <cell r="DS167" t="str">
            <v>NA</v>
          </cell>
          <cell r="DT167" t="str">
            <v>NA</v>
          </cell>
          <cell r="DU167" t="str">
            <v>NA</v>
          </cell>
          <cell r="DV167" t="str">
            <v>NA</v>
          </cell>
          <cell r="DW167" t="str">
            <v>NA</v>
          </cell>
          <cell r="DX167" t="str">
            <v>NA</v>
          </cell>
          <cell r="DY167" t="str">
            <v>NA</v>
          </cell>
          <cell r="DZ167" t="str">
            <v>NA</v>
          </cell>
          <cell r="EA167" t="str">
            <v>NA</v>
          </cell>
          <cell r="EB167" t="str">
            <v>NA</v>
          </cell>
          <cell r="EC167" t="str">
            <v>NA</v>
          </cell>
          <cell r="ED167" t="str">
            <v>NA</v>
          </cell>
          <cell r="EE167" t="str">
            <v>NA</v>
          </cell>
          <cell r="EF167" t="str">
            <v>NA</v>
          </cell>
          <cell r="EG167">
            <v>0.21991701244813289</v>
          </cell>
          <cell r="EH167">
            <v>0.2482993197278911</v>
          </cell>
          <cell r="EI167">
            <v>0.18891916439600354</v>
          </cell>
          <cell r="EJ167">
            <v>-1</v>
          </cell>
          <cell r="EK167" t="str">
            <v>NA</v>
          </cell>
          <cell r="EL167" t="str">
            <v>NA</v>
          </cell>
          <cell r="EM167" t="str">
            <v>NA</v>
          </cell>
          <cell r="EN167" t="str">
            <v>NA</v>
          </cell>
          <cell r="EO167" t="str">
            <v>NA</v>
          </cell>
          <cell r="EP167" t="str">
            <v>NA</v>
          </cell>
          <cell r="EQ167" t="str">
            <v>NA</v>
          </cell>
          <cell r="ER167" t="str">
            <v>NA</v>
          </cell>
        </row>
        <row r="168">
          <cell r="A168" t="str">
            <v>% growth seq</v>
          </cell>
          <cell r="V168" t="str">
            <v>NA</v>
          </cell>
          <cell r="Z168" t="str">
            <v>NA</v>
          </cell>
          <cell r="AA168" t="str">
            <v>NA</v>
          </cell>
          <cell r="AB168" t="str">
            <v>NA</v>
          </cell>
          <cell r="AC168" t="str">
            <v>NA</v>
          </cell>
          <cell r="AD168" t="str">
            <v>NA</v>
          </cell>
          <cell r="AE168" t="str">
            <v>NA</v>
          </cell>
          <cell r="AF168" t="str">
            <v>NA</v>
          </cell>
          <cell r="AG168" t="str">
            <v>NA</v>
          </cell>
          <cell r="AH168" t="str">
            <v>NA</v>
          </cell>
          <cell r="AI168" t="str">
            <v>NA</v>
          </cell>
          <cell r="AJ168" t="str">
            <v>NA</v>
          </cell>
          <cell r="AK168" t="str">
            <v>NA</v>
          </cell>
          <cell r="AL168" t="str">
            <v>NA</v>
          </cell>
          <cell r="AM168" t="str">
            <v>NA</v>
          </cell>
          <cell r="AN168" t="str">
            <v>NA</v>
          </cell>
          <cell r="AO168" t="str">
            <v>NA</v>
          </cell>
          <cell r="AP168" t="str">
            <v>NA</v>
          </cell>
          <cell r="AQ168" t="str">
            <v>NA</v>
          </cell>
          <cell r="AR168" t="str">
            <v>NA</v>
          </cell>
          <cell r="AS168" t="str">
            <v>NA</v>
          </cell>
          <cell r="AT168" t="str">
            <v>NA</v>
          </cell>
          <cell r="AU168" t="str">
            <v>NA</v>
          </cell>
          <cell r="AV168" t="str">
            <v>NA</v>
          </cell>
          <cell r="AW168" t="str">
            <v>NA</v>
          </cell>
          <cell r="AX168" t="str">
            <v>NA</v>
          </cell>
          <cell r="AY168" t="str">
            <v>NA</v>
          </cell>
          <cell r="AZ168" t="str">
            <v>NA</v>
          </cell>
          <cell r="BA168" t="str">
            <v>NA</v>
          </cell>
          <cell r="BB168" t="str">
            <v>NA</v>
          </cell>
          <cell r="BC168" t="str">
            <v>NA</v>
          </cell>
          <cell r="BD168" t="str">
            <v>NA</v>
          </cell>
          <cell r="BE168" t="str">
            <v>NA</v>
          </cell>
          <cell r="BF168" t="str">
            <v>NA</v>
          </cell>
          <cell r="BG168" t="str">
            <v>NA</v>
          </cell>
          <cell r="BH168" t="str">
            <v>NA</v>
          </cell>
          <cell r="BI168" t="str">
            <v>NA</v>
          </cell>
          <cell r="BJ168" t="str">
            <v>NA</v>
          </cell>
          <cell r="BK168" t="str">
            <v>NA</v>
          </cell>
          <cell r="BL168" t="str">
            <v>NA</v>
          </cell>
          <cell r="BM168" t="str">
            <v>NA</v>
          </cell>
          <cell r="BN168" t="str">
            <v>NA</v>
          </cell>
          <cell r="BO168" t="str">
            <v>NA</v>
          </cell>
          <cell r="BP168" t="str">
            <v>NA</v>
          </cell>
          <cell r="BQ168" t="str">
            <v>NA</v>
          </cell>
          <cell r="BR168" t="str">
            <v>NA</v>
          </cell>
          <cell r="BS168">
            <v>4.1493775933610033E-2</v>
          </cell>
          <cell r="BT168">
            <v>6.6401062416998613E-2</v>
          </cell>
          <cell r="BU168">
            <v>3.6114570361145626E-2</v>
          </cell>
          <cell r="BV168">
            <v>6.0096153846153744E-2</v>
          </cell>
          <cell r="BW168">
            <v>3.8548752834467015E-2</v>
          </cell>
          <cell r="BX168">
            <v>2.6200873362445476E-2</v>
          </cell>
          <cell r="BY168">
            <v>6.4893617021276606E-2</v>
          </cell>
          <cell r="BZ168">
            <v>9.9900099900099848E-2</v>
          </cell>
          <cell r="CA168">
            <v>1.9073569482288777E-2</v>
          </cell>
          <cell r="CB168">
            <v>2.4064171122994749E-2</v>
          </cell>
          <cell r="CC168">
            <v>3.3072236727589299E-2</v>
          </cell>
          <cell r="CD168">
            <v>0.10278011794439768</v>
          </cell>
          <cell r="CE168">
            <v>4.2780748663101553E-2</v>
          </cell>
        </row>
        <row r="169">
          <cell r="EB169" t="str">
            <v>Subscription revenue/sales &amp; marketing headcount</v>
          </cell>
          <cell r="EC169">
            <v>458206.70661157026</v>
          </cell>
          <cell r="ED169">
            <v>584359.99999999988</v>
          </cell>
          <cell r="EE169">
            <v>568786.99186991877</v>
          </cell>
        </row>
        <row r="171">
          <cell r="C171" t="str">
            <v>Fiscal 1999 by Quarter</v>
          </cell>
          <cell r="G171" t="str">
            <v>Fiscal 2000 by Quarter</v>
          </cell>
          <cell r="K171" t="str">
            <v>Fiscal 2001 by Quarter</v>
          </cell>
          <cell r="O171" t="str">
            <v>Fiscal 2002 by Quarter</v>
          </cell>
          <cell r="S171" t="str">
            <v>Fiscal 2003 by Quarter</v>
          </cell>
          <cell r="W171" t="str">
            <v>Fiscal 2004 by Quarter</v>
          </cell>
          <cell r="AA171" t="str">
            <v>Fiscal 2005 by Quarter</v>
          </cell>
          <cell r="AE171" t="str">
            <v>Fiscal 2006 by Quarter</v>
          </cell>
          <cell r="AI171" t="str">
            <v>Fiscal 2006 by Quarter</v>
          </cell>
          <cell r="AM171" t="str">
            <v>Fiscal 2007 by Quarter</v>
          </cell>
          <cell r="AQ171" t="str">
            <v>Fiscal 2008 by Quarter</v>
          </cell>
          <cell r="AU171" t="str">
            <v>Fiscal 2009 by Quarter</v>
          </cell>
          <cell r="AY171" t="str">
            <v>Fiscal 2010 by Quarter</v>
          </cell>
          <cell r="BC171" t="str">
            <v>Fiscal 2011 by Quarter</v>
          </cell>
          <cell r="BG171" t="str">
            <v>Fiscal 2012 by Quarter</v>
          </cell>
          <cell r="BK171" t="str">
            <v>Fiscal 2013 by Quarter</v>
          </cell>
          <cell r="BO171" t="str">
            <v>Fiscal 2014 by Quarter</v>
          </cell>
          <cell r="BS171" t="str">
            <v>Fiscal 2015 by Quarter</v>
          </cell>
          <cell r="BW171" t="str">
            <v>Fiscal 2016 by Quarter</v>
          </cell>
          <cell r="CA171" t="str">
            <v>Fiscal 2017 by Quarter</v>
          </cell>
          <cell r="CE171" t="str">
            <v>Fiscal 2018 by Quarter</v>
          </cell>
          <cell r="CI171" t="str">
            <v>Fiscal 2019 by Quarter</v>
          </cell>
          <cell r="CM171" t="str">
            <v>Fiscal 2020 by Quarter</v>
          </cell>
          <cell r="CQ171" t="str">
            <v>Fiscal 2021 by Quarter</v>
          </cell>
          <cell r="CU171" t="str">
            <v>Fiscal 2022 by Quarter</v>
          </cell>
          <cell r="CY171" t="str">
            <v>Fiscal 2023 by Quarter</v>
          </cell>
          <cell r="DC171" t="str">
            <v>Fiscal 2024 by Quarter</v>
          </cell>
          <cell r="DG171" t="str">
            <v>Fiscal 2025 by Quarter</v>
          </cell>
          <cell r="DK171" t="str">
            <v>Fiscal 2026 by Quarter</v>
          </cell>
          <cell r="DP171" t="str">
            <v xml:space="preserve"> Fiscal Year Ends December</v>
          </cell>
        </row>
        <row r="172">
          <cell r="C172">
            <v>35886</v>
          </cell>
          <cell r="D172">
            <v>35977</v>
          </cell>
          <cell r="E172">
            <v>36069</v>
          </cell>
          <cell r="F172">
            <v>36161</v>
          </cell>
          <cell r="G172">
            <v>36251</v>
          </cell>
          <cell r="H172">
            <v>36342</v>
          </cell>
          <cell r="I172">
            <v>36434</v>
          </cell>
          <cell r="J172">
            <v>36526</v>
          </cell>
          <cell r="K172">
            <v>36617</v>
          </cell>
          <cell r="L172">
            <v>36708</v>
          </cell>
          <cell r="M172">
            <v>36800</v>
          </cell>
          <cell r="N172">
            <v>36892</v>
          </cell>
          <cell r="O172">
            <v>36982</v>
          </cell>
          <cell r="P172">
            <v>37073</v>
          </cell>
          <cell r="Q172">
            <v>37165</v>
          </cell>
          <cell r="R172">
            <v>37257</v>
          </cell>
          <cell r="S172">
            <v>37348</v>
          </cell>
          <cell r="T172">
            <v>37439</v>
          </cell>
          <cell r="U172">
            <v>37531</v>
          </cell>
          <cell r="V172">
            <v>37623</v>
          </cell>
          <cell r="W172">
            <v>37715</v>
          </cell>
          <cell r="X172">
            <v>37806</v>
          </cell>
          <cell r="Y172">
            <v>37898</v>
          </cell>
          <cell r="Z172">
            <v>37990</v>
          </cell>
          <cell r="AA172">
            <v>38081</v>
          </cell>
          <cell r="AB172">
            <v>38172</v>
          </cell>
          <cell r="AC172">
            <v>38264</v>
          </cell>
          <cell r="AD172">
            <v>38356</v>
          </cell>
          <cell r="AE172">
            <v>38447</v>
          </cell>
          <cell r="AF172">
            <v>38538</v>
          </cell>
          <cell r="AG172">
            <v>38630</v>
          </cell>
          <cell r="AH172">
            <v>38722</v>
          </cell>
          <cell r="AI172">
            <v>38807</v>
          </cell>
          <cell r="AJ172">
            <v>38898</v>
          </cell>
          <cell r="AK172">
            <v>38990</v>
          </cell>
          <cell r="AL172">
            <v>39082</v>
          </cell>
          <cell r="AM172">
            <v>39172</v>
          </cell>
          <cell r="AN172">
            <v>39263</v>
          </cell>
          <cell r="AO172">
            <v>39355</v>
          </cell>
          <cell r="AP172">
            <v>39447</v>
          </cell>
          <cell r="AQ172">
            <v>39538</v>
          </cell>
          <cell r="AR172">
            <v>39629</v>
          </cell>
          <cell r="AS172">
            <v>39721</v>
          </cell>
          <cell r="AT172">
            <v>39813</v>
          </cell>
          <cell r="AU172">
            <v>39903</v>
          </cell>
          <cell r="AV172">
            <v>39994</v>
          </cell>
          <cell r="AW172">
            <v>40086</v>
          </cell>
          <cell r="AX172">
            <v>40178</v>
          </cell>
          <cell r="AY172">
            <v>40268</v>
          </cell>
          <cell r="AZ172">
            <v>40359</v>
          </cell>
          <cell r="BA172">
            <v>40451</v>
          </cell>
          <cell r="BB172">
            <v>40543</v>
          </cell>
          <cell r="BC172">
            <v>40633</v>
          </cell>
          <cell r="BD172">
            <v>40724</v>
          </cell>
          <cell r="BE172">
            <v>40816</v>
          </cell>
          <cell r="BF172">
            <v>40908</v>
          </cell>
          <cell r="BG172">
            <v>40999</v>
          </cell>
          <cell r="BH172">
            <v>41072</v>
          </cell>
          <cell r="BI172">
            <v>41164</v>
          </cell>
          <cell r="BJ172">
            <v>41255</v>
          </cell>
          <cell r="BK172">
            <v>41346</v>
          </cell>
          <cell r="BL172">
            <v>41438</v>
          </cell>
          <cell r="BM172">
            <v>41529</v>
          </cell>
          <cell r="BN172">
            <v>41621</v>
          </cell>
          <cell r="BO172">
            <v>41712</v>
          </cell>
          <cell r="BP172">
            <v>41804</v>
          </cell>
          <cell r="BQ172">
            <v>41894</v>
          </cell>
          <cell r="BR172">
            <v>41987</v>
          </cell>
          <cell r="BS172">
            <v>42078</v>
          </cell>
          <cell r="BT172">
            <v>42170</v>
          </cell>
          <cell r="BU172">
            <v>42262</v>
          </cell>
          <cell r="BV172">
            <v>42353</v>
          </cell>
          <cell r="BW172">
            <v>42445</v>
          </cell>
          <cell r="BX172">
            <v>42537</v>
          </cell>
          <cell r="BY172">
            <v>42629</v>
          </cell>
          <cell r="BZ172">
            <v>42720</v>
          </cell>
          <cell r="CA172">
            <v>42811</v>
          </cell>
          <cell r="CB172">
            <v>42903</v>
          </cell>
          <cell r="CC172">
            <v>42995</v>
          </cell>
          <cell r="CD172">
            <v>43086</v>
          </cell>
          <cell r="CE172">
            <v>43177</v>
          </cell>
          <cell r="CF172">
            <v>43269</v>
          </cell>
          <cell r="CG172">
            <v>43361</v>
          </cell>
          <cell r="CH172">
            <v>43452</v>
          </cell>
          <cell r="CI172">
            <v>43543</v>
          </cell>
          <cell r="CJ172">
            <v>43635</v>
          </cell>
          <cell r="CK172">
            <v>43727</v>
          </cell>
          <cell r="CL172">
            <v>43818</v>
          </cell>
          <cell r="CM172">
            <v>43910</v>
          </cell>
          <cell r="CN172">
            <v>44002</v>
          </cell>
          <cell r="CO172">
            <v>44094</v>
          </cell>
          <cell r="CP172">
            <v>44185</v>
          </cell>
          <cell r="CQ172" t="str">
            <v>Mar-21E</v>
          </cell>
          <cell r="CR172" t="str">
            <v>Jun-21E</v>
          </cell>
          <cell r="CS172" t="str">
            <v>Sep-21E</v>
          </cell>
          <cell r="CT172" t="str">
            <v>Dec-21E</v>
          </cell>
          <cell r="CU172" t="str">
            <v>Mar-22E</v>
          </cell>
          <cell r="CV172" t="str">
            <v>Jun-22E</v>
          </cell>
          <cell r="CW172" t="str">
            <v>Sep-22E</v>
          </cell>
          <cell r="CX172" t="str">
            <v>Dec-22E</v>
          </cell>
          <cell r="CY172" t="str">
            <v>Mar-23E</v>
          </cell>
          <cell r="CZ172" t="str">
            <v>Jun-23E</v>
          </cell>
          <cell r="DA172" t="str">
            <v>Sep-23E</v>
          </cell>
          <cell r="DB172" t="str">
            <v>Dec-23E</v>
          </cell>
          <cell r="DC172" t="str">
            <v>Mar-24E</v>
          </cell>
          <cell r="DD172" t="str">
            <v>Jun-24E</v>
          </cell>
          <cell r="DE172" t="str">
            <v>Sep-24E</v>
          </cell>
          <cell r="DF172" t="str">
            <v>Dec-24E</v>
          </cell>
          <cell r="DG172" t="str">
            <v>Mar-25E</v>
          </cell>
          <cell r="DH172" t="str">
            <v>Jun-25E</v>
          </cell>
          <cell r="DI172" t="str">
            <v>Sep-25E</v>
          </cell>
          <cell r="DJ172" t="str">
            <v>Dec-25E</v>
          </cell>
          <cell r="DK172" t="str">
            <v>Mar-26E</v>
          </cell>
          <cell r="DL172" t="str">
            <v>Jun-26E</v>
          </cell>
          <cell r="DM172" t="str">
            <v>Sep-26E</v>
          </cell>
          <cell r="DN172" t="str">
            <v>Dec-26E</v>
          </cell>
          <cell r="DP172">
            <v>1998</v>
          </cell>
          <cell r="DQ172">
            <v>1999</v>
          </cell>
          <cell r="DR172">
            <v>2000</v>
          </cell>
          <cell r="DS172">
            <v>2001</v>
          </cell>
          <cell r="DT172">
            <v>2002</v>
          </cell>
          <cell r="DU172">
            <v>2003</v>
          </cell>
          <cell r="DV172">
            <v>2004</v>
          </cell>
          <cell r="DW172">
            <v>2005</v>
          </cell>
          <cell r="DX172">
            <v>2006</v>
          </cell>
          <cell r="DY172">
            <v>2007</v>
          </cell>
          <cell r="DZ172">
            <v>2008</v>
          </cell>
          <cell r="EA172">
            <v>2009</v>
          </cell>
          <cell r="EB172">
            <v>2010</v>
          </cell>
          <cell r="EC172">
            <v>2011</v>
          </cell>
          <cell r="ED172">
            <v>2012</v>
          </cell>
          <cell r="EE172">
            <v>2013</v>
          </cell>
          <cell r="EF172">
            <v>2014</v>
          </cell>
          <cell r="EG172">
            <v>2015</v>
          </cell>
          <cell r="EH172">
            <v>2016</v>
          </cell>
          <cell r="EI172">
            <v>2017</v>
          </cell>
          <cell r="EJ172">
            <v>2018</v>
          </cell>
          <cell r="EK172">
            <v>2019</v>
          </cell>
          <cell r="EL172">
            <v>2020</v>
          </cell>
          <cell r="EM172" t="str">
            <v>2021E</v>
          </cell>
          <cell r="EN172" t="str">
            <v>2022E</v>
          </cell>
          <cell r="EO172" t="str">
            <v>2023E</v>
          </cell>
          <cell r="EP172" t="str">
            <v>2024E</v>
          </cell>
          <cell r="EQ172" t="str">
            <v>2025E</v>
          </cell>
          <cell r="ER172" t="str">
            <v>2026E</v>
          </cell>
        </row>
        <row r="173">
          <cell r="A173" t="str">
            <v>RPO</v>
          </cell>
          <cell r="AV173">
            <v>281</v>
          </cell>
          <cell r="BZ173">
            <v>0</v>
          </cell>
          <cell r="CA173">
            <v>0</v>
          </cell>
          <cell r="CB173">
            <v>0</v>
          </cell>
          <cell r="CC173">
            <v>0</v>
          </cell>
          <cell r="CD173">
            <v>0</v>
          </cell>
          <cell r="CE173">
            <v>0</v>
          </cell>
          <cell r="CF173">
            <v>4</v>
          </cell>
          <cell r="CG173">
            <v>4.2</v>
          </cell>
          <cell r="CH173">
            <v>5</v>
          </cell>
          <cell r="CI173">
            <v>5</v>
          </cell>
          <cell r="CJ173">
            <v>5.4</v>
          </cell>
          <cell r="CK173">
            <v>5.5</v>
          </cell>
          <cell r="CL173">
            <v>6.6</v>
          </cell>
          <cell r="CM173">
            <v>6.6</v>
          </cell>
          <cell r="CN173">
            <v>7</v>
          </cell>
          <cell r="CO173">
            <v>7.3</v>
          </cell>
          <cell r="CP173">
            <v>8.9</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5</v>
          </cell>
          <cell r="EK173">
            <v>6.6</v>
          </cell>
          <cell r="EL173">
            <v>8.9</v>
          </cell>
          <cell r="EM173">
            <v>0</v>
          </cell>
          <cell r="EN173">
            <v>0</v>
          </cell>
          <cell r="EO173">
            <v>0</v>
          </cell>
          <cell r="EP173">
            <v>0</v>
          </cell>
          <cell r="EQ173">
            <v>0</v>
          </cell>
          <cell r="ER173">
            <v>0</v>
          </cell>
        </row>
        <row r="174">
          <cell r="A174" t="str">
            <v>% growth y-o-y</v>
          </cell>
          <cell r="V174" t="str">
            <v>NA</v>
          </cell>
          <cell r="Z174" t="str">
            <v>NA</v>
          </cell>
          <cell r="AA174" t="str">
            <v>NA</v>
          </cell>
          <cell r="AB174" t="str">
            <v>NA</v>
          </cell>
          <cell r="AC174" t="str">
            <v>NA</v>
          </cell>
          <cell r="AD174" t="str">
            <v>NA</v>
          </cell>
          <cell r="AE174" t="str">
            <v>NA</v>
          </cell>
          <cell r="AF174" t="str">
            <v>NA</v>
          </cell>
          <cell r="AG174" t="str">
            <v>NA</v>
          </cell>
          <cell r="AH174" t="str">
            <v>NA</v>
          </cell>
          <cell r="AI174" t="str">
            <v>NA</v>
          </cell>
          <cell r="AJ174" t="str">
            <v>NA</v>
          </cell>
          <cell r="AK174" t="str">
            <v>NA</v>
          </cell>
          <cell r="AL174" t="str">
            <v>NA</v>
          </cell>
          <cell r="AM174" t="str">
            <v>NA</v>
          </cell>
          <cell r="AN174" t="str">
            <v>NA</v>
          </cell>
          <cell r="AO174" t="str">
            <v>NA</v>
          </cell>
          <cell r="AP174" t="str">
            <v>NA</v>
          </cell>
          <cell r="AQ174" t="str">
            <v>NA</v>
          </cell>
          <cell r="AR174" t="str">
            <v>NA</v>
          </cell>
          <cell r="AS174" t="str">
            <v>NA</v>
          </cell>
          <cell r="AT174" t="str">
            <v>NA</v>
          </cell>
          <cell r="AU174" t="str">
            <v>NA</v>
          </cell>
          <cell r="AV174" t="str">
            <v>NA</v>
          </cell>
          <cell r="AW174" t="str">
            <v>NA</v>
          </cell>
          <cell r="AX174" t="str">
            <v>NA</v>
          </cell>
          <cell r="AY174" t="str">
            <v>NA</v>
          </cell>
          <cell r="AZ174">
            <v>-1</v>
          </cell>
          <cell r="BA174" t="str">
            <v>NA</v>
          </cell>
          <cell r="BB174" t="str">
            <v>NA</v>
          </cell>
          <cell r="BC174" t="str">
            <v>NA</v>
          </cell>
          <cell r="BD174" t="str">
            <v>NA</v>
          </cell>
          <cell r="BE174" t="str">
            <v>NA</v>
          </cell>
          <cell r="BF174" t="str">
            <v>NA</v>
          </cell>
          <cell r="BG174" t="str">
            <v>NA</v>
          </cell>
          <cell r="BH174" t="str">
            <v>NA</v>
          </cell>
          <cell r="BI174" t="str">
            <v>NA</v>
          </cell>
          <cell r="BJ174" t="str">
            <v>NA</v>
          </cell>
          <cell r="BK174" t="str">
            <v>NA</v>
          </cell>
          <cell r="BL174" t="str">
            <v>NA</v>
          </cell>
          <cell r="BM174" t="str">
            <v>NA</v>
          </cell>
          <cell r="BN174" t="str">
            <v>NA</v>
          </cell>
          <cell r="BO174" t="str">
            <v>NA</v>
          </cell>
          <cell r="BP174" t="str">
            <v>NA</v>
          </cell>
          <cell r="BQ174" t="str">
            <v>NA</v>
          </cell>
          <cell r="BR174" t="str">
            <v>NA</v>
          </cell>
          <cell r="BS174" t="str">
            <v>NA</v>
          </cell>
          <cell r="BT174" t="str">
            <v>NA</v>
          </cell>
          <cell r="BU174" t="str">
            <v>NA</v>
          </cell>
          <cell r="BV174" t="str">
            <v>NA</v>
          </cell>
          <cell r="BW174" t="str">
            <v>NA</v>
          </cell>
          <cell r="BX174" t="str">
            <v>NA</v>
          </cell>
          <cell r="BY174" t="str">
            <v>NA</v>
          </cell>
          <cell r="BZ174" t="str">
            <v>NA</v>
          </cell>
          <cell r="CA174" t="str">
            <v>NA</v>
          </cell>
          <cell r="CB174" t="str">
            <v>NA</v>
          </cell>
          <cell r="CC174" t="str">
            <v>NA</v>
          </cell>
          <cell r="CD174" t="str">
            <v>NA</v>
          </cell>
          <cell r="CE174" t="str">
            <v>NA</v>
          </cell>
          <cell r="CF174" t="str">
            <v>NA</v>
          </cell>
          <cell r="CG174" t="str">
            <v>NA</v>
          </cell>
          <cell r="CH174" t="str">
            <v>NA</v>
          </cell>
          <cell r="CI174" t="str">
            <v>NA</v>
          </cell>
          <cell r="CJ174">
            <v>0.35000000000000009</v>
          </cell>
          <cell r="CK174">
            <v>0.30952380952380953</v>
          </cell>
          <cell r="CL174">
            <v>0.31999999999999984</v>
          </cell>
          <cell r="CM174">
            <v>0.31999999999999984</v>
          </cell>
          <cell r="CN174">
            <v>0.29629629629629628</v>
          </cell>
          <cell r="CO174">
            <v>0.32727272727272716</v>
          </cell>
          <cell r="CP174">
            <v>0.34848484848484862</v>
          </cell>
          <cell r="DQ174" t="str">
            <v>NA</v>
          </cell>
          <cell r="DR174" t="str">
            <v>NA</v>
          </cell>
          <cell r="DS174" t="str">
            <v>NA</v>
          </cell>
          <cell r="DT174" t="str">
            <v>NA</v>
          </cell>
          <cell r="DU174" t="str">
            <v>NA</v>
          </cell>
          <cell r="DV174" t="str">
            <v>NA</v>
          </cell>
          <cell r="DW174" t="str">
            <v>NA</v>
          </cell>
          <cell r="DX174" t="str">
            <v>NA</v>
          </cell>
          <cell r="DY174" t="str">
            <v>NA</v>
          </cell>
          <cell r="DZ174" t="str">
            <v>NA</v>
          </cell>
          <cell r="EA174" t="str">
            <v>NA</v>
          </cell>
          <cell r="EB174" t="str">
            <v>NA</v>
          </cell>
          <cell r="EC174" t="str">
            <v>NA</v>
          </cell>
          <cell r="ED174" t="str">
            <v>NA</v>
          </cell>
          <cell r="EE174" t="str">
            <v>NA</v>
          </cell>
          <cell r="EF174" t="str">
            <v>NA</v>
          </cell>
          <cell r="EG174" t="str">
            <v>NA</v>
          </cell>
          <cell r="EH174" t="str">
            <v>NA</v>
          </cell>
          <cell r="EI174" t="str">
            <v>NA</v>
          </cell>
          <cell r="EJ174" t="str">
            <v>NA</v>
          </cell>
          <cell r="EK174">
            <v>0.31999999999999984</v>
          </cell>
          <cell r="EL174">
            <v>0.34848484848484862</v>
          </cell>
          <cell r="EM174">
            <v>-1</v>
          </cell>
          <cell r="EN174" t="str">
            <v>NA</v>
          </cell>
          <cell r="EO174" t="str">
            <v>NA</v>
          </cell>
          <cell r="EP174" t="str">
            <v>NA</v>
          </cell>
          <cell r="EQ174" t="str">
            <v>NA</v>
          </cell>
          <cell r="ER174" t="str">
            <v>NA</v>
          </cell>
        </row>
        <row r="175">
          <cell r="A175" t="str">
            <v>% growth seq</v>
          </cell>
          <cell r="V175" t="str">
            <v>NA</v>
          </cell>
          <cell r="Z175" t="str">
            <v>NA</v>
          </cell>
          <cell r="AA175" t="str">
            <v>NA</v>
          </cell>
          <cell r="AB175" t="str">
            <v>NA</v>
          </cell>
          <cell r="AC175" t="str">
            <v>NA</v>
          </cell>
          <cell r="AD175" t="str">
            <v>NA</v>
          </cell>
          <cell r="AE175" t="str">
            <v>NA</v>
          </cell>
          <cell r="AF175" t="str">
            <v>NA</v>
          </cell>
          <cell r="AG175" t="str">
            <v>NA</v>
          </cell>
          <cell r="AH175" t="str">
            <v>NA</v>
          </cell>
          <cell r="AI175" t="str">
            <v>NA</v>
          </cell>
          <cell r="AJ175" t="str">
            <v>NA</v>
          </cell>
          <cell r="AK175" t="str">
            <v>NA</v>
          </cell>
          <cell r="AL175" t="str">
            <v>NA</v>
          </cell>
          <cell r="AM175" t="str">
            <v>NA</v>
          </cell>
          <cell r="AN175" t="str">
            <v>NA</v>
          </cell>
          <cell r="AO175" t="str">
            <v>NA</v>
          </cell>
          <cell r="AP175" t="str">
            <v>NA</v>
          </cell>
          <cell r="AQ175" t="str">
            <v>NA</v>
          </cell>
          <cell r="AR175" t="str">
            <v>NA</v>
          </cell>
          <cell r="AS175" t="str">
            <v>NA</v>
          </cell>
          <cell r="AT175" t="str">
            <v>NA</v>
          </cell>
          <cell r="AU175" t="str">
            <v>NA</v>
          </cell>
          <cell r="AV175" t="str">
            <v>NA</v>
          </cell>
          <cell r="AW175">
            <v>-1</v>
          </cell>
          <cell r="AX175" t="str">
            <v>NA</v>
          </cell>
          <cell r="AY175" t="str">
            <v>NA</v>
          </cell>
          <cell r="AZ175" t="str">
            <v>NA</v>
          </cell>
          <cell r="BA175" t="str">
            <v>NA</v>
          </cell>
          <cell r="BB175" t="str">
            <v>NA</v>
          </cell>
          <cell r="BC175" t="str">
            <v>NA</v>
          </cell>
          <cell r="BD175" t="str">
            <v>NA</v>
          </cell>
          <cell r="BE175" t="str">
            <v>NA</v>
          </cell>
          <cell r="BF175" t="str">
            <v>NA</v>
          </cell>
          <cell r="BG175" t="str">
            <v>NA</v>
          </cell>
          <cell r="BH175" t="str">
            <v>NA</v>
          </cell>
          <cell r="BI175" t="str">
            <v>NA</v>
          </cell>
          <cell r="BJ175" t="str">
            <v>NA</v>
          </cell>
          <cell r="BK175" t="str">
            <v>NA</v>
          </cell>
          <cell r="BL175" t="str">
            <v>NA</v>
          </cell>
          <cell r="BM175" t="str">
            <v>NA</v>
          </cell>
          <cell r="BN175" t="str">
            <v>NA</v>
          </cell>
          <cell r="BO175" t="str">
            <v>NA</v>
          </cell>
          <cell r="BP175" t="str">
            <v>NA</v>
          </cell>
          <cell r="BQ175" t="str">
            <v>NA</v>
          </cell>
          <cell r="BR175" t="str">
            <v>NA</v>
          </cell>
          <cell r="BS175" t="str">
            <v>NA</v>
          </cell>
          <cell r="BT175" t="str">
            <v>NA</v>
          </cell>
          <cell r="BU175" t="str">
            <v>NA</v>
          </cell>
          <cell r="BV175" t="str">
            <v>NA</v>
          </cell>
          <cell r="BW175" t="str">
            <v>NA</v>
          </cell>
          <cell r="BX175" t="str">
            <v>NA</v>
          </cell>
          <cell r="BY175" t="str">
            <v>NA</v>
          </cell>
          <cell r="BZ175" t="str">
            <v>NA</v>
          </cell>
          <cell r="CA175" t="str">
            <v>NA</v>
          </cell>
          <cell r="CB175" t="str">
            <v>NA</v>
          </cell>
          <cell r="CC175" t="str">
            <v>NA</v>
          </cell>
          <cell r="CD175" t="str">
            <v>NA</v>
          </cell>
          <cell r="CE175" t="str">
            <v>NA</v>
          </cell>
          <cell r="CF175" t="str">
            <v>NA</v>
          </cell>
          <cell r="CG175">
            <v>5.0000000000000044E-2</v>
          </cell>
          <cell r="CH175">
            <v>0.19047619047619047</v>
          </cell>
          <cell r="CI175">
            <v>0</v>
          </cell>
          <cell r="CJ175">
            <v>8.0000000000000071E-2</v>
          </cell>
          <cell r="CK175">
            <v>1.8518518518518379E-2</v>
          </cell>
          <cell r="CL175">
            <v>0.19999999999999996</v>
          </cell>
          <cell r="CM175">
            <v>0</v>
          </cell>
          <cell r="CN175">
            <v>6.0606060606060552E-2</v>
          </cell>
          <cell r="CO175">
            <v>4.2857142857142927E-2</v>
          </cell>
          <cell r="CP175">
            <v>0.21917808219178081</v>
          </cell>
        </row>
        <row r="177">
          <cell r="A177" t="str">
            <v>Current RPO</v>
          </cell>
          <cell r="CF177">
            <v>2</v>
          </cell>
          <cell r="CG177">
            <v>2.1</v>
          </cell>
          <cell r="CH177">
            <v>2.5</v>
          </cell>
          <cell r="CI177">
            <v>2.5</v>
          </cell>
          <cell r="CJ177">
            <v>2.7</v>
          </cell>
          <cell r="CK177">
            <v>2.8</v>
          </cell>
          <cell r="CL177">
            <v>3.3</v>
          </cell>
          <cell r="CM177">
            <v>3.3</v>
          </cell>
          <cell r="CN177">
            <v>3.5</v>
          </cell>
          <cell r="CO177">
            <v>3.8</v>
          </cell>
          <cell r="CP177">
            <v>4.4000000000000004</v>
          </cell>
        </row>
        <row r="178">
          <cell r="A178" t="str">
            <v>% growth y-o-y</v>
          </cell>
          <cell r="BS178" t="str">
            <v>NA</v>
          </cell>
          <cell r="BT178" t="str">
            <v>NA</v>
          </cell>
          <cell r="BU178" t="str">
            <v>NA</v>
          </cell>
          <cell r="BV178" t="str">
            <v>NA</v>
          </cell>
          <cell r="BW178" t="str">
            <v>NA</v>
          </cell>
          <cell r="BX178" t="str">
            <v>NA</v>
          </cell>
          <cell r="BY178" t="str">
            <v>NA</v>
          </cell>
          <cell r="BZ178" t="str">
            <v>NA</v>
          </cell>
          <cell r="CA178" t="str">
            <v>NA</v>
          </cell>
          <cell r="CB178" t="str">
            <v>NA</v>
          </cell>
          <cell r="CC178" t="str">
            <v>NA</v>
          </cell>
          <cell r="CD178" t="str">
            <v>NA</v>
          </cell>
          <cell r="CE178" t="str">
            <v>NA</v>
          </cell>
          <cell r="CF178" t="str">
            <v>NA</v>
          </cell>
          <cell r="CG178" t="str">
            <v>NA</v>
          </cell>
          <cell r="CH178" t="str">
            <v>NA</v>
          </cell>
          <cell r="CI178" t="str">
            <v>NA</v>
          </cell>
          <cell r="CJ178">
            <v>0.35000000000000009</v>
          </cell>
          <cell r="CK178">
            <v>0.33333333333333326</v>
          </cell>
          <cell r="CL178">
            <v>0.31999999999999984</v>
          </cell>
          <cell r="CM178">
            <v>0.31999999999999984</v>
          </cell>
          <cell r="CN178">
            <v>0.29629629629629628</v>
          </cell>
          <cell r="CO178">
            <v>0.35714285714285721</v>
          </cell>
          <cell r="CP178">
            <v>0.33333333333333348</v>
          </cell>
        </row>
        <row r="179">
          <cell r="A179" t="str">
            <v>% growth seq</v>
          </cell>
          <cell r="BS179" t="str">
            <v>NA</v>
          </cell>
          <cell r="BT179" t="str">
            <v>NA</v>
          </cell>
          <cell r="BU179" t="str">
            <v>NA</v>
          </cell>
          <cell r="BV179" t="str">
            <v>NA</v>
          </cell>
          <cell r="BW179" t="str">
            <v>NA</v>
          </cell>
          <cell r="BX179" t="str">
            <v>NA</v>
          </cell>
          <cell r="BY179" t="str">
            <v>NA</v>
          </cell>
          <cell r="BZ179" t="str">
            <v>NA</v>
          </cell>
          <cell r="CA179" t="str">
            <v>NA</v>
          </cell>
          <cell r="CB179" t="str">
            <v>NA</v>
          </cell>
          <cell r="CC179" t="str">
            <v>NA</v>
          </cell>
          <cell r="CD179" t="str">
            <v>NA</v>
          </cell>
          <cell r="CE179" t="str">
            <v>NA</v>
          </cell>
          <cell r="CF179" t="str">
            <v>NA</v>
          </cell>
          <cell r="CG179">
            <v>5.0000000000000044E-2</v>
          </cell>
          <cell r="CH179">
            <v>0.19047619047619047</v>
          </cell>
          <cell r="CI179">
            <v>0</v>
          </cell>
          <cell r="CJ179">
            <v>8.0000000000000071E-2</v>
          </cell>
          <cell r="CK179">
            <v>3.7037037037036979E-2</v>
          </cell>
          <cell r="CL179">
            <v>0.1785714285714286</v>
          </cell>
          <cell r="CM179">
            <v>0</v>
          </cell>
          <cell r="CN179">
            <v>6.0606060606060552E-2</v>
          </cell>
          <cell r="CO179">
            <v>8.5714285714285632E-2</v>
          </cell>
          <cell r="CP179">
            <v>0.15789473684210531</v>
          </cell>
        </row>
        <row r="181">
          <cell r="A181" t="str">
            <v>Noncurrent RPO</v>
          </cell>
          <cell r="CF181">
            <v>2</v>
          </cell>
          <cell r="CG181">
            <v>2.1</v>
          </cell>
          <cell r="CH181">
            <v>2.5</v>
          </cell>
          <cell r="CI181">
            <v>2.5</v>
          </cell>
          <cell r="CJ181">
            <v>2.7</v>
          </cell>
          <cell r="CK181">
            <v>2.7</v>
          </cell>
          <cell r="CL181">
            <v>3.3</v>
          </cell>
          <cell r="CM181">
            <v>3.3</v>
          </cell>
          <cell r="CN181">
            <v>3.5</v>
          </cell>
          <cell r="CO181">
            <v>3.5</v>
          </cell>
          <cell r="CP181">
            <v>4.5</v>
          </cell>
        </row>
        <row r="182">
          <cell r="A182" t="str">
            <v>% growth y-o-y</v>
          </cell>
          <cell r="BS182" t="str">
            <v>NA</v>
          </cell>
          <cell r="BT182" t="str">
            <v>NA</v>
          </cell>
          <cell r="BU182" t="str">
            <v>NA</v>
          </cell>
          <cell r="BV182" t="str">
            <v>NA</v>
          </cell>
          <cell r="BW182" t="str">
            <v>NA</v>
          </cell>
          <cell r="BX182" t="str">
            <v>NA</v>
          </cell>
          <cell r="BY182" t="str">
            <v>NA</v>
          </cell>
          <cell r="BZ182" t="str">
            <v>NA</v>
          </cell>
          <cell r="CA182" t="str">
            <v>NA</v>
          </cell>
          <cell r="CB182" t="str">
            <v>NA</v>
          </cell>
          <cell r="CC182" t="str">
            <v>NA</v>
          </cell>
          <cell r="CD182" t="str">
            <v>NA</v>
          </cell>
          <cell r="CE182" t="str">
            <v>NA</v>
          </cell>
          <cell r="CF182" t="str">
            <v>NA</v>
          </cell>
          <cell r="CG182" t="str">
            <v>NA</v>
          </cell>
          <cell r="CH182" t="str">
            <v>NA</v>
          </cell>
          <cell r="CI182" t="str">
            <v>NA</v>
          </cell>
          <cell r="CJ182">
            <v>0.35000000000000009</v>
          </cell>
          <cell r="CK182">
            <v>0.28571428571428581</v>
          </cell>
          <cell r="CL182">
            <v>0.31999999999999984</v>
          </cell>
          <cell r="CM182">
            <v>0.31999999999999984</v>
          </cell>
          <cell r="CN182">
            <v>0.29629629629629628</v>
          </cell>
          <cell r="CO182">
            <v>0.29629629629629628</v>
          </cell>
          <cell r="CP182">
            <v>0.36363636363636376</v>
          </cell>
        </row>
        <row r="183">
          <cell r="A183" t="str">
            <v>% growth seq</v>
          </cell>
          <cell r="BS183" t="str">
            <v>NA</v>
          </cell>
          <cell r="BT183" t="str">
            <v>NA</v>
          </cell>
          <cell r="BU183" t="str">
            <v>NA</v>
          </cell>
          <cell r="BV183" t="str">
            <v>NA</v>
          </cell>
          <cell r="BW183" t="str">
            <v>NA</v>
          </cell>
          <cell r="BX183" t="str">
            <v>NA</v>
          </cell>
          <cell r="BY183" t="str">
            <v>NA</v>
          </cell>
          <cell r="BZ183" t="str">
            <v>NA</v>
          </cell>
          <cell r="CA183" t="str">
            <v>NA</v>
          </cell>
          <cell r="CB183" t="str">
            <v>NA</v>
          </cell>
          <cell r="CC183" t="str">
            <v>NA</v>
          </cell>
          <cell r="CD183" t="str">
            <v>NA</v>
          </cell>
          <cell r="CE183" t="str">
            <v>NA</v>
          </cell>
          <cell r="CF183" t="str">
            <v>NA</v>
          </cell>
          <cell r="CG183">
            <v>5.0000000000000044E-2</v>
          </cell>
          <cell r="CH183">
            <v>0.19047619047619047</v>
          </cell>
          <cell r="CI183">
            <v>0</v>
          </cell>
          <cell r="CJ183">
            <v>8.0000000000000071E-2</v>
          </cell>
          <cell r="CK183">
            <v>0</v>
          </cell>
          <cell r="CL183">
            <v>0.2222222222222221</v>
          </cell>
          <cell r="CM183">
            <v>0</v>
          </cell>
          <cell r="CN183">
            <v>6.0606060606060552E-2</v>
          </cell>
          <cell r="CO183">
            <v>0</v>
          </cell>
          <cell r="CP183">
            <v>0.28571428571428581</v>
          </cell>
        </row>
        <row r="187">
          <cell r="A187" t="str">
            <v>Source: Company data, Wells Fargo Securities, LLC estimates</v>
          </cell>
          <cell r="EB187" t="str">
            <v>Subscription billings/sales &amp; marketing headcount</v>
          </cell>
          <cell r="EC187">
            <v>670388.52479338844</v>
          </cell>
          <cell r="ED187">
            <v>761347.49399999983</v>
          </cell>
          <cell r="EE187">
            <v>722291.0569105692</v>
          </cell>
          <cell r="EF187">
            <v>727606.33036597411</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Disclaimer"/>
      <sheetName val="BM"/>
      <sheetName val="Income Statement"/>
      <sheetName val="Revenue Build"/>
      <sheetName val="Balance Sheet"/>
      <sheetName val="Cash Flow"/>
      <sheetName val="Peer Comps"/>
      <sheetName val="Valuation"/>
      <sheetName val="M&amp;A"/>
      <sheetName val="L-T Targets"/>
      <sheetName val="Estimates v Consensus"/>
      <sheetName val="VA Consensus"/>
      <sheetName val="Quarterly Estimates-TENB"/>
      <sheetName val="Annual Estimates-TENB"/>
      <sheetName val="Surprise History"/>
      <sheetName val="Charts"/>
      <sheetName val="DCF"/>
      <sheetName val="EP-TENB_US"/>
      <sheetName val="RevisionAnalysis-TENB_US"/>
      <sheetName val="vsConsensus-WF"/>
      <sheetName val="__APW_ACTIVE_FIELD_RESTORE__"/>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C13" t="str">
            <v>-</v>
          </cell>
          <cell r="D13" t="str">
            <v>-</v>
          </cell>
          <cell r="E13" t="str">
            <v>-</v>
          </cell>
          <cell r="F13" t="str">
            <v>-</v>
          </cell>
          <cell r="G13" t="str">
            <v>-</v>
          </cell>
          <cell r="H13" t="str">
            <v>-</v>
          </cell>
          <cell r="I13">
            <v>80.923611086071872</v>
          </cell>
          <cell r="J13">
            <v>93.357139731741725</v>
          </cell>
          <cell r="K13">
            <v>80.141077359129426</v>
          </cell>
          <cell r="L13">
            <v>97.339645730895739</v>
          </cell>
          <cell r="M13">
            <v>109.71805511820359</v>
          </cell>
          <cell r="N13">
            <v>122.9681303440414</v>
          </cell>
          <cell r="O13">
            <v>97.832529562296614</v>
          </cell>
          <cell r="P13">
            <v>109.6603077714195</v>
          </cell>
          <cell r="Q13">
            <v>125.29718490566869</v>
          </cell>
          <cell r="R13">
            <v>143.53824397855328</v>
          </cell>
          <cell r="S13">
            <v>114.39471519896361</v>
          </cell>
          <cell r="T13">
            <v>131.77879545156705</v>
          </cell>
          <cell r="U13">
            <v>156.2224345475739</v>
          </cell>
          <cell r="V13">
            <v>180.19864026291356</v>
          </cell>
          <cell r="W13">
            <v>146.84709358167109</v>
          </cell>
          <cell r="X13">
            <v>171.7644442195066</v>
          </cell>
          <cell r="Y13">
            <v>204.08805070047771</v>
          </cell>
          <cell r="Z13">
            <v>235.31673396472891</v>
          </cell>
          <cell r="AA13">
            <v>183.76726531233422</v>
          </cell>
          <cell r="AB13">
            <v>195.3098559851656</v>
          </cell>
          <cell r="AC13">
            <v>235.92028121703606</v>
          </cell>
          <cell r="AD13">
            <v>264.31584849057481</v>
          </cell>
          <cell r="AE13">
            <v>197.85141764344309</v>
          </cell>
          <cell r="AF13">
            <v>225.62428112451951</v>
          </cell>
          <cell r="AG13">
            <v>245.37621305112708</v>
          </cell>
          <cell r="AH13">
            <v>294.97623963770042</v>
          </cell>
          <cell r="AI13">
            <v>213.64681567955193</v>
          </cell>
          <cell r="AJ13">
            <v>239.39986205516755</v>
          </cell>
          <cell r="AK13">
            <v>266.14304265024873</v>
          </cell>
          <cell r="AL13">
            <v>320.83434412859293</v>
          </cell>
          <cell r="AM13">
            <v>236.74684800988462</v>
          </cell>
          <cell r="AN13">
            <v>257.17235547088472</v>
          </cell>
          <cell r="AO13">
            <v>284.73159890155455</v>
          </cell>
          <cell r="AP13">
            <v>348.68732041192226</v>
          </cell>
          <cell r="AQ13">
            <v>254.83032645386407</v>
          </cell>
          <cell r="AR13">
            <v>278.91231353601825</v>
          </cell>
          <cell r="AS13">
            <v>305.66625210088608</v>
          </cell>
          <cell r="AT13">
            <v>370.09809351237419</v>
          </cell>
          <cell r="AV13" t="str">
            <v>-</v>
          </cell>
          <cell r="AW13">
            <v>322.1761349677418</v>
          </cell>
          <cell r="AX13">
            <v>412.8439081218192</v>
          </cell>
          <cell r="AY13">
            <v>487.68591064521996</v>
          </cell>
          <cell r="AZ13">
            <v>604.67527662654993</v>
          </cell>
          <cell r="BA13">
            <v>773.56191578291077</v>
          </cell>
          <cell r="BB13">
            <v>865.96706277628903</v>
          </cell>
          <cell r="BC13">
            <v>962.40681106627187</v>
          </cell>
          <cell r="BD13">
            <v>1044.8351877671953</v>
          </cell>
          <cell r="BE13">
            <v>1127.3381227942461</v>
          </cell>
          <cell r="BF13">
            <v>1209.5069856031432</v>
          </cell>
        </row>
        <row r="16">
          <cell r="C16" t="str">
            <v>-</v>
          </cell>
          <cell r="D16" t="str">
            <v>-</v>
          </cell>
          <cell r="E16" t="str">
            <v>-</v>
          </cell>
          <cell r="F16" t="str">
            <v>-</v>
          </cell>
          <cell r="G16" t="str">
            <v>-</v>
          </cell>
          <cell r="H16" t="str">
            <v>-</v>
          </cell>
          <cell r="I16">
            <v>66.295101233277776</v>
          </cell>
          <cell r="J16">
            <v>72.829307313078147</v>
          </cell>
          <cell r="K16">
            <v>78.13139351816227</v>
          </cell>
          <cell r="L16">
            <v>82.660787159774316</v>
          </cell>
          <cell r="M16">
            <v>88.65547079171634</v>
          </cell>
          <cell r="N16">
            <v>94.254523027641198</v>
          </cell>
          <cell r="O16">
            <v>100.24835447712599</v>
          </cell>
          <cell r="P16">
            <v>102.394061729917</v>
          </cell>
          <cell r="Q16">
            <v>109.4510203996072</v>
          </cell>
          <cell r="R16">
            <v>114.89445418857034</v>
          </cell>
          <cell r="S16">
            <v>120.16062543063123</v>
          </cell>
          <cell r="T16">
            <v>125.48578701646908</v>
          </cell>
          <cell r="U16">
            <v>134.34398590229401</v>
          </cell>
          <cell r="V16">
            <v>144.42531670638027</v>
          </cell>
          <cell r="W16">
            <v>153.37956741261891</v>
          </cell>
          <cell r="X16">
            <v>163.41115989194191</v>
          </cell>
          <cell r="Y16">
            <v>170.08239368432118</v>
          </cell>
          <cell r="Z16">
            <v>181.47863606853986</v>
          </cell>
          <cell r="AA16">
            <v>186.97949643638154</v>
          </cell>
          <cell r="AB16">
            <v>190.08195027045599</v>
          </cell>
          <cell r="AC16">
            <v>198.2782357548316</v>
          </cell>
          <cell r="AD16">
            <v>206.53639469231041</v>
          </cell>
          <cell r="AE16">
            <v>213.54152726376014</v>
          </cell>
          <cell r="AF16">
            <v>218.48077640338587</v>
          </cell>
          <cell r="AG16">
            <v>223.13432963318249</v>
          </cell>
          <cell r="AH16">
            <v>231.55654236177338</v>
          </cell>
          <cell r="AI16">
            <v>233.57911601872561</v>
          </cell>
          <cell r="AJ16">
            <v>242.07841453355994</v>
          </cell>
          <cell r="AK16">
            <v>247.33864771095207</v>
          </cell>
          <cell r="AL16">
            <v>251.72894765121765</v>
          </cell>
          <cell r="AM16">
            <v>258.87607885397813</v>
          </cell>
          <cell r="AN16">
            <v>264.67593406709608</v>
          </cell>
          <cell r="AO16">
            <v>269.71728065946542</v>
          </cell>
          <cell r="AP16">
            <v>277.08466719842176</v>
          </cell>
          <cell r="AQ16">
            <v>277.69692422348231</v>
          </cell>
          <cell r="AR16">
            <v>283.39448073695274</v>
          </cell>
          <cell r="AS16">
            <v>288.41406316115877</v>
          </cell>
          <cell r="AT16">
            <v>296.33302819717551</v>
          </cell>
          <cell r="AV16" t="str">
            <v>-</v>
          </cell>
          <cell r="AW16">
            <v>264.96833411307819</v>
          </cell>
          <cell r="AX16">
            <v>351.79152302764135</v>
          </cell>
          <cell r="AY16">
            <v>437.03012085523699</v>
          </cell>
          <cell r="AZ16">
            <v>536.56619031418188</v>
          </cell>
          <cell r="BA16">
            <v>680.03863606853986</v>
          </cell>
          <cell r="BB16">
            <v>791.94039469231041</v>
          </cell>
          <cell r="BC16">
            <v>895.84654236177334</v>
          </cell>
          <cell r="BD16">
            <v>990.66282189281662</v>
          </cell>
          <cell r="BE16">
            <v>1070.3484052234066</v>
          </cell>
          <cell r="BF16">
            <v>1145.8384963187696</v>
          </cell>
        </row>
        <row r="18">
          <cell r="C18" t="str">
            <v>-</v>
          </cell>
          <cell r="D18" t="str">
            <v>-</v>
          </cell>
          <cell r="E18" t="str">
            <v>-</v>
          </cell>
          <cell r="F18" t="str">
            <v>-</v>
          </cell>
          <cell r="G18" t="str">
            <v>-</v>
          </cell>
          <cell r="H18" t="str">
            <v>-</v>
          </cell>
          <cell r="I18">
            <v>55.628655751143647</v>
          </cell>
          <cell r="J18">
            <v>61.298786107586253</v>
          </cell>
          <cell r="K18">
            <v>67.616153093305954</v>
          </cell>
          <cell r="L18">
            <v>71.338930191120298</v>
          </cell>
          <cell r="M18">
            <v>74.643217079868094</v>
          </cell>
          <cell r="N18">
            <v>78.543477821654136</v>
          </cell>
          <cell r="O18">
            <v>85.721487195837085</v>
          </cell>
          <cell r="P18">
            <v>87.122864885101777</v>
          </cell>
          <cell r="Q18">
            <v>94.144090107030493</v>
          </cell>
          <cell r="R18">
            <v>99.687019228688413</v>
          </cell>
          <cell r="S18">
            <v>104.65408723196558</v>
          </cell>
          <cell r="T18">
            <v>110.6172989914236</v>
          </cell>
          <cell r="U18">
            <v>118.856924896314</v>
          </cell>
          <cell r="V18">
            <v>128.21495461733451</v>
          </cell>
          <cell r="W18">
            <v>137.265383688886</v>
          </cell>
          <cell r="X18">
            <v>147.0410200088449</v>
          </cell>
          <cell r="Y18">
            <v>153.57760526390678</v>
          </cell>
          <cell r="Z18">
            <v>164.71860160334191</v>
          </cell>
          <cell r="AA18">
            <v>170.07263289425137</v>
          </cell>
          <cell r="AB18">
            <v>173.11760505296201</v>
          </cell>
          <cell r="AC18">
            <v>180.5836192357331</v>
          </cell>
          <cell r="AD18">
            <v>188.04428531658428</v>
          </cell>
          <cell r="AE18">
            <v>195.09255448940269</v>
          </cell>
          <cell r="AF18">
            <v>200.2923863602015</v>
          </cell>
          <cell r="AG18">
            <v>204.41415054476246</v>
          </cell>
          <cell r="AH18">
            <v>212.284483261177</v>
          </cell>
          <cell r="AI18">
            <v>215.57474611799333</v>
          </cell>
          <cell r="AJ18">
            <v>223.31505150052953</v>
          </cell>
          <cell r="AK18">
            <v>228.58495045872823</v>
          </cell>
          <cell r="AL18">
            <v>232.60754138756016</v>
          </cell>
          <cell r="AM18">
            <v>240.13242965546928</v>
          </cell>
          <cell r="AN18">
            <v>245.6292261340875</v>
          </cell>
          <cell r="AO18">
            <v>249.88103640743358</v>
          </cell>
          <cell r="AP18">
            <v>256.35078227599234</v>
          </cell>
          <cell r="AQ18">
            <v>258.89321511246305</v>
          </cell>
          <cell r="AR18">
            <v>264.28232534362564</v>
          </cell>
          <cell r="AS18">
            <v>268.46242978514022</v>
          </cell>
          <cell r="AT18">
            <v>275.49041488506714</v>
          </cell>
          <cell r="AV18" t="str">
            <v>-</v>
          </cell>
          <cell r="AW18">
            <v>219.33527128291999</v>
          </cell>
          <cell r="AX18">
            <v>290.64225210736845</v>
          </cell>
          <cell r="AY18">
            <v>374.87473351440258</v>
          </cell>
          <cell r="AZ18">
            <v>471.94538188207514</v>
          </cell>
          <cell r="BA18">
            <v>610.65686176367615</v>
          </cell>
          <cell r="BB18">
            <v>719.17728531658429</v>
          </cell>
          <cell r="BC18">
            <v>821.32235686627507</v>
          </cell>
          <cell r="BD18">
            <v>913.2890572884487</v>
          </cell>
          <cell r="BE18">
            <v>991.99347447298283</v>
          </cell>
          <cell r="BF18">
            <v>1067.1283851262965</v>
          </cell>
        </row>
        <row r="19">
          <cell r="C19" t="str">
            <v>-</v>
          </cell>
          <cell r="D19" t="str">
            <v>-</v>
          </cell>
          <cell r="E19" t="str">
            <v>-</v>
          </cell>
          <cell r="F19" t="str">
            <v>-</v>
          </cell>
          <cell r="G19" t="str">
            <v>-</v>
          </cell>
          <cell r="H19" t="str">
            <v>-</v>
          </cell>
          <cell r="I19">
            <v>9.0917193507355005</v>
          </cell>
          <cell r="J19">
            <v>9.7982907558715997</v>
          </cell>
          <cell r="K19">
            <v>9.5543854369992491</v>
          </cell>
          <cell r="L19">
            <v>10.130924365965001</v>
          </cell>
          <cell r="M19">
            <v>11.907465223467637</v>
          </cell>
          <cell r="N19">
            <v>13.392570244430072</v>
          </cell>
          <cell r="O19">
            <v>12.107705155493695</v>
          </cell>
          <cell r="P19">
            <v>13.350479240967317</v>
          </cell>
          <cell r="Q19">
            <v>12.466897208127472</v>
          </cell>
          <cell r="R19">
            <v>12.298035980219071</v>
          </cell>
          <cell r="S19">
            <v>12.522909810336143</v>
          </cell>
          <cell r="T19">
            <v>11.910471132894241</v>
          </cell>
          <cell r="U19">
            <v>12.366895383725723</v>
          </cell>
          <cell r="V19">
            <v>12.541843008076849</v>
          </cell>
          <cell r="W19">
            <v>12.171485537815419</v>
          </cell>
          <cell r="X19">
            <v>12.485687686684312</v>
          </cell>
          <cell r="Y19">
            <v>11.992390634047933</v>
          </cell>
          <cell r="Z19">
            <v>12.073231588280599</v>
          </cell>
          <cell r="AA19">
            <v>11.879293436091318</v>
          </cell>
          <cell r="AB19">
            <v>11.947995306216738</v>
          </cell>
          <cell r="AC19">
            <v>12.102771226460192</v>
          </cell>
          <cell r="AD19">
            <v>12.201255490421591</v>
          </cell>
          <cell r="AE19">
            <v>11.929125486906379</v>
          </cell>
          <cell r="AF19">
            <v>11.834694288249208</v>
          </cell>
          <cell r="AG19">
            <v>11.840435058260615</v>
          </cell>
          <cell r="AH19">
            <v>11.884902100625439</v>
          </cell>
          <cell r="AI19">
            <v>11.792826754838767</v>
          </cell>
          <cell r="AJ19">
            <v>11.583498440804131</v>
          </cell>
          <cell r="AK19">
            <v>11.23401717301663</v>
          </cell>
          <cell r="AL19">
            <v>10.913613935312892</v>
          </cell>
          <cell r="AM19">
            <v>10.604546968068558</v>
          </cell>
          <cell r="AN19">
            <v>10.522108685009322</v>
          </cell>
          <cell r="AO19">
            <v>10.437495062540602</v>
          </cell>
          <cell r="AP19">
            <v>9.9358064927576457</v>
          </cell>
          <cell r="AQ19">
            <v>10.096689776469677</v>
          </cell>
          <cell r="AR19">
            <v>10.094702213749674</v>
          </cell>
          <cell r="AS19">
            <v>9.979008163086748</v>
          </cell>
          <cell r="AT19">
            <v>9.5120751642245143</v>
          </cell>
          <cell r="AV19" t="str">
            <v>-</v>
          </cell>
          <cell r="AW19">
            <v>37.803338205871597</v>
          </cell>
          <cell r="AX19">
            <v>51.993046315858642</v>
          </cell>
          <cell r="AY19">
            <v>50.344035980219068</v>
          </cell>
          <cell r="AZ19">
            <v>50.285860451623869</v>
          </cell>
          <cell r="BA19">
            <v>50.22875474710866</v>
          </cell>
          <cell r="BB19">
            <v>48.736255490421591</v>
          </cell>
          <cell r="BC19">
            <v>47.807977275677558</v>
          </cell>
          <cell r="BD19">
            <v>44.979571511361975</v>
          </cell>
          <cell r="BE19">
            <v>41.499957208376131</v>
          </cell>
          <cell r="BF19">
            <v>39.682475317530617</v>
          </cell>
        </row>
        <row r="20">
          <cell r="C20" t="str">
            <v>-</v>
          </cell>
          <cell r="D20" t="str">
            <v>-</v>
          </cell>
          <cell r="E20" t="str">
            <v>-</v>
          </cell>
          <cell r="F20" t="str">
            <v>-</v>
          </cell>
          <cell r="G20" t="str">
            <v>-</v>
          </cell>
          <cell r="H20" t="str">
            <v>-</v>
          </cell>
          <cell r="I20">
            <v>1.56062574172643</v>
          </cell>
          <cell r="J20">
            <v>1.835715379351615</v>
          </cell>
          <cell r="K20">
            <v>1.6705744278424399</v>
          </cell>
          <cell r="L20">
            <v>1.9139257090748349</v>
          </cell>
          <cell r="M20">
            <v>2.5290096710024099</v>
          </cell>
          <cell r="N20">
            <v>2.5710088967687486</v>
          </cell>
          <cell r="O20">
            <v>2.2722134731348413</v>
          </cell>
          <cell r="P20">
            <v>2.0613271354729883</v>
          </cell>
          <cell r="Q20">
            <v>2.8750761128524487</v>
          </cell>
          <cell r="R20">
            <v>3.0586011763973913</v>
          </cell>
          <cell r="S20">
            <v>3.1921076542241358</v>
          </cell>
          <cell r="T20">
            <v>3.1234865970918948</v>
          </cell>
          <cell r="U20">
            <v>3.4191085896856923</v>
          </cell>
          <cell r="V20">
            <v>3.7612170958615314</v>
          </cell>
          <cell r="W20">
            <v>4.0243178697031974</v>
          </cell>
          <cell r="X20">
            <v>4.0353885048378979</v>
          </cell>
          <cell r="Y20">
            <v>4.5330115033624248</v>
          </cell>
          <cell r="Z20">
            <v>5.2304977984700374</v>
          </cell>
          <cell r="AA20">
            <v>5.0628032696819849</v>
          </cell>
          <cell r="AB20">
            <v>5.0758003876982363</v>
          </cell>
          <cell r="AC20">
            <v>5.6481673853043581</v>
          </cell>
          <cell r="AD20">
            <v>6.3139785006902045</v>
          </cell>
          <cell r="AE20">
            <v>6.4508797929551376</v>
          </cell>
          <cell r="AF20">
            <v>6.3365248060637729</v>
          </cell>
          <cell r="AG20">
            <v>6.6124952147399716</v>
          </cell>
          <cell r="AH20">
            <v>6.988013083457024</v>
          </cell>
          <cell r="AI20">
            <v>6.3595898188021218</v>
          </cell>
          <cell r="AJ20">
            <v>7.1475247563984965</v>
          </cell>
          <cell r="AK20">
            <v>7.2771503201960845</v>
          </cell>
          <cell r="AL20">
            <v>8.3138396056422952</v>
          </cell>
          <cell r="AM20">
            <v>8.1345196887196689</v>
          </cell>
          <cell r="AN20">
            <v>8.4167375528837827</v>
          </cell>
          <cell r="AO20">
            <v>9.2733111636242942</v>
          </cell>
          <cell r="AP20">
            <v>10.682862343506592</v>
          </cell>
          <cell r="AQ20">
            <v>8.5005949165444648</v>
          </cell>
          <cell r="AR20">
            <v>8.7871551115639708</v>
          </cell>
          <cell r="AS20">
            <v>9.6857890054056934</v>
          </cell>
          <cell r="AT20">
            <v>11.236805548148237</v>
          </cell>
          <cell r="AV20" t="str">
            <v>-</v>
          </cell>
          <cell r="AW20">
            <v>6.6590402040178152</v>
          </cell>
          <cell r="AX20">
            <v>9.4087585396258948</v>
          </cell>
          <cell r="AY20">
            <v>11.959601176397401</v>
          </cell>
          <cell r="AZ20">
            <v>14.426970751876922</v>
          </cell>
          <cell r="BA20">
            <v>19.264647578317039</v>
          </cell>
          <cell r="BB20">
            <v>24.049978500690209</v>
          </cell>
          <cell r="BC20">
            <v>26.584014173745107</v>
          </cell>
          <cell r="BD20">
            <v>32.510343919524985</v>
          </cell>
          <cell r="BE20">
            <v>36.507430748734343</v>
          </cell>
          <cell r="BF20">
            <v>38.210344581662362</v>
          </cell>
        </row>
        <row r="23">
          <cell r="C23" t="str">
            <v>-</v>
          </cell>
          <cell r="D23" t="str">
            <v>-</v>
          </cell>
          <cell r="E23" t="str">
            <v>-</v>
          </cell>
          <cell r="F23" t="str">
            <v>-</v>
          </cell>
          <cell r="G23" t="str">
            <v>-</v>
          </cell>
          <cell r="H23" t="str">
            <v>-</v>
          </cell>
          <cell r="I23">
            <v>54.516384766632875</v>
          </cell>
          <cell r="J23">
            <v>59.879956253033569</v>
          </cell>
          <cell r="K23">
            <v>63.150691062448423</v>
          </cell>
          <cell r="L23">
            <v>67.852195804236118</v>
          </cell>
          <cell r="M23">
            <v>73.653529405442384</v>
          </cell>
          <cell r="N23">
            <v>78.965821330960352</v>
          </cell>
          <cell r="O23">
            <v>82.192196527728754</v>
          </cell>
          <cell r="P23">
            <v>85.061613414873051</v>
          </cell>
          <cell r="Q23">
            <v>90.62110381902248</v>
          </cell>
          <cell r="R23">
            <v>95.848160498903923</v>
          </cell>
          <cell r="S23">
            <v>99.418120843553567</v>
          </cell>
          <cell r="T23">
            <v>103.67138410267208</v>
          </cell>
          <cell r="U23">
            <v>110.04589460439384</v>
          </cell>
          <cell r="V23">
            <v>118.73831705277883</v>
          </cell>
          <cell r="W23">
            <v>125.068679401712</v>
          </cell>
          <cell r="X23">
            <v>131.198605860811</v>
          </cell>
          <cell r="Y23">
            <v>137.17319401498983</v>
          </cell>
          <cell r="Z23">
            <v>146.73735999949301</v>
          </cell>
          <cell r="AA23">
            <v>145.83615416501564</v>
          </cell>
          <cell r="AB23">
            <v>150.36970922591973</v>
          </cell>
          <cell r="AC23">
            <v>158.03570362634122</v>
          </cell>
          <cell r="AD23">
            <v>163.99188326233113</v>
          </cell>
          <cell r="AE23">
            <v>169.93045969462707</v>
          </cell>
          <cell r="AF23">
            <v>175.24901834078446</v>
          </cell>
          <cell r="AG23">
            <v>179.71894779305254</v>
          </cell>
          <cell r="AH23">
            <v>187.8076227576868</v>
          </cell>
          <cell r="AI23">
            <v>188.41091607813814</v>
          </cell>
          <cell r="AJ23">
            <v>196.77297222203475</v>
          </cell>
          <cell r="AK23">
            <v>201.73730823596199</v>
          </cell>
          <cell r="AL23">
            <v>205.66161274309755</v>
          </cell>
          <cell r="AM23">
            <v>211.62556892423089</v>
          </cell>
          <cell r="AN23">
            <v>216.93941727951901</v>
          </cell>
          <cell r="AO23">
            <v>220.82546599931993</v>
          </cell>
          <cell r="AP23">
            <v>228.07747135898728</v>
          </cell>
          <cell r="AQ23">
            <v>227.56559025949389</v>
          </cell>
          <cell r="AR23">
            <v>232.68577439735441</v>
          </cell>
          <cell r="AS23">
            <v>236.78902387708706</v>
          </cell>
          <cell r="AT23">
            <v>244.19627449614401</v>
          </cell>
          <cell r="AV23" t="str">
            <v>-</v>
          </cell>
          <cell r="AW23">
            <v>222.53370505803349</v>
          </cell>
          <cell r="AX23">
            <v>296.58137688651595</v>
          </cell>
          <cell r="AY23">
            <v>364.88916049890389</v>
          </cell>
          <cell r="AZ23">
            <v>442.34026854838049</v>
          </cell>
          <cell r="BA23">
            <v>550.008359999493</v>
          </cell>
          <cell r="BB23">
            <v>632.37188326233115</v>
          </cell>
          <cell r="BC23">
            <v>727.79762275768678</v>
          </cell>
          <cell r="BD23">
            <v>810.34857345091541</v>
          </cell>
          <cell r="BE23">
            <v>877.46792356205708</v>
          </cell>
          <cell r="BF23">
            <v>941.2366630300794</v>
          </cell>
        </row>
        <row r="29">
          <cell r="C29" t="str">
            <v>-</v>
          </cell>
          <cell r="D29" t="str">
            <v>-</v>
          </cell>
          <cell r="E29" t="str">
            <v>-</v>
          </cell>
          <cell r="F29" t="str">
            <v>-</v>
          </cell>
          <cell r="G29" t="str">
            <v>-</v>
          </cell>
          <cell r="H29" t="str">
            <v>-</v>
          </cell>
          <cell r="I29">
            <v>-16.934375854631426</v>
          </cell>
          <cell r="J29">
            <v>-13.435126250079467</v>
          </cell>
          <cell r="K29">
            <v>-16.2977232270167</v>
          </cell>
          <cell r="L29">
            <v>-14.53014306741192</v>
          </cell>
          <cell r="M29">
            <v>-11.505508425583956</v>
          </cell>
          <cell r="N29">
            <v>-12.777321040696945</v>
          </cell>
          <cell r="O29">
            <v>-17.341511070106861</v>
          </cell>
          <cell r="P29">
            <v>-4.6851316306849409</v>
          </cell>
          <cell r="Q29">
            <v>3.6463872924491669</v>
          </cell>
          <cell r="R29">
            <v>8.873210929729618</v>
          </cell>
          <cell r="S29">
            <v>8.365437139833503</v>
          </cell>
          <cell r="T29">
            <v>7.5928257018884135</v>
          </cell>
          <cell r="U29">
            <v>7.673656926482213</v>
          </cell>
          <cell r="V29">
            <v>7.8056009273051332</v>
          </cell>
          <cell r="W29">
            <v>10.381384350395914</v>
          </cell>
          <cell r="X29">
            <v>6.6083138180564562</v>
          </cell>
          <cell r="Y29">
            <v>9.4967608244754036</v>
          </cell>
          <cell r="Z29">
            <v>15.618980220982584</v>
          </cell>
          <cell r="AA29">
            <v>9.4655329950458373</v>
          </cell>
          <cell r="AB29">
            <v>20.561496738339201</v>
          </cell>
          <cell r="AC29">
            <v>26.579935129160479</v>
          </cell>
          <cell r="AD29">
            <v>23.827541660648315</v>
          </cell>
          <cell r="AE29">
            <v>28.444901044837302</v>
          </cell>
          <cell r="AF29">
            <v>35.191235695586649</v>
          </cell>
          <cell r="AG29">
            <v>43.001425970834553</v>
          </cell>
          <cell r="AH29">
            <v>47.973662057637036</v>
          </cell>
          <cell r="AI29">
            <v>42.481510195483395</v>
          </cell>
          <cell r="AJ29">
            <v>43.941988777412838</v>
          </cell>
          <cell r="AK29">
            <v>52.810288502442617</v>
          </cell>
          <cell r="AL29">
            <v>58.106705293592157</v>
          </cell>
          <cell r="AM29">
            <v>55.100809626591435</v>
          </cell>
          <cell r="AN29">
            <v>59.209300620374606</v>
          </cell>
          <cell r="AO29">
            <v>65.437519713089458</v>
          </cell>
          <cell r="AP29">
            <v>71.117948842159237</v>
          </cell>
          <cell r="AQ29">
            <v>63.906594077768219</v>
          </cell>
          <cell r="AR29">
            <v>66.732426305053409</v>
          </cell>
          <cell r="AS29">
            <v>72.149253167453793</v>
          </cell>
          <cell r="AT29">
            <v>77.324023370724973</v>
          </cell>
          <cell r="AV29" t="str">
            <v>-</v>
          </cell>
          <cell r="AW29">
            <v>-51.766360431746165</v>
          </cell>
          <cell r="AX29">
            <v>-44.405321040696954</v>
          </cell>
          <cell r="AY29">
            <v>19.247210929729622</v>
          </cell>
          <cell r="AZ29">
            <v>46.924671600029697</v>
          </cell>
          <cell r="BA29">
            <v>63.352980220982602</v>
          </cell>
          <cell r="BB29">
            <v>108.76154166064826</v>
          </cell>
          <cell r="BC29">
            <v>172.682224557637</v>
          </cell>
          <cell r="BD29">
            <v>213.36316839817039</v>
          </cell>
          <cell r="BE29">
            <v>250.8655788022146</v>
          </cell>
          <cell r="BF29">
            <v>280.11229692100028</v>
          </cell>
        </row>
        <row r="31">
          <cell r="C31" t="str">
            <v>-</v>
          </cell>
          <cell r="D31" t="str">
            <v>-</v>
          </cell>
          <cell r="E31" t="str">
            <v>-</v>
          </cell>
          <cell r="F31" t="str">
            <v>-</v>
          </cell>
          <cell r="G31" t="str">
            <v>-</v>
          </cell>
          <cell r="H31" t="str">
            <v>-</v>
          </cell>
          <cell r="I31">
            <v>-16.6191076089722</v>
          </cell>
          <cell r="J31">
            <v>-13.023465519630717</v>
          </cell>
          <cell r="K31">
            <v>-17.182053465747824</v>
          </cell>
          <cell r="L31">
            <v>-13.99552183841886</v>
          </cell>
          <cell r="M31">
            <v>-11.018871568422499</v>
          </cell>
          <cell r="N31">
            <v>-12.450756142801255</v>
          </cell>
          <cell r="O31">
            <v>-18.523531613955232</v>
          </cell>
          <cell r="P31">
            <v>-5.2269677156982786</v>
          </cell>
          <cell r="Q31">
            <v>2.7772311820426512</v>
          </cell>
          <cell r="R31">
            <v>7.0732888138702634</v>
          </cell>
          <cell r="S31">
            <v>6.37520109841648</v>
          </cell>
          <cell r="T31">
            <v>5.5147642594799917</v>
          </cell>
          <cell r="U31">
            <v>2.5130656968931149</v>
          </cell>
          <cell r="V31">
            <v>2.6542441934754173</v>
          </cell>
          <cell r="W31">
            <v>5.5439541794734017</v>
          </cell>
          <cell r="X31">
            <v>1.5245378740100592</v>
          </cell>
          <cell r="Y31">
            <v>3.5568513299283349</v>
          </cell>
          <cell r="Z31">
            <v>8.0618178736581676</v>
          </cell>
          <cell r="AA31">
            <v>3.4740654313359038</v>
          </cell>
          <cell r="AB31">
            <v>15.565687127889355</v>
          </cell>
          <cell r="AC31">
            <v>22.490171203228595</v>
          </cell>
          <cell r="AD31">
            <v>16.806054489486954</v>
          </cell>
          <cell r="AE31">
            <v>21.374249915780517</v>
          </cell>
          <cell r="AF31">
            <v>29.499517257681394</v>
          </cell>
          <cell r="AG31">
            <v>36.453528718907087</v>
          </cell>
          <cell r="AH31">
            <v>43.079956298015382</v>
          </cell>
          <cell r="AI31">
            <v>35.369158242984597</v>
          </cell>
          <cell r="AJ31">
            <v>37.282332926845186</v>
          </cell>
          <cell r="AK31">
            <v>45.342372814650076</v>
          </cell>
          <cell r="AL31">
            <v>50.543081159242988</v>
          </cell>
          <cell r="AM31">
            <v>48.497351513425812</v>
          </cell>
          <cell r="AN31">
            <v>52.095499986167653</v>
          </cell>
          <cell r="AO31">
            <v>58.129108142294655</v>
          </cell>
          <cell r="AP31">
            <v>63.510457514235092</v>
          </cell>
          <cell r="AQ31">
            <v>56.345370763383414</v>
          </cell>
          <cell r="AR31">
            <v>59.006314875766115</v>
          </cell>
          <cell r="AS31">
            <v>64.176211407034927</v>
          </cell>
          <cell r="AT31">
            <v>68.638046384353828</v>
          </cell>
          <cell r="AV31" t="str">
            <v>-</v>
          </cell>
          <cell r="AW31">
            <v>-52.415810591297387</v>
          </cell>
          <cell r="AX31">
            <v>-41.748533920579042</v>
          </cell>
          <cell r="AY31">
            <v>13.48762214720359</v>
          </cell>
          <cell r="AZ31">
            <v>35.695242212352461</v>
          </cell>
          <cell r="BA31">
            <v>38.339587104427423</v>
          </cell>
          <cell r="BB31">
            <v>83.813787822820302</v>
          </cell>
          <cell r="BC31">
            <v>151.10782296468199</v>
          </cell>
          <cell r="BD31">
            <v>187.46497099652288</v>
          </cell>
          <cell r="BE31">
            <v>222.23241715612318</v>
          </cell>
          <cell r="BF31">
            <v>248.16594343053822</v>
          </cell>
        </row>
        <row r="33">
          <cell r="C33" t="str">
            <v>-</v>
          </cell>
          <cell r="D33" t="str">
            <v>-</v>
          </cell>
          <cell r="E33" t="str">
            <v>-</v>
          </cell>
          <cell r="F33" t="str">
            <v>-</v>
          </cell>
          <cell r="G33" t="str">
            <v>-</v>
          </cell>
          <cell r="H33" t="str">
            <v>-</v>
          </cell>
          <cell r="I33">
            <v>-0.187411648167329</v>
          </cell>
          <cell r="J33">
            <v>-0.14205223798945599</v>
          </cell>
          <cell r="K33">
            <v>-0.18427221834649499</v>
          </cell>
          <cell r="L33">
            <v>-0.14625604432114001</v>
          </cell>
          <cell r="M33">
            <v>-0.11372140960287599</v>
          </cell>
          <cell r="N33">
            <v>-0.127243486089267</v>
          </cell>
          <cell r="O33">
            <v>-0.187760865999124</v>
          </cell>
          <cell r="P33">
            <v>-5.2386670381702999E-2</v>
          </cell>
          <cell r="Q33">
            <v>2.5035357439273001E-2</v>
          </cell>
          <cell r="R33">
            <v>6.2598398987359999E-2</v>
          </cell>
          <cell r="S33">
            <v>5.5450939974198997E-2</v>
          </cell>
          <cell r="T33">
            <v>4.8164775624190997E-2</v>
          </cell>
          <cell r="U33">
            <v>2.1791640552216999E-2</v>
          </cell>
          <cell r="V33">
            <v>2.2781900143235001E-2</v>
          </cell>
          <cell r="W33">
            <v>4.7167386514634001E-2</v>
          </cell>
          <cell r="X33">
            <v>1.3195403410743E-2</v>
          </cell>
          <cell r="Y33">
            <v>2.9914467990462001E-2</v>
          </cell>
          <cell r="Z33">
            <v>6.7945406689634003E-2</v>
          </cell>
          <cell r="AA33">
            <v>2.8943124022482E-2</v>
          </cell>
          <cell r="AB33">
            <v>0.12910763864137201</v>
          </cell>
          <cell r="AC33">
            <v>0.18365833284204999</v>
          </cell>
          <cell r="AD33">
            <v>0.13617747794882001</v>
          </cell>
          <cell r="AE33">
            <v>0.17389464165811999</v>
          </cell>
          <cell r="AF33">
            <v>0.237274808795465</v>
          </cell>
          <cell r="AG33">
            <v>0.29591682650730999</v>
          </cell>
          <cell r="AH33">
            <v>0.34437246894177398</v>
          </cell>
          <cell r="AI33">
            <v>0.28584487554160698</v>
          </cell>
          <cell r="AJ33">
            <v>0.30301404244517299</v>
          </cell>
          <cell r="AK33">
            <v>0.36858222879471297</v>
          </cell>
          <cell r="AL33">
            <v>0.41510611652977603</v>
          </cell>
          <cell r="AM33">
            <v>0.40829006041145199</v>
          </cell>
          <cell r="AN33">
            <v>0.43843249916118399</v>
          </cell>
          <cell r="AO33">
            <v>0.48944712508417398</v>
          </cell>
          <cell r="AP33">
            <v>0.53457368660329196</v>
          </cell>
          <cell r="AQ33">
            <v>0.47179930300777001</v>
          </cell>
          <cell r="AR33">
            <v>0.49342692575748698</v>
          </cell>
          <cell r="AS33">
            <v>0.53523887097114597</v>
          </cell>
          <cell r="AT33">
            <v>0.57140588883364896</v>
          </cell>
          <cell r="AV33" t="str">
            <v>-</v>
          </cell>
          <cell r="AW33">
            <v>-0.61940889306550495</v>
          </cell>
          <cell r="AX33">
            <v>-0.43477534836880799</v>
          </cell>
          <cell r="AY33">
            <v>0.121228202529471</v>
          </cell>
          <cell r="AZ33">
            <v>0.31047976045463399</v>
          </cell>
          <cell r="BA33">
            <v>0.32387048943067098</v>
          </cell>
          <cell r="BB33">
            <v>0.69225592422731697</v>
          </cell>
          <cell r="BC33">
            <v>1.222207284106213</v>
          </cell>
          <cell r="BD33">
            <v>1.530826658045956</v>
          </cell>
          <cell r="BE33">
            <v>1.8707809073559329</v>
          </cell>
          <cell r="BF33">
            <v>2.071822447257079</v>
          </cell>
        </row>
        <row r="35">
          <cell r="C35" t="str">
            <v>-</v>
          </cell>
          <cell r="D35" t="str">
            <v>-</v>
          </cell>
          <cell r="E35" t="str">
            <v>-</v>
          </cell>
          <cell r="F35" t="str">
            <v>-</v>
          </cell>
          <cell r="G35" t="str">
            <v>-</v>
          </cell>
          <cell r="H35" t="str">
            <v>-</v>
          </cell>
          <cell r="I35">
            <v>-0.25184083280949998</v>
          </cell>
          <cell r="J35">
            <v>-0.22992843238518601</v>
          </cell>
          <cell r="K35">
            <v>-0.30233204263308699</v>
          </cell>
          <cell r="L35">
            <v>-0.26993957243956601</v>
          </cell>
          <cell r="M35">
            <v>-0.235200219957204</v>
          </cell>
          <cell r="N35">
            <v>-0.34773408471230999</v>
          </cell>
          <cell r="O35">
            <v>-0.31800802807018502</v>
          </cell>
          <cell r="P35">
            <v>-0.20713137264855799</v>
          </cell>
          <cell r="Q35">
            <v>-0.121254422147442</v>
          </cell>
          <cell r="R35">
            <v>-7.2922271897239002E-2</v>
          </cell>
          <cell r="S35">
            <v>-0.10464830729207</v>
          </cell>
          <cell r="T35">
            <v>-0.139290097547386</v>
          </cell>
          <cell r="U35">
            <v>-0.17231683791910099</v>
          </cell>
          <cell r="V35">
            <v>-0.165855546554983</v>
          </cell>
          <cell r="W35">
            <v>-0.15420615062557999</v>
          </cell>
          <cell r="X35">
            <v>-0.22616574076832199</v>
          </cell>
          <cell r="Y35">
            <v>-0.228378406111203</v>
          </cell>
          <cell r="Z35">
            <v>-0.20746990682927999</v>
          </cell>
          <cell r="AA35">
            <v>-0.244444410486125</v>
          </cell>
          <cell r="AB35">
            <v>-0.16205815102995799</v>
          </cell>
          <cell r="AC35">
            <v>-0.139232994683269</v>
          </cell>
          <cell r="AD35">
            <v>-0.23684876264163399</v>
          </cell>
          <cell r="AE35">
            <v>-0.20689899577860099</v>
          </cell>
          <cell r="AF35">
            <v>-0.144366526617839</v>
          </cell>
          <cell r="AG35">
            <v>-8.4746652176586001E-2</v>
          </cell>
          <cell r="AH35">
            <v>-3.6525601390932E-2</v>
          </cell>
          <cell r="AI35">
            <v>-0.189513489689665</v>
          </cell>
          <cell r="AJ35">
            <v>-0.13915476119981199</v>
          </cell>
          <cell r="AK35">
            <v>-5.7213293909689003E-2</v>
          </cell>
          <cell r="AL35">
            <v>-1.946708105729E-2</v>
          </cell>
          <cell r="AM35">
            <v>-5.7870224253872997E-2</v>
          </cell>
          <cell r="AN35">
            <v>-2.7188851532990001E-3</v>
          </cell>
          <cell r="AO35">
            <v>5.2351899099527997E-2</v>
          </cell>
          <cell r="AP35">
            <v>9.3502048869111995E-2</v>
          </cell>
          <cell r="AQ35">
            <v>-7.1844945799999998E-6</v>
          </cell>
          <cell r="AR35">
            <v>3.5819243058615002E-2</v>
          </cell>
          <cell r="AS35">
            <v>8.8742496428135004E-2</v>
          </cell>
          <cell r="AT35">
            <v>0.118787491524357</v>
          </cell>
          <cell r="AV35" t="str">
            <v>-</v>
          </cell>
          <cell r="AW35">
            <v>-0.86620999753788297</v>
          </cell>
          <cell r="AX35">
            <v>-0.99003801132450797</v>
          </cell>
          <cell r="AY35">
            <v>-0.46178916490904298</v>
          </cell>
          <cell r="AZ35">
            <v>-0.405361313566939</v>
          </cell>
          <cell r="BA35">
            <v>-0.70694491856872799</v>
          </cell>
          <cell r="BB35">
            <v>-0.607185209176068</v>
          </cell>
          <cell r="BC35">
            <v>-0.34700437617211399</v>
          </cell>
          <cell r="BD35">
            <v>-0.30972101525364298</v>
          </cell>
          <cell r="BE35">
            <v>8.5629387365228002E-2</v>
          </cell>
          <cell r="BF35">
            <v>0.244258018968604</v>
          </cell>
        </row>
        <row r="38">
          <cell r="C38" t="str">
            <v>-</v>
          </cell>
          <cell r="D38" t="str">
            <v>-</v>
          </cell>
          <cell r="E38" t="str">
            <v>-</v>
          </cell>
          <cell r="F38" t="str">
            <v>-</v>
          </cell>
          <cell r="G38" t="str">
            <v>-</v>
          </cell>
          <cell r="H38" t="str">
            <v>-</v>
          </cell>
          <cell r="I38" t="str">
            <v>-</v>
          </cell>
          <cell r="J38" t="str">
            <v>-</v>
          </cell>
          <cell r="K38" t="str">
            <v>-</v>
          </cell>
          <cell r="L38" t="str">
            <v>-</v>
          </cell>
          <cell r="M38" t="str">
            <v>-</v>
          </cell>
          <cell r="N38" t="str">
            <v>-</v>
          </cell>
          <cell r="O38" t="str">
            <v>-</v>
          </cell>
          <cell r="P38" t="str">
            <v>-</v>
          </cell>
          <cell r="Q38" t="str">
            <v>-</v>
          </cell>
          <cell r="R38" t="str">
            <v>-</v>
          </cell>
          <cell r="S38" t="str">
            <v>-</v>
          </cell>
          <cell r="T38" t="str">
            <v>-</v>
          </cell>
          <cell r="U38" t="str">
            <v>-</v>
          </cell>
          <cell r="V38">
            <v>13.964751610171598</v>
          </cell>
          <cell r="W38">
            <v>23.618509637394556</v>
          </cell>
          <cell r="X38">
            <v>13.377349703135881</v>
          </cell>
          <cell r="Y38">
            <v>19.743008296548535</v>
          </cell>
          <cell r="Z38">
            <v>22.26498399641099</v>
          </cell>
          <cell r="AA38">
            <v>40.164960549175703</v>
          </cell>
          <cell r="AB38">
            <v>28.457831417398335</v>
          </cell>
          <cell r="AC38">
            <v>43.781652194960685</v>
          </cell>
          <cell r="AD38">
            <v>33.295777999127537</v>
          </cell>
          <cell r="AE38">
            <v>55.475784966331574</v>
          </cell>
          <cell r="AF38">
            <v>36.010037059474648</v>
          </cell>
          <cell r="AG38">
            <v>57.870840423847177</v>
          </cell>
          <cell r="AH38">
            <v>78.94612680827025</v>
          </cell>
          <cell r="AI38">
            <v>64.220954874427591</v>
          </cell>
          <cell r="AJ38">
            <v>40.779182681098774</v>
          </cell>
          <cell r="AK38">
            <v>62.351258355393249</v>
          </cell>
          <cell r="AL38">
            <v>81.042963239708882</v>
          </cell>
          <cell r="AM38">
            <v>87.85975151344023</v>
          </cell>
          <cell r="AN38">
            <v>46.841860139663936</v>
          </cell>
          <cell r="AO38">
            <v>65.19158714864038</v>
          </cell>
          <cell r="AP38">
            <v>91.181816048150168</v>
          </cell>
          <cell r="AQ38">
            <v>92.186185868666115</v>
          </cell>
          <cell r="AR38">
            <v>61.852169810077683</v>
          </cell>
          <cell r="AS38">
            <v>72.075503481157341</v>
          </cell>
          <cell r="AT38">
            <v>101.43384967277534</v>
          </cell>
          <cell r="AV38" t="str">
            <v>-</v>
          </cell>
          <cell r="AW38" t="str">
            <v>-</v>
          </cell>
          <cell r="AX38" t="str">
            <v>-</v>
          </cell>
          <cell r="AY38" t="str">
            <v>-</v>
          </cell>
          <cell r="AZ38">
            <v>84.987115246535552</v>
          </cell>
          <cell r="BA38">
            <v>107.59352945095637</v>
          </cell>
          <cell r="BB38">
            <v>139.36408569143532</v>
          </cell>
          <cell r="BC38">
            <v>230.99967263741655</v>
          </cell>
          <cell r="BD38">
            <v>270.64549875121099</v>
          </cell>
          <cell r="BE38">
            <v>291.07501484989467</v>
          </cell>
          <cell r="BF38">
            <v>327.54770883267645</v>
          </cell>
        </row>
      </sheetData>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Unger, David" id="{C7DD7C6E-E068-4D3A-8CA0-D73CEE390226}" userId="S::David.Unger@wellsfargo.com::e6d0cbf0-34d4-4be6-8c5f-8d9f8e7fbd04" providerId="AD"/>
</personList>
</file>

<file path=xl/theme/theme1.xml><?xml version="1.0" encoding="utf-8"?>
<a:theme xmlns:a="http://schemas.openxmlformats.org/drawingml/2006/main" name="Theme1">
  <a:themeElements>
    <a:clrScheme name="WF CIB Full color Theme">
      <a:dk1>
        <a:srgbClr val="141414"/>
      </a:dk1>
      <a:lt1>
        <a:srgbClr val="FFFFFF"/>
      </a:lt1>
      <a:dk2>
        <a:srgbClr val="706D6B"/>
      </a:dk2>
      <a:lt2>
        <a:srgbClr val="E1E1E1"/>
      </a:lt2>
      <a:accent1>
        <a:srgbClr val="B42D19"/>
      </a:accent1>
      <a:accent2>
        <a:srgbClr val="87190A"/>
      </a:accent2>
      <a:accent3>
        <a:srgbClr val="640A4B"/>
      </a:accent3>
      <a:accent4>
        <a:srgbClr val="5A469B"/>
      </a:accent4>
      <a:accent5>
        <a:srgbClr val="352B6B"/>
      </a:accent5>
      <a:accent6>
        <a:srgbClr val="403C3A"/>
      </a:accent6>
      <a:hlink>
        <a:srgbClr val="5A469B"/>
      </a:hlink>
      <a:folHlink>
        <a:srgbClr val="5A469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K33" dT="2025-11-07T16:34:09.32" personId="{C7DD7C6E-E068-4D3A-8CA0-D73CEE390226}" id="{D86D23D4-F67A-447C-80EA-D1AE80CF228F}">
    <text>7</text>
  </threadedComment>
  <threadedComment ref="AL33" dT="2026-02-05T00:33:10.09" personId="{C7DD7C6E-E068-4D3A-8CA0-D73CEE390226}" id="{0F9C1A64-9A02-4D2F-BEC9-93D8E8854901}">
    <text>2.9</text>
  </threadedComment>
  <threadedComment ref="BD33" dT="2026-02-05T00:35:47.56" personId="{C7DD7C6E-E068-4D3A-8CA0-D73CEE390226}" id="{AAFB2272-2D2D-4CD0-BBC1-53E392E2B9CF}">
    <text>10.4</text>
  </threadedComment>
  <threadedComment ref="AK34" dT="2025-11-07T16:34:17.21" personId="{C7DD7C6E-E068-4D3A-8CA0-D73CEE390226}" id="{DB960324-0C9D-419A-A355-57E9586C753A}">
    <text>3.2</text>
  </threadedComment>
  <threadedComment ref="AL34" dT="2026-02-05T00:33:17.85" personId="{C7DD7C6E-E068-4D3A-8CA0-D73CEE390226}" id="{0DFE9202-3871-466A-BC9F-998A201635D1}">
    <text>6.4</text>
  </threadedComment>
  <threadedComment ref="BD34" dT="2026-02-05T00:35:54.81" personId="{C7DD7C6E-E068-4D3A-8CA0-D73CEE390226}" id="{1E339741-907A-405C-B0DA-BF081B6BFB5B}">
    <text>25.9</text>
  </threadedComment>
  <threadedComment ref="AK37" dT="2025-11-07T16:34:24.00" personId="{C7DD7C6E-E068-4D3A-8CA0-D73CEE390226}" id="{F2833F34-5E6D-4E9F-9DDD-397EAC0E51D0}">
    <text>3.4</text>
  </threadedComment>
  <threadedComment ref="AL37" dT="2026-02-05T00:33:27.44" personId="{C7DD7C6E-E068-4D3A-8CA0-D73CEE390226}" id="{3DE43A29-AC2F-4DEC-8707-9C268DE7E58B}">
    <text>3.1</text>
  </threadedComment>
  <threadedComment ref="BD37" dT="2026-02-05T00:36:05.83" personId="{C7DD7C6E-E068-4D3A-8CA0-D73CEE390226}" id="{3083AE7E-4755-48F1-B033-4B271D53B62B}">
    <text>13.3</text>
  </threadedComment>
  <threadedComment ref="AJ53" dT="2025-07-30T21:56:10.15" personId="{C7DD7C6E-E068-4D3A-8CA0-D73CEE390226}" id="{986704E4-D5E0-4C4D-BE51-37A1C820DA58}">
    <text>123</text>
  </threadedComment>
  <threadedComment ref="AK53" dT="2025-11-07T16:34:42.90" personId="{C7DD7C6E-E068-4D3A-8CA0-D73CEE390226}" id="{29E4F848-A61E-4666-832E-B9203BDD7A2A}">
    <text>121.5</text>
  </threadedComment>
  <threadedComment ref="AL53" dT="2026-02-05T00:33:37.41" personId="{C7DD7C6E-E068-4D3A-8CA0-D73CEE390226}" id="{BF784C76-A9EB-4843-AD30-B82655326A46}">
    <text>118</text>
  </threadedComment>
  <threadedComment ref="BD53" dT="2026-02-05T00:36:25.08" personId="{C7DD7C6E-E068-4D3A-8CA0-D73CEE390226}" id="{ABCA9D2C-DC0C-4DBB-B03D-BBEF1C81BBB5}">
    <text>118</text>
  </threadedComment>
  <threadedComment ref="AJ69" dT="2025-07-30T21:43:07.19" personId="{C7DD7C6E-E068-4D3A-8CA0-D73CEE390226}" id="{44488B96-F0C0-4124-8B4D-9B71A97F7668}">
    <text>Flat to modestly lower</text>
  </threadedComment>
  <threadedComment ref="AJ71" dT="2025-07-30T21:44:36.31" personId="{C7DD7C6E-E068-4D3A-8CA0-D73CEE390226}" id="{E3C61257-460B-4486-A2F4-CFDC303B3D2C}">
    <text xml:space="preserve">Looking ahead, we expect sales and marketing as a percent of revenue to trend somewhat lower, reflecting higher levels of sales productivity and greater efficiency in our go to market organization </text>
  </threadedComment>
</ThreadedComments>
</file>

<file path=xl/threadedComments/threadedComment2.xml><?xml version="1.0" encoding="utf-8"?>
<ThreadedComments xmlns="http://schemas.microsoft.com/office/spreadsheetml/2018/threadedcomments" xmlns:x="http://schemas.openxmlformats.org/spreadsheetml/2006/main">
  <threadedComment ref="BC41" dT="2025-07-30T21:57:23.05" personId="{C7DD7C6E-E068-4D3A-8CA0-D73CEE390226}" id="{940282A8-C743-47F5-8CD1-1A3FE877E8E1}">
    <text>1.038-1.048</text>
  </threadedComment>
  <threadedComment ref="BD41" dT="2026-02-05T01:11:48.13" personId="{C7DD7C6E-E068-4D3A-8CA0-D73CEE390226}" id="{BC82EE2E-86A3-4FEC-B57F-BC16C92D4662}">
    <text xml:space="preserve">As discussed previously, changes in billing duration due to the shift to annual installment billing is creating negative distortion in calculated current billings that fails to accurately represent our growth rate, and we have transitioned away from relying on calculated current billings to monitor performance of our business. Consequently, we will no longer provide a specific guidance range for calculated current billings in 2026 and forward. However, while we will not provide a specific guidance range, we expect full year 2026 calculated current billings will be in line with current consensus expectations, despite the anticipated billings duration headwinds. </text>
  </threadedComment>
</ThreadedComments>
</file>

<file path=xl/threadedComments/threadedComment3.xml><?xml version="1.0" encoding="utf-8"?>
<ThreadedComments xmlns="http://schemas.microsoft.com/office/spreadsheetml/2018/threadedcomments" xmlns:x="http://schemas.openxmlformats.org/spreadsheetml/2006/main">
  <threadedComment ref="BC50" dT="2025-07-30T21:58:32.02" personId="{C7DD7C6E-E068-4D3A-8CA0-D73CEE390226}" id="{A3693296-939E-48C9-B037-08F3C8F934EF}">
    <text>265-275</text>
  </threadedComment>
  <threadedComment ref="BC50" dT="2025-11-07T16:37:22.43" personId="{C7DD7C6E-E068-4D3A-8CA0-D73CEE390226}" id="{AC52FD64-A685-4E26-816C-ACE3A4CE740F}" parentId="{A3693296-939E-48C9-B037-08F3C8F934EF}">
    <text>265-275</text>
  </threadedComment>
  <threadedComment ref="BD50" dT="2026-02-05T00:36:52.20" personId="{C7DD7C6E-E068-4D3A-8CA0-D73CEE390226}" id="{0C57D4B4-AD90-4CBF-92FF-40B04C3BC372}">
    <text>285-295</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ichard.d.poland@wellsfargo.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DD73-3C60-48C1-91FD-58FE4E279B83}">
  <sheetPr>
    <pageSetUpPr fitToPage="1"/>
  </sheetPr>
  <dimension ref="A1:L192"/>
  <sheetViews>
    <sheetView showGridLines="0" tabSelected="1" zoomScale="85" zoomScaleNormal="85" workbookViewId="0">
      <selection activeCell="C10" sqref="C10"/>
    </sheetView>
  </sheetViews>
  <sheetFormatPr defaultColWidth="9.1328125" defaultRowHeight="12.4"/>
  <cols>
    <col min="1" max="1" width="2.86328125" style="1" customWidth="1"/>
    <col min="2" max="2" width="0.59765625" style="1" customWidth="1"/>
    <col min="3" max="3" width="29.1328125" style="1" customWidth="1"/>
    <col min="4" max="4" width="5.86328125" style="1" customWidth="1"/>
    <col min="5" max="5" width="29.1328125" style="1" customWidth="1"/>
    <col min="6" max="6" width="2.86328125" style="1" customWidth="1"/>
    <col min="7" max="7" width="29.1328125" style="1" customWidth="1"/>
    <col min="8" max="8" width="2.86328125" style="1" customWidth="1"/>
    <col min="9" max="9" width="29.1328125" style="1" customWidth="1"/>
    <col min="10" max="10" width="2.86328125" style="1" customWidth="1"/>
    <col min="11" max="11" width="29.1328125" style="1" customWidth="1"/>
    <col min="12" max="12" width="2.86328125" style="1" customWidth="1"/>
    <col min="13" max="16384" width="9.1328125" style="5"/>
  </cols>
  <sheetData>
    <row r="1" spans="2:12" s="1" customFormat="1"/>
    <row r="2" spans="2:12" s="1" customFormat="1"/>
    <row r="3" spans="2:12" s="1" customFormat="1" ht="3" customHeight="1"/>
    <row r="5" spans="2:12" ht="29.65">
      <c r="B5" s="2"/>
      <c r="C5" s="3" t="s">
        <v>0</v>
      </c>
      <c r="E5" s="4"/>
      <c r="G5" s="4"/>
      <c r="I5" s="4"/>
      <c r="K5" s="4"/>
    </row>
    <row r="6" spans="2:12" ht="48.95" customHeight="1">
      <c r="C6" s="6"/>
      <c r="E6" s="7"/>
      <c r="G6" s="7"/>
      <c r="I6" s="7"/>
      <c r="K6" s="7"/>
    </row>
    <row r="7" spans="2:12" ht="16.5">
      <c r="C7" s="8" t="s">
        <v>1</v>
      </c>
      <c r="E7" s="9"/>
      <c r="G7" s="9"/>
      <c r="I7" s="9"/>
      <c r="K7" s="9"/>
    </row>
    <row r="8" spans="2:12" ht="16.5">
      <c r="C8" s="10" t="s">
        <v>2</v>
      </c>
      <c r="E8" s="7"/>
      <c r="G8" s="7"/>
      <c r="I8" s="7"/>
      <c r="K8" s="7"/>
    </row>
    <row r="9" spans="2:12" ht="16.5">
      <c r="C9" s="11">
        <v>46083</v>
      </c>
      <c r="E9" s="7"/>
      <c r="G9" s="7"/>
      <c r="I9" s="7"/>
      <c r="K9" s="7"/>
    </row>
    <row r="10" spans="2:12" s="1" customFormat="1" ht="3" customHeight="1"/>
    <row r="11" spans="2:12" s="1" customFormat="1"/>
    <row r="12" spans="2:12" s="1" customFormat="1" ht="31.9">
      <c r="C12" s="12" t="str">
        <f>+'Income Statement'!A1</f>
        <v>Tenable Holdings, Inc. (TENB)</v>
      </c>
      <c r="E12" s="13"/>
      <c r="G12" s="13"/>
      <c r="I12" s="13"/>
      <c r="K12" s="13"/>
    </row>
    <row r="13" spans="2:12" s="1" customFormat="1">
      <c r="C13" s="14"/>
      <c r="E13" s="14"/>
      <c r="G13" s="14"/>
      <c r="I13" s="14"/>
      <c r="K13" s="14"/>
    </row>
    <row r="14" spans="2:12" s="1" customFormat="1"/>
    <row r="15" spans="2:12" ht="3" customHeight="1">
      <c r="B15" s="15"/>
      <c r="C15" s="15"/>
      <c r="D15" s="15"/>
      <c r="E15" s="15"/>
      <c r="F15" s="15"/>
      <c r="G15" s="15"/>
      <c r="H15" s="15"/>
      <c r="I15" s="15"/>
      <c r="J15" s="15"/>
      <c r="K15" s="15"/>
      <c r="L15" s="15"/>
    </row>
    <row r="16" spans="2:12" s="1" customFormat="1"/>
    <row r="17" spans="3:11" s="1" customFormat="1" ht="16.5">
      <c r="C17" s="16" t="s">
        <v>3</v>
      </c>
      <c r="E17" s="17"/>
      <c r="G17" s="17"/>
      <c r="I17" s="17"/>
      <c r="K17" s="17"/>
    </row>
    <row r="18" spans="3:11" s="1" customFormat="1"/>
    <row r="19" spans="3:11" s="1" customFormat="1" ht="13.9">
      <c r="C19" s="18" t="s">
        <v>4</v>
      </c>
      <c r="D19" s="19"/>
      <c r="E19" s="18" t="s">
        <v>5</v>
      </c>
      <c r="F19" s="19"/>
      <c r="G19" s="19"/>
    </row>
    <row r="20" spans="3:11" s="1" customFormat="1" ht="13.5">
      <c r="C20" s="20" t="s">
        <v>6</v>
      </c>
      <c r="D20" s="19"/>
      <c r="E20" s="20" t="s">
        <v>7</v>
      </c>
      <c r="F20" s="19"/>
      <c r="G20" s="19"/>
    </row>
    <row r="21" spans="3:11" s="1" customFormat="1" ht="13.5">
      <c r="C21" s="21" t="s">
        <v>8</v>
      </c>
      <c r="D21" s="19"/>
      <c r="E21" s="21" t="s">
        <v>9</v>
      </c>
      <c r="F21" s="19"/>
      <c r="G21" s="19"/>
    </row>
    <row r="22" spans="3:11" s="1" customFormat="1" ht="13.5">
      <c r="C22" s="22" t="s">
        <v>10</v>
      </c>
      <c r="D22" s="19"/>
      <c r="E22" s="22" t="s">
        <v>11</v>
      </c>
      <c r="F22" s="19"/>
      <c r="G22" s="19"/>
    </row>
    <row r="23" spans="3:11" s="1" customFormat="1"/>
    <row r="24" spans="3:11" s="1" customFormat="1" ht="13.5">
      <c r="C24" s="23" t="s">
        <v>12</v>
      </c>
      <c r="D24" s="24"/>
      <c r="E24" s="25"/>
      <c r="F24" s="24"/>
      <c r="G24" s="25"/>
      <c r="H24" s="24"/>
      <c r="I24" s="24"/>
    </row>
    <row r="25" spans="3:11" s="1" customFormat="1">
      <c r="C25" s="25"/>
      <c r="D25" s="24"/>
      <c r="E25" s="25"/>
      <c r="F25" s="24"/>
      <c r="G25" s="25"/>
      <c r="H25" s="24"/>
      <c r="I25" s="24"/>
    </row>
    <row r="26" spans="3:11" s="1" customFormat="1">
      <c r="C26" s="25"/>
      <c r="D26" s="24"/>
      <c r="E26" s="25"/>
      <c r="F26" s="24"/>
      <c r="G26" s="25"/>
      <c r="H26" s="24"/>
      <c r="I26" s="24"/>
    </row>
    <row r="27" spans="3:11" s="1" customFormat="1">
      <c r="C27" s="25"/>
      <c r="D27" s="24"/>
      <c r="E27" s="25"/>
      <c r="F27" s="24"/>
      <c r="G27" s="25"/>
      <c r="H27" s="24"/>
      <c r="I27" s="24"/>
    </row>
    <row r="28" spans="3:11" s="1" customFormat="1">
      <c r="C28" s="25"/>
      <c r="D28" s="24"/>
      <c r="E28" s="25"/>
      <c r="F28" s="24"/>
      <c r="G28" s="25"/>
      <c r="H28" s="24"/>
      <c r="I28" s="24"/>
    </row>
    <row r="29" spans="3:11" s="1" customFormat="1">
      <c r="D29" s="26"/>
      <c r="E29" s="27"/>
      <c r="F29" s="24"/>
      <c r="G29" s="25"/>
      <c r="H29" s="24"/>
      <c r="I29" s="24"/>
    </row>
    <row r="30" spans="3:11" s="1" customFormat="1">
      <c r="C30" s="25"/>
      <c r="D30" s="24"/>
      <c r="E30" s="25"/>
      <c r="F30" s="24"/>
      <c r="G30" s="25"/>
      <c r="H30" s="24"/>
      <c r="I30" s="24"/>
    </row>
    <row r="31" spans="3:11" s="1" customFormat="1">
      <c r="C31" s="25"/>
      <c r="D31" s="24"/>
      <c r="E31" s="25"/>
      <c r="F31" s="24"/>
      <c r="G31" s="25"/>
      <c r="H31" s="24"/>
      <c r="I31" s="24"/>
    </row>
    <row r="32" spans="3:11" s="1" customFormat="1">
      <c r="C32" s="25"/>
      <c r="D32" s="24"/>
      <c r="E32" s="25"/>
      <c r="F32" s="24"/>
      <c r="G32" s="25"/>
      <c r="H32" s="24"/>
      <c r="I32" s="24"/>
    </row>
    <row r="33" spans="2:12" s="1" customFormat="1">
      <c r="C33" s="25"/>
      <c r="D33" s="24"/>
      <c r="E33" s="25"/>
      <c r="F33" s="24"/>
      <c r="G33" s="25"/>
      <c r="H33" s="24"/>
      <c r="I33" s="24"/>
    </row>
    <row r="34" spans="2:12" s="1" customFormat="1">
      <c r="C34" s="25"/>
      <c r="D34" s="24"/>
      <c r="E34" s="25"/>
      <c r="F34" s="24"/>
      <c r="G34" s="25"/>
      <c r="H34" s="24"/>
      <c r="I34" s="24"/>
    </row>
    <row r="35" spans="2:12" s="1" customFormat="1">
      <c r="C35" s="25"/>
      <c r="D35" s="24"/>
      <c r="E35" s="25"/>
      <c r="F35" s="24"/>
      <c r="G35" s="25"/>
      <c r="H35" s="24"/>
      <c r="I35" s="24"/>
    </row>
    <row r="36" spans="2:12" s="1" customFormat="1">
      <c r="C36" s="25"/>
      <c r="D36" s="24"/>
      <c r="E36" s="25"/>
      <c r="F36" s="24"/>
      <c r="G36" s="25"/>
      <c r="H36" s="24"/>
      <c r="I36" s="24"/>
    </row>
    <row r="37" spans="2:12" s="1" customFormat="1">
      <c r="C37" s="25"/>
      <c r="D37" s="24"/>
      <c r="E37" s="25"/>
      <c r="F37" s="24"/>
      <c r="G37" s="25"/>
      <c r="H37" s="24"/>
      <c r="I37" s="24"/>
    </row>
    <row r="38" spans="2:12" s="1" customFormat="1">
      <c r="C38" s="25"/>
      <c r="D38" s="24"/>
      <c r="E38" s="25"/>
      <c r="F38" s="24"/>
      <c r="G38" s="25"/>
      <c r="H38" s="24"/>
      <c r="I38" s="24"/>
    </row>
    <row r="39" spans="2:12" s="1" customFormat="1">
      <c r="C39" s="25"/>
      <c r="D39" s="24"/>
      <c r="E39" s="25"/>
      <c r="F39" s="24"/>
      <c r="G39" s="25"/>
      <c r="H39" s="24"/>
      <c r="I39" s="24"/>
    </row>
    <row r="40" spans="2:12" s="1" customFormat="1">
      <c r="C40" s="25"/>
      <c r="D40" s="24"/>
      <c r="E40" s="25"/>
      <c r="F40" s="24"/>
      <c r="G40" s="25"/>
      <c r="H40" s="24"/>
      <c r="I40" s="24"/>
    </row>
    <row r="41" spans="2:12" s="1" customFormat="1">
      <c r="C41" s="25"/>
      <c r="D41" s="24"/>
      <c r="E41" s="25"/>
      <c r="F41" s="24"/>
      <c r="G41" s="25"/>
      <c r="H41" s="24"/>
      <c r="I41" s="24"/>
    </row>
    <row r="42" spans="2:12" s="1" customFormat="1"/>
    <row r="43" spans="2:12" ht="3" customHeight="1">
      <c r="B43" s="15"/>
      <c r="C43" s="15"/>
      <c r="D43" s="15"/>
      <c r="E43" s="15"/>
      <c r="F43" s="15"/>
      <c r="G43" s="15"/>
      <c r="H43" s="15"/>
      <c r="I43" s="15"/>
      <c r="J43" s="15"/>
      <c r="K43" s="15"/>
      <c r="L43" s="15"/>
    </row>
    <row r="44" spans="2:12" ht="3" customHeight="1">
      <c r="B44" s="15"/>
      <c r="C44" s="15"/>
      <c r="D44" s="15"/>
      <c r="E44" s="15"/>
      <c r="F44" s="15"/>
      <c r="G44" s="15"/>
      <c r="H44" s="15"/>
      <c r="I44" s="15"/>
      <c r="J44" s="15"/>
      <c r="K44" s="15"/>
      <c r="L44" s="15"/>
    </row>
    <row r="45" spans="2:12" s="1" customFormat="1"/>
    <row r="46" spans="2:12" s="1" customFormat="1"/>
    <row r="47" spans="2:12" s="1" customFormat="1"/>
    <row r="48" spans="2:12"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sheetData>
  <hyperlinks>
    <hyperlink ref="C22" r:id="rId1" xr:uid="{4F6DB2EF-C7D3-46DD-84F8-D7D0EEB11A5D}"/>
  </hyperlinks>
  <pageMargins left="0.7" right="0.7" top="0.75" bottom="0.75" header="0.3" footer="0.3"/>
  <pageSetup scale="69" orientation="landscape"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DD6E-82A2-4FDD-870F-B8CA22D72233}">
  <sheetPr>
    <tabColor rgb="FF008000"/>
    <pageSetUpPr fitToPage="1"/>
  </sheetPr>
  <dimension ref="A1:BJ200"/>
  <sheetViews>
    <sheetView showGridLines="0" zoomScaleNormal="100" workbookViewId="0">
      <pane xSplit="1" ySplit="4" topLeftCell="AH44" activePane="bottomRight" state="frozen"/>
      <selection activeCell="N24" sqref="N24"/>
      <selection pane="topRight" activeCell="N24" sqref="N24"/>
      <selection pane="bottomLeft" activeCell="N24" sqref="N24"/>
      <selection pane="bottomRight" activeCell="N24" sqref="N24"/>
    </sheetView>
  </sheetViews>
  <sheetFormatPr defaultColWidth="6.86328125" defaultRowHeight="12.75" outlineLevelRow="1" outlineLevelCol="1"/>
  <cols>
    <col min="1" max="1" width="40" style="33" customWidth="1"/>
    <col min="2" max="5" width="7.86328125" style="33" hidden="1" customWidth="1" outlineLevel="1"/>
    <col min="6" max="7" width="8.1328125" style="33" hidden="1" customWidth="1" outlineLevel="1"/>
    <col min="8" max="8" width="8.1328125" style="31" hidden="1" customWidth="1" outlineLevel="1"/>
    <col min="9" max="9" width="7.86328125" style="33" hidden="1" customWidth="1" outlineLevel="1"/>
    <col min="10" max="17" width="8.1328125" style="33" hidden="1" customWidth="1" outlineLevel="1"/>
    <col min="18" max="18" width="8.1328125" style="33" hidden="1" customWidth="1" outlineLevel="1" collapsed="1"/>
    <col min="19" max="19" width="8.1328125" style="33" hidden="1" customWidth="1" outlineLevel="1"/>
    <col min="20" max="20" width="8.86328125" style="33" hidden="1" customWidth="1" outlineLevel="1"/>
    <col min="21" max="21" width="8.1328125" style="33" hidden="1" customWidth="1" outlineLevel="1"/>
    <col min="22" max="22" width="7.86328125" style="33" hidden="1" customWidth="1" outlineLevel="1"/>
    <col min="23" max="24" width="8.86328125" style="33" hidden="1" customWidth="1" outlineLevel="1"/>
    <col min="25" max="25" width="7.86328125" style="33" hidden="1" customWidth="1" outlineLevel="1"/>
    <col min="26" max="26" width="7.86328125" style="33" hidden="1" customWidth="1" outlineLevel="1" collapsed="1"/>
    <col min="27" max="29" width="7.86328125" style="33" hidden="1" customWidth="1" outlineLevel="1"/>
    <col min="30" max="30" width="7.86328125" style="33" customWidth="1" collapsed="1"/>
    <col min="31" max="45" width="7.86328125" style="33" customWidth="1"/>
    <col min="46" max="46" width="2.59765625" style="33" customWidth="1"/>
    <col min="47" max="47" width="9.1328125" style="33" hidden="1" customWidth="1" outlineLevel="1" collapsed="1"/>
    <col min="48" max="48" width="9.86328125" style="33" hidden="1" customWidth="1" outlineLevel="1"/>
    <col min="49" max="50" width="9.1328125" style="33" hidden="1" customWidth="1" outlineLevel="1"/>
    <col min="51" max="51" width="9.1328125" style="33" hidden="1" customWidth="1" outlineLevel="1" collapsed="1"/>
    <col min="52" max="52" width="9.1328125" style="33" hidden="1" customWidth="1" outlineLevel="1"/>
    <col min="53" max="53" width="9.1328125" style="33" hidden="1" customWidth="1" outlineLevel="1" collapsed="1"/>
    <col min="54" max="54" width="9.1328125" style="33" customWidth="1" collapsed="1"/>
    <col min="55" max="57" width="9.1328125" style="33" customWidth="1"/>
    <col min="58" max="59" width="6.86328125" style="33"/>
    <col min="61" max="16384" width="6.86328125" style="33"/>
  </cols>
  <sheetData>
    <row r="1" spans="1:57" ht="15.75">
      <c r="A1" s="28" t="s">
        <v>13</v>
      </c>
      <c r="B1" s="29"/>
      <c r="C1" s="30"/>
      <c r="D1" s="29"/>
      <c r="E1" s="29"/>
      <c r="F1" s="31"/>
      <c r="G1" s="32"/>
      <c r="H1" s="32"/>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row>
    <row r="2" spans="1:57" s="39" customFormat="1" ht="15.75">
      <c r="A2" s="28" t="s">
        <v>14</v>
      </c>
      <c r="B2" s="34" t="s">
        <v>15</v>
      </c>
      <c r="C2" s="34" t="s">
        <v>16</v>
      </c>
      <c r="D2" s="34" t="s">
        <v>17</v>
      </c>
      <c r="E2" s="34" t="s">
        <v>18</v>
      </c>
      <c r="F2" s="34" t="s">
        <v>19</v>
      </c>
      <c r="G2" s="34" t="s">
        <v>20</v>
      </c>
      <c r="H2" s="34" t="s">
        <v>21</v>
      </c>
      <c r="I2" s="34" t="s">
        <v>22</v>
      </c>
      <c r="J2" s="34" t="s">
        <v>23</v>
      </c>
      <c r="K2" s="34" t="s">
        <v>24</v>
      </c>
      <c r="L2" s="34" t="s">
        <v>25</v>
      </c>
      <c r="M2" s="34" t="s">
        <v>26</v>
      </c>
      <c r="N2" s="34" t="s">
        <v>27</v>
      </c>
      <c r="O2" s="34" t="s">
        <v>28</v>
      </c>
      <c r="P2" s="34" t="s">
        <v>29</v>
      </c>
      <c r="Q2" s="34" t="s">
        <v>30</v>
      </c>
      <c r="R2" s="35" t="s">
        <v>31</v>
      </c>
      <c r="S2" s="35" t="s">
        <v>32</v>
      </c>
      <c r="T2" s="34" t="s">
        <v>33</v>
      </c>
      <c r="U2" s="34" t="s">
        <v>34</v>
      </c>
      <c r="V2" s="34" t="s">
        <v>35</v>
      </c>
      <c r="W2" s="34" t="s">
        <v>36</v>
      </c>
      <c r="X2" s="34" t="s">
        <v>37</v>
      </c>
      <c r="Y2" s="34" t="s">
        <v>38</v>
      </c>
      <c r="Z2" s="34" t="s">
        <v>39</v>
      </c>
      <c r="AA2" s="34" t="s">
        <v>40</v>
      </c>
      <c r="AB2" s="34" t="s">
        <v>41</v>
      </c>
      <c r="AC2" s="34" t="s">
        <v>42</v>
      </c>
      <c r="AD2" s="34" t="s">
        <v>43</v>
      </c>
      <c r="AE2" s="34" t="s">
        <v>44</v>
      </c>
      <c r="AF2" s="34" t="s">
        <v>45</v>
      </c>
      <c r="AG2" s="34" t="s">
        <v>46</v>
      </c>
      <c r="AH2" s="34" t="s">
        <v>47</v>
      </c>
      <c r="AI2" s="34" t="s">
        <v>48</v>
      </c>
      <c r="AJ2" s="34" t="s">
        <v>49</v>
      </c>
      <c r="AK2" s="34" t="s">
        <v>50</v>
      </c>
      <c r="AL2" s="34" t="s">
        <v>51</v>
      </c>
      <c r="AM2" s="34" t="s">
        <v>52</v>
      </c>
      <c r="AN2" s="34" t="s">
        <v>53</v>
      </c>
      <c r="AO2" s="34" t="s">
        <v>54</v>
      </c>
      <c r="AP2" s="34" t="s">
        <v>55</v>
      </c>
      <c r="AQ2" s="34" t="s">
        <v>56</v>
      </c>
      <c r="AR2" s="34" t="s">
        <v>57</v>
      </c>
      <c r="AS2" s="34" t="s">
        <v>58</v>
      </c>
      <c r="AT2" s="36"/>
      <c r="AU2" s="37">
        <v>2017</v>
      </c>
      <c r="AV2" s="37">
        <v>2018</v>
      </c>
      <c r="AW2" s="37">
        <v>2019</v>
      </c>
      <c r="AX2" s="37">
        <v>2020</v>
      </c>
      <c r="AY2" s="37">
        <v>2021</v>
      </c>
      <c r="AZ2" s="37">
        <v>2022</v>
      </c>
      <c r="BA2" s="37">
        <v>2023</v>
      </c>
      <c r="BB2" s="37">
        <v>2024</v>
      </c>
      <c r="BC2" s="37">
        <f>BB2+1</f>
        <v>2025</v>
      </c>
      <c r="BD2" s="37">
        <f>BC2+1</f>
        <v>2026</v>
      </c>
      <c r="BE2" s="38">
        <f>BD2+1</f>
        <v>2027</v>
      </c>
    </row>
    <row r="3" spans="1:57" s="45" customFormat="1" ht="12" customHeight="1">
      <c r="A3" s="40"/>
      <c r="B3" s="1722">
        <v>2017</v>
      </c>
      <c r="C3" s="1720"/>
      <c r="D3" s="1720"/>
      <c r="E3" s="1723"/>
      <c r="F3" s="1722">
        <v>2018</v>
      </c>
      <c r="G3" s="1720"/>
      <c r="H3" s="1720"/>
      <c r="I3" s="1723"/>
      <c r="J3" s="1722">
        <v>2019</v>
      </c>
      <c r="K3" s="1720"/>
      <c r="L3" s="1720"/>
      <c r="M3" s="1723"/>
      <c r="N3" s="1722">
        <v>2020</v>
      </c>
      <c r="O3" s="1720"/>
      <c r="P3" s="1720"/>
      <c r="Q3" s="1723"/>
      <c r="R3" s="1722">
        <v>2021</v>
      </c>
      <c r="S3" s="1720"/>
      <c r="T3" s="1720"/>
      <c r="U3" s="1723"/>
      <c r="V3" s="1719">
        <v>2022</v>
      </c>
      <c r="W3" s="1720"/>
      <c r="X3" s="1720"/>
      <c r="Y3" s="1721"/>
      <c r="Z3" s="1722">
        <v>2023</v>
      </c>
      <c r="AA3" s="1720"/>
      <c r="AB3" s="1720"/>
      <c r="AC3" s="1723"/>
      <c r="AD3" s="1722">
        <v>2024</v>
      </c>
      <c r="AE3" s="1720"/>
      <c r="AF3" s="1720"/>
      <c r="AG3" s="1723"/>
      <c r="AH3" s="1722">
        <f>AD3+1</f>
        <v>2025</v>
      </c>
      <c r="AI3" s="1720"/>
      <c r="AJ3" s="1720"/>
      <c r="AK3" s="1723"/>
      <c r="AL3" s="1722">
        <f>AH3+1</f>
        <v>2026</v>
      </c>
      <c r="AM3" s="1720"/>
      <c r="AN3" s="1720"/>
      <c r="AO3" s="1723"/>
      <c r="AP3" s="1722">
        <f>AL3+1</f>
        <v>2027</v>
      </c>
      <c r="AQ3" s="1720"/>
      <c r="AR3" s="1720"/>
      <c r="AS3" s="1723"/>
      <c r="AT3" s="41"/>
      <c r="AU3" s="42"/>
      <c r="AV3" s="42"/>
      <c r="AW3" s="42"/>
      <c r="AX3" s="42"/>
      <c r="AY3" s="42"/>
      <c r="AZ3" s="42"/>
      <c r="BA3" s="43"/>
      <c r="BB3" s="42"/>
      <c r="BC3" s="42"/>
      <c r="BD3" s="42"/>
      <c r="BE3" s="44"/>
    </row>
    <row r="4" spans="1:57" s="62" customFormat="1" ht="12" customHeight="1">
      <c r="A4" s="46" t="s">
        <v>59</v>
      </c>
      <c r="B4" s="47">
        <v>42825</v>
      </c>
      <c r="C4" s="48">
        <v>42916</v>
      </c>
      <c r="D4" s="49">
        <v>43008</v>
      </c>
      <c r="E4" s="50">
        <v>43100</v>
      </c>
      <c r="F4" s="47">
        <v>43190</v>
      </c>
      <c r="G4" s="48">
        <v>43281</v>
      </c>
      <c r="H4" s="49">
        <v>43373</v>
      </c>
      <c r="I4" s="50">
        <v>43465</v>
      </c>
      <c r="J4" s="47">
        <v>43555</v>
      </c>
      <c r="K4" s="48">
        <v>43646</v>
      </c>
      <c r="L4" s="49">
        <v>43738</v>
      </c>
      <c r="M4" s="50">
        <v>43830</v>
      </c>
      <c r="N4" s="47">
        <v>43921</v>
      </c>
      <c r="O4" s="49">
        <v>44012</v>
      </c>
      <c r="P4" s="49">
        <v>44104</v>
      </c>
      <c r="Q4" s="51">
        <v>44196</v>
      </c>
      <c r="R4" s="52">
        <v>44286</v>
      </c>
      <c r="S4" s="49">
        <v>44377</v>
      </c>
      <c r="T4" s="53">
        <v>44469</v>
      </c>
      <c r="U4" s="54">
        <v>44561</v>
      </c>
      <c r="V4" s="53">
        <v>44651</v>
      </c>
      <c r="W4" s="53">
        <v>44742</v>
      </c>
      <c r="X4" s="53">
        <v>44834</v>
      </c>
      <c r="Y4" s="53">
        <v>44926</v>
      </c>
      <c r="Z4" s="55">
        <v>45016</v>
      </c>
      <c r="AA4" s="53">
        <v>45107</v>
      </c>
      <c r="AB4" s="53">
        <v>45199</v>
      </c>
      <c r="AC4" s="54">
        <v>45291</v>
      </c>
      <c r="AD4" s="55">
        <v>45382</v>
      </c>
      <c r="AE4" s="53">
        <v>45473</v>
      </c>
      <c r="AF4" s="53" t="s">
        <v>60</v>
      </c>
      <c r="AG4" s="54" t="s">
        <v>61</v>
      </c>
      <c r="AH4" s="55" t="s">
        <v>62</v>
      </c>
      <c r="AI4" s="53" t="s">
        <v>63</v>
      </c>
      <c r="AJ4" s="53" t="s">
        <v>64</v>
      </c>
      <c r="AK4" s="54" t="s">
        <v>65</v>
      </c>
      <c r="AL4" s="55" t="s">
        <v>66</v>
      </c>
      <c r="AM4" s="53" t="s">
        <v>67</v>
      </c>
      <c r="AN4" s="53" t="s">
        <v>68</v>
      </c>
      <c r="AO4" s="54" t="s">
        <v>69</v>
      </c>
      <c r="AP4" s="55" t="s">
        <v>70</v>
      </c>
      <c r="AQ4" s="53" t="s">
        <v>71</v>
      </c>
      <c r="AR4" s="53" t="s">
        <v>72</v>
      </c>
      <c r="AS4" s="54" t="s">
        <v>73</v>
      </c>
      <c r="AT4" s="56"/>
      <c r="AU4" s="57">
        <v>2017</v>
      </c>
      <c r="AV4" s="58">
        <v>2018</v>
      </c>
      <c r="AW4" s="59">
        <v>2019</v>
      </c>
      <c r="AX4" s="60">
        <v>2020</v>
      </c>
      <c r="AY4" s="60" t="s">
        <v>74</v>
      </c>
      <c r="AZ4" s="60" t="s">
        <v>75</v>
      </c>
      <c r="BA4" s="61" t="s">
        <v>76</v>
      </c>
      <c r="BB4" s="61" t="s">
        <v>77</v>
      </c>
      <c r="BC4" s="61" t="s">
        <v>78</v>
      </c>
      <c r="BD4" s="61" t="s">
        <v>79</v>
      </c>
      <c r="BE4" s="61" t="s">
        <v>80</v>
      </c>
    </row>
    <row r="5" spans="1:57" s="62" customFormat="1" ht="12" customHeight="1">
      <c r="A5" s="63" t="s">
        <v>81</v>
      </c>
      <c r="B5" s="64"/>
      <c r="C5" s="65"/>
      <c r="D5" s="65"/>
      <c r="E5" s="66"/>
      <c r="F5" s="64"/>
      <c r="G5" s="65"/>
      <c r="H5" s="65"/>
      <c r="I5" s="66"/>
      <c r="J5" s="64"/>
      <c r="K5" s="65"/>
      <c r="L5" s="65"/>
      <c r="M5" s="66"/>
      <c r="N5" s="64"/>
      <c r="O5" s="65"/>
      <c r="P5" s="48"/>
      <c r="Q5" s="66"/>
      <c r="R5" s="64"/>
      <c r="S5" s="65"/>
      <c r="T5" s="65"/>
      <c r="U5" s="66"/>
      <c r="V5" s="65"/>
      <c r="W5" s="65"/>
      <c r="X5" s="65"/>
      <c r="Y5" s="65"/>
      <c r="Z5" s="64"/>
      <c r="AA5" s="65"/>
      <c r="AB5" s="65"/>
      <c r="AC5" s="66"/>
      <c r="AD5" s="64"/>
      <c r="AE5" s="65"/>
      <c r="AF5" s="65"/>
      <c r="AG5" s="66"/>
      <c r="AH5" s="64"/>
      <c r="AI5" s="65"/>
      <c r="AJ5" s="65"/>
      <c r="AK5" s="66"/>
      <c r="AL5" s="64"/>
      <c r="AM5" s="65"/>
      <c r="AN5" s="65"/>
      <c r="AO5" s="66"/>
      <c r="AP5" s="64"/>
      <c r="AQ5" s="65"/>
      <c r="AR5" s="65"/>
      <c r="AS5" s="66"/>
      <c r="AT5" s="56"/>
      <c r="AU5" s="67"/>
      <c r="AV5" s="67"/>
      <c r="AW5" s="67"/>
      <c r="AX5" s="67"/>
      <c r="AY5" s="67"/>
      <c r="AZ5" s="64"/>
      <c r="BA5" s="67"/>
      <c r="BB5" s="67"/>
      <c r="BC5" s="67"/>
      <c r="BD5" s="67"/>
      <c r="BE5" s="67"/>
    </row>
    <row r="6" spans="1:57" s="62" customFormat="1" ht="12" customHeight="1">
      <c r="A6" s="68" t="s">
        <v>82</v>
      </c>
      <c r="B6" s="69">
        <f>'Revenue Build'!B13</f>
        <v>27.702000000000002</v>
      </c>
      <c r="C6" s="70">
        <f>'Revenue Build'!C13</f>
        <v>30.843999999999987</v>
      </c>
      <c r="D6" s="70">
        <f>'Revenue Build'!D13</f>
        <v>34.932000000000002</v>
      </c>
      <c r="E6" s="71">
        <f>'Revenue Build'!E13</f>
        <v>39.395000000000003</v>
      </c>
      <c r="F6" s="69">
        <f>'Revenue Build'!F13</f>
        <v>44.332000000000001</v>
      </c>
      <c r="G6" s="70">
        <f>'Revenue Build'!G13</f>
        <v>48.725000000000001</v>
      </c>
      <c r="H6" s="70">
        <f>'Revenue Build'!H13</f>
        <v>53.511000000000003</v>
      </c>
      <c r="I6" s="71">
        <f>'Revenue Build'!I13</f>
        <v>59.259</v>
      </c>
      <c r="J6" s="69">
        <f>'Revenue Build'!J13</f>
        <v>64.736999999999995</v>
      </c>
      <c r="K6" s="70">
        <f>'Revenue Build'!K13</f>
        <v>69.37</v>
      </c>
      <c r="L6" s="70">
        <f>'Revenue Build'!L13</f>
        <v>75.503</v>
      </c>
      <c r="M6" s="71">
        <f>'Revenue Build'!M13</f>
        <v>80.938999999999993</v>
      </c>
      <c r="N6" s="69">
        <f>'Revenue Build'!N13</f>
        <v>86.39</v>
      </c>
      <c r="O6" s="70">
        <f>'Revenue Build'!O13</f>
        <v>92.01</v>
      </c>
      <c r="P6" s="70">
        <f>'Revenue Build'!P13</f>
        <v>96.792000000000002</v>
      </c>
      <c r="Q6" s="71">
        <f>'Revenue Build'!Q13</f>
        <v>102.16200000000001</v>
      </c>
      <c r="R6" s="69">
        <f>'Revenue Build'!R13</f>
        <v>107.402</v>
      </c>
      <c r="S6" s="70">
        <f>'Revenue Build'!S13</f>
        <v>114.167</v>
      </c>
      <c r="T6" s="70">
        <f>'Revenue Build'!T13</f>
        <v>122.15600000000001</v>
      </c>
      <c r="U6" s="71">
        <f>'Revenue Build'!U13</f>
        <v>132.298</v>
      </c>
      <c r="V6" s="69">
        <f>'Revenue Build'!V13</f>
        <v>142.68700000000001</v>
      </c>
      <c r="W6" s="70">
        <f>'Revenue Build'!W13</f>
        <v>146.80600000000001</v>
      </c>
      <c r="X6" s="70">
        <f>'Revenue Build'!X13</f>
        <v>156.76400000000001</v>
      </c>
      <c r="Y6" s="70">
        <f>'Revenue Build'!Y13</f>
        <v>166.25299999999999</v>
      </c>
      <c r="Z6" s="69">
        <f>'Revenue Build'!Z13</f>
        <v>171.09800000000001</v>
      </c>
      <c r="AA6" s="70">
        <f>'Revenue Build'!AA13</f>
        <v>176.767</v>
      </c>
      <c r="AB6" s="70">
        <f>'Revenue Build'!AB13</f>
        <v>183.268</v>
      </c>
      <c r="AC6" s="71">
        <f>'Revenue Build'!AC13</f>
        <v>193.88</v>
      </c>
      <c r="AD6" s="69">
        <f>'Revenue Build'!AD13</f>
        <v>197.63499999999999</v>
      </c>
      <c r="AE6" s="70">
        <f>'Revenue Build'!AE13</f>
        <v>202.53800000000001</v>
      </c>
      <c r="AF6" s="70">
        <f>'Revenue Build'!AF13</f>
        <v>208.554</v>
      </c>
      <c r="AG6" s="71">
        <f>'Revenue Build'!AG13</f>
        <v>215.93199999999999</v>
      </c>
      <c r="AH6" s="69">
        <f>'Revenue Build'!AH13</f>
        <v>220.44300000000001</v>
      </c>
      <c r="AI6" s="70">
        <f>'Revenue Build'!AI13</f>
        <v>228.03100000000001</v>
      </c>
      <c r="AJ6" s="70">
        <f>'Revenue Build'!AJ13</f>
        <v>232.21100000000001</v>
      </c>
      <c r="AK6" s="71">
        <f>'Revenue Build'!AK13</f>
        <v>238.88800000000001</v>
      </c>
      <c r="AL6" s="69">
        <f>'Revenue Build'!AL13</f>
        <v>241.385085</v>
      </c>
      <c r="AM6" s="70">
        <f>'Revenue Build'!AM13</f>
        <v>247.413635</v>
      </c>
      <c r="AN6" s="70">
        <f>'Revenue Build'!AN13</f>
        <v>249.626825</v>
      </c>
      <c r="AO6" s="71">
        <f>'Revenue Build'!AO13</f>
        <v>256.80459999999999</v>
      </c>
      <c r="AP6" s="69">
        <f>'Revenue Build'!AP13</f>
        <v>259.4648278665</v>
      </c>
      <c r="AQ6" s="70">
        <f>'Revenue Build'!AQ13</f>
        <v>265.92017489799997</v>
      </c>
      <c r="AR6" s="70">
        <f>'Revenue Build'!AR13</f>
        <v>268.27394882750002</v>
      </c>
      <c r="AS6" s="71">
        <f>'Revenue Build'!AS13</f>
        <v>275.96222316000001</v>
      </c>
      <c r="AT6" s="56"/>
      <c r="AU6" s="71">
        <f t="shared" ref="AU6:AU9" si="0">SUM(B6:E6)</f>
        <v>132.87299999999999</v>
      </c>
      <c r="AV6" s="71">
        <f t="shared" ref="AV6:AV9" si="1">SUM(F6:I6)</f>
        <v>205.827</v>
      </c>
      <c r="AW6" s="72">
        <f t="shared" ref="AW6:AW9" si="2">SUM(J6:M6)</f>
        <v>290.54899999999998</v>
      </c>
      <c r="AX6" s="72">
        <f t="shared" ref="AX6:AX9" si="3">SUM(N6:Q6)</f>
        <v>377.35400000000004</v>
      </c>
      <c r="AY6" s="72">
        <f t="shared" ref="AY6:AY9" si="4">SUM(R6:U6)</f>
        <v>476.02300000000002</v>
      </c>
      <c r="AZ6" s="69">
        <f t="shared" ref="AZ6:AZ9" si="5">SUM(V6:Y6)</f>
        <v>612.51</v>
      </c>
      <c r="BA6" s="72">
        <f t="shared" ref="BA6:BA9" si="6">SUM(Z6:AC6)</f>
        <v>725.01300000000003</v>
      </c>
      <c r="BB6" s="72">
        <f>SUM(AD6:AG6)</f>
        <v>824.65899999999999</v>
      </c>
      <c r="BC6" s="72">
        <f>SUM(AH6:AK6)</f>
        <v>919.57300000000009</v>
      </c>
      <c r="BD6" s="72">
        <f>SUM(AL6:AO6)</f>
        <v>995.23014499999999</v>
      </c>
      <c r="BE6" s="72">
        <f>SUM(AP6:AS6)</f>
        <v>1069.6211747520001</v>
      </c>
    </row>
    <row r="7" spans="1:57" s="62" customFormat="1" ht="12" customHeight="1">
      <c r="A7" s="68" t="s">
        <v>83</v>
      </c>
      <c r="B7" s="69">
        <f>'Revenue Build'!B18</f>
        <v>11.989000000000001</v>
      </c>
      <c r="C7" s="70">
        <f>'Revenue Build'!C18</f>
        <v>12.282999999999999</v>
      </c>
      <c r="D7" s="70">
        <f>'Revenue Build'!D18</f>
        <v>12.856999999999999</v>
      </c>
      <c r="E7" s="71">
        <f>'Revenue Build'!E18</f>
        <v>13.208</v>
      </c>
      <c r="F7" s="69">
        <f>'Revenue Build'!F18</f>
        <v>13.477</v>
      </c>
      <c r="G7" s="70">
        <f>'Revenue Build'!G18</f>
        <v>13.412000000000001</v>
      </c>
      <c r="H7" s="70">
        <f>'Revenue Build'!H18</f>
        <v>13.864000000000001</v>
      </c>
      <c r="I7" s="71">
        <f>'Revenue Build'!I18</f>
        <v>13.869</v>
      </c>
      <c r="J7" s="69">
        <f>'Revenue Build'!J18</f>
        <v>13.526999999999999</v>
      </c>
      <c r="K7" s="70">
        <f>'Revenue Build'!K18</f>
        <v>13.553000000000001</v>
      </c>
      <c r="L7" s="70">
        <f>'Revenue Build'!L18</f>
        <v>13.797000000000001</v>
      </c>
      <c r="M7" s="71">
        <f>'Revenue Build'!M18</f>
        <v>13.295999999999999</v>
      </c>
      <c r="N7" s="69">
        <f>'Revenue Build'!N18</f>
        <v>13.419</v>
      </c>
      <c r="O7" s="70">
        <f>'Revenue Build'!O18</f>
        <v>12.179</v>
      </c>
      <c r="P7" s="70">
        <f>'Revenue Build'!P18</f>
        <v>12.448</v>
      </c>
      <c r="Q7" s="71">
        <f>'Revenue Build'!Q18</f>
        <v>12.548</v>
      </c>
      <c r="R7" s="69">
        <f>'Revenue Build'!R18</f>
        <v>12.404999999999999</v>
      </c>
      <c r="S7" s="70">
        <f>'Revenue Build'!S18</f>
        <v>12.567</v>
      </c>
      <c r="T7" s="70">
        <f>'Revenue Build'!T18</f>
        <v>12.749000000000001</v>
      </c>
      <c r="U7" s="71">
        <f>'Revenue Build'!U18</f>
        <v>12.612</v>
      </c>
      <c r="V7" s="69">
        <f>'Revenue Build'!V18</f>
        <v>12.872999999999999</v>
      </c>
      <c r="W7" s="70">
        <f>'Revenue Build'!W18</f>
        <v>12.683</v>
      </c>
      <c r="X7" s="70">
        <f>'Revenue Build'!X18</f>
        <v>12.657999999999999</v>
      </c>
      <c r="Y7" s="70">
        <f>'Revenue Build'!Y18</f>
        <v>12.484999999999999</v>
      </c>
      <c r="Z7" s="69">
        <f>'Revenue Build'!Z18</f>
        <v>12.180999999999999</v>
      </c>
      <c r="AA7" s="70">
        <f>'Revenue Build'!AA18</f>
        <v>12.154</v>
      </c>
      <c r="AB7" s="70">
        <f>'Revenue Build'!AB18</f>
        <v>12.2</v>
      </c>
      <c r="AC7" s="71">
        <f>'Revenue Build'!AC18</f>
        <v>12.194000000000001</v>
      </c>
      <c r="AD7" s="69">
        <f>'Revenue Build'!AD18</f>
        <v>12.156000000000001</v>
      </c>
      <c r="AE7" s="70">
        <f>'Revenue Build'!AE18</f>
        <v>12.016</v>
      </c>
      <c r="AF7" s="70">
        <f>'Revenue Build'!AF18</f>
        <v>11.769</v>
      </c>
      <c r="AG7" s="71">
        <f>'Revenue Build'!AG18</f>
        <v>11.833</v>
      </c>
      <c r="AH7" s="69">
        <f>'Revenue Build'!AH18</f>
        <v>11.552</v>
      </c>
      <c r="AI7" s="70">
        <f>'Revenue Build'!AI18</f>
        <v>11.411</v>
      </c>
      <c r="AJ7" s="70">
        <f>'Revenue Build'!AJ18</f>
        <v>11.087999999999999</v>
      </c>
      <c r="AK7" s="71">
        <f>'Revenue Build'!AK18</f>
        <v>10.61</v>
      </c>
      <c r="AL7" s="69">
        <f>'Revenue Build'!AL18</f>
        <v>10.396800000000001</v>
      </c>
      <c r="AM7" s="70">
        <f>'Revenue Build'!AM18</f>
        <v>10.2699</v>
      </c>
      <c r="AN7" s="70">
        <f>'Revenue Build'!AN18</f>
        <v>9.9791999999999987</v>
      </c>
      <c r="AO7" s="71">
        <f>'Revenue Build'!AO18</f>
        <v>9.5489999999999995</v>
      </c>
      <c r="AP7" s="69">
        <f>'Revenue Build'!AP18</f>
        <v>9.3571200000000001</v>
      </c>
      <c r="AQ7" s="70">
        <f>'Revenue Build'!AQ18</f>
        <v>9.2429100000000002</v>
      </c>
      <c r="AR7" s="70">
        <f>'Revenue Build'!AR18</f>
        <v>8.9812799999999999</v>
      </c>
      <c r="AS7" s="71">
        <f>'Revenue Build'!AS18</f>
        <v>8.5940999999999992</v>
      </c>
      <c r="AT7" s="56"/>
      <c r="AU7" s="71">
        <f t="shared" si="0"/>
        <v>50.336999999999996</v>
      </c>
      <c r="AV7" s="71">
        <f t="shared" si="1"/>
        <v>54.622</v>
      </c>
      <c r="AW7" s="72">
        <f t="shared" si="2"/>
        <v>54.172999999999995</v>
      </c>
      <c r="AX7" s="72">
        <f t="shared" si="3"/>
        <v>50.594000000000001</v>
      </c>
      <c r="AY7" s="72">
        <f t="shared" si="4"/>
        <v>50.333000000000006</v>
      </c>
      <c r="AZ7" s="69">
        <f t="shared" si="5"/>
        <v>50.698999999999998</v>
      </c>
      <c r="BA7" s="72">
        <f t="shared" si="6"/>
        <v>48.728999999999999</v>
      </c>
      <c r="BB7" s="72">
        <f t="shared" ref="BB7:BB9" si="7">SUM(AD7:AG7)</f>
        <v>47.774000000000001</v>
      </c>
      <c r="BC7" s="72">
        <f t="shared" ref="BC7:BC9" si="8">SUM(AH7:AK7)</f>
        <v>44.661000000000001</v>
      </c>
      <c r="BD7" s="72">
        <f t="shared" ref="BD7:BD9" si="9">SUM(AL7:AO7)</f>
        <v>40.194899999999997</v>
      </c>
      <c r="BE7" s="72">
        <f>SUM(AP7:AS7)</f>
        <v>36.175409999999999</v>
      </c>
    </row>
    <row r="8" spans="1:57" s="62" customFormat="1" ht="12" customHeight="1">
      <c r="A8" s="68" t="s">
        <v>84</v>
      </c>
      <c r="B8" s="69">
        <f>'Revenue Build'!B23</f>
        <v>0.79</v>
      </c>
      <c r="C8" s="70">
        <f>'Revenue Build'!C23</f>
        <v>1.0220000000000005</v>
      </c>
      <c r="D8" s="70">
        <f>'Revenue Build'!D23</f>
        <v>1.1910000000000001</v>
      </c>
      <c r="E8" s="71">
        <f>'Revenue Build'!E23</f>
        <v>1.514</v>
      </c>
      <c r="F8" s="69">
        <f>'Revenue Build'!F23</f>
        <v>1.298</v>
      </c>
      <c r="G8" s="70">
        <f>'Revenue Build'!G23</f>
        <v>1.4550000000000001</v>
      </c>
      <c r="H8" s="70">
        <f>'Revenue Build'!H23</f>
        <v>2.0649999999999999</v>
      </c>
      <c r="I8" s="71">
        <f>'Revenue Build'!I23</f>
        <v>2.093</v>
      </c>
      <c r="J8" s="69">
        <f>'Revenue Build'!J23</f>
        <v>2.0369999999999999</v>
      </c>
      <c r="K8" s="70">
        <f>'Revenue Build'!K23</f>
        <v>2.4609999999999999</v>
      </c>
      <c r="L8" s="70">
        <f>'Revenue Build'!L23</f>
        <v>2.552</v>
      </c>
      <c r="M8" s="71">
        <f>'Revenue Build'!M23</f>
        <v>2.8140000000000001</v>
      </c>
      <c r="N8" s="69">
        <f>'Revenue Build'!N23</f>
        <v>2.839</v>
      </c>
      <c r="O8" s="70">
        <f>'Revenue Build'!O23</f>
        <v>3.02</v>
      </c>
      <c r="P8" s="70">
        <f>'Revenue Build'!P23</f>
        <v>3.0419999999999998</v>
      </c>
      <c r="Q8" s="71">
        <f>'Revenue Build'!Q23</f>
        <v>3.3719999999999999</v>
      </c>
      <c r="R8" s="69">
        <f>'Revenue Build'!R23</f>
        <v>3.3820000000000001</v>
      </c>
      <c r="S8" s="70">
        <f>'Revenue Build'!S23</f>
        <v>3.5249999999999999</v>
      </c>
      <c r="T8" s="70">
        <f>'Revenue Build'!T23</f>
        <v>3.7589999999999999</v>
      </c>
      <c r="U8" s="71">
        <f>'Revenue Build'!U23</f>
        <v>4.1079999999999997</v>
      </c>
      <c r="V8" s="69">
        <f>'Revenue Build'!V23</f>
        <v>3.8079999999999998</v>
      </c>
      <c r="W8" s="70">
        <f>'Revenue Build'!W23</f>
        <v>4.8520000000000003</v>
      </c>
      <c r="X8" s="70">
        <f>'Revenue Build'!X23</f>
        <v>5.4290000000000003</v>
      </c>
      <c r="Y8" s="70">
        <f>'Revenue Build'!Y23</f>
        <v>5.8929999999999998</v>
      </c>
      <c r="Z8" s="69">
        <f>'Revenue Build'!Z23</f>
        <v>5.56</v>
      </c>
      <c r="AA8" s="70">
        <f>'Revenue Build'!AA23</f>
        <v>6.1150000000000002</v>
      </c>
      <c r="AB8" s="70">
        <f>'Revenue Build'!AB23</f>
        <v>6.0609999999999999</v>
      </c>
      <c r="AC8" s="71">
        <f>'Revenue Build'!AC23</f>
        <v>7.2320000000000002</v>
      </c>
      <c r="AD8" s="69">
        <f>'Revenue Build'!AD23</f>
        <v>6.17</v>
      </c>
      <c r="AE8" s="70">
        <f>'Revenue Build'!AE23</f>
        <v>6.6870000000000003</v>
      </c>
      <c r="AF8" s="70">
        <f>'Revenue Build'!AF23</f>
        <v>6.7649999999999997</v>
      </c>
      <c r="AG8" s="71">
        <f>'Revenue Build'!AG23</f>
        <v>7.9660000000000002</v>
      </c>
      <c r="AH8" s="69">
        <f>'Revenue Build'!AH23</f>
        <v>7.1420000000000003</v>
      </c>
      <c r="AI8" s="70">
        <f>'Revenue Build'!AI23</f>
        <v>7.8529999999999998</v>
      </c>
      <c r="AJ8" s="70">
        <f>'Revenue Build'!AJ23</f>
        <v>9.141</v>
      </c>
      <c r="AK8" s="71">
        <f>'Revenue Build'!AK23</f>
        <v>11.035</v>
      </c>
      <c r="AL8" s="69">
        <f>'Revenue Build'!AL23</f>
        <v>6.7849000000000004</v>
      </c>
      <c r="AM8" s="70">
        <f>'Revenue Build'!AM23</f>
        <v>7.8529999999999998</v>
      </c>
      <c r="AN8" s="70">
        <f>'Revenue Build'!AN23</f>
        <v>9.141</v>
      </c>
      <c r="AO8" s="71">
        <f>'Revenue Build'!AO23</f>
        <v>11.035</v>
      </c>
      <c r="AP8" s="69">
        <f>'Revenue Build'!AP23</f>
        <v>6.7849000000000004</v>
      </c>
      <c r="AQ8" s="70">
        <f>'Revenue Build'!AQ23</f>
        <v>7.8529999999999998</v>
      </c>
      <c r="AR8" s="70">
        <f>'Revenue Build'!AR23</f>
        <v>9.141</v>
      </c>
      <c r="AS8" s="71">
        <f>'Revenue Build'!AS23</f>
        <v>11.035</v>
      </c>
      <c r="AT8" s="56"/>
      <c r="AU8" s="71">
        <f t="shared" si="0"/>
        <v>4.5170000000000003</v>
      </c>
      <c r="AV8" s="71">
        <f t="shared" si="1"/>
        <v>6.9109999999999996</v>
      </c>
      <c r="AW8" s="72">
        <f t="shared" si="2"/>
        <v>9.863999999999999</v>
      </c>
      <c r="AX8" s="72">
        <f t="shared" si="3"/>
        <v>12.273</v>
      </c>
      <c r="AY8" s="72">
        <f t="shared" si="4"/>
        <v>14.774000000000001</v>
      </c>
      <c r="AZ8" s="69">
        <f t="shared" si="5"/>
        <v>19.981999999999999</v>
      </c>
      <c r="BA8" s="72">
        <f t="shared" si="6"/>
        <v>24.968</v>
      </c>
      <c r="BB8" s="72">
        <f t="shared" si="7"/>
        <v>27.588000000000001</v>
      </c>
      <c r="BC8" s="72">
        <f t="shared" si="8"/>
        <v>35.171000000000006</v>
      </c>
      <c r="BD8" s="72">
        <f t="shared" si="9"/>
        <v>34.813900000000004</v>
      </c>
      <c r="BE8" s="72">
        <f>SUM(AP8:AS8)</f>
        <v>34.813900000000004</v>
      </c>
    </row>
    <row r="9" spans="1:57" s="80" customFormat="1" ht="12" customHeight="1">
      <c r="A9" s="73" t="s">
        <v>85</v>
      </c>
      <c r="B9" s="74">
        <f>+'Revenue Build'!B5</f>
        <v>40.481000000000002</v>
      </c>
      <c r="C9" s="75">
        <f>+'Revenue Build'!C5</f>
        <v>44.149000000000001</v>
      </c>
      <c r="D9" s="75">
        <f>+'Revenue Build'!D5</f>
        <v>48.980000000000004</v>
      </c>
      <c r="E9" s="76">
        <f>+'Revenue Build'!E5</f>
        <v>54.117000000000004</v>
      </c>
      <c r="F9" s="74">
        <f>+'Revenue Build'!F5</f>
        <v>59.106999999999999</v>
      </c>
      <c r="G9" s="75">
        <f>+'Revenue Build'!G5</f>
        <v>63.591999999999999</v>
      </c>
      <c r="H9" s="75">
        <f>+'Revenue Build'!H5</f>
        <v>69.44</v>
      </c>
      <c r="I9" s="76">
        <f>+'Revenue Build'!I5</f>
        <v>75.221000000000004</v>
      </c>
      <c r="J9" s="74">
        <f>+'Revenue Build'!J5</f>
        <v>80.301000000000002</v>
      </c>
      <c r="K9" s="75">
        <f>+'Revenue Build'!K5</f>
        <v>85.384</v>
      </c>
      <c r="L9" s="75">
        <f>+'Revenue Build'!L5</f>
        <v>91.852000000000004</v>
      </c>
      <c r="M9" s="76">
        <f>+'Revenue Build'!M5</f>
        <v>97.048999999999978</v>
      </c>
      <c r="N9" s="74">
        <f>+'Revenue Build'!N5</f>
        <v>102.648</v>
      </c>
      <c r="O9" s="75">
        <f>+'Revenue Build'!O5</f>
        <v>107.209</v>
      </c>
      <c r="P9" s="77">
        <f>+'Revenue Build'!P5</f>
        <v>112.28200000000001</v>
      </c>
      <c r="Q9" s="76">
        <f>+'Revenue Build'!Q5</f>
        <v>118.08200000000001</v>
      </c>
      <c r="R9" s="74">
        <f>+'Revenue Build'!R5</f>
        <v>123.18900000000001</v>
      </c>
      <c r="S9" s="75">
        <f>+'Revenue Build'!S5</f>
        <v>130.25900000000001</v>
      </c>
      <c r="T9" s="75">
        <f>+'Revenue Build'!T5</f>
        <v>138.66399999999999</v>
      </c>
      <c r="U9" s="76">
        <f>+'Revenue Build'!U5</f>
        <v>149.018</v>
      </c>
      <c r="V9" s="75">
        <f>+'Revenue Build'!V5</f>
        <v>159.36799999999999</v>
      </c>
      <c r="W9" s="75">
        <f>+'Revenue Build'!W5</f>
        <v>164.34100000000001</v>
      </c>
      <c r="X9" s="75">
        <f>+'Revenue Build'!X5</f>
        <v>174.851</v>
      </c>
      <c r="Y9" s="75">
        <f>+'Revenue Build'!Y5</f>
        <v>184.631</v>
      </c>
      <c r="Z9" s="74">
        <f>+'Revenue Build'!Z5</f>
        <v>188.83900000000003</v>
      </c>
      <c r="AA9" s="75">
        <f>+'Revenue Build'!AA5</f>
        <v>195.036</v>
      </c>
      <c r="AB9" s="75">
        <f>+'Revenue Build'!AB5</f>
        <v>201.529</v>
      </c>
      <c r="AC9" s="76">
        <f>+'Revenue Build'!AC5</f>
        <v>213.30599999999998</v>
      </c>
      <c r="AD9" s="74">
        <f>+'Revenue Build'!AD5</f>
        <v>215.96099999999998</v>
      </c>
      <c r="AE9" s="75">
        <f>+'Revenue Build'!AE5</f>
        <v>221.24100000000001</v>
      </c>
      <c r="AF9" s="75">
        <f>+'Revenue Build'!AF5</f>
        <v>227.08799999999999</v>
      </c>
      <c r="AG9" s="76">
        <f>+'Revenue Build'!AG5</f>
        <v>235.73099999999999</v>
      </c>
      <c r="AH9" s="74">
        <f>+'Revenue Build'!AH5</f>
        <v>239.137</v>
      </c>
      <c r="AI9" s="75">
        <f>+'Revenue Build'!AI5</f>
        <v>247.29500000000002</v>
      </c>
      <c r="AJ9" s="75">
        <f>+'Revenue Build'!AJ5</f>
        <v>252.44</v>
      </c>
      <c r="AK9" s="76">
        <f>+'Revenue Build'!AK5</f>
        <v>260.53300000000002</v>
      </c>
      <c r="AL9" s="74">
        <f>+'Revenue Build'!AL5</f>
        <v>258.56678500000004</v>
      </c>
      <c r="AM9" s="75">
        <f>+'Revenue Build'!AM5</f>
        <v>265.53653500000001</v>
      </c>
      <c r="AN9" s="75">
        <f>+'Revenue Build'!AN5</f>
        <v>268.74702500000001</v>
      </c>
      <c r="AO9" s="76">
        <f>+'Revenue Build'!AO5</f>
        <v>277.3886</v>
      </c>
      <c r="AP9" s="74">
        <f>+'Revenue Build'!AP5</f>
        <v>275.6068478665</v>
      </c>
      <c r="AQ9" s="75">
        <f>+'Revenue Build'!AQ5</f>
        <v>283.01608489799997</v>
      </c>
      <c r="AR9" s="75">
        <f>+'Revenue Build'!AR5</f>
        <v>286.39622882750007</v>
      </c>
      <c r="AS9" s="76">
        <f>+'Revenue Build'!AS5</f>
        <v>295.59132316000006</v>
      </c>
      <c r="AT9" s="78"/>
      <c r="AU9" s="74">
        <f t="shared" si="0"/>
        <v>187.72700000000003</v>
      </c>
      <c r="AV9" s="74">
        <f t="shared" si="1"/>
        <v>267.36</v>
      </c>
      <c r="AW9" s="79">
        <f t="shared" si="2"/>
        <v>354.58600000000001</v>
      </c>
      <c r="AX9" s="79">
        <f t="shared" si="3"/>
        <v>440.221</v>
      </c>
      <c r="AY9" s="79">
        <f t="shared" si="4"/>
        <v>541.13</v>
      </c>
      <c r="AZ9" s="74">
        <f t="shared" si="5"/>
        <v>683.19100000000003</v>
      </c>
      <c r="BA9" s="79">
        <f t="shared" si="6"/>
        <v>798.71</v>
      </c>
      <c r="BB9" s="79">
        <f t="shared" si="7"/>
        <v>900.02099999999996</v>
      </c>
      <c r="BC9" s="79">
        <f t="shared" si="8"/>
        <v>999.40500000000009</v>
      </c>
      <c r="BD9" s="79">
        <f t="shared" si="9"/>
        <v>1070.2389450000001</v>
      </c>
      <c r="BE9" s="79">
        <f>SUM(AP9:AS9)</f>
        <v>1140.610484752</v>
      </c>
    </row>
    <row r="10" spans="1:57" s="89" customFormat="1" ht="12" hidden="1" customHeight="1" outlineLevel="1">
      <c r="A10" s="81" t="s">
        <v>86</v>
      </c>
      <c r="B10" s="82" t="str">
        <f>'[2]VA Consensus'!C16</f>
        <v>-</v>
      </c>
      <c r="C10" s="83" t="str">
        <f>'[2]VA Consensus'!D16</f>
        <v>-</v>
      </c>
      <c r="D10" s="83" t="str">
        <f>'[2]VA Consensus'!E16</f>
        <v>-</v>
      </c>
      <c r="E10" s="84" t="str">
        <f>'[2]VA Consensus'!F16</f>
        <v>-</v>
      </c>
      <c r="F10" s="82" t="str">
        <f>'[2]VA Consensus'!G16</f>
        <v>-</v>
      </c>
      <c r="G10" s="83" t="str">
        <f>'[2]VA Consensus'!H16</f>
        <v>-</v>
      </c>
      <c r="H10" s="83">
        <f>'[2]VA Consensus'!I16</f>
        <v>66.295101233277776</v>
      </c>
      <c r="I10" s="84">
        <f>'[2]VA Consensus'!J16</f>
        <v>72.829307313078147</v>
      </c>
      <c r="J10" s="82">
        <f>'[2]VA Consensus'!K16</f>
        <v>78.13139351816227</v>
      </c>
      <c r="K10" s="83">
        <f>'[2]VA Consensus'!L16</f>
        <v>82.660787159774316</v>
      </c>
      <c r="L10" s="83">
        <f>'[2]VA Consensus'!M16</f>
        <v>88.65547079171634</v>
      </c>
      <c r="M10" s="84">
        <f>'[2]VA Consensus'!N16</f>
        <v>94.254523027641198</v>
      </c>
      <c r="N10" s="82">
        <f>'[2]VA Consensus'!O16</f>
        <v>100.24835447712599</v>
      </c>
      <c r="O10" s="83">
        <f>'[2]VA Consensus'!P16</f>
        <v>102.394061729917</v>
      </c>
      <c r="P10" s="83">
        <f>'[2]VA Consensus'!Q16</f>
        <v>109.4510203996072</v>
      </c>
      <c r="Q10" s="84">
        <f>'[2]VA Consensus'!R16</f>
        <v>114.89445418857034</v>
      </c>
      <c r="R10" s="82">
        <f>'[2]VA Consensus'!S16</f>
        <v>120.16062543063123</v>
      </c>
      <c r="S10" s="83">
        <f>'[2]VA Consensus'!T16</f>
        <v>125.48578701646908</v>
      </c>
      <c r="T10" s="83">
        <f>'[2]VA Consensus'!U16</f>
        <v>134.34398590229401</v>
      </c>
      <c r="U10" s="84">
        <f>'[2]VA Consensus'!V16</f>
        <v>144.42531670638027</v>
      </c>
      <c r="V10" s="83">
        <f>'[2]VA Consensus'!W16</f>
        <v>153.37956741261891</v>
      </c>
      <c r="W10" s="83">
        <f>'[2]VA Consensus'!X16</f>
        <v>163.41115989194191</v>
      </c>
      <c r="X10" s="83">
        <f>'[2]VA Consensus'!Y16</f>
        <v>170.08239368432118</v>
      </c>
      <c r="Y10" s="83">
        <f>'[2]VA Consensus'!Z16</f>
        <v>181.47863606853986</v>
      </c>
      <c r="Z10" s="82">
        <f>'[2]VA Consensus'!AA16</f>
        <v>186.97949643638154</v>
      </c>
      <c r="AA10" s="83">
        <f>'[2]VA Consensus'!AB16</f>
        <v>190.08195027045599</v>
      </c>
      <c r="AB10" s="83">
        <f>'[2]VA Consensus'!AC16</f>
        <v>198.2782357548316</v>
      </c>
      <c r="AC10" s="84">
        <f>'[2]VA Consensus'!AD16</f>
        <v>206.53639469231041</v>
      </c>
      <c r="AD10" s="82">
        <f>'[2]VA Consensus'!AE16</f>
        <v>213.54152726376014</v>
      </c>
      <c r="AE10" s="83">
        <f>'[2]VA Consensus'!AF16</f>
        <v>218.48077640338587</v>
      </c>
      <c r="AF10" s="83">
        <f>'[2]VA Consensus'!AG16</f>
        <v>223.13432963318249</v>
      </c>
      <c r="AG10" s="84">
        <f>'[2]VA Consensus'!AH16</f>
        <v>231.55654236177338</v>
      </c>
      <c r="AH10" s="82">
        <f>'[2]VA Consensus'!AI16</f>
        <v>233.57911601872561</v>
      </c>
      <c r="AI10" s="83">
        <f>'[2]VA Consensus'!AJ16</f>
        <v>242.07841453355994</v>
      </c>
      <c r="AJ10" s="83">
        <f>'[2]VA Consensus'!AK16</f>
        <v>247.33864771095207</v>
      </c>
      <c r="AK10" s="84">
        <f>'[2]VA Consensus'!AL16</f>
        <v>251.72894765121765</v>
      </c>
      <c r="AL10" s="82">
        <f>'[2]VA Consensus'!AM16</f>
        <v>258.87607885397813</v>
      </c>
      <c r="AM10" s="83">
        <f>'[2]VA Consensus'!AN16</f>
        <v>264.67593406709608</v>
      </c>
      <c r="AN10" s="83">
        <f>'[2]VA Consensus'!AO16</f>
        <v>269.71728065946542</v>
      </c>
      <c r="AO10" s="84">
        <f>'[2]VA Consensus'!AP16</f>
        <v>277.08466719842176</v>
      </c>
      <c r="AP10" s="82">
        <f>'[2]VA Consensus'!AQ16</f>
        <v>277.69692422348231</v>
      </c>
      <c r="AQ10" s="83">
        <f>'[2]VA Consensus'!AR16</f>
        <v>283.39448073695274</v>
      </c>
      <c r="AR10" s="83">
        <f>'[2]VA Consensus'!AS16</f>
        <v>288.41406316115877</v>
      </c>
      <c r="AS10" s="84">
        <f>'[2]VA Consensus'!AT16</f>
        <v>296.33302819717551</v>
      </c>
      <c r="AT10" s="85"/>
      <c r="AU10" s="82" t="str">
        <f>'[2]VA Consensus'!AV16</f>
        <v>-</v>
      </c>
      <c r="AV10" s="86">
        <f>'[2]VA Consensus'!AW16</f>
        <v>264.96833411307819</v>
      </c>
      <c r="AW10" s="87">
        <f>'[2]VA Consensus'!AX16</f>
        <v>351.79152302764135</v>
      </c>
      <c r="AX10" s="87">
        <f>'[2]VA Consensus'!AY16</f>
        <v>437.03012085523699</v>
      </c>
      <c r="AY10" s="88">
        <f>'[2]VA Consensus'!AZ16</f>
        <v>536.56619031418188</v>
      </c>
      <c r="AZ10" s="82">
        <f>'[2]VA Consensus'!BA16</f>
        <v>680.03863606853986</v>
      </c>
      <c r="BA10" s="88">
        <f>'[2]VA Consensus'!BB16</f>
        <v>791.94039469231041</v>
      </c>
      <c r="BB10" s="88">
        <f>'[2]VA Consensus'!BC16</f>
        <v>895.84654236177334</v>
      </c>
      <c r="BC10" s="88">
        <f>'[2]VA Consensus'!BD16</f>
        <v>990.66282189281662</v>
      </c>
      <c r="BD10" s="88">
        <f>'[2]VA Consensus'!BE16</f>
        <v>1070.3484052234066</v>
      </c>
      <c r="BE10" s="88">
        <f>'[2]VA Consensus'!BF16</f>
        <v>1145.8384963187696</v>
      </c>
    </row>
    <row r="11" spans="1:57" s="89" customFormat="1" ht="12" customHeight="1" collapsed="1" thickBot="1">
      <c r="A11" s="90" t="s">
        <v>87</v>
      </c>
      <c r="B11" s="91"/>
      <c r="C11" s="92"/>
      <c r="D11" s="92"/>
      <c r="E11" s="93"/>
      <c r="F11" s="92"/>
      <c r="G11" s="92"/>
      <c r="H11" s="92"/>
      <c r="I11" s="92"/>
      <c r="J11" s="91"/>
      <c r="K11" s="92"/>
      <c r="L11" s="92"/>
      <c r="M11" s="93"/>
      <c r="N11" s="91"/>
      <c r="O11" s="92"/>
      <c r="P11" s="92"/>
      <c r="Q11" s="93"/>
      <c r="R11" s="92"/>
      <c r="S11" s="94"/>
      <c r="T11" s="92"/>
      <c r="U11" s="92"/>
      <c r="V11" s="91"/>
      <c r="W11" s="95"/>
      <c r="X11" s="92"/>
      <c r="Y11" s="93"/>
      <c r="Z11" s="96"/>
      <c r="AA11" s="97"/>
      <c r="AB11" s="97"/>
      <c r="AC11" s="98"/>
      <c r="AD11" s="96"/>
      <c r="AE11" s="97"/>
      <c r="AF11" s="97"/>
      <c r="AG11" s="98"/>
      <c r="AH11" s="96"/>
      <c r="AI11" s="97"/>
      <c r="AJ11" s="97"/>
      <c r="AK11" s="98"/>
      <c r="AL11" s="96"/>
      <c r="AM11" s="97"/>
      <c r="AN11" s="97"/>
      <c r="AO11" s="98"/>
      <c r="AP11" s="96"/>
      <c r="AQ11" s="97"/>
      <c r="AR11" s="97"/>
      <c r="AS11" s="98"/>
      <c r="AT11" s="99"/>
      <c r="AU11" s="100"/>
      <c r="AV11" s="93"/>
      <c r="AW11" s="93"/>
      <c r="AX11" s="101"/>
      <c r="AY11" s="101"/>
      <c r="AZ11" s="102"/>
      <c r="BA11" s="101"/>
      <c r="BB11" s="101"/>
      <c r="BC11" s="93"/>
      <c r="BD11" s="93"/>
      <c r="BE11" s="93"/>
    </row>
    <row r="12" spans="1:57" s="89" customFormat="1" ht="12" customHeight="1" thickTop="1">
      <c r="A12" s="103" t="s">
        <v>88</v>
      </c>
      <c r="B12" s="82"/>
      <c r="C12" s="83"/>
      <c r="D12" s="83"/>
      <c r="E12" s="84"/>
      <c r="F12" s="83"/>
      <c r="G12" s="83"/>
      <c r="H12" s="83"/>
      <c r="I12" s="83"/>
      <c r="J12" s="82"/>
      <c r="K12" s="83"/>
      <c r="L12" s="83"/>
      <c r="M12" s="84"/>
      <c r="N12" s="104">
        <f>'Revenue Build'!N9</f>
        <v>100</v>
      </c>
      <c r="O12" s="105">
        <f>'Revenue Build'!O9</f>
        <v>101</v>
      </c>
      <c r="P12" s="105">
        <f>'Revenue Build'!P9</f>
        <v>108</v>
      </c>
      <c r="Q12" s="106">
        <f>'Revenue Build'!Q9</f>
        <v>113</v>
      </c>
      <c r="R12" s="105">
        <f>'Revenue Build'!R9</f>
        <v>118</v>
      </c>
      <c r="S12" s="107">
        <f>'Revenue Build'!S9</f>
        <v>124</v>
      </c>
      <c r="T12" s="105">
        <f>'Revenue Build'!T9</f>
        <v>133</v>
      </c>
      <c r="U12" s="105">
        <f>'Revenue Build'!U9</f>
        <v>143</v>
      </c>
      <c r="V12" s="108">
        <f>'Revenue Build'!V9</f>
        <v>152</v>
      </c>
      <c r="W12" s="105">
        <f>'Revenue Build'!W9</f>
        <v>162</v>
      </c>
      <c r="X12" s="105">
        <f>'Revenue Build'!X9</f>
        <v>169</v>
      </c>
      <c r="Y12" s="105">
        <f>'Revenue Build'!Y9</f>
        <v>180</v>
      </c>
      <c r="Z12" s="108">
        <f>'Revenue Build'!Z9</f>
        <v>186</v>
      </c>
      <c r="AA12" s="105">
        <f>'Revenue Build'!AA9</f>
        <v>189</v>
      </c>
      <c r="AB12" s="105">
        <f>'Revenue Build'!AB9</f>
        <v>197</v>
      </c>
      <c r="AC12" s="105">
        <v>204</v>
      </c>
      <c r="AD12" s="108">
        <f>'Revenue Build'!AD9</f>
        <v>212</v>
      </c>
      <c r="AE12" s="105">
        <f>'Revenue Build'!AE9</f>
        <v>217</v>
      </c>
      <c r="AF12" s="105">
        <f>'Revenue Build'!AF9</f>
        <v>222</v>
      </c>
      <c r="AG12" s="109">
        <v>229</v>
      </c>
      <c r="AH12" s="108">
        <v>233</v>
      </c>
      <c r="AI12" s="105">
        <f>'Revenue Build'!AI9</f>
        <v>241</v>
      </c>
      <c r="AJ12" s="107">
        <f>'Revenue Build'!AJ9</f>
        <v>246</v>
      </c>
      <c r="AK12" s="109">
        <f>'Revenue Build'!AK9</f>
        <v>249.1</v>
      </c>
      <c r="AL12" s="108">
        <f>'Revenue Build'!AL9</f>
        <v>257</v>
      </c>
      <c r="AM12" s="105" t="str">
        <f>'Revenue Build'!AM9</f>
        <v/>
      </c>
      <c r="AN12" s="105" t="str">
        <f>'Revenue Build'!AN9</f>
        <v/>
      </c>
      <c r="AO12" s="109" t="str">
        <f>'Revenue Build'!AO9</f>
        <v/>
      </c>
      <c r="AP12" s="108" t="str">
        <f>'Revenue Build'!AP9</f>
        <v/>
      </c>
      <c r="AQ12" s="105" t="str">
        <f>'Revenue Build'!AQ9</f>
        <v/>
      </c>
      <c r="AR12" s="105" t="str">
        <f>'Revenue Build'!AR9</f>
        <v/>
      </c>
      <c r="AS12" s="109" t="str">
        <f>'Revenue Build'!AS9</f>
        <v/>
      </c>
      <c r="AT12" s="99"/>
      <c r="AU12" s="110"/>
      <c r="AV12" s="84"/>
      <c r="AW12" s="84"/>
      <c r="AX12" s="111"/>
      <c r="AY12" s="112">
        <f>'Revenue Build'!AY9</f>
        <v>535.1</v>
      </c>
      <c r="AZ12" s="113">
        <f>'Revenue Build'!AZ9</f>
        <v>678.6</v>
      </c>
      <c r="BA12" s="112">
        <f>'Revenue Build'!BA9</f>
        <v>789.4</v>
      </c>
      <c r="BB12" s="112">
        <f>'Revenue Build'!BB9</f>
        <v>893.3</v>
      </c>
      <c r="BC12" s="114">
        <f>'Revenue Build'!BC9</f>
        <v>988</v>
      </c>
      <c r="BD12" s="114">
        <f>'Revenue Build'!BD9</f>
        <v>1065</v>
      </c>
      <c r="BE12" s="106"/>
    </row>
    <row r="13" spans="1:57" s="89" customFormat="1" ht="12" customHeight="1">
      <c r="A13" s="115" t="s">
        <v>89</v>
      </c>
      <c r="B13" s="116"/>
      <c r="C13" s="83"/>
      <c r="D13" s="83"/>
      <c r="E13" s="84"/>
      <c r="F13" s="83"/>
      <c r="G13" s="83"/>
      <c r="H13" s="83"/>
      <c r="I13" s="83"/>
      <c r="J13" s="116"/>
      <c r="K13" s="83"/>
      <c r="L13" s="83"/>
      <c r="M13" s="84"/>
      <c r="N13" s="113">
        <f>'Revenue Build'!N10</f>
        <v>100.5</v>
      </c>
      <c r="O13" s="105">
        <f>'Revenue Build'!O10</f>
        <v>102</v>
      </c>
      <c r="P13" s="105">
        <f>'Revenue Build'!P10</f>
        <v>109</v>
      </c>
      <c r="Q13" s="106">
        <f>'Revenue Build'!Q10</f>
        <v>114</v>
      </c>
      <c r="R13" s="105">
        <f>'Revenue Build'!R10</f>
        <v>119</v>
      </c>
      <c r="S13" s="107">
        <f>'Revenue Build'!S10</f>
        <v>125</v>
      </c>
      <c r="T13" s="105">
        <f>'Revenue Build'!T10</f>
        <v>134</v>
      </c>
      <c r="U13" s="105">
        <f>'Revenue Build'!U10</f>
        <v>144</v>
      </c>
      <c r="V13" s="113">
        <f>'Revenue Build'!V10</f>
        <v>153</v>
      </c>
      <c r="W13" s="105">
        <f>'Revenue Build'!W10</f>
        <v>163</v>
      </c>
      <c r="X13" s="105">
        <f>'Revenue Build'!X10</f>
        <v>170</v>
      </c>
      <c r="Y13" s="105">
        <f>'Revenue Build'!Y10</f>
        <v>181</v>
      </c>
      <c r="Z13" s="113">
        <f>'Revenue Build'!Z10</f>
        <v>187</v>
      </c>
      <c r="AA13" s="105">
        <f>'Revenue Build'!AA10</f>
        <v>190</v>
      </c>
      <c r="AB13" s="105">
        <f>'Revenue Build'!AB10</f>
        <v>198</v>
      </c>
      <c r="AC13" s="105">
        <f>'Revenue Build'!AC10</f>
        <v>206</v>
      </c>
      <c r="AD13" s="113">
        <f>'Revenue Build'!AD10</f>
        <v>213</v>
      </c>
      <c r="AE13" s="105">
        <f>'Revenue Build'!AE10</f>
        <v>218</v>
      </c>
      <c r="AF13" s="105">
        <f>'Revenue Build'!AF10</f>
        <v>223</v>
      </c>
      <c r="AG13" s="105">
        <f>'Revenue Build'!AG10</f>
        <v>231</v>
      </c>
      <c r="AH13" s="113">
        <f>'Revenue Build'!AH10</f>
        <v>234</v>
      </c>
      <c r="AI13" s="105">
        <f>'Revenue Build'!AI10</f>
        <v>242</v>
      </c>
      <c r="AJ13" s="107">
        <f>'Revenue Build'!AJ10</f>
        <v>247</v>
      </c>
      <c r="AK13" s="106">
        <f>'Revenue Build'!AK10</f>
        <v>251.1</v>
      </c>
      <c r="AL13" s="113">
        <f>'Revenue Build'!AL10</f>
        <v>258.5</v>
      </c>
      <c r="AM13" s="105" t="str">
        <f>'Revenue Build'!AM10</f>
        <v/>
      </c>
      <c r="AN13" s="105" t="str">
        <f>'Revenue Build'!AN10</f>
        <v/>
      </c>
      <c r="AO13" s="106" t="str">
        <f>'Revenue Build'!AO10</f>
        <v/>
      </c>
      <c r="AP13" s="113" t="str">
        <f>'Revenue Build'!AP10</f>
        <v/>
      </c>
      <c r="AQ13" s="105" t="str">
        <f>'Revenue Build'!AQ10</f>
        <v/>
      </c>
      <c r="AR13" s="105" t="str">
        <f>'Revenue Build'!AR10</f>
        <v/>
      </c>
      <c r="AS13" s="106" t="str">
        <f>'Revenue Build'!AS10</f>
        <v/>
      </c>
      <c r="AT13" s="99"/>
      <c r="AU13" s="117"/>
      <c r="AV13" s="84"/>
      <c r="AW13" s="84"/>
      <c r="AX13" s="118"/>
      <c r="AY13" s="119">
        <f>'Revenue Build'!AY10</f>
        <v>536.1</v>
      </c>
      <c r="AZ13" s="120">
        <f>'Revenue Build'!AZ10</f>
        <v>679.6</v>
      </c>
      <c r="BA13" s="119">
        <f>'Revenue Build'!BA10</f>
        <v>791.4</v>
      </c>
      <c r="BB13" s="119">
        <f>'Revenue Build'!BB10</f>
        <v>895.3</v>
      </c>
      <c r="BC13" s="114">
        <f>'Revenue Build'!BC10</f>
        <v>990</v>
      </c>
      <c r="BD13" s="114">
        <f>'Revenue Build'!BD10</f>
        <v>1070</v>
      </c>
      <c r="BE13" s="106"/>
    </row>
    <row r="14" spans="1:57" s="89" customFormat="1" ht="12" customHeight="1" thickBot="1">
      <c r="A14" s="121" t="s">
        <v>90</v>
      </c>
      <c r="B14" s="91"/>
      <c r="C14" s="92"/>
      <c r="D14" s="92"/>
      <c r="E14" s="93"/>
      <c r="F14" s="92"/>
      <c r="G14" s="92"/>
      <c r="H14" s="92"/>
      <c r="I14" s="92"/>
      <c r="J14" s="91"/>
      <c r="K14" s="92"/>
      <c r="L14" s="92"/>
      <c r="M14" s="93"/>
      <c r="N14" s="122">
        <f>'Revenue Build'!N11</f>
        <v>101</v>
      </c>
      <c r="O14" s="123">
        <f>'Revenue Build'!O11</f>
        <v>103</v>
      </c>
      <c r="P14" s="123">
        <f>'Revenue Build'!P11</f>
        <v>110</v>
      </c>
      <c r="Q14" s="124">
        <f>'Revenue Build'!Q11</f>
        <v>115</v>
      </c>
      <c r="R14" s="123">
        <f>'Revenue Build'!R11</f>
        <v>120</v>
      </c>
      <c r="S14" s="125">
        <f>'Revenue Build'!S11</f>
        <v>126</v>
      </c>
      <c r="T14" s="123">
        <f>'Revenue Build'!T11</f>
        <v>135</v>
      </c>
      <c r="U14" s="123">
        <f>'Revenue Build'!U11</f>
        <v>145</v>
      </c>
      <c r="V14" s="122">
        <f>'Revenue Build'!V11</f>
        <v>154</v>
      </c>
      <c r="W14" s="123">
        <f>'Revenue Build'!W11</f>
        <v>164</v>
      </c>
      <c r="X14" s="123">
        <f>'Revenue Build'!X11</f>
        <v>171</v>
      </c>
      <c r="Y14" s="123">
        <f>'Revenue Build'!Y11</f>
        <v>182</v>
      </c>
      <c r="Z14" s="122">
        <f>'Revenue Build'!Z11</f>
        <v>188</v>
      </c>
      <c r="AA14" s="123">
        <f>'Revenue Build'!AA11</f>
        <v>191</v>
      </c>
      <c r="AB14" s="123">
        <f>'Revenue Build'!AB11</f>
        <v>199</v>
      </c>
      <c r="AC14" s="123">
        <v>208</v>
      </c>
      <c r="AD14" s="122">
        <f>'Revenue Build'!AD11</f>
        <v>214</v>
      </c>
      <c r="AE14" s="123">
        <f>'Revenue Build'!AE11</f>
        <v>219</v>
      </c>
      <c r="AF14" s="123">
        <f>'Revenue Build'!AF11</f>
        <v>224</v>
      </c>
      <c r="AG14" s="124">
        <v>233</v>
      </c>
      <c r="AH14" s="122">
        <v>235</v>
      </c>
      <c r="AI14" s="123">
        <f>'Revenue Build'!AI11</f>
        <v>243</v>
      </c>
      <c r="AJ14" s="125">
        <f>'Revenue Build'!AJ11</f>
        <v>248</v>
      </c>
      <c r="AK14" s="124">
        <f>'Revenue Build'!AK11</f>
        <v>253.1</v>
      </c>
      <c r="AL14" s="122">
        <f>'Revenue Build'!AL11</f>
        <v>260</v>
      </c>
      <c r="AM14" s="123" t="str">
        <f>'Revenue Build'!AM11</f>
        <v/>
      </c>
      <c r="AN14" s="123" t="str">
        <f>'Revenue Build'!AN11</f>
        <v/>
      </c>
      <c r="AO14" s="124" t="str">
        <f>'Revenue Build'!AO11</f>
        <v/>
      </c>
      <c r="AP14" s="122" t="str">
        <f>'Revenue Build'!AP11</f>
        <v/>
      </c>
      <c r="AQ14" s="123" t="str">
        <f>'Revenue Build'!AQ11</f>
        <v/>
      </c>
      <c r="AR14" s="123" t="str">
        <f>'Revenue Build'!AR11</f>
        <v/>
      </c>
      <c r="AS14" s="124" t="str">
        <f>'Revenue Build'!AS11</f>
        <v/>
      </c>
      <c r="AT14" s="99"/>
      <c r="AU14" s="100"/>
      <c r="AV14" s="93"/>
      <c r="AW14" s="93"/>
      <c r="AX14" s="101"/>
      <c r="AY14" s="126">
        <f>'Revenue Build'!AY11</f>
        <v>537.1</v>
      </c>
      <c r="AZ14" s="122">
        <f>'Revenue Build'!AZ11</f>
        <v>680.6</v>
      </c>
      <c r="BA14" s="126">
        <f>'Revenue Build'!BA11</f>
        <v>793.4</v>
      </c>
      <c r="BB14" s="126">
        <f>'Revenue Build'!BB11</f>
        <v>897.3</v>
      </c>
      <c r="BC14" s="127">
        <f>'Revenue Build'!BC11</f>
        <v>992</v>
      </c>
      <c r="BD14" s="127">
        <f>'Revenue Build'!BD11</f>
        <v>1075</v>
      </c>
      <c r="BE14" s="124"/>
    </row>
    <row r="15" spans="1:57" s="138" customFormat="1" ht="12" customHeight="1" thickTop="1">
      <c r="A15" s="128"/>
      <c r="B15" s="69"/>
      <c r="C15" s="70"/>
      <c r="D15" s="70"/>
      <c r="E15" s="129"/>
      <c r="F15" s="130"/>
      <c r="G15" s="70"/>
      <c r="H15" s="70"/>
      <c r="I15" s="129"/>
      <c r="J15" s="130"/>
      <c r="K15" s="70"/>
      <c r="L15" s="70"/>
      <c r="M15" s="129"/>
      <c r="N15" s="130"/>
      <c r="O15" s="70"/>
      <c r="P15" s="131"/>
      <c r="Q15" s="129"/>
      <c r="R15" s="130"/>
      <c r="S15" s="132"/>
      <c r="T15" s="70"/>
      <c r="U15" s="129"/>
      <c r="V15" s="70"/>
      <c r="W15" s="70"/>
      <c r="X15" s="70"/>
      <c r="Y15" s="133"/>
      <c r="Z15" s="130"/>
      <c r="AA15" s="70"/>
      <c r="AB15" s="70"/>
      <c r="AC15" s="129"/>
      <c r="AD15" s="130"/>
      <c r="AE15" s="70"/>
      <c r="AF15" s="70"/>
      <c r="AG15" s="129"/>
      <c r="AH15" s="130"/>
      <c r="AI15" s="70"/>
      <c r="AJ15" s="70"/>
      <c r="AK15" s="129"/>
      <c r="AL15" s="130"/>
      <c r="AM15" s="70"/>
      <c r="AN15" s="70"/>
      <c r="AO15" s="129"/>
      <c r="AP15" s="130"/>
      <c r="AQ15" s="70"/>
      <c r="AR15" s="70"/>
      <c r="AS15" s="129"/>
      <c r="AT15" s="134"/>
      <c r="AU15" s="135"/>
      <c r="AV15" s="88"/>
      <c r="AW15" s="72"/>
      <c r="AX15" s="136"/>
      <c r="AY15" s="136"/>
      <c r="AZ15" s="137"/>
      <c r="BA15" s="136"/>
      <c r="BB15" s="136"/>
      <c r="BC15" s="136"/>
      <c r="BD15" s="136"/>
      <c r="BE15" s="136"/>
    </row>
    <row r="16" spans="1:57" s="138" customFormat="1" ht="12" customHeight="1">
      <c r="A16" s="139" t="s">
        <v>91</v>
      </c>
      <c r="B16" s="69">
        <f t="shared" ref="B16:AK16" si="10">B112-B83-B86</f>
        <v>4.2329999999999997</v>
      </c>
      <c r="C16" s="70">
        <f t="shared" si="10"/>
        <v>5.1470000000000002</v>
      </c>
      <c r="D16" s="70">
        <f t="shared" si="10"/>
        <v>7.2100000000000009</v>
      </c>
      <c r="E16" s="71">
        <f t="shared" si="10"/>
        <v>8.113999999999999</v>
      </c>
      <c r="F16" s="130">
        <f t="shared" si="10"/>
        <v>8.5</v>
      </c>
      <c r="G16" s="70">
        <f t="shared" si="10"/>
        <v>9.613999999999999</v>
      </c>
      <c r="H16" s="70">
        <f t="shared" si="10"/>
        <v>11.318</v>
      </c>
      <c r="I16" s="71">
        <f t="shared" si="10"/>
        <v>11.424999999999999</v>
      </c>
      <c r="J16" s="130">
        <f t="shared" si="10"/>
        <v>12.423000000000002</v>
      </c>
      <c r="K16" s="70">
        <f t="shared" si="10"/>
        <v>13.024999999999999</v>
      </c>
      <c r="L16" s="70">
        <f t="shared" si="10"/>
        <v>14.425999999999998</v>
      </c>
      <c r="M16" s="71">
        <f t="shared" si="10"/>
        <v>17.506999999999998</v>
      </c>
      <c r="N16" s="130">
        <f t="shared" si="10"/>
        <v>17.375</v>
      </c>
      <c r="O16" s="70">
        <f t="shared" si="10"/>
        <v>17.734000000000002</v>
      </c>
      <c r="P16" s="131">
        <f t="shared" si="10"/>
        <v>17.988999999999997</v>
      </c>
      <c r="Q16" s="71">
        <f t="shared" si="10"/>
        <v>18.984000000000002</v>
      </c>
      <c r="R16" s="130">
        <f t="shared" si="10"/>
        <v>20.556999999999999</v>
      </c>
      <c r="S16" s="70">
        <f t="shared" si="10"/>
        <v>23.818999999999999</v>
      </c>
      <c r="T16" s="70">
        <f t="shared" si="10"/>
        <v>24.144000000000002</v>
      </c>
      <c r="U16" s="71">
        <f t="shared" si="10"/>
        <v>26.983000000000001</v>
      </c>
      <c r="V16" s="70">
        <f t="shared" si="10"/>
        <v>30.990000000000002</v>
      </c>
      <c r="W16" s="70">
        <f t="shared" si="10"/>
        <v>31.138000000000002</v>
      </c>
      <c r="X16" s="70">
        <f t="shared" si="10"/>
        <v>33.161000000000001</v>
      </c>
      <c r="Y16" s="71">
        <f t="shared" si="10"/>
        <v>39.759</v>
      </c>
      <c r="Z16" s="70">
        <f t="shared" si="10"/>
        <v>39.801000000000002</v>
      </c>
      <c r="AA16" s="70">
        <f t="shared" si="10"/>
        <v>37.535000000000004</v>
      </c>
      <c r="AB16" s="70">
        <f t="shared" si="10"/>
        <v>39.687999999999995</v>
      </c>
      <c r="AC16" s="71">
        <f t="shared" si="10"/>
        <v>41.447000000000003</v>
      </c>
      <c r="AD16" s="70">
        <f t="shared" si="10"/>
        <v>41.281000000000006</v>
      </c>
      <c r="AE16" s="70">
        <f t="shared" si="10"/>
        <v>40.750000000000007</v>
      </c>
      <c r="AF16" s="70">
        <f t="shared" si="10"/>
        <v>42.268999999999998</v>
      </c>
      <c r="AG16" s="70">
        <f t="shared" si="10"/>
        <v>43.233999999999995</v>
      </c>
      <c r="AH16" s="130">
        <f t="shared" si="10"/>
        <v>43.281000000000006</v>
      </c>
      <c r="AI16" s="70">
        <f t="shared" si="10"/>
        <v>44.436999999999998</v>
      </c>
      <c r="AJ16" s="70">
        <f t="shared" si="10"/>
        <v>46.475999999999999</v>
      </c>
      <c r="AK16" s="70">
        <f t="shared" si="10"/>
        <v>45.063999999999993</v>
      </c>
      <c r="AL16" s="130">
        <f t="shared" ref="AL16:AS16" si="11">(1-AL69)*AL9</f>
        <v>47.056130614875777</v>
      </c>
      <c r="AM16" s="70">
        <f t="shared" si="11"/>
        <v>47.980399374099072</v>
      </c>
      <c r="AN16" s="70">
        <f t="shared" si="11"/>
        <v>47.836970450000017</v>
      </c>
      <c r="AO16" s="71">
        <f t="shared" si="11"/>
        <v>47.988227800000011</v>
      </c>
      <c r="AP16" s="130">
        <f t="shared" si="11"/>
        <v>50.432829600047214</v>
      </c>
      <c r="AQ16" s="70">
        <f t="shared" si="11"/>
        <v>51.421835015031164</v>
      </c>
      <c r="AR16" s="70">
        <f t="shared" si="11"/>
        <v>51.264924960122528</v>
      </c>
      <c r="AS16" s="71">
        <f t="shared" si="11"/>
        <v>51.432890229840027</v>
      </c>
      <c r="AT16" s="134"/>
      <c r="AU16" s="130">
        <f t="shared" ref="AU16:AU17" si="12">SUM(B16:E16)</f>
        <v>24.704000000000001</v>
      </c>
      <c r="AV16" s="130">
        <f t="shared" ref="AV16:AV17" si="13">SUM(F16:I16)</f>
        <v>40.856999999999992</v>
      </c>
      <c r="AW16" s="72">
        <f t="shared" ref="AW16:AW17" si="14">SUM(J16:M16)</f>
        <v>57.380999999999993</v>
      </c>
      <c r="AX16" s="72">
        <f t="shared" ref="AX16:AX17" si="15">SUM(N16:Q16)</f>
        <v>72.081999999999994</v>
      </c>
      <c r="AY16" s="72">
        <f t="shared" ref="AY16:AY17" si="16">SUM(R16:U16)</f>
        <v>95.503</v>
      </c>
      <c r="AZ16" s="69">
        <f t="shared" ref="AZ16:AZ17" si="17">SUM(V16:Y16)</f>
        <v>135.048</v>
      </c>
      <c r="BA16" s="72">
        <f t="shared" ref="BA16:BA17" si="18">SUM(Z16:AC16)</f>
        <v>158.471</v>
      </c>
      <c r="BB16" s="72">
        <f t="shared" ref="BB16:BB17" si="19">SUM(AD16:AG16)</f>
        <v>167.53399999999999</v>
      </c>
      <c r="BC16" s="72">
        <f>SUM(AH16:AK16)</f>
        <v>179.25800000000001</v>
      </c>
      <c r="BD16" s="72">
        <f t="shared" ref="BD16:BD17" si="20">SUM(AL16:AO16)</f>
        <v>190.86172823897488</v>
      </c>
      <c r="BE16" s="72">
        <f>SUM(AP16:AS16)</f>
        <v>204.55247980504095</v>
      </c>
    </row>
    <row r="17" spans="1:62" s="143" customFormat="1" ht="12" customHeight="1">
      <c r="A17" s="63" t="s">
        <v>92</v>
      </c>
      <c r="B17" s="74">
        <f t="shared" ref="B17:AS17" si="21">B9-B16</f>
        <v>36.248000000000005</v>
      </c>
      <c r="C17" s="75">
        <f t="shared" si="21"/>
        <v>39.002000000000002</v>
      </c>
      <c r="D17" s="75">
        <f t="shared" si="21"/>
        <v>41.77</v>
      </c>
      <c r="E17" s="76">
        <f t="shared" si="21"/>
        <v>46.003000000000007</v>
      </c>
      <c r="F17" s="140">
        <f t="shared" si="21"/>
        <v>50.606999999999999</v>
      </c>
      <c r="G17" s="75">
        <f t="shared" si="21"/>
        <v>53.978000000000002</v>
      </c>
      <c r="H17" s="75">
        <f t="shared" si="21"/>
        <v>58.122</v>
      </c>
      <c r="I17" s="76">
        <f t="shared" si="21"/>
        <v>63.796000000000006</v>
      </c>
      <c r="J17" s="140">
        <f t="shared" si="21"/>
        <v>67.878</v>
      </c>
      <c r="K17" s="75">
        <f t="shared" si="21"/>
        <v>72.359000000000009</v>
      </c>
      <c r="L17" s="75">
        <f t="shared" si="21"/>
        <v>77.426000000000002</v>
      </c>
      <c r="M17" s="76">
        <f t="shared" si="21"/>
        <v>79.541999999999973</v>
      </c>
      <c r="N17" s="140">
        <f t="shared" si="21"/>
        <v>85.272999999999996</v>
      </c>
      <c r="O17" s="75">
        <f t="shared" si="21"/>
        <v>89.474999999999994</v>
      </c>
      <c r="P17" s="77">
        <f t="shared" si="21"/>
        <v>94.293000000000006</v>
      </c>
      <c r="Q17" s="76">
        <f t="shared" si="21"/>
        <v>99.098000000000013</v>
      </c>
      <c r="R17" s="140">
        <f t="shared" si="21"/>
        <v>102.63200000000001</v>
      </c>
      <c r="S17" s="75">
        <f t="shared" si="21"/>
        <v>106.44000000000001</v>
      </c>
      <c r="T17" s="75">
        <f t="shared" si="21"/>
        <v>114.51999999999998</v>
      </c>
      <c r="U17" s="76">
        <f t="shared" si="21"/>
        <v>122.035</v>
      </c>
      <c r="V17" s="75">
        <f t="shared" si="21"/>
        <v>128.37799999999999</v>
      </c>
      <c r="W17" s="75">
        <f t="shared" si="21"/>
        <v>133.203</v>
      </c>
      <c r="X17" s="75">
        <f t="shared" si="21"/>
        <v>141.69</v>
      </c>
      <c r="Y17" s="75">
        <f t="shared" si="21"/>
        <v>144.87200000000001</v>
      </c>
      <c r="Z17" s="140">
        <f t="shared" si="21"/>
        <v>149.03800000000001</v>
      </c>
      <c r="AA17" s="75">
        <f t="shared" si="21"/>
        <v>157.501</v>
      </c>
      <c r="AB17" s="75">
        <f t="shared" si="21"/>
        <v>161.84100000000001</v>
      </c>
      <c r="AC17" s="76">
        <f t="shared" si="21"/>
        <v>171.85899999999998</v>
      </c>
      <c r="AD17" s="140">
        <f t="shared" si="21"/>
        <v>174.67999999999998</v>
      </c>
      <c r="AE17" s="141">
        <f t="shared" si="21"/>
        <v>180.49100000000001</v>
      </c>
      <c r="AF17" s="75">
        <f t="shared" si="21"/>
        <v>184.81899999999999</v>
      </c>
      <c r="AG17" s="76">
        <f t="shared" si="21"/>
        <v>192.49700000000001</v>
      </c>
      <c r="AH17" s="140">
        <f t="shared" si="21"/>
        <v>195.85599999999999</v>
      </c>
      <c r="AI17" s="75">
        <f t="shared" si="21"/>
        <v>202.858</v>
      </c>
      <c r="AJ17" s="75">
        <f t="shared" si="21"/>
        <v>205.964</v>
      </c>
      <c r="AK17" s="76">
        <f t="shared" si="21"/>
        <v>215.46900000000002</v>
      </c>
      <c r="AL17" s="140">
        <f t="shared" si="21"/>
        <v>211.51065438512427</v>
      </c>
      <c r="AM17" s="75">
        <f t="shared" si="21"/>
        <v>217.55613562590094</v>
      </c>
      <c r="AN17" s="75">
        <f t="shared" si="21"/>
        <v>220.91005454999998</v>
      </c>
      <c r="AO17" s="76">
        <f t="shared" si="21"/>
        <v>229.40037219999999</v>
      </c>
      <c r="AP17" s="140">
        <f t="shared" si="21"/>
        <v>225.17401826645278</v>
      </c>
      <c r="AQ17" s="75">
        <f t="shared" si="21"/>
        <v>231.59424988296882</v>
      </c>
      <c r="AR17" s="75">
        <f t="shared" si="21"/>
        <v>235.13130386737754</v>
      </c>
      <c r="AS17" s="76">
        <f t="shared" si="21"/>
        <v>244.15843293016002</v>
      </c>
      <c r="AT17" s="142"/>
      <c r="AU17" s="140">
        <f t="shared" si="12"/>
        <v>163.02300000000002</v>
      </c>
      <c r="AV17" s="140">
        <f t="shared" si="13"/>
        <v>226.50299999999999</v>
      </c>
      <c r="AW17" s="79">
        <f t="shared" si="14"/>
        <v>297.20499999999998</v>
      </c>
      <c r="AX17" s="79">
        <f t="shared" si="15"/>
        <v>368.13900000000001</v>
      </c>
      <c r="AY17" s="79">
        <f t="shared" si="16"/>
        <v>445.62699999999995</v>
      </c>
      <c r="AZ17" s="74">
        <f t="shared" si="17"/>
        <v>548.14300000000003</v>
      </c>
      <c r="BA17" s="79">
        <f t="shared" si="18"/>
        <v>640.23900000000003</v>
      </c>
      <c r="BB17" s="79">
        <f t="shared" si="19"/>
        <v>732.48700000000008</v>
      </c>
      <c r="BC17" s="79">
        <f>SUM(AH17:AK17)</f>
        <v>820.14700000000005</v>
      </c>
      <c r="BD17" s="79">
        <f t="shared" si="20"/>
        <v>879.37721676102524</v>
      </c>
      <c r="BE17" s="79">
        <f>SUM(AP17:AS17)</f>
        <v>936.05800494695904</v>
      </c>
    </row>
    <row r="18" spans="1:62" s="89" customFormat="1" ht="12" hidden="1" customHeight="1" outlineLevel="1">
      <c r="A18" s="144" t="s">
        <v>93</v>
      </c>
      <c r="B18" s="86" t="str">
        <f>'[2]VA Consensus'!C23</f>
        <v>-</v>
      </c>
      <c r="C18" s="145" t="str">
        <f>'[2]VA Consensus'!D23</f>
        <v>-</v>
      </c>
      <c r="D18" s="145" t="str">
        <f>'[2]VA Consensus'!E23</f>
        <v>-</v>
      </c>
      <c r="E18" s="146" t="str">
        <f>'[2]VA Consensus'!F23</f>
        <v>-</v>
      </c>
      <c r="F18" s="147" t="str">
        <f>'[2]VA Consensus'!G23</f>
        <v>-</v>
      </c>
      <c r="G18" s="145" t="str">
        <f>'[2]VA Consensus'!H23</f>
        <v>-</v>
      </c>
      <c r="H18" s="145">
        <f>'[2]VA Consensus'!I23</f>
        <v>54.516384766632875</v>
      </c>
      <c r="I18" s="146">
        <f>'[2]VA Consensus'!J23</f>
        <v>59.879956253033569</v>
      </c>
      <c r="J18" s="147">
        <f>'[2]VA Consensus'!K23</f>
        <v>63.150691062448423</v>
      </c>
      <c r="K18" s="145">
        <f>'[2]VA Consensus'!L23</f>
        <v>67.852195804236118</v>
      </c>
      <c r="L18" s="145">
        <f>'[2]VA Consensus'!M23</f>
        <v>73.653529405442384</v>
      </c>
      <c r="M18" s="146">
        <f>'[2]VA Consensus'!N23</f>
        <v>78.965821330960352</v>
      </c>
      <c r="N18" s="147">
        <f>'[2]VA Consensus'!O23</f>
        <v>82.192196527728754</v>
      </c>
      <c r="O18" s="145">
        <f>'[2]VA Consensus'!P23</f>
        <v>85.061613414873051</v>
      </c>
      <c r="P18" s="145">
        <f>'[2]VA Consensus'!Q23</f>
        <v>90.62110381902248</v>
      </c>
      <c r="Q18" s="146">
        <f>'[2]VA Consensus'!R23</f>
        <v>95.848160498903923</v>
      </c>
      <c r="R18" s="147">
        <f>'[2]VA Consensus'!S23</f>
        <v>99.418120843553567</v>
      </c>
      <c r="S18" s="145">
        <f>'[2]VA Consensus'!T23</f>
        <v>103.67138410267208</v>
      </c>
      <c r="T18" s="145">
        <f>'[2]VA Consensus'!U23</f>
        <v>110.04589460439384</v>
      </c>
      <c r="U18" s="146">
        <f>'[2]VA Consensus'!V23</f>
        <v>118.73831705277883</v>
      </c>
      <c r="V18" s="145">
        <f>'[2]VA Consensus'!W23</f>
        <v>125.068679401712</v>
      </c>
      <c r="W18" s="145">
        <f>'[2]VA Consensus'!X23</f>
        <v>131.198605860811</v>
      </c>
      <c r="X18" s="145">
        <f>'[2]VA Consensus'!Y23</f>
        <v>137.17319401498983</v>
      </c>
      <c r="Y18" s="145">
        <f>'[2]VA Consensus'!Z23</f>
        <v>146.73735999949301</v>
      </c>
      <c r="Z18" s="147">
        <f>'[2]VA Consensus'!AA23</f>
        <v>145.83615416501564</v>
      </c>
      <c r="AA18" s="145">
        <f>'[2]VA Consensus'!AB23</f>
        <v>150.36970922591973</v>
      </c>
      <c r="AB18" s="145">
        <f>'[2]VA Consensus'!AC23</f>
        <v>158.03570362634122</v>
      </c>
      <c r="AC18" s="146">
        <f>'[2]VA Consensus'!AD23</f>
        <v>163.99188326233113</v>
      </c>
      <c r="AD18" s="147">
        <f>'[2]VA Consensus'!AE23</f>
        <v>169.93045969462707</v>
      </c>
      <c r="AE18" s="145">
        <f>'[2]VA Consensus'!AF23</f>
        <v>175.24901834078446</v>
      </c>
      <c r="AF18" s="145">
        <f>'[2]VA Consensus'!AG23</f>
        <v>179.71894779305254</v>
      </c>
      <c r="AG18" s="146">
        <f>'[2]VA Consensus'!AH23</f>
        <v>187.8076227576868</v>
      </c>
      <c r="AH18" s="147">
        <f>'[2]VA Consensus'!AI23</f>
        <v>188.41091607813814</v>
      </c>
      <c r="AI18" s="145">
        <f>'[2]VA Consensus'!AJ23</f>
        <v>196.77297222203475</v>
      </c>
      <c r="AJ18" s="145">
        <f>'[2]VA Consensus'!AK23</f>
        <v>201.73730823596199</v>
      </c>
      <c r="AK18" s="146">
        <f>'[2]VA Consensus'!AL23</f>
        <v>205.66161274309755</v>
      </c>
      <c r="AL18" s="147">
        <f>'[2]VA Consensus'!AM23</f>
        <v>211.62556892423089</v>
      </c>
      <c r="AM18" s="145">
        <f>'[2]VA Consensus'!AN23</f>
        <v>216.93941727951901</v>
      </c>
      <c r="AN18" s="145">
        <f>'[2]VA Consensus'!AO23</f>
        <v>220.82546599931993</v>
      </c>
      <c r="AO18" s="146">
        <f>'[2]VA Consensus'!AP23</f>
        <v>228.07747135898728</v>
      </c>
      <c r="AP18" s="147">
        <f>'[2]VA Consensus'!AQ23</f>
        <v>227.56559025949389</v>
      </c>
      <c r="AQ18" s="145">
        <f>'[2]VA Consensus'!AR23</f>
        <v>232.68577439735441</v>
      </c>
      <c r="AR18" s="145">
        <f>'[2]VA Consensus'!AS23</f>
        <v>236.78902387708706</v>
      </c>
      <c r="AS18" s="146">
        <f>'[2]VA Consensus'!AT23</f>
        <v>244.19627449614401</v>
      </c>
      <c r="AT18" s="85"/>
      <c r="AU18" s="88" t="str">
        <f>'[2]VA Consensus'!AV23</f>
        <v>-</v>
      </c>
      <c r="AV18" s="87">
        <f>'[2]VA Consensus'!AW23</f>
        <v>222.53370505803349</v>
      </c>
      <c r="AW18" s="87">
        <f>'[2]VA Consensus'!AX23</f>
        <v>296.58137688651595</v>
      </c>
      <c r="AX18" s="87">
        <f>'[2]VA Consensus'!AY23</f>
        <v>364.88916049890389</v>
      </c>
      <c r="AY18" s="88">
        <f>'[2]VA Consensus'!AZ23</f>
        <v>442.34026854838049</v>
      </c>
      <c r="AZ18" s="82">
        <f>'[2]VA Consensus'!BA23</f>
        <v>550.008359999493</v>
      </c>
      <c r="BA18" s="88">
        <f>'[2]VA Consensus'!BB23</f>
        <v>632.37188326233115</v>
      </c>
      <c r="BB18" s="88">
        <f>'[2]VA Consensus'!BC23</f>
        <v>727.79762275768678</v>
      </c>
      <c r="BC18" s="88">
        <f>'[2]VA Consensus'!BD23</f>
        <v>810.34857345091541</v>
      </c>
      <c r="BD18" s="88">
        <f>'[2]VA Consensus'!BE23</f>
        <v>877.46792356205708</v>
      </c>
      <c r="BE18" s="88">
        <f>'[2]VA Consensus'!BF23</f>
        <v>941.2366630300794</v>
      </c>
    </row>
    <row r="19" spans="1:62" s="143" customFormat="1" ht="12" customHeight="1" collapsed="1">
      <c r="A19" s="73"/>
      <c r="B19" s="74"/>
      <c r="C19" s="75"/>
      <c r="D19" s="75"/>
      <c r="E19" s="76"/>
      <c r="F19" s="74"/>
      <c r="G19" s="75"/>
      <c r="H19" s="75"/>
      <c r="I19" s="76"/>
      <c r="J19" s="74"/>
      <c r="K19" s="75"/>
      <c r="L19" s="75"/>
      <c r="M19" s="76"/>
      <c r="N19" s="74"/>
      <c r="O19" s="75"/>
      <c r="P19" s="77"/>
      <c r="Q19" s="76"/>
      <c r="R19" s="74"/>
      <c r="S19" s="75"/>
      <c r="T19" s="75"/>
      <c r="U19" s="76"/>
      <c r="V19" s="75"/>
      <c r="W19" s="75"/>
      <c r="X19" s="75"/>
      <c r="Y19" s="75"/>
      <c r="Z19" s="74"/>
      <c r="AA19" s="75"/>
      <c r="AB19" s="75"/>
      <c r="AC19" s="76"/>
      <c r="AD19" s="74"/>
      <c r="AE19" s="75"/>
      <c r="AF19" s="75"/>
      <c r="AG19" s="75"/>
      <c r="AH19" s="74"/>
      <c r="AI19" s="75"/>
      <c r="AJ19" s="75"/>
      <c r="AK19" s="76"/>
      <c r="AL19" s="74"/>
      <c r="AM19" s="75"/>
      <c r="AN19" s="75"/>
      <c r="AO19" s="76"/>
      <c r="AP19" s="74"/>
      <c r="AQ19" s="75"/>
      <c r="AR19" s="75"/>
      <c r="AS19" s="76"/>
      <c r="AT19" s="142"/>
      <c r="AU19" s="79"/>
      <c r="AV19" s="88"/>
      <c r="AW19" s="79"/>
      <c r="AX19" s="79"/>
      <c r="AY19" s="79"/>
      <c r="AZ19" s="148"/>
      <c r="BA19" s="149"/>
      <c r="BB19" s="149"/>
      <c r="BC19" s="149"/>
      <c r="BD19" s="149"/>
      <c r="BE19" s="149"/>
    </row>
    <row r="20" spans="1:62" s="151" customFormat="1" ht="12" customHeight="1">
      <c r="A20" s="63" t="s">
        <v>94</v>
      </c>
      <c r="B20" s="69"/>
      <c r="C20" s="70"/>
      <c r="D20" s="70"/>
      <c r="E20" s="71"/>
      <c r="F20" s="69"/>
      <c r="G20" s="70"/>
      <c r="H20" s="70"/>
      <c r="I20" s="71"/>
      <c r="J20" s="69"/>
      <c r="K20" s="70"/>
      <c r="L20" s="70"/>
      <c r="M20" s="71"/>
      <c r="N20" s="69"/>
      <c r="O20" s="70"/>
      <c r="P20" s="131"/>
      <c r="Q20" s="71"/>
      <c r="R20" s="69"/>
      <c r="S20" s="70"/>
      <c r="T20" s="70"/>
      <c r="U20" s="71"/>
      <c r="V20" s="70"/>
      <c r="W20" s="70"/>
      <c r="X20" s="70"/>
      <c r="Y20" s="70"/>
      <c r="Z20" s="69"/>
      <c r="AA20" s="70"/>
      <c r="AB20" s="70"/>
      <c r="AC20" s="71"/>
      <c r="AD20" s="69"/>
      <c r="AE20" s="70"/>
      <c r="AF20" s="70"/>
      <c r="AG20" s="70"/>
      <c r="AH20" s="69"/>
      <c r="AI20" s="70"/>
      <c r="AJ20" s="70"/>
      <c r="AK20" s="71"/>
      <c r="AL20" s="69"/>
      <c r="AM20" s="70"/>
      <c r="AN20" s="70"/>
      <c r="AO20" s="71"/>
      <c r="AP20" s="69"/>
      <c r="AQ20" s="70"/>
      <c r="AR20" s="70"/>
      <c r="AS20" s="71"/>
      <c r="AT20" s="150"/>
      <c r="AU20" s="72"/>
      <c r="AV20" s="72"/>
      <c r="AW20" s="72"/>
      <c r="AX20" s="72"/>
      <c r="AY20" s="72"/>
      <c r="AZ20" s="69"/>
      <c r="BA20" s="72"/>
      <c r="BB20" s="72"/>
      <c r="BC20" s="72"/>
      <c r="BD20" s="72"/>
      <c r="BE20" s="72"/>
    </row>
    <row r="21" spans="1:62" s="151" customFormat="1" ht="12" customHeight="1">
      <c r="A21" s="152" t="s">
        <v>95</v>
      </c>
      <c r="B21" s="69">
        <f t="shared" ref="B21:AK23" si="22">B116-B143-B152-B161</f>
        <v>25.898</v>
      </c>
      <c r="C21" s="70">
        <f t="shared" si="22"/>
        <v>27.414999999999999</v>
      </c>
      <c r="D21" s="70">
        <f t="shared" si="22"/>
        <v>29.165000000000003</v>
      </c>
      <c r="E21" s="71">
        <f t="shared" si="22"/>
        <v>32.241999999999997</v>
      </c>
      <c r="F21" s="69">
        <f t="shared" si="22"/>
        <v>38.986000000000004</v>
      </c>
      <c r="G21" s="70">
        <f t="shared" si="22"/>
        <v>41.151000000000003</v>
      </c>
      <c r="H21" s="70">
        <f t="shared" si="22"/>
        <v>41.842999999999996</v>
      </c>
      <c r="I21" s="71">
        <f t="shared" si="22"/>
        <v>44.453000000000003</v>
      </c>
      <c r="J21" s="69">
        <f t="shared" si="22"/>
        <v>49.323</v>
      </c>
      <c r="K21" s="70">
        <f t="shared" si="22"/>
        <v>51.8</v>
      </c>
      <c r="L21" s="70">
        <f t="shared" si="22"/>
        <v>53.177999999999997</v>
      </c>
      <c r="M21" s="71">
        <f t="shared" si="22"/>
        <v>57.701999999999998</v>
      </c>
      <c r="N21" s="69">
        <f t="shared" si="22"/>
        <v>55.358999999999995</v>
      </c>
      <c r="O21" s="70">
        <f t="shared" si="22"/>
        <v>50.067999999999998</v>
      </c>
      <c r="P21" s="131">
        <f t="shared" si="22"/>
        <v>48.239000000000004</v>
      </c>
      <c r="Q21" s="153">
        <f t="shared" si="22"/>
        <v>50.768999999999998</v>
      </c>
      <c r="R21" s="154">
        <f t="shared" si="22"/>
        <v>52.338999999999999</v>
      </c>
      <c r="S21" s="131">
        <f t="shared" si="22"/>
        <v>58.100999999999999</v>
      </c>
      <c r="T21" s="131">
        <f t="shared" si="22"/>
        <v>60.731000000000002</v>
      </c>
      <c r="U21" s="153">
        <f t="shared" si="22"/>
        <v>69.457999999999998</v>
      </c>
      <c r="V21" s="131">
        <f t="shared" si="22"/>
        <v>71.504999999999995</v>
      </c>
      <c r="W21" s="131">
        <f t="shared" si="22"/>
        <v>75.66</v>
      </c>
      <c r="X21" s="131">
        <f t="shared" si="22"/>
        <v>74.534000000000006</v>
      </c>
      <c r="Y21" s="153">
        <f t="shared" si="22"/>
        <v>78.348000000000013</v>
      </c>
      <c r="Z21" s="131">
        <f t="shared" si="22"/>
        <v>82.796999999999997</v>
      </c>
      <c r="AA21" s="131">
        <f t="shared" si="22"/>
        <v>81.376999999999995</v>
      </c>
      <c r="AB21" s="131">
        <f t="shared" si="22"/>
        <v>78.954000000000008</v>
      </c>
      <c r="AC21" s="153">
        <f t="shared" si="22"/>
        <v>89</v>
      </c>
      <c r="AD21" s="131">
        <f t="shared" si="22"/>
        <v>84.525000000000006</v>
      </c>
      <c r="AE21" s="131">
        <f t="shared" si="22"/>
        <v>84.853000000000009</v>
      </c>
      <c r="AF21" s="131">
        <f t="shared" si="22"/>
        <v>83.141999999999996</v>
      </c>
      <c r="AG21" s="131">
        <f t="shared" si="22"/>
        <v>80.138000000000005</v>
      </c>
      <c r="AH21" s="154">
        <f t="shared" si="22"/>
        <v>85.498000000000005</v>
      </c>
      <c r="AI21" s="131">
        <f t="shared" si="22"/>
        <v>89.015000000000001</v>
      </c>
      <c r="AJ21" s="131">
        <f t="shared" si="22"/>
        <v>82.897999999999996</v>
      </c>
      <c r="AK21" s="131">
        <f t="shared" si="22"/>
        <v>89.425000000000011</v>
      </c>
      <c r="AL21" s="154">
        <f t="shared" ref="AL21:AS23" si="23">AL$9*AL71</f>
        <v>91.15184416299978</v>
      </c>
      <c r="AM21" s="131">
        <f t="shared" si="23"/>
        <v>91.598078415182783</v>
      </c>
      <c r="AN21" s="131">
        <f t="shared" si="23"/>
        <v>84.221808721220881</v>
      </c>
      <c r="AO21" s="153">
        <f t="shared" si="23"/>
        <v>91.049664699454581</v>
      </c>
      <c r="AP21" s="154">
        <f t="shared" si="23"/>
        <v>95.780896854554101</v>
      </c>
      <c r="AQ21" s="131">
        <f t="shared" si="23"/>
        <v>96.212651056019922</v>
      </c>
      <c r="AR21" s="131">
        <f t="shared" si="23"/>
        <v>88.320857618593791</v>
      </c>
      <c r="AS21" s="153">
        <f t="shared" si="23"/>
        <v>95.546545695348073</v>
      </c>
      <c r="AT21" s="150"/>
      <c r="AU21" s="72">
        <f t="shared" ref="AU21:AU25" si="24">SUM(B21:E21)</f>
        <v>114.72</v>
      </c>
      <c r="AV21" s="72">
        <f t="shared" ref="AV21:AV25" si="25">SUM(F21:I21)</f>
        <v>166.43299999999999</v>
      </c>
      <c r="AW21" s="72">
        <f t="shared" ref="AW21:AW25" si="26">SUM(J21:M21)</f>
        <v>212.00299999999999</v>
      </c>
      <c r="AX21" s="72">
        <f t="shared" ref="AX21:AX25" si="27">SUM(N21:Q21)</f>
        <v>204.435</v>
      </c>
      <c r="AY21" s="72">
        <f t="shared" ref="AY21:AY25" si="28">SUM(R21:U21)</f>
        <v>240.62899999999999</v>
      </c>
      <c r="AZ21" s="69">
        <f t="shared" ref="AZ21:AZ25" si="29">SUM(V21:Y21)</f>
        <v>300.04700000000003</v>
      </c>
      <c r="BA21" s="72">
        <f t="shared" ref="BA21:BA25" si="30">SUM(Z21:AC21)</f>
        <v>332.12799999999999</v>
      </c>
      <c r="BB21" s="72">
        <f t="shared" ref="BB21:BB25" si="31">SUM(AD21:AG21)</f>
        <v>332.65800000000002</v>
      </c>
      <c r="BC21" s="72">
        <f t="shared" ref="BC21:BC25" si="32">SUM(AH21:AK21)</f>
        <v>346.83600000000001</v>
      </c>
      <c r="BD21" s="72">
        <f t="shared" ref="BD21:BD25" si="33">SUM(AL21:AO21)</f>
        <v>358.02139599885805</v>
      </c>
      <c r="BE21" s="72">
        <f>SUM(AP21:AS21)</f>
        <v>375.86095122451587</v>
      </c>
      <c r="BF21" s="155"/>
      <c r="BG21" s="155"/>
      <c r="BI21" s="155"/>
      <c r="BJ21" s="155"/>
    </row>
    <row r="22" spans="1:62" s="157" customFormat="1" ht="12" customHeight="1">
      <c r="A22" s="152" t="s">
        <v>96</v>
      </c>
      <c r="B22" s="69">
        <f t="shared" si="22"/>
        <v>12.064</v>
      </c>
      <c r="C22" s="70">
        <f t="shared" si="22"/>
        <v>13.260999999999999</v>
      </c>
      <c r="D22" s="70">
        <f t="shared" si="22"/>
        <v>15.359</v>
      </c>
      <c r="E22" s="71">
        <f t="shared" si="22"/>
        <v>15.206999999999999</v>
      </c>
      <c r="F22" s="69">
        <f t="shared" si="22"/>
        <v>16.657999999999998</v>
      </c>
      <c r="G22" s="70">
        <f t="shared" si="22"/>
        <v>17.151</v>
      </c>
      <c r="H22" s="70">
        <f t="shared" si="22"/>
        <v>18.126000000000001</v>
      </c>
      <c r="I22" s="71">
        <f t="shared" si="22"/>
        <v>18.959</v>
      </c>
      <c r="J22" s="69">
        <f t="shared" si="22"/>
        <v>19.904999999999998</v>
      </c>
      <c r="K22" s="70">
        <f t="shared" si="22"/>
        <v>19.257000000000001</v>
      </c>
      <c r="L22" s="70">
        <f t="shared" si="22"/>
        <v>18.639000000000003</v>
      </c>
      <c r="M22" s="71">
        <f t="shared" si="22"/>
        <v>20.352</v>
      </c>
      <c r="N22" s="69">
        <f t="shared" si="22"/>
        <v>23.882999999999999</v>
      </c>
      <c r="O22" s="70">
        <f t="shared" si="22"/>
        <v>21.416999999999998</v>
      </c>
      <c r="P22" s="131">
        <f t="shared" si="22"/>
        <v>21.175000000000001</v>
      </c>
      <c r="Q22" s="153">
        <f t="shared" si="22"/>
        <v>20.417999999999999</v>
      </c>
      <c r="R22" s="154">
        <f t="shared" si="22"/>
        <v>22.682000000000002</v>
      </c>
      <c r="S22" s="131">
        <f t="shared" si="22"/>
        <v>23.024999999999999</v>
      </c>
      <c r="T22" s="131">
        <f t="shared" si="22"/>
        <v>25.088000000000001</v>
      </c>
      <c r="U22" s="153">
        <f t="shared" si="22"/>
        <v>24.905000000000001</v>
      </c>
      <c r="V22" s="131">
        <f t="shared" si="22"/>
        <v>27.826999999999998</v>
      </c>
      <c r="W22" s="131">
        <f t="shared" si="22"/>
        <v>28.151000000000003</v>
      </c>
      <c r="X22" s="131">
        <f t="shared" si="22"/>
        <v>27.377000000000002</v>
      </c>
      <c r="Y22" s="153">
        <f t="shared" si="22"/>
        <v>28.706000000000003</v>
      </c>
      <c r="Z22" s="131">
        <f t="shared" si="22"/>
        <v>29.317999999999998</v>
      </c>
      <c r="AA22" s="131">
        <f t="shared" si="22"/>
        <v>28.081</v>
      </c>
      <c r="AB22" s="131">
        <f t="shared" si="22"/>
        <v>27.81</v>
      </c>
      <c r="AC22" s="153">
        <f t="shared" si="22"/>
        <v>30.728999999999999</v>
      </c>
      <c r="AD22" s="131">
        <f t="shared" si="22"/>
        <v>32.565999999999995</v>
      </c>
      <c r="AE22" s="131">
        <f t="shared" si="22"/>
        <v>33.35</v>
      </c>
      <c r="AF22" s="131">
        <f t="shared" si="22"/>
        <v>35.585000000000001</v>
      </c>
      <c r="AG22" s="131">
        <f t="shared" si="22"/>
        <v>32.466999999999999</v>
      </c>
      <c r="AH22" s="154">
        <f t="shared" si="22"/>
        <v>39.017000000000003</v>
      </c>
      <c r="AI22" s="131">
        <f t="shared" si="22"/>
        <v>43.403999999999996</v>
      </c>
      <c r="AJ22" s="131">
        <f t="shared" si="22"/>
        <v>42.091000000000001</v>
      </c>
      <c r="AK22" s="131">
        <f t="shared" si="22"/>
        <v>40.840000000000003</v>
      </c>
      <c r="AL22" s="154">
        <f t="shared" si="23"/>
        <v>42.187115546088656</v>
      </c>
      <c r="AM22" s="131">
        <f t="shared" si="23"/>
        <v>46.605664348814159</v>
      </c>
      <c r="AN22" s="131">
        <f t="shared" si="23"/>
        <v>44.809978724746479</v>
      </c>
      <c r="AO22" s="153">
        <f t="shared" si="23"/>
        <v>43.482209255641322</v>
      </c>
      <c r="AP22" s="154">
        <f t="shared" si="23"/>
        <v>44.96732995398969</v>
      </c>
      <c r="AQ22" s="131">
        <f t="shared" si="23"/>
        <v>49.673588826756657</v>
      </c>
      <c r="AR22" s="131">
        <f t="shared" si="23"/>
        <v>47.752747851284688</v>
      </c>
      <c r="AS22" s="153">
        <f t="shared" si="23"/>
        <v>46.335587575679099</v>
      </c>
      <c r="AT22" s="156"/>
      <c r="AU22" s="72">
        <f t="shared" si="24"/>
        <v>55.890999999999998</v>
      </c>
      <c r="AV22" s="72">
        <f t="shared" si="25"/>
        <v>70.894000000000005</v>
      </c>
      <c r="AW22" s="72">
        <f t="shared" si="26"/>
        <v>78.153000000000006</v>
      </c>
      <c r="AX22" s="72">
        <f t="shared" si="27"/>
        <v>86.893000000000001</v>
      </c>
      <c r="AY22" s="72">
        <f t="shared" si="28"/>
        <v>95.7</v>
      </c>
      <c r="AZ22" s="69">
        <f t="shared" si="29"/>
        <v>112.06100000000001</v>
      </c>
      <c r="BA22" s="72">
        <f t="shared" si="30"/>
        <v>115.938</v>
      </c>
      <c r="BB22" s="72">
        <f t="shared" si="31"/>
        <v>133.96800000000002</v>
      </c>
      <c r="BC22" s="72">
        <f t="shared" si="32"/>
        <v>165.352</v>
      </c>
      <c r="BD22" s="72">
        <f t="shared" si="33"/>
        <v>177.08496787529063</v>
      </c>
      <c r="BE22" s="72">
        <f>SUM(AP22:AS22)</f>
        <v>188.72925420771014</v>
      </c>
      <c r="BF22" s="155"/>
      <c r="BG22" s="155"/>
      <c r="BI22" s="155"/>
      <c r="BJ22" s="155"/>
    </row>
    <row r="23" spans="1:62" s="157" customFormat="1" ht="12" customHeight="1">
      <c r="A23" s="152" t="s">
        <v>97</v>
      </c>
      <c r="B23" s="69">
        <f t="shared" si="22"/>
        <v>5.2549999999999999</v>
      </c>
      <c r="C23" s="70">
        <f t="shared" si="22"/>
        <v>5.5549999999999997</v>
      </c>
      <c r="D23" s="70">
        <f t="shared" si="22"/>
        <v>6.2290000000000001</v>
      </c>
      <c r="E23" s="71">
        <f t="shared" si="22"/>
        <v>7.7700000000000005</v>
      </c>
      <c r="F23" s="69">
        <f t="shared" si="22"/>
        <v>7.8620000000000001</v>
      </c>
      <c r="G23" s="70">
        <f t="shared" si="22"/>
        <v>8.9459999999999997</v>
      </c>
      <c r="H23" s="70">
        <f t="shared" si="22"/>
        <v>10.315000000000001</v>
      </c>
      <c r="I23" s="71">
        <f t="shared" si="22"/>
        <v>11.156000000000001</v>
      </c>
      <c r="J23" s="69">
        <f t="shared" si="22"/>
        <v>11.864999999999998</v>
      </c>
      <c r="K23" s="70">
        <f t="shared" si="22"/>
        <v>12.012</v>
      </c>
      <c r="L23" s="70">
        <f t="shared" si="22"/>
        <v>13.312000000000001</v>
      </c>
      <c r="M23" s="71">
        <f t="shared" si="22"/>
        <v>12.625999999999999</v>
      </c>
      <c r="N23" s="69">
        <f t="shared" si="22"/>
        <v>13.749999999999998</v>
      </c>
      <c r="O23" s="70">
        <f t="shared" si="22"/>
        <v>12.311000000000002</v>
      </c>
      <c r="P23" s="131">
        <f t="shared" si="22"/>
        <v>12.465</v>
      </c>
      <c r="Q23" s="153">
        <f t="shared" si="22"/>
        <v>12.491999999999997</v>
      </c>
      <c r="R23" s="154">
        <f t="shared" si="22"/>
        <v>13.724000000000002</v>
      </c>
      <c r="S23" s="131">
        <f t="shared" si="22"/>
        <v>13.78</v>
      </c>
      <c r="T23" s="131">
        <f t="shared" si="22"/>
        <v>15.016000000000002</v>
      </c>
      <c r="U23" s="153">
        <f t="shared" si="22"/>
        <v>15.793000000000001</v>
      </c>
      <c r="V23" s="131">
        <f t="shared" si="22"/>
        <v>16.590000000000003</v>
      </c>
      <c r="W23" s="131">
        <f t="shared" si="22"/>
        <v>17.201000000000001</v>
      </c>
      <c r="X23" s="131">
        <f t="shared" si="22"/>
        <v>16.692</v>
      </c>
      <c r="Y23" s="153">
        <f t="shared" si="22"/>
        <v>17.881999999999998</v>
      </c>
      <c r="Z23" s="131">
        <f t="shared" si="22"/>
        <v>18.781999999999996</v>
      </c>
      <c r="AA23" s="131">
        <f t="shared" si="22"/>
        <v>17.824999999999999</v>
      </c>
      <c r="AB23" s="131">
        <f t="shared" si="22"/>
        <v>18.502000000000002</v>
      </c>
      <c r="AC23" s="153">
        <f t="shared" si="22"/>
        <v>16.067</v>
      </c>
      <c r="AD23" s="131">
        <f t="shared" si="22"/>
        <v>20.581</v>
      </c>
      <c r="AE23" s="131">
        <f t="shared" si="22"/>
        <v>19.503999999999998</v>
      </c>
      <c r="AF23" s="131">
        <f t="shared" si="22"/>
        <v>21.116999999999997</v>
      </c>
      <c r="AG23" s="131">
        <f t="shared" si="22"/>
        <v>20.541</v>
      </c>
      <c r="AH23" s="154">
        <f t="shared" si="22"/>
        <v>22.663999999999998</v>
      </c>
      <c r="AI23" s="131">
        <f t="shared" si="22"/>
        <v>22.742999999999999</v>
      </c>
      <c r="AJ23" s="131">
        <f t="shared" si="22"/>
        <v>22.062000000000005</v>
      </c>
      <c r="AK23" s="131">
        <f t="shared" si="22"/>
        <v>21.510999999999999</v>
      </c>
      <c r="AL23" s="154">
        <f t="shared" si="23"/>
        <v>24.046711005000002</v>
      </c>
      <c r="AM23" s="131">
        <f t="shared" si="23"/>
        <v>23.632751615</v>
      </c>
      <c r="AN23" s="131">
        <f t="shared" si="23"/>
        <v>23.918485225000001</v>
      </c>
      <c r="AO23" s="153">
        <f t="shared" si="23"/>
        <v>22.191088000000001</v>
      </c>
      <c r="AP23" s="154">
        <f t="shared" si="23"/>
        <v>25.080223155851499</v>
      </c>
      <c r="AQ23" s="131">
        <f t="shared" si="23"/>
        <v>24.622399386125995</v>
      </c>
      <c r="AR23" s="131">
        <f t="shared" si="23"/>
        <v>24.916471907992506</v>
      </c>
      <c r="AS23" s="153">
        <f t="shared" si="23"/>
        <v>23.056123206480006</v>
      </c>
      <c r="AT23" s="156"/>
      <c r="AU23" s="72">
        <f t="shared" si="24"/>
        <v>24.808999999999997</v>
      </c>
      <c r="AV23" s="72">
        <f t="shared" si="25"/>
        <v>38.279000000000003</v>
      </c>
      <c r="AW23" s="72">
        <f t="shared" si="26"/>
        <v>49.814999999999998</v>
      </c>
      <c r="AX23" s="72">
        <f t="shared" si="27"/>
        <v>51.017999999999994</v>
      </c>
      <c r="AY23" s="72">
        <f t="shared" si="28"/>
        <v>58.313000000000002</v>
      </c>
      <c r="AZ23" s="69">
        <f t="shared" si="29"/>
        <v>68.365000000000009</v>
      </c>
      <c r="BA23" s="72">
        <f t="shared" si="30"/>
        <v>71.176000000000002</v>
      </c>
      <c r="BB23" s="72">
        <f t="shared" si="31"/>
        <v>81.742999999999995</v>
      </c>
      <c r="BC23" s="72">
        <f t="shared" si="32"/>
        <v>88.97999999999999</v>
      </c>
      <c r="BD23" s="72">
        <f t="shared" si="33"/>
        <v>93.789035845000001</v>
      </c>
      <c r="BE23" s="72">
        <f>SUM(AP23:AS23)</f>
        <v>97.675217656450002</v>
      </c>
      <c r="BF23" s="155"/>
      <c r="BG23" s="155"/>
      <c r="BI23" s="155"/>
      <c r="BJ23" s="155"/>
    </row>
    <row r="24" spans="1:62" s="159" customFormat="1" ht="12" customHeight="1">
      <c r="A24" s="158" t="s">
        <v>98</v>
      </c>
      <c r="B24" s="74">
        <f t="shared" ref="B24:P24" si="34">B21+B22+B23</f>
        <v>43.217000000000006</v>
      </c>
      <c r="C24" s="75">
        <f t="shared" si="34"/>
        <v>46.231000000000002</v>
      </c>
      <c r="D24" s="75">
        <f t="shared" si="34"/>
        <v>50.753</v>
      </c>
      <c r="E24" s="76">
        <f t="shared" si="34"/>
        <v>55.219000000000001</v>
      </c>
      <c r="F24" s="74">
        <f t="shared" si="34"/>
        <v>63.506000000000007</v>
      </c>
      <c r="G24" s="75">
        <f t="shared" si="34"/>
        <v>67.248000000000005</v>
      </c>
      <c r="H24" s="75">
        <f t="shared" si="34"/>
        <v>70.283999999999992</v>
      </c>
      <c r="I24" s="76">
        <f t="shared" si="34"/>
        <v>74.568000000000012</v>
      </c>
      <c r="J24" s="74">
        <f t="shared" si="34"/>
        <v>81.092999999999989</v>
      </c>
      <c r="K24" s="75">
        <f t="shared" si="34"/>
        <v>83.069000000000003</v>
      </c>
      <c r="L24" s="75">
        <f t="shared" si="34"/>
        <v>85.129000000000005</v>
      </c>
      <c r="M24" s="76">
        <f t="shared" si="34"/>
        <v>90.68</v>
      </c>
      <c r="N24" s="74">
        <f t="shared" si="34"/>
        <v>92.99199999999999</v>
      </c>
      <c r="O24" s="75">
        <f t="shared" si="34"/>
        <v>83.796000000000006</v>
      </c>
      <c r="P24" s="77">
        <f t="shared" si="34"/>
        <v>81.879000000000005</v>
      </c>
      <c r="Q24" s="76">
        <f>Q21+Q22+Q23</f>
        <v>83.679000000000002</v>
      </c>
      <c r="R24" s="74">
        <f t="shared" ref="R24:AS24" si="35">R21+R22+R23</f>
        <v>88.745000000000005</v>
      </c>
      <c r="S24" s="75">
        <f t="shared" si="35"/>
        <v>94.906000000000006</v>
      </c>
      <c r="T24" s="75">
        <f t="shared" si="35"/>
        <v>100.83500000000001</v>
      </c>
      <c r="U24" s="76">
        <f t="shared" si="35"/>
        <v>110.15600000000001</v>
      </c>
      <c r="V24" s="75">
        <f t="shared" si="35"/>
        <v>115.922</v>
      </c>
      <c r="W24" s="75">
        <f t="shared" si="35"/>
        <v>121.012</v>
      </c>
      <c r="X24" s="75">
        <f t="shared" si="35"/>
        <v>118.60300000000001</v>
      </c>
      <c r="Y24" s="76">
        <f t="shared" si="35"/>
        <v>124.93600000000001</v>
      </c>
      <c r="Z24" s="75">
        <f t="shared" si="35"/>
        <v>130.89699999999999</v>
      </c>
      <c r="AA24" s="75">
        <f t="shared" si="35"/>
        <v>127.283</v>
      </c>
      <c r="AB24" s="75">
        <f t="shared" si="35"/>
        <v>125.26600000000002</v>
      </c>
      <c r="AC24" s="76">
        <f t="shared" si="35"/>
        <v>135.79599999999999</v>
      </c>
      <c r="AD24" s="75">
        <f t="shared" si="35"/>
        <v>137.672</v>
      </c>
      <c r="AE24" s="75">
        <f t="shared" si="35"/>
        <v>137.70699999999999</v>
      </c>
      <c r="AF24" s="75">
        <f t="shared" si="35"/>
        <v>139.84399999999999</v>
      </c>
      <c r="AG24" s="75">
        <f t="shared" si="35"/>
        <v>133.14600000000002</v>
      </c>
      <c r="AH24" s="74">
        <f t="shared" si="35"/>
        <v>147.179</v>
      </c>
      <c r="AI24" s="75">
        <f t="shared" si="35"/>
        <v>155.16199999999998</v>
      </c>
      <c r="AJ24" s="75">
        <f t="shared" si="35"/>
        <v>147.05100000000002</v>
      </c>
      <c r="AK24" s="76">
        <f t="shared" si="35"/>
        <v>151.77600000000001</v>
      </c>
      <c r="AL24" s="74">
        <f t="shared" si="35"/>
        <v>157.38567071408843</v>
      </c>
      <c r="AM24" s="75">
        <f t="shared" si="35"/>
        <v>161.83649437899695</v>
      </c>
      <c r="AN24" s="75">
        <f t="shared" si="35"/>
        <v>152.95027267096737</v>
      </c>
      <c r="AO24" s="76">
        <f t="shared" si="35"/>
        <v>156.72296195509591</v>
      </c>
      <c r="AP24" s="74">
        <f t="shared" si="35"/>
        <v>165.8284499643953</v>
      </c>
      <c r="AQ24" s="75">
        <f t="shared" si="35"/>
        <v>170.50863926890258</v>
      </c>
      <c r="AR24" s="75">
        <f t="shared" si="35"/>
        <v>160.99007737787099</v>
      </c>
      <c r="AS24" s="76">
        <f t="shared" si="35"/>
        <v>164.93825647750717</v>
      </c>
      <c r="AT24" s="142"/>
      <c r="AU24" s="79">
        <f t="shared" si="24"/>
        <v>195.42000000000002</v>
      </c>
      <c r="AV24" s="79">
        <f t="shared" si="25"/>
        <v>275.60599999999999</v>
      </c>
      <c r="AW24" s="79">
        <f t="shared" si="26"/>
        <v>339.971</v>
      </c>
      <c r="AX24" s="79">
        <f t="shared" si="27"/>
        <v>342.346</v>
      </c>
      <c r="AY24" s="79">
        <f t="shared" si="28"/>
        <v>394.642</v>
      </c>
      <c r="AZ24" s="74">
        <f t="shared" si="29"/>
        <v>480.47300000000007</v>
      </c>
      <c r="BA24" s="79">
        <f t="shared" si="30"/>
        <v>519.24199999999996</v>
      </c>
      <c r="BB24" s="79">
        <f t="shared" si="31"/>
        <v>548.36900000000003</v>
      </c>
      <c r="BC24" s="79">
        <f t="shared" si="32"/>
        <v>601.16800000000012</v>
      </c>
      <c r="BD24" s="79">
        <f t="shared" si="33"/>
        <v>628.8953997191486</v>
      </c>
      <c r="BE24" s="79">
        <f>SUM(AP24:AS24)</f>
        <v>662.26542308867602</v>
      </c>
      <c r="BF24" s="155"/>
      <c r="BG24" s="155"/>
      <c r="BI24" s="155"/>
      <c r="BJ24" s="155"/>
    </row>
    <row r="25" spans="1:62" s="161" customFormat="1" ht="12" customHeight="1">
      <c r="A25" s="63" t="s">
        <v>99</v>
      </c>
      <c r="B25" s="74">
        <f t="shared" ref="B25:AS25" si="36">B17-B24</f>
        <v>-6.9690000000000012</v>
      </c>
      <c r="C25" s="75">
        <f t="shared" si="36"/>
        <v>-7.2289999999999992</v>
      </c>
      <c r="D25" s="75">
        <f t="shared" si="36"/>
        <v>-8.982999999999997</v>
      </c>
      <c r="E25" s="76">
        <f t="shared" si="36"/>
        <v>-9.215999999999994</v>
      </c>
      <c r="F25" s="74">
        <f t="shared" si="36"/>
        <v>-12.899000000000008</v>
      </c>
      <c r="G25" s="75">
        <f t="shared" si="36"/>
        <v>-13.270000000000003</v>
      </c>
      <c r="H25" s="75">
        <f t="shared" si="36"/>
        <v>-12.161999999999992</v>
      </c>
      <c r="I25" s="76">
        <f t="shared" si="36"/>
        <v>-10.772000000000006</v>
      </c>
      <c r="J25" s="74">
        <f t="shared" si="36"/>
        <v>-13.214999999999989</v>
      </c>
      <c r="K25" s="75">
        <f t="shared" si="36"/>
        <v>-10.709999999999994</v>
      </c>
      <c r="L25" s="75">
        <f t="shared" si="36"/>
        <v>-7.703000000000003</v>
      </c>
      <c r="M25" s="160">
        <f t="shared" si="36"/>
        <v>-11.138000000000034</v>
      </c>
      <c r="N25" s="74">
        <f t="shared" si="36"/>
        <v>-7.7189999999999941</v>
      </c>
      <c r="O25" s="75">
        <f t="shared" si="36"/>
        <v>5.6789999999999878</v>
      </c>
      <c r="P25" s="77">
        <f t="shared" si="36"/>
        <v>12.414000000000001</v>
      </c>
      <c r="Q25" s="76">
        <f t="shared" si="36"/>
        <v>15.419000000000011</v>
      </c>
      <c r="R25" s="74">
        <f t="shared" si="36"/>
        <v>13.887</v>
      </c>
      <c r="S25" s="75">
        <f t="shared" si="36"/>
        <v>11.534000000000006</v>
      </c>
      <c r="T25" s="75">
        <f t="shared" si="36"/>
        <v>13.684999999999974</v>
      </c>
      <c r="U25" s="76">
        <f t="shared" si="36"/>
        <v>11.878999999999991</v>
      </c>
      <c r="V25" s="75">
        <f t="shared" si="36"/>
        <v>12.455999999999989</v>
      </c>
      <c r="W25" s="75">
        <f t="shared" si="36"/>
        <v>12.191000000000003</v>
      </c>
      <c r="X25" s="75">
        <f t="shared" si="36"/>
        <v>23.086999999999989</v>
      </c>
      <c r="Y25" s="76">
        <f t="shared" si="36"/>
        <v>19.936000000000007</v>
      </c>
      <c r="Z25" s="75">
        <f t="shared" si="36"/>
        <v>18.14100000000002</v>
      </c>
      <c r="AA25" s="75">
        <f t="shared" si="36"/>
        <v>30.218000000000004</v>
      </c>
      <c r="AB25" s="75">
        <f t="shared" si="36"/>
        <v>36.574999999999989</v>
      </c>
      <c r="AC25" s="76">
        <f t="shared" si="36"/>
        <v>36.062999999999988</v>
      </c>
      <c r="AD25" s="75">
        <f t="shared" si="36"/>
        <v>37.007999999999981</v>
      </c>
      <c r="AE25" s="75">
        <f t="shared" si="36"/>
        <v>42.78400000000002</v>
      </c>
      <c r="AF25" s="75">
        <f t="shared" si="36"/>
        <v>44.974999999999994</v>
      </c>
      <c r="AG25" s="76">
        <f t="shared" si="36"/>
        <v>59.350999999999999</v>
      </c>
      <c r="AH25" s="74">
        <f t="shared" si="36"/>
        <v>48.676999999999992</v>
      </c>
      <c r="AI25" s="75">
        <f t="shared" si="36"/>
        <v>47.696000000000026</v>
      </c>
      <c r="AJ25" s="75">
        <f t="shared" si="36"/>
        <v>58.912999999999982</v>
      </c>
      <c r="AK25" s="76">
        <f t="shared" si="36"/>
        <v>63.693000000000012</v>
      </c>
      <c r="AL25" s="74">
        <f t="shared" si="36"/>
        <v>54.124983671035835</v>
      </c>
      <c r="AM25" s="75">
        <f t="shared" si="36"/>
        <v>55.71964124690399</v>
      </c>
      <c r="AN25" s="75">
        <f t="shared" si="36"/>
        <v>67.959781879032619</v>
      </c>
      <c r="AO25" s="76">
        <f t="shared" si="36"/>
        <v>72.677410244904081</v>
      </c>
      <c r="AP25" s="74">
        <f t="shared" si="36"/>
        <v>59.345568302057472</v>
      </c>
      <c r="AQ25" s="75">
        <f t="shared" si="36"/>
        <v>61.08561061406624</v>
      </c>
      <c r="AR25" s="75">
        <f t="shared" si="36"/>
        <v>74.14122648950655</v>
      </c>
      <c r="AS25" s="76">
        <f t="shared" si="36"/>
        <v>79.220176452652851</v>
      </c>
      <c r="AT25" s="142"/>
      <c r="AU25" s="79">
        <f t="shared" si="24"/>
        <v>-32.396999999999991</v>
      </c>
      <c r="AV25" s="79">
        <f t="shared" si="25"/>
        <v>-49.103000000000009</v>
      </c>
      <c r="AW25" s="79">
        <f t="shared" si="26"/>
        <v>-42.76600000000002</v>
      </c>
      <c r="AX25" s="79">
        <f t="shared" si="27"/>
        <v>25.793000000000006</v>
      </c>
      <c r="AY25" s="79">
        <f t="shared" si="28"/>
        <v>50.984999999999971</v>
      </c>
      <c r="AZ25" s="74">
        <f t="shared" si="29"/>
        <v>67.669999999999987</v>
      </c>
      <c r="BA25" s="79">
        <f t="shared" si="30"/>
        <v>120.997</v>
      </c>
      <c r="BB25" s="79">
        <f t="shared" si="31"/>
        <v>184.11799999999999</v>
      </c>
      <c r="BC25" s="79">
        <f t="shared" si="32"/>
        <v>218.97900000000001</v>
      </c>
      <c r="BD25" s="79">
        <f t="shared" si="33"/>
        <v>250.48181704187652</v>
      </c>
      <c r="BE25" s="79">
        <f>SUM(AP25:AS25)</f>
        <v>273.79258185828314</v>
      </c>
    </row>
    <row r="26" spans="1:62" s="165" customFormat="1" ht="12" hidden="1" customHeight="1" outlineLevel="1">
      <c r="A26" s="144" t="s">
        <v>100</v>
      </c>
      <c r="B26" s="86" t="str">
        <f>'[2]VA Consensus'!C29</f>
        <v>-</v>
      </c>
      <c r="C26" s="145" t="str">
        <f>'[2]VA Consensus'!D29</f>
        <v>-</v>
      </c>
      <c r="D26" s="145" t="str">
        <f>'[2]VA Consensus'!E29</f>
        <v>-</v>
      </c>
      <c r="E26" s="146" t="str">
        <f>'[2]VA Consensus'!F29</f>
        <v>-</v>
      </c>
      <c r="F26" s="86" t="str">
        <f>'[2]VA Consensus'!G29</f>
        <v>-</v>
      </c>
      <c r="G26" s="145" t="str">
        <f>'[2]VA Consensus'!H29</f>
        <v>-</v>
      </c>
      <c r="H26" s="145">
        <f>'[2]VA Consensus'!I29</f>
        <v>-16.934375854631426</v>
      </c>
      <c r="I26" s="146">
        <f>'[2]VA Consensus'!J29</f>
        <v>-13.435126250079467</v>
      </c>
      <c r="J26" s="86">
        <f>'[2]VA Consensus'!K29</f>
        <v>-16.2977232270167</v>
      </c>
      <c r="K26" s="145">
        <f>'[2]VA Consensus'!L29</f>
        <v>-14.53014306741192</v>
      </c>
      <c r="L26" s="145">
        <f>'[2]VA Consensus'!M29</f>
        <v>-11.505508425583956</v>
      </c>
      <c r="M26" s="146">
        <f>'[2]VA Consensus'!N29</f>
        <v>-12.777321040696945</v>
      </c>
      <c r="N26" s="86">
        <f>'[2]VA Consensus'!O29</f>
        <v>-17.341511070106861</v>
      </c>
      <c r="O26" s="145">
        <f>'[2]VA Consensus'!P29</f>
        <v>-4.6851316306849409</v>
      </c>
      <c r="P26" s="145">
        <f>'[2]VA Consensus'!Q29</f>
        <v>3.6463872924491669</v>
      </c>
      <c r="Q26" s="146">
        <f>'[2]VA Consensus'!R29</f>
        <v>8.873210929729618</v>
      </c>
      <c r="R26" s="86">
        <f>'[2]VA Consensus'!S29</f>
        <v>8.365437139833503</v>
      </c>
      <c r="S26" s="162">
        <f>'[2]VA Consensus'!T29</f>
        <v>7.5928257018884135</v>
      </c>
      <c r="T26" s="162">
        <f>'[2]VA Consensus'!U29</f>
        <v>7.673656926482213</v>
      </c>
      <c r="U26" s="163">
        <f>'[2]VA Consensus'!V29</f>
        <v>7.8056009273051332</v>
      </c>
      <c r="V26" s="162">
        <f>'[2]VA Consensus'!W29</f>
        <v>10.381384350395914</v>
      </c>
      <c r="W26" s="162">
        <f>'[2]VA Consensus'!X29</f>
        <v>6.6083138180564562</v>
      </c>
      <c r="X26" s="162">
        <f>'[2]VA Consensus'!Y29</f>
        <v>9.4967608244754036</v>
      </c>
      <c r="Y26" s="162">
        <f>'[2]VA Consensus'!Z29</f>
        <v>15.618980220982584</v>
      </c>
      <c r="Z26" s="164">
        <f>'[2]VA Consensus'!AA29</f>
        <v>9.4655329950458373</v>
      </c>
      <c r="AA26" s="162">
        <f>'[2]VA Consensus'!AB29</f>
        <v>20.561496738339201</v>
      </c>
      <c r="AB26" s="162">
        <f>'[2]VA Consensus'!AC29</f>
        <v>26.579935129160479</v>
      </c>
      <c r="AC26" s="163">
        <f>'[2]VA Consensus'!AD29</f>
        <v>23.827541660648315</v>
      </c>
      <c r="AD26" s="164">
        <f>'[2]VA Consensus'!AE29</f>
        <v>28.444901044837302</v>
      </c>
      <c r="AE26" s="162">
        <f>'[2]VA Consensus'!AF29</f>
        <v>35.191235695586649</v>
      </c>
      <c r="AF26" s="162">
        <f>'[2]VA Consensus'!AG29</f>
        <v>43.001425970834553</v>
      </c>
      <c r="AG26" s="163">
        <f>'[2]VA Consensus'!AH29</f>
        <v>47.973662057637036</v>
      </c>
      <c r="AH26" s="164">
        <f>'[2]VA Consensus'!AI29</f>
        <v>42.481510195483395</v>
      </c>
      <c r="AI26" s="162">
        <f>'[2]VA Consensus'!AJ29</f>
        <v>43.941988777412838</v>
      </c>
      <c r="AJ26" s="162">
        <f>'[2]VA Consensus'!AK29</f>
        <v>52.810288502442617</v>
      </c>
      <c r="AK26" s="163">
        <f>'[2]VA Consensus'!AL29</f>
        <v>58.106705293592157</v>
      </c>
      <c r="AL26" s="164">
        <f>'[2]VA Consensus'!AM29</f>
        <v>55.100809626591435</v>
      </c>
      <c r="AM26" s="162">
        <f>'[2]VA Consensus'!AN29</f>
        <v>59.209300620374606</v>
      </c>
      <c r="AN26" s="162">
        <f>'[2]VA Consensus'!AO29</f>
        <v>65.437519713089458</v>
      </c>
      <c r="AO26" s="163">
        <f>'[2]VA Consensus'!AP29</f>
        <v>71.117948842159237</v>
      </c>
      <c r="AP26" s="164">
        <f>'[2]VA Consensus'!AQ29</f>
        <v>63.906594077768219</v>
      </c>
      <c r="AQ26" s="162">
        <f>'[2]VA Consensus'!AR29</f>
        <v>66.732426305053409</v>
      </c>
      <c r="AR26" s="162">
        <f>'[2]VA Consensus'!AS29</f>
        <v>72.149253167453793</v>
      </c>
      <c r="AS26" s="163">
        <f>'[2]VA Consensus'!AT29</f>
        <v>77.324023370724973</v>
      </c>
      <c r="AT26" s="85"/>
      <c r="AU26" s="88" t="str">
        <f>'[2]VA Consensus'!AV29</f>
        <v>-</v>
      </c>
      <c r="AV26" s="88">
        <f>'[2]VA Consensus'!AW29</f>
        <v>-51.766360431746165</v>
      </c>
      <c r="AW26" s="88">
        <f>'[2]VA Consensus'!AX29</f>
        <v>-44.405321040696954</v>
      </c>
      <c r="AX26" s="88">
        <f>'[2]VA Consensus'!AY29</f>
        <v>19.247210929729622</v>
      </c>
      <c r="AY26" s="88">
        <f>'[2]VA Consensus'!AZ29</f>
        <v>46.924671600029697</v>
      </c>
      <c r="AZ26" s="82">
        <f>'[2]VA Consensus'!BA29</f>
        <v>63.352980220982602</v>
      </c>
      <c r="BA26" s="88">
        <f>'[2]VA Consensus'!BB29</f>
        <v>108.76154166064826</v>
      </c>
      <c r="BB26" s="88">
        <f>'[2]VA Consensus'!BC29</f>
        <v>172.682224557637</v>
      </c>
      <c r="BC26" s="88">
        <f>'[2]VA Consensus'!BD29</f>
        <v>213.36316839817039</v>
      </c>
      <c r="BD26" s="88">
        <f>'[2]VA Consensus'!BE29</f>
        <v>250.8655788022146</v>
      </c>
      <c r="BE26" s="88">
        <f>'[2]VA Consensus'!BF29</f>
        <v>280.11229692100028</v>
      </c>
    </row>
    <row r="27" spans="1:62" s="89" customFormat="1" ht="12" customHeight="1" collapsed="1" thickBot="1">
      <c r="A27" s="90" t="s">
        <v>101</v>
      </c>
      <c r="B27" s="91"/>
      <c r="C27" s="92"/>
      <c r="D27" s="92"/>
      <c r="E27" s="93"/>
      <c r="F27" s="92"/>
      <c r="G27" s="92"/>
      <c r="H27" s="92"/>
      <c r="I27" s="92"/>
      <c r="J27" s="91"/>
      <c r="K27" s="92"/>
      <c r="L27" s="92"/>
      <c r="M27" s="93"/>
      <c r="N27" s="91"/>
      <c r="O27" s="92"/>
      <c r="P27" s="92"/>
      <c r="Q27" s="93"/>
      <c r="R27" s="92"/>
      <c r="S27" s="94"/>
      <c r="T27" s="92"/>
      <c r="U27" s="92"/>
      <c r="V27" s="91"/>
      <c r="W27" s="92"/>
      <c r="X27" s="92"/>
      <c r="Y27" s="93"/>
      <c r="Z27" s="96"/>
      <c r="AA27" s="97"/>
      <c r="AB27" s="97"/>
      <c r="AC27" s="98"/>
      <c r="AD27" s="96"/>
      <c r="AE27" s="97"/>
      <c r="AF27" s="97"/>
      <c r="AG27" s="98"/>
      <c r="AH27" s="96"/>
      <c r="AI27" s="97"/>
      <c r="AJ27" s="97"/>
      <c r="AK27" s="98"/>
      <c r="AL27" s="96"/>
      <c r="AM27" s="97"/>
      <c r="AN27" s="97"/>
      <c r="AO27" s="98"/>
      <c r="AP27" s="96"/>
      <c r="AQ27" s="97"/>
      <c r="AR27" s="97"/>
      <c r="AS27" s="98"/>
      <c r="AT27" s="99"/>
      <c r="AU27" s="100"/>
      <c r="AV27" s="93"/>
      <c r="AW27" s="93"/>
      <c r="AX27" s="101"/>
      <c r="AY27" s="101"/>
      <c r="AZ27" s="91"/>
      <c r="BA27" s="101"/>
      <c r="BB27" s="101"/>
      <c r="BC27" s="93"/>
      <c r="BD27" s="93"/>
      <c r="BE27" s="93"/>
    </row>
    <row r="28" spans="1:62" s="89" customFormat="1" ht="12" customHeight="1" thickTop="1">
      <c r="A28" s="103" t="s">
        <v>88</v>
      </c>
      <c r="B28" s="82"/>
      <c r="C28" s="83"/>
      <c r="D28" s="83"/>
      <c r="E28" s="84"/>
      <c r="F28" s="83"/>
      <c r="G28" s="83"/>
      <c r="H28" s="83"/>
      <c r="I28" s="83"/>
      <c r="J28" s="82"/>
      <c r="K28" s="83"/>
      <c r="L28" s="83"/>
      <c r="M28" s="84"/>
      <c r="N28" s="105">
        <v>-18</v>
      </c>
      <c r="O28" s="107">
        <v>-5.5</v>
      </c>
      <c r="P28" s="105">
        <v>3</v>
      </c>
      <c r="Q28" s="109">
        <v>8</v>
      </c>
      <c r="R28" s="105">
        <v>7</v>
      </c>
      <c r="S28" s="107">
        <v>7</v>
      </c>
      <c r="T28" s="105">
        <v>7</v>
      </c>
      <c r="U28" s="105">
        <v>7</v>
      </c>
      <c r="V28" s="108">
        <v>10</v>
      </c>
      <c r="W28" s="105">
        <v>6</v>
      </c>
      <c r="X28" s="105">
        <v>9</v>
      </c>
      <c r="Y28" s="105">
        <v>15</v>
      </c>
      <c r="Z28" s="108">
        <v>9</v>
      </c>
      <c r="AA28" s="105">
        <v>20</v>
      </c>
      <c r="AB28" s="105">
        <v>26</v>
      </c>
      <c r="AC28" s="105">
        <v>23</v>
      </c>
      <c r="AD28" s="108">
        <v>27</v>
      </c>
      <c r="AE28" s="105">
        <v>34</v>
      </c>
      <c r="AF28" s="105">
        <v>42</v>
      </c>
      <c r="AG28" s="105">
        <v>47</v>
      </c>
      <c r="AH28" s="108">
        <v>40</v>
      </c>
      <c r="AI28" s="105">
        <v>43</v>
      </c>
      <c r="AJ28" s="105">
        <v>52</v>
      </c>
      <c r="AK28" s="105">
        <v>55.7</v>
      </c>
      <c r="AL28" s="108">
        <v>53</v>
      </c>
      <c r="AM28" s="166"/>
      <c r="AN28" s="166"/>
      <c r="AO28" s="109"/>
      <c r="AP28" s="108"/>
      <c r="AQ28" s="166"/>
      <c r="AR28" s="166"/>
      <c r="AS28" s="109"/>
      <c r="AT28" s="99"/>
      <c r="AU28" s="167"/>
      <c r="AV28" s="84"/>
      <c r="AW28" s="84"/>
      <c r="AX28" s="168"/>
      <c r="AY28" s="169">
        <v>46.1</v>
      </c>
      <c r="AZ28" s="170">
        <v>62.7</v>
      </c>
      <c r="BA28" s="169">
        <v>107.9</v>
      </c>
      <c r="BB28" s="169">
        <v>171.8</v>
      </c>
      <c r="BC28" s="106">
        <v>205</v>
      </c>
      <c r="BD28" s="106">
        <v>245</v>
      </c>
      <c r="BE28" s="106"/>
    </row>
    <row r="29" spans="1:62" s="89" customFormat="1" ht="12" customHeight="1">
      <c r="A29" s="171" t="s">
        <v>89</v>
      </c>
      <c r="B29" s="172"/>
      <c r="C29" s="83"/>
      <c r="D29" s="83"/>
      <c r="E29" s="84"/>
      <c r="F29" s="83"/>
      <c r="G29" s="83"/>
      <c r="H29" s="83"/>
      <c r="I29" s="83"/>
      <c r="J29" s="172"/>
      <c r="K29" s="83"/>
      <c r="L29" s="83"/>
      <c r="M29" s="84"/>
      <c r="N29" s="105">
        <f t="shared" ref="N29:P29" si="37">AVERAGE(N28,N30)</f>
        <v>-17.5</v>
      </c>
      <c r="O29" s="107">
        <f t="shared" si="37"/>
        <v>-4.5</v>
      </c>
      <c r="P29" s="105">
        <f t="shared" si="37"/>
        <v>3.5</v>
      </c>
      <c r="Q29" s="106">
        <f>AVERAGE(Q28,Q30)</f>
        <v>8.5</v>
      </c>
      <c r="R29" s="105">
        <f t="shared" ref="R29:T29" si="38">AVERAGE(R28,R30)</f>
        <v>8</v>
      </c>
      <c r="S29" s="107">
        <f t="shared" si="38"/>
        <v>7.5</v>
      </c>
      <c r="T29" s="105">
        <f t="shared" si="38"/>
        <v>7.5</v>
      </c>
      <c r="U29" s="105">
        <f>AVERAGE(U28,U30)</f>
        <v>7.5</v>
      </c>
      <c r="V29" s="170">
        <f t="shared" ref="V29:X29" si="39">AVERAGE(V28,V30)</f>
        <v>10.5</v>
      </c>
      <c r="W29" s="107">
        <f t="shared" si="39"/>
        <v>6.5</v>
      </c>
      <c r="X29" s="107">
        <f t="shared" si="39"/>
        <v>9.5</v>
      </c>
      <c r="Y29" s="105">
        <f>AVERAGE(Y28,Y30)</f>
        <v>15.5</v>
      </c>
      <c r="Z29" s="170">
        <f t="shared" ref="Z29:AB29" si="40">AVERAGE(Z28,Z30)</f>
        <v>9.5</v>
      </c>
      <c r="AA29" s="107">
        <f t="shared" si="40"/>
        <v>20.5</v>
      </c>
      <c r="AB29" s="107">
        <f t="shared" si="40"/>
        <v>26.5</v>
      </c>
      <c r="AC29" s="107">
        <f>AVERAGE(AC28,AC30)</f>
        <v>23.5</v>
      </c>
      <c r="AD29" s="170">
        <f t="shared" ref="AD29:AS29" si="41">IFERROR(AVERAGE(AD28,AD30),"")</f>
        <v>28</v>
      </c>
      <c r="AE29" s="107">
        <f t="shared" si="41"/>
        <v>35</v>
      </c>
      <c r="AF29" s="107">
        <f t="shared" si="41"/>
        <v>43</v>
      </c>
      <c r="AG29" s="107">
        <f t="shared" si="41"/>
        <v>48</v>
      </c>
      <c r="AH29" s="170">
        <f t="shared" si="41"/>
        <v>41</v>
      </c>
      <c r="AI29" s="107">
        <f t="shared" si="41"/>
        <v>44</v>
      </c>
      <c r="AJ29" s="107">
        <f t="shared" si="41"/>
        <v>53</v>
      </c>
      <c r="AK29" s="107">
        <f t="shared" si="41"/>
        <v>57.7</v>
      </c>
      <c r="AL29" s="170">
        <f t="shared" si="41"/>
        <v>54.5</v>
      </c>
      <c r="AM29" s="107" t="str">
        <f t="shared" si="41"/>
        <v/>
      </c>
      <c r="AN29" s="107" t="str">
        <f t="shared" si="41"/>
        <v/>
      </c>
      <c r="AO29" s="114" t="str">
        <f t="shared" si="41"/>
        <v/>
      </c>
      <c r="AP29" s="170" t="str">
        <f t="shared" si="41"/>
        <v/>
      </c>
      <c r="AQ29" s="107" t="str">
        <f t="shared" si="41"/>
        <v/>
      </c>
      <c r="AR29" s="107" t="str">
        <f t="shared" si="41"/>
        <v/>
      </c>
      <c r="AS29" s="114" t="str">
        <f t="shared" si="41"/>
        <v/>
      </c>
      <c r="AT29" s="99"/>
      <c r="AU29" s="173"/>
      <c r="AV29" s="84"/>
      <c r="AW29" s="84"/>
      <c r="AX29" s="174"/>
      <c r="AY29" s="175">
        <f>AVERAGE(AY28,AY30)</f>
        <v>46.6</v>
      </c>
      <c r="AZ29" s="176">
        <f t="shared" ref="AZ29" si="42">AVERAGE(AZ28,AZ30)</f>
        <v>63.2</v>
      </c>
      <c r="BA29" s="175">
        <f>AVERAGE(BA28,BA30)</f>
        <v>108.4</v>
      </c>
      <c r="BB29" s="175">
        <f t="shared" ref="BB29:BE29" si="43">IFERROR(AVERAGE(BB28,BB30),"")</f>
        <v>172.8</v>
      </c>
      <c r="BC29" s="106">
        <f t="shared" si="43"/>
        <v>210</v>
      </c>
      <c r="BD29" s="106">
        <f t="shared" si="43"/>
        <v>250</v>
      </c>
      <c r="BE29" s="106" t="str">
        <f t="shared" si="43"/>
        <v/>
      </c>
    </row>
    <row r="30" spans="1:62" s="89" customFormat="1" ht="12" customHeight="1" thickBot="1">
      <c r="A30" s="121" t="s">
        <v>90</v>
      </c>
      <c r="B30" s="91"/>
      <c r="C30" s="92"/>
      <c r="D30" s="92"/>
      <c r="E30" s="93"/>
      <c r="F30" s="92"/>
      <c r="G30" s="92"/>
      <c r="H30" s="92"/>
      <c r="I30" s="92"/>
      <c r="J30" s="91"/>
      <c r="K30" s="92"/>
      <c r="L30" s="92"/>
      <c r="M30" s="93"/>
      <c r="N30" s="123">
        <v>-17</v>
      </c>
      <c r="O30" s="125">
        <v>-3.5</v>
      </c>
      <c r="P30" s="123">
        <v>4</v>
      </c>
      <c r="Q30" s="124">
        <v>9</v>
      </c>
      <c r="R30" s="123">
        <v>9</v>
      </c>
      <c r="S30" s="125">
        <v>8</v>
      </c>
      <c r="T30" s="123">
        <v>8</v>
      </c>
      <c r="U30" s="123">
        <v>8</v>
      </c>
      <c r="V30" s="122">
        <v>11</v>
      </c>
      <c r="W30" s="123">
        <v>7</v>
      </c>
      <c r="X30" s="123">
        <v>10</v>
      </c>
      <c r="Y30" s="123">
        <v>16</v>
      </c>
      <c r="Z30" s="122">
        <v>10</v>
      </c>
      <c r="AA30" s="123">
        <v>21</v>
      </c>
      <c r="AB30" s="123">
        <v>27</v>
      </c>
      <c r="AC30" s="123">
        <v>24</v>
      </c>
      <c r="AD30" s="122">
        <v>29</v>
      </c>
      <c r="AE30" s="123">
        <v>36</v>
      </c>
      <c r="AF30" s="123">
        <v>44</v>
      </c>
      <c r="AG30" s="123">
        <v>49</v>
      </c>
      <c r="AH30" s="122">
        <v>42</v>
      </c>
      <c r="AI30" s="123">
        <v>45</v>
      </c>
      <c r="AJ30" s="123">
        <v>54</v>
      </c>
      <c r="AK30" s="123">
        <v>59.7</v>
      </c>
      <c r="AL30" s="122">
        <v>56</v>
      </c>
      <c r="AM30" s="123"/>
      <c r="AN30" s="123"/>
      <c r="AO30" s="124"/>
      <c r="AP30" s="122"/>
      <c r="AQ30" s="123"/>
      <c r="AR30" s="123"/>
      <c r="AS30" s="124"/>
      <c r="AT30" s="99"/>
      <c r="AU30" s="100"/>
      <c r="AV30" s="93"/>
      <c r="AW30" s="93"/>
      <c r="AX30" s="101"/>
      <c r="AY30" s="126">
        <v>47.1</v>
      </c>
      <c r="AZ30" s="122">
        <v>63.7</v>
      </c>
      <c r="BA30" s="126">
        <v>108.9</v>
      </c>
      <c r="BB30" s="126">
        <v>173.8</v>
      </c>
      <c r="BC30" s="124">
        <v>215</v>
      </c>
      <c r="BD30" s="124">
        <v>255</v>
      </c>
      <c r="BE30" s="124"/>
    </row>
    <row r="31" spans="1:62" s="161" customFormat="1" ht="12" hidden="1" customHeight="1" outlineLevel="1" collapsed="1" thickTop="1">
      <c r="A31" s="177" t="s">
        <v>102</v>
      </c>
      <c r="B31" s="178">
        <f>B25+'Cash Flow'!B8-'Income Statement'!B85</f>
        <v>-6.0840000000000014</v>
      </c>
      <c r="C31" s="179">
        <f>C25+'Cash Flow'!C8-'Income Statement'!C85</f>
        <v>-6.294999999999999</v>
      </c>
      <c r="D31" s="179">
        <f>D25+'Cash Flow'!D8-'Income Statement'!D85</f>
        <v>-7.9389999999999965</v>
      </c>
      <c r="E31" s="180">
        <f>E25+'Cash Flow'!E8-'Income Statement'!E85</f>
        <v>-7.989999999999994</v>
      </c>
      <c r="F31" s="181">
        <f>F25+'Cash Flow'!F8-'Income Statement'!F85</f>
        <v>-11.596000000000007</v>
      </c>
      <c r="G31" s="179">
        <f>G25+'Cash Flow'!G8-'Income Statement'!G85</f>
        <v>-11.881000000000002</v>
      </c>
      <c r="H31" s="179">
        <f>H25+'Cash Flow'!H8-'Income Statement'!H85</f>
        <v>-10.726999999999991</v>
      </c>
      <c r="I31" s="180">
        <f>I25+'Cash Flow'!I8-'Income Statement'!I85</f>
        <v>-9.3100000000000058</v>
      </c>
      <c r="J31" s="181">
        <f>J25+'Cash Flow'!J8-'Income Statement'!J85</f>
        <v>-11.743999999999989</v>
      </c>
      <c r="K31" s="179">
        <f>K25+'Cash Flow'!K8-'Income Statement'!K85</f>
        <v>-9.393999999999993</v>
      </c>
      <c r="L31" s="179">
        <f>L25+'Cash Flow'!L8-'Income Statement'!L85</f>
        <v>-6.3130000000000024</v>
      </c>
      <c r="M31" s="180">
        <f>M25+'Cash Flow'!M8-'Income Statement'!M85</f>
        <v>-9.0550000000000335</v>
      </c>
      <c r="N31" s="181">
        <f>N25+'Cash Flow'!N8-'Income Statement'!N85</f>
        <v>-5.6199999999999939</v>
      </c>
      <c r="O31" s="179">
        <f>O25+'Cash Flow'!O8-'Income Statement'!O85</f>
        <v>7.6909999999999874</v>
      </c>
      <c r="P31" s="182">
        <f>P25+'Cash Flow'!P8-'Income Statement'!P85</f>
        <v>14.547000000000001</v>
      </c>
      <c r="Q31" s="180">
        <f>Q25+'Cash Flow'!Q8-'Income Statement'!Q85</f>
        <v>17.49400000000001</v>
      </c>
      <c r="R31" s="183">
        <f>R25+'Cash Flow'!R8-'Income Statement'!R85</f>
        <v>16.123999999999999</v>
      </c>
      <c r="S31" s="184">
        <f>S25+'Cash Flow'!S8-'Income Statement'!S85</f>
        <v>14.121000000000006</v>
      </c>
      <c r="T31" s="184">
        <f>T25+'Cash Flow'!T8-'Income Statement'!T85</f>
        <v>16.279999999999973</v>
      </c>
      <c r="U31" s="180">
        <f>U25+'Cash Flow'!U8-'Income Statement'!U85</f>
        <v>14.182999999999995</v>
      </c>
      <c r="V31" s="179">
        <f>V25+'Cash Flow'!V8-'Income Statement'!V85</f>
        <v>14.92499999999999</v>
      </c>
      <c r="W31" s="179">
        <f>W25+'Cash Flow'!W8-'Income Statement'!W85</f>
        <v>14.651000000000003</v>
      </c>
      <c r="X31" s="179">
        <f>X25+'Cash Flow'!X8-'Income Statement'!X85</f>
        <v>25.776999999999987</v>
      </c>
      <c r="Y31" s="179">
        <f>Y25+'Cash Flow'!Y8-'Income Statement'!Y85</f>
        <v>23.13900000000001</v>
      </c>
      <c r="Z31" s="181">
        <f>Z25+'Cash Flow'!Z8-'Income Statement'!Z85</f>
        <v>21.426000000000023</v>
      </c>
      <c r="AA31" s="179">
        <f>AA25+'Cash Flow'!AA8-'Income Statement'!AA85</f>
        <v>33.404000000000003</v>
      </c>
      <c r="AB31" s="179">
        <f>AB25+'Cash Flow'!AB8-'Income Statement'!AB85</f>
        <v>39.795999999999985</v>
      </c>
      <c r="AC31" s="180">
        <f>AC25+'Cash Flow'!AC8-'Income Statement'!AC85</f>
        <v>39.61999999999999</v>
      </c>
      <c r="AD31" s="181">
        <f>AD25+'Cash Flow'!AT8-'Income Statement'!AD85</f>
        <v>32.338999999999984</v>
      </c>
      <c r="AE31" s="179">
        <f>AE25+'Cash Flow'!AU8-'Income Statement'!AE85</f>
        <v>42.716000000000022</v>
      </c>
      <c r="AF31" s="179">
        <f>AF25+'Cash Flow'!AV8-'Income Statement'!AF85</f>
        <v>46.152999999999992</v>
      </c>
      <c r="AG31" s="180">
        <f>AG25+'Cash Flow'!AW8-'Income Statement'!AG85</f>
        <v>61.216999999999992</v>
      </c>
      <c r="AH31" s="181">
        <f>AH25+'Cash Flow'!AX8-'Income Statement'!AH85</f>
        <v>53.445999999999991</v>
      </c>
      <c r="AI31" s="179">
        <f>AI25+'Cash Flow'!AY8-'Income Statement'!AI85</f>
        <v>57.329000000000029</v>
      </c>
      <c r="AJ31" s="179">
        <f>AJ25+'Cash Flow'!AZ8-'Income Statement'!AJ85</f>
        <v>74.324999999999989</v>
      </c>
      <c r="AK31" s="180">
        <f>AK25+'Cash Flow'!BA8-'Income Statement'!AK85</f>
        <v>84.01900000000002</v>
      </c>
      <c r="AL31" s="181">
        <f>AL25+'Cash Flow'!BB8-'Income Statement'!AL85</f>
        <v>80.551983671035842</v>
      </c>
      <c r="AM31" s="179">
        <f>AM25+'Cash Flow'!BC8-'Income Statement'!AM85</f>
        <v>90.892641246903992</v>
      </c>
      <c r="AN31" s="179">
        <f>AN25+'Cash Flow'!BD8-'Income Statement'!AN85</f>
        <v>106.76914190705909</v>
      </c>
      <c r="AO31" s="180">
        <f>AO25+'Cash Flow'!BF8-'Income Statement'!AO85</f>
        <v>65.895410244904085</v>
      </c>
      <c r="AP31" s="181">
        <f>AP25+'Cash Flow'!BF8-'Income Statement'!AP85</f>
        <v>52.563568302057476</v>
      </c>
      <c r="AQ31" s="179">
        <f>AQ25+'Cash Flow'!BG8-'Income Statement'!AQ85</f>
        <v>57.119610614066247</v>
      </c>
      <c r="AR31" s="179">
        <f>AR25+'Cash Flow'!BH8-'Income Statement'!AR85</f>
        <v>74.166226489506556</v>
      </c>
      <c r="AS31" s="180">
        <f>AS25+'Cash Flow'!BJ8-'Income Statement'!AS85</f>
        <v>88.608176452652856</v>
      </c>
      <c r="AT31" s="142"/>
      <c r="AU31" s="185">
        <f t="shared" ref="AU31" si="44">SUM(B31:E31)</f>
        <v>-28.307999999999993</v>
      </c>
      <c r="AV31" s="185">
        <f t="shared" ref="AV31" si="45">SUM(F31:I31)</f>
        <v>-43.51400000000001</v>
      </c>
      <c r="AW31" s="185">
        <f t="shared" ref="AW31" si="46">SUM(J31:M31)</f>
        <v>-36.506000000000022</v>
      </c>
      <c r="AX31" s="185">
        <f t="shared" ref="AX31" si="47">SUM(N31:Q31)</f>
        <v>34.112000000000009</v>
      </c>
      <c r="AY31" s="185">
        <f t="shared" ref="AY31" si="48">SUM(R31:U31)</f>
        <v>60.70799999999997</v>
      </c>
      <c r="AZ31" s="186">
        <f t="shared" ref="AZ31" si="49">SUM(V31:Y31)</f>
        <v>78.49199999999999</v>
      </c>
      <c r="BA31" s="185">
        <f t="shared" ref="BA31" si="50">SUM(Z31:AC31)</f>
        <v>134.24599999999998</v>
      </c>
      <c r="BB31" s="185">
        <f t="shared" ref="BB31" si="51">SUM(AD31:AG31)</f>
        <v>182.42499999999998</v>
      </c>
      <c r="BC31" s="185">
        <f>SUM(AH31:AK31)</f>
        <v>269.11900000000003</v>
      </c>
      <c r="BD31" s="185">
        <f>SUM(AL31:AO31)</f>
        <v>344.10917706990307</v>
      </c>
      <c r="BE31" s="185">
        <f>SUM(AP31:AS31)</f>
        <v>272.45758185828311</v>
      </c>
    </row>
    <row r="32" spans="1:62" s="197" customFormat="1" ht="12" customHeight="1" collapsed="1" thickTop="1">
      <c r="A32" s="187"/>
      <c r="B32" s="188"/>
      <c r="C32" s="184"/>
      <c r="D32" s="184"/>
      <c r="E32" s="129"/>
      <c r="F32" s="188"/>
      <c r="G32" s="184"/>
      <c r="H32" s="184"/>
      <c r="I32" s="129"/>
      <c r="J32" s="188"/>
      <c r="K32" s="184"/>
      <c r="L32" s="184"/>
      <c r="M32" s="129"/>
      <c r="N32" s="188"/>
      <c r="O32" s="184"/>
      <c r="P32" s="189"/>
      <c r="Q32" s="129"/>
      <c r="R32" s="190"/>
      <c r="S32" s="191"/>
      <c r="T32" s="184"/>
      <c r="U32" s="129"/>
      <c r="V32" s="184"/>
      <c r="W32" s="184"/>
      <c r="X32" s="184"/>
      <c r="Y32" s="192"/>
      <c r="Z32" s="188"/>
      <c r="AA32" s="184"/>
      <c r="AB32" s="184"/>
      <c r="AC32" s="129"/>
      <c r="AD32" s="188"/>
      <c r="AE32" s="184"/>
      <c r="AF32" s="184"/>
      <c r="AG32" s="129"/>
      <c r="AH32" s="188"/>
      <c r="AI32" s="184"/>
      <c r="AJ32" s="184"/>
      <c r="AK32" s="129"/>
      <c r="AL32" s="188"/>
      <c r="AM32" s="184"/>
      <c r="AN32" s="184"/>
      <c r="AO32" s="129"/>
      <c r="AP32" s="188"/>
      <c r="AQ32" s="184"/>
      <c r="AR32" s="184"/>
      <c r="AS32" s="129"/>
      <c r="AT32" s="193"/>
      <c r="AU32" s="194"/>
      <c r="AV32" s="194"/>
      <c r="AW32" s="195"/>
      <c r="AX32" s="194"/>
      <c r="AY32" s="194"/>
      <c r="AZ32" s="196"/>
      <c r="BA32" s="194"/>
      <c r="BB32" s="194"/>
      <c r="BC32" s="194"/>
      <c r="BD32" s="194"/>
      <c r="BE32" s="194"/>
    </row>
    <row r="33" spans="1:58" s="161" customFormat="1" ht="12" customHeight="1">
      <c r="A33" s="198" t="s">
        <v>103</v>
      </c>
      <c r="B33" s="199">
        <f>B123</f>
        <v>0</v>
      </c>
      <c r="C33" s="70">
        <f t="shared" ref="C33:AK35" si="52">C123</f>
        <v>0</v>
      </c>
      <c r="D33" s="70">
        <f t="shared" si="52"/>
        <v>0</v>
      </c>
      <c r="E33" s="71">
        <f t="shared" si="52"/>
        <v>0</v>
      </c>
      <c r="F33" s="199">
        <f t="shared" si="52"/>
        <v>-2.5999999999999999E-2</v>
      </c>
      <c r="G33" s="70">
        <f t="shared" si="52"/>
        <v>-2.3E-2</v>
      </c>
      <c r="H33" s="70">
        <f t="shared" si="52"/>
        <v>0.89400000000000002</v>
      </c>
      <c r="I33" s="71">
        <f t="shared" si="52"/>
        <v>1.5089999999999999</v>
      </c>
      <c r="J33" s="199">
        <f t="shared" si="52"/>
        <v>1.556</v>
      </c>
      <c r="K33" s="70">
        <f t="shared" si="52"/>
        <v>1.5940000000000001</v>
      </c>
      <c r="L33" s="70">
        <f t="shared" si="52"/>
        <v>1.5269999999999999</v>
      </c>
      <c r="M33" s="71">
        <f t="shared" si="52"/>
        <v>1.153</v>
      </c>
      <c r="N33" s="199">
        <f t="shared" si="52"/>
        <v>0.80200000000000005</v>
      </c>
      <c r="O33" s="70">
        <f t="shared" si="52"/>
        <v>0.44400000000000001</v>
      </c>
      <c r="P33" s="131">
        <f t="shared" si="52"/>
        <v>0.28100000000000003</v>
      </c>
      <c r="Q33" s="71">
        <f t="shared" si="52"/>
        <v>0.21299999999999999</v>
      </c>
      <c r="R33" s="200">
        <f t="shared" si="52"/>
        <v>0.107</v>
      </c>
      <c r="S33" s="131">
        <f t="shared" si="52"/>
        <v>0.10199999999999999</v>
      </c>
      <c r="T33" s="131">
        <f t="shared" si="52"/>
        <v>0.115</v>
      </c>
      <c r="U33" s="153">
        <f t="shared" si="52"/>
        <v>0.28199999999999997</v>
      </c>
      <c r="V33" s="131">
        <f t="shared" si="52"/>
        <v>0.25</v>
      </c>
      <c r="W33" s="131">
        <f t="shared" si="52"/>
        <v>0.69299999999999995</v>
      </c>
      <c r="X33" s="131">
        <f t="shared" si="52"/>
        <v>1.8029999999999999</v>
      </c>
      <c r="Y33" s="131">
        <f t="shared" si="52"/>
        <v>3.5379999999999998</v>
      </c>
      <c r="Z33" s="200">
        <f t="shared" si="52"/>
        <v>5.0949999999999998</v>
      </c>
      <c r="AA33" s="131">
        <f t="shared" si="52"/>
        <v>6.5659999999999998</v>
      </c>
      <c r="AB33" s="131">
        <f t="shared" si="52"/>
        <v>7.6619999999999999</v>
      </c>
      <c r="AC33" s="131">
        <f t="shared" si="52"/>
        <v>5.3769999999999998</v>
      </c>
      <c r="AD33" s="200">
        <f t="shared" si="52"/>
        <v>5.6239999999999997</v>
      </c>
      <c r="AE33" s="131">
        <f t="shared" si="52"/>
        <v>5.9740000000000002</v>
      </c>
      <c r="AF33" s="131">
        <f t="shared" si="52"/>
        <v>5.9889999999999999</v>
      </c>
      <c r="AG33" s="131">
        <f t="shared" si="52"/>
        <v>5.7380000000000004</v>
      </c>
      <c r="AH33" s="200">
        <f t="shared" si="52"/>
        <v>4.9269999999999996</v>
      </c>
      <c r="AI33" s="131">
        <f t="shared" si="52"/>
        <v>4.08</v>
      </c>
      <c r="AJ33" s="131">
        <f t="shared" si="52"/>
        <v>3.59</v>
      </c>
      <c r="AK33" s="201">
        <f t="shared" si="52"/>
        <v>3.395</v>
      </c>
      <c r="AL33" s="202">
        <f>AK33-0.5</f>
        <v>2.895</v>
      </c>
      <c r="AM33" s="203">
        <f>AL33-0.7</f>
        <v>2.1950000000000003</v>
      </c>
      <c r="AN33" s="203">
        <f t="shared" ref="AN33:AS33" si="53">AM33+0.3</f>
        <v>2.4950000000000001</v>
      </c>
      <c r="AO33" s="203">
        <f t="shared" si="53"/>
        <v>2.7949999999999999</v>
      </c>
      <c r="AP33" s="202">
        <f t="shared" si="53"/>
        <v>3.0949999999999998</v>
      </c>
      <c r="AQ33" s="203">
        <f t="shared" si="53"/>
        <v>3.3949999999999996</v>
      </c>
      <c r="AR33" s="203">
        <f t="shared" si="53"/>
        <v>3.6949999999999994</v>
      </c>
      <c r="AS33" s="203">
        <f t="shared" si="53"/>
        <v>3.9949999999999992</v>
      </c>
      <c r="AT33" s="204"/>
      <c r="AU33" s="205">
        <f t="shared" ref="AU33:AU39" si="54">SUM(B33:E33)</f>
        <v>0</v>
      </c>
      <c r="AV33" s="205">
        <f t="shared" ref="AV33:AV39" si="55">SUM(F33:I33)</f>
        <v>2.3540000000000001</v>
      </c>
      <c r="AW33" s="205">
        <f t="shared" ref="AW33:AW39" si="56">SUM(J33:M33)</f>
        <v>5.83</v>
      </c>
      <c r="AX33" s="205">
        <f t="shared" ref="AX33:AX39" si="57">SUM(N33:Q33)</f>
        <v>1.7400000000000002</v>
      </c>
      <c r="AY33" s="205">
        <f t="shared" ref="AY33:AY39" si="58">SUM(R33:U33)</f>
        <v>0.60599999999999998</v>
      </c>
      <c r="AZ33" s="199">
        <f t="shared" ref="AZ33:AZ39" si="59">SUM(V33:Y33)</f>
        <v>6.2839999999999998</v>
      </c>
      <c r="BA33" s="205">
        <f t="shared" ref="BA33:BA36" si="60">SUM(Z33:AC33)</f>
        <v>24.7</v>
      </c>
      <c r="BB33" s="205">
        <f t="shared" ref="BB33:BB37" si="61">SUM(AD33:AG33)</f>
        <v>23.324999999999999</v>
      </c>
      <c r="BC33" s="205">
        <f t="shared" ref="BC33:BC36" si="62">SUM(AH33:AK33)</f>
        <v>15.991999999999999</v>
      </c>
      <c r="BD33" s="205">
        <f t="shared" ref="BD33:BD37" si="63">SUM(AL33:AO33)</f>
        <v>10.379999999999999</v>
      </c>
      <c r="BE33" s="205">
        <f>SUM(AP33:AS33)</f>
        <v>14.179999999999998</v>
      </c>
    </row>
    <row r="34" spans="1:58" s="161" customFormat="1" ht="12" customHeight="1">
      <c r="A34" s="198" t="s">
        <v>104</v>
      </c>
      <c r="B34" s="206">
        <f t="shared" ref="B34:Q35" si="64">B124</f>
        <v>0</v>
      </c>
      <c r="C34" s="131">
        <f t="shared" si="64"/>
        <v>0</v>
      </c>
      <c r="D34" s="131">
        <f t="shared" si="64"/>
        <v>0</v>
      </c>
      <c r="E34" s="131">
        <f t="shared" si="52"/>
        <v>0</v>
      </c>
      <c r="F34" s="206">
        <f t="shared" si="52"/>
        <v>0</v>
      </c>
      <c r="G34" s="131">
        <f t="shared" si="52"/>
        <v>0</v>
      </c>
      <c r="H34" s="131">
        <f t="shared" si="52"/>
        <v>0</v>
      </c>
      <c r="I34" s="131">
        <f t="shared" si="52"/>
        <v>0</v>
      </c>
      <c r="J34" s="206">
        <f t="shared" si="52"/>
        <v>0</v>
      </c>
      <c r="K34" s="131">
        <f t="shared" si="52"/>
        <v>0</v>
      </c>
      <c r="L34" s="131">
        <f t="shared" si="52"/>
        <v>0</v>
      </c>
      <c r="M34" s="131">
        <f t="shared" si="52"/>
        <v>0</v>
      </c>
      <c r="N34" s="206">
        <f t="shared" si="52"/>
        <v>-6.8000000000000005E-2</v>
      </c>
      <c r="O34" s="131">
        <f t="shared" si="52"/>
        <v>1.0999999999999999E-2</v>
      </c>
      <c r="P34" s="131">
        <f t="shared" si="52"/>
        <v>-0.29299999999999998</v>
      </c>
      <c r="Q34" s="131">
        <f t="shared" si="52"/>
        <v>-0.14599999999999999</v>
      </c>
      <c r="R34" s="206">
        <f t="shared" si="52"/>
        <v>-0.13500000000000001</v>
      </c>
      <c r="S34" s="131">
        <f t="shared" si="52"/>
        <v>-0.14399999999999999</v>
      </c>
      <c r="T34" s="131">
        <f t="shared" si="52"/>
        <v>-3.5939999999999999</v>
      </c>
      <c r="U34" s="131">
        <f t="shared" si="52"/>
        <v>-3.629</v>
      </c>
      <c r="V34" s="206">
        <f t="shared" si="52"/>
        <v>-3.5760000000000001</v>
      </c>
      <c r="W34" s="131">
        <f t="shared" si="52"/>
        <v>-3.5880000000000001</v>
      </c>
      <c r="X34" s="131">
        <f t="shared" si="52"/>
        <v>-5.0819999999999999</v>
      </c>
      <c r="Y34" s="131">
        <f t="shared" si="52"/>
        <v>-6.7549999999999999</v>
      </c>
      <c r="Z34" s="200">
        <f t="shared" si="52"/>
        <v>-7.3390000000000004</v>
      </c>
      <c r="AA34" s="131">
        <f t="shared" si="52"/>
        <v>-7.75</v>
      </c>
      <c r="AB34" s="131">
        <f t="shared" si="52"/>
        <v>-8.1189999999999998</v>
      </c>
      <c r="AC34" s="131">
        <f t="shared" si="52"/>
        <v>-8.1310000000000002</v>
      </c>
      <c r="AD34" s="200">
        <f t="shared" si="52"/>
        <v>-8.1120000000000001</v>
      </c>
      <c r="AE34" s="131">
        <f t="shared" si="52"/>
        <v>-8.0730000000000004</v>
      </c>
      <c r="AF34" s="131">
        <f t="shared" si="52"/>
        <v>-8.1479999999999997</v>
      </c>
      <c r="AG34" s="131">
        <f t="shared" si="52"/>
        <v>-7.5869999999999997</v>
      </c>
      <c r="AH34" s="200">
        <f t="shared" si="52"/>
        <v>-7.0110000000000001</v>
      </c>
      <c r="AI34" s="131">
        <f t="shared" si="52"/>
        <v>-7.1390000000000002</v>
      </c>
      <c r="AJ34" s="131">
        <f t="shared" si="52"/>
        <v>-7.2130000000000001</v>
      </c>
      <c r="AK34" s="201">
        <f t="shared" si="52"/>
        <v>-7.056</v>
      </c>
      <c r="AL34" s="202">
        <f>AK34+0.7</f>
        <v>-6.3559999999999999</v>
      </c>
      <c r="AM34" s="203">
        <f t="shared" ref="AM34:AS34" si="65">AL34-0.025</f>
        <v>-6.3810000000000002</v>
      </c>
      <c r="AN34" s="203">
        <f t="shared" si="65"/>
        <v>-6.4060000000000006</v>
      </c>
      <c r="AO34" s="203">
        <f t="shared" si="65"/>
        <v>-6.4310000000000009</v>
      </c>
      <c r="AP34" s="202">
        <f t="shared" si="65"/>
        <v>-6.4560000000000013</v>
      </c>
      <c r="AQ34" s="203">
        <f t="shared" si="65"/>
        <v>-6.4810000000000016</v>
      </c>
      <c r="AR34" s="203">
        <f t="shared" si="65"/>
        <v>-6.506000000000002</v>
      </c>
      <c r="AS34" s="203">
        <f t="shared" si="65"/>
        <v>-6.5310000000000024</v>
      </c>
      <c r="AT34" s="204"/>
      <c r="AU34" s="205"/>
      <c r="AV34" s="205"/>
      <c r="AW34" s="205"/>
      <c r="AX34" s="205"/>
      <c r="AY34" s="205">
        <f t="shared" ref="AY34" si="66">SUM(R34:U34)</f>
        <v>-7.5019999999999998</v>
      </c>
      <c r="AZ34" s="199">
        <f t="shared" si="59"/>
        <v>-19.000999999999998</v>
      </c>
      <c r="BA34" s="205">
        <f t="shared" si="60"/>
        <v>-31.338999999999999</v>
      </c>
      <c r="BB34" s="205">
        <f t="shared" si="61"/>
        <v>-31.92</v>
      </c>
      <c r="BC34" s="205">
        <f t="shared" si="62"/>
        <v>-28.419</v>
      </c>
      <c r="BD34" s="205">
        <f t="shared" si="63"/>
        <v>-25.574000000000002</v>
      </c>
      <c r="BE34" s="205">
        <f>SUM(AP34:AS34)</f>
        <v>-25.974000000000007</v>
      </c>
    </row>
    <row r="35" spans="1:58" s="161" customFormat="1" ht="12" customHeight="1">
      <c r="A35" s="198" t="s">
        <v>105</v>
      </c>
      <c r="B35" s="199">
        <f>B125</f>
        <v>-2.9000000000000001E-2</v>
      </c>
      <c r="C35" s="70">
        <f t="shared" si="64"/>
        <v>5.6000000000000001E-2</v>
      </c>
      <c r="D35" s="70">
        <f t="shared" si="64"/>
        <v>-9.1999999999999998E-2</v>
      </c>
      <c r="E35" s="71">
        <f t="shared" si="64"/>
        <v>-2.5999999999999999E-2</v>
      </c>
      <c r="F35" s="199">
        <f t="shared" si="64"/>
        <v>1.7999999999999999E-2</v>
      </c>
      <c r="G35" s="70">
        <f t="shared" si="64"/>
        <v>-0.438</v>
      </c>
      <c r="H35" s="70">
        <f t="shared" si="64"/>
        <v>-0.185</v>
      </c>
      <c r="I35" s="71">
        <f t="shared" si="64"/>
        <v>-0.32500000000000001</v>
      </c>
      <c r="J35" s="199">
        <f t="shared" si="64"/>
        <v>-0.214</v>
      </c>
      <c r="K35" s="70">
        <f t="shared" si="64"/>
        <v>-0.122</v>
      </c>
      <c r="L35" s="70">
        <f t="shared" si="64"/>
        <v>-0.24</v>
      </c>
      <c r="M35" s="71">
        <f t="shared" si="64"/>
        <v>-0.104</v>
      </c>
      <c r="N35" s="199">
        <f t="shared" si="64"/>
        <v>-0.96</v>
      </c>
      <c r="O35" s="70">
        <f t="shared" si="64"/>
        <v>-0.29799999999999999</v>
      </c>
      <c r="P35" s="131">
        <f t="shared" si="64"/>
        <v>-0.56100000000000005</v>
      </c>
      <c r="Q35" s="71">
        <f t="shared" si="64"/>
        <v>-6.6000000000000003E-2</v>
      </c>
      <c r="R35" s="200">
        <f t="shared" si="52"/>
        <v>-6.6000000000000003E-2</v>
      </c>
      <c r="S35" s="131">
        <f t="shared" si="52"/>
        <v>-0.47099999999999997</v>
      </c>
      <c r="T35" s="131">
        <f t="shared" si="52"/>
        <v>-0.82299999999999995</v>
      </c>
      <c r="U35" s="153">
        <f t="shared" si="52"/>
        <v>-0.60499999999999998</v>
      </c>
      <c r="V35" s="131">
        <f t="shared" si="52"/>
        <v>-0.94399999999999995</v>
      </c>
      <c r="W35" s="131">
        <f t="shared" si="52"/>
        <v>-1.863</v>
      </c>
      <c r="X35" s="131">
        <f t="shared" si="52"/>
        <v>-2.073</v>
      </c>
      <c r="Y35" s="131">
        <f t="shared" si="52"/>
        <v>0.123</v>
      </c>
      <c r="Z35" s="200">
        <f t="shared" si="52"/>
        <v>-0.54700000000000004</v>
      </c>
      <c r="AA35" s="131">
        <f t="shared" si="52"/>
        <v>-0.94399999999999995</v>
      </c>
      <c r="AB35" s="131">
        <f t="shared" si="52"/>
        <v>-6.5019999999999998</v>
      </c>
      <c r="AC35" s="131">
        <f t="shared" si="52"/>
        <v>-0.60899999999999999</v>
      </c>
      <c r="AD35" s="200">
        <f t="shared" si="52"/>
        <v>-1.31</v>
      </c>
      <c r="AE35" s="131">
        <f t="shared" si="52"/>
        <v>9.2999999999999999E-2</v>
      </c>
      <c r="AF35" s="131">
        <f t="shared" si="52"/>
        <v>0.35899999999999999</v>
      </c>
      <c r="AG35" s="131">
        <f t="shared" si="52"/>
        <v>-2.577</v>
      </c>
      <c r="AH35" s="200">
        <f t="shared" si="52"/>
        <v>0.47399999999999998</v>
      </c>
      <c r="AI35" s="131">
        <f t="shared" si="52"/>
        <v>2.5000000000000001E-2</v>
      </c>
      <c r="AJ35" s="131">
        <f t="shared" si="52"/>
        <v>-0.70299999999999996</v>
      </c>
      <c r="AK35" s="201">
        <f t="shared" si="52"/>
        <v>-1.1339999999999999</v>
      </c>
      <c r="AL35" s="202">
        <f>AK35</f>
        <v>-1.1339999999999999</v>
      </c>
      <c r="AM35" s="203">
        <f t="shared" ref="AM35:AO35" si="67">AL35</f>
        <v>-1.1339999999999999</v>
      </c>
      <c r="AN35" s="203">
        <f t="shared" si="67"/>
        <v>-1.1339999999999999</v>
      </c>
      <c r="AO35" s="203">
        <f t="shared" si="67"/>
        <v>-1.1339999999999999</v>
      </c>
      <c r="AP35" s="202">
        <f>AO35</f>
        <v>-1.1339999999999999</v>
      </c>
      <c r="AQ35" s="203">
        <f t="shared" ref="AQ35:AS35" si="68">AP35</f>
        <v>-1.1339999999999999</v>
      </c>
      <c r="AR35" s="203">
        <f t="shared" si="68"/>
        <v>-1.1339999999999999</v>
      </c>
      <c r="AS35" s="203">
        <f t="shared" si="68"/>
        <v>-1.1339999999999999</v>
      </c>
      <c r="AT35" s="204"/>
      <c r="AU35" s="205">
        <f t="shared" si="54"/>
        <v>-9.0999999999999998E-2</v>
      </c>
      <c r="AV35" s="205">
        <f t="shared" si="55"/>
        <v>-0.92999999999999994</v>
      </c>
      <c r="AW35" s="205">
        <f t="shared" si="56"/>
        <v>-0.67999999999999994</v>
      </c>
      <c r="AX35" s="205">
        <f t="shared" si="57"/>
        <v>-1.885</v>
      </c>
      <c r="AY35" s="205">
        <f t="shared" si="58"/>
        <v>-1.9649999999999999</v>
      </c>
      <c r="AZ35" s="199">
        <f t="shared" si="59"/>
        <v>-4.7569999999999997</v>
      </c>
      <c r="BA35" s="205">
        <f>SUM(Z35:AC35)</f>
        <v>-8.6020000000000003</v>
      </c>
      <c r="BB35" s="205">
        <f t="shared" si="61"/>
        <v>-3.4350000000000001</v>
      </c>
      <c r="BC35" s="205">
        <f t="shared" si="62"/>
        <v>-1.3379999999999999</v>
      </c>
      <c r="BD35" s="205">
        <f t="shared" si="63"/>
        <v>-4.5359999999999996</v>
      </c>
      <c r="BE35" s="205">
        <f>SUM(AP35:AS35)</f>
        <v>-4.5359999999999996</v>
      </c>
    </row>
    <row r="36" spans="1:58" s="215" customFormat="1" ht="12" customHeight="1">
      <c r="A36" s="207" t="s">
        <v>106</v>
      </c>
      <c r="B36" s="186">
        <f t="shared" ref="B36:AI36" si="69">B25+SUM(B33:B35)</f>
        <v>-6.9980000000000011</v>
      </c>
      <c r="C36" s="75">
        <f t="shared" si="69"/>
        <v>-7.1729999999999992</v>
      </c>
      <c r="D36" s="75">
        <f t="shared" si="69"/>
        <v>-9.0749999999999975</v>
      </c>
      <c r="E36" s="76">
        <f t="shared" si="69"/>
        <v>-9.2419999999999938</v>
      </c>
      <c r="F36" s="186">
        <f t="shared" si="69"/>
        <v>-12.907000000000007</v>
      </c>
      <c r="G36" s="75">
        <f t="shared" si="69"/>
        <v>-13.731000000000003</v>
      </c>
      <c r="H36" s="75">
        <f t="shared" si="69"/>
        <v>-11.452999999999992</v>
      </c>
      <c r="I36" s="76">
        <f t="shared" si="69"/>
        <v>-9.5880000000000063</v>
      </c>
      <c r="J36" s="186">
        <f t="shared" si="69"/>
        <v>-11.872999999999989</v>
      </c>
      <c r="K36" s="75">
        <f t="shared" si="69"/>
        <v>-9.2379999999999942</v>
      </c>
      <c r="L36" s="75">
        <f t="shared" si="69"/>
        <v>-6.416000000000003</v>
      </c>
      <c r="M36" s="76">
        <f t="shared" si="69"/>
        <v>-10.089000000000034</v>
      </c>
      <c r="N36" s="186">
        <f t="shared" si="69"/>
        <v>-7.9449999999999941</v>
      </c>
      <c r="O36" s="75">
        <f t="shared" si="69"/>
        <v>5.8359999999999879</v>
      </c>
      <c r="P36" s="75">
        <f t="shared" si="69"/>
        <v>11.841000000000001</v>
      </c>
      <c r="Q36" s="76">
        <f t="shared" si="69"/>
        <v>15.420000000000011</v>
      </c>
      <c r="R36" s="208">
        <f t="shared" si="69"/>
        <v>13.793000000000001</v>
      </c>
      <c r="S36" s="77">
        <f t="shared" si="69"/>
        <v>11.021000000000006</v>
      </c>
      <c r="T36" s="209">
        <f t="shared" si="69"/>
        <v>9.3829999999999742</v>
      </c>
      <c r="U36" s="210">
        <f t="shared" si="69"/>
        <v>7.9269999999999907</v>
      </c>
      <c r="V36" s="211">
        <f t="shared" si="69"/>
        <v>8.1859999999999893</v>
      </c>
      <c r="W36" s="211">
        <f t="shared" si="69"/>
        <v>7.4330000000000025</v>
      </c>
      <c r="X36" s="211">
        <f t="shared" si="69"/>
        <v>17.734999999999989</v>
      </c>
      <c r="Y36" s="211">
        <f t="shared" si="69"/>
        <v>16.842000000000006</v>
      </c>
      <c r="Z36" s="212">
        <f t="shared" si="69"/>
        <v>15.350000000000019</v>
      </c>
      <c r="AA36" s="211">
        <f t="shared" si="69"/>
        <v>28.090000000000003</v>
      </c>
      <c r="AB36" s="211">
        <f t="shared" si="69"/>
        <v>29.615999999999989</v>
      </c>
      <c r="AC36" s="211">
        <f t="shared" si="69"/>
        <v>32.699999999999989</v>
      </c>
      <c r="AD36" s="212">
        <f t="shared" si="69"/>
        <v>33.20999999999998</v>
      </c>
      <c r="AE36" s="211">
        <f t="shared" si="69"/>
        <v>40.77800000000002</v>
      </c>
      <c r="AF36" s="211">
        <f t="shared" si="69"/>
        <v>43.174999999999997</v>
      </c>
      <c r="AG36" s="213">
        <f t="shared" si="69"/>
        <v>54.924999999999997</v>
      </c>
      <c r="AH36" s="212">
        <f t="shared" ref="AH36" si="70">AH25+SUM(AH33:AH35)</f>
        <v>47.066999999999993</v>
      </c>
      <c r="AI36" s="211">
        <f t="shared" si="69"/>
        <v>44.662000000000027</v>
      </c>
      <c r="AJ36" s="211">
        <f t="shared" ref="AJ36:AS36" si="71">AJ25+SUM(AJ33:AJ35)</f>
        <v>54.586999999999982</v>
      </c>
      <c r="AK36" s="214">
        <f t="shared" si="71"/>
        <v>58.89800000000001</v>
      </c>
      <c r="AL36" s="212">
        <f t="shared" si="71"/>
        <v>49.529983671035836</v>
      </c>
      <c r="AM36" s="211">
        <f t="shared" si="71"/>
        <v>50.39964124690399</v>
      </c>
      <c r="AN36" s="211">
        <f t="shared" si="71"/>
        <v>62.914781879032617</v>
      </c>
      <c r="AO36" s="213">
        <f t="shared" si="71"/>
        <v>67.907410244904085</v>
      </c>
      <c r="AP36" s="212">
        <f t="shared" si="71"/>
        <v>54.850568302057468</v>
      </c>
      <c r="AQ36" s="211">
        <f t="shared" si="71"/>
        <v>56.865610614066242</v>
      </c>
      <c r="AR36" s="211">
        <f t="shared" si="71"/>
        <v>70.196226489506543</v>
      </c>
      <c r="AS36" s="213">
        <f t="shared" si="71"/>
        <v>75.550176452652849</v>
      </c>
      <c r="AT36" s="210"/>
      <c r="AU36" s="185">
        <f t="shared" si="54"/>
        <v>-32.487999999999985</v>
      </c>
      <c r="AV36" s="185">
        <f t="shared" si="55"/>
        <v>-47.679000000000016</v>
      </c>
      <c r="AW36" s="185">
        <f t="shared" si="56"/>
        <v>-37.616000000000021</v>
      </c>
      <c r="AX36" s="185">
        <f t="shared" si="57"/>
        <v>25.152000000000008</v>
      </c>
      <c r="AY36" s="185">
        <f t="shared" si="58"/>
        <v>42.123999999999974</v>
      </c>
      <c r="AZ36" s="186">
        <f t="shared" si="59"/>
        <v>50.195999999999991</v>
      </c>
      <c r="BA36" s="185">
        <f t="shared" si="60"/>
        <v>105.756</v>
      </c>
      <c r="BB36" s="185">
        <f t="shared" si="61"/>
        <v>172.08799999999999</v>
      </c>
      <c r="BC36" s="185">
        <f t="shared" si="62"/>
        <v>205.214</v>
      </c>
      <c r="BD36" s="185">
        <f t="shared" si="63"/>
        <v>230.75181704187656</v>
      </c>
      <c r="BE36" s="185">
        <f>SUM(AP36:AS36)</f>
        <v>257.4625818582831</v>
      </c>
    </row>
    <row r="37" spans="1:58" s="215" customFormat="1" ht="12" customHeight="1">
      <c r="A37" s="198" t="s">
        <v>107</v>
      </c>
      <c r="B37" s="200">
        <f t="shared" ref="B37:AK37" si="72">B128-B169-B170-B171</f>
        <v>6.0999999999999999E-2</v>
      </c>
      <c r="C37" s="131">
        <f t="shared" si="72"/>
        <v>5.3000000000000005E-2</v>
      </c>
      <c r="D37" s="131">
        <f t="shared" si="72"/>
        <v>7.1999999999999995E-2</v>
      </c>
      <c r="E37" s="131">
        <f t="shared" si="72"/>
        <v>3.9E-2</v>
      </c>
      <c r="F37" s="199">
        <f t="shared" si="72"/>
        <v>0.45400000000000001</v>
      </c>
      <c r="G37" s="70">
        <f t="shared" si="72"/>
        <v>0.26900000000000002</v>
      </c>
      <c r="H37" s="70">
        <f t="shared" si="72"/>
        <v>0.57199999999999995</v>
      </c>
      <c r="I37" s="70">
        <f t="shared" si="72"/>
        <v>1.2870000000000001</v>
      </c>
      <c r="J37" s="199">
        <f t="shared" si="72"/>
        <v>0.746</v>
      </c>
      <c r="K37" s="70">
        <f t="shared" si="72"/>
        <v>0.745</v>
      </c>
      <c r="L37" s="70">
        <f t="shared" si="72"/>
        <v>0.32699999999999996</v>
      </c>
      <c r="M37" s="71">
        <f t="shared" si="72"/>
        <v>1.0589999999999993</v>
      </c>
      <c r="N37" s="199">
        <f t="shared" si="72"/>
        <v>0.88100000000000001</v>
      </c>
      <c r="O37" s="70">
        <f t="shared" si="72"/>
        <v>1.115</v>
      </c>
      <c r="P37" s="131">
        <f t="shared" si="72"/>
        <v>1.323</v>
      </c>
      <c r="Q37" s="153">
        <f t="shared" si="72"/>
        <v>1.0389999999999999</v>
      </c>
      <c r="R37" s="200">
        <f t="shared" si="72"/>
        <v>-0.95199999999999974</v>
      </c>
      <c r="S37" s="131">
        <f t="shared" si="72"/>
        <v>0.86099999999999999</v>
      </c>
      <c r="T37" s="131">
        <f t="shared" si="72"/>
        <v>1.2869999999999999</v>
      </c>
      <c r="U37" s="153">
        <f t="shared" si="72"/>
        <v>1.9870000000000001</v>
      </c>
      <c r="V37" s="131">
        <f t="shared" si="72"/>
        <v>1.2210000000000001</v>
      </c>
      <c r="W37" s="131">
        <f t="shared" si="72"/>
        <v>1.4700000000000002</v>
      </c>
      <c r="X37" s="131">
        <f t="shared" si="72"/>
        <v>0.55200000000000005</v>
      </c>
      <c r="Y37" s="131">
        <f t="shared" si="72"/>
        <v>2.6379999999999999</v>
      </c>
      <c r="Z37" s="200">
        <f t="shared" si="72"/>
        <v>2.2869999999999995</v>
      </c>
      <c r="AA37" s="131">
        <f t="shared" si="72"/>
        <v>1.8239999999999998</v>
      </c>
      <c r="AB37" s="131">
        <f t="shared" si="72"/>
        <v>1.948</v>
      </c>
      <c r="AC37" s="131">
        <f t="shared" si="72"/>
        <v>2.5419999999999998</v>
      </c>
      <c r="AD37" s="200">
        <f t="shared" si="72"/>
        <v>2.77</v>
      </c>
      <c r="AE37" s="131">
        <f t="shared" si="72"/>
        <v>2.6160000000000005</v>
      </c>
      <c r="AF37" s="131">
        <f t="shared" si="72"/>
        <v>3.8520000000000003</v>
      </c>
      <c r="AG37" s="131">
        <f t="shared" si="72"/>
        <v>4.2609999999999992</v>
      </c>
      <c r="AH37" s="200">
        <f t="shared" si="72"/>
        <v>2.8169999999999997</v>
      </c>
      <c r="AI37" s="131">
        <f t="shared" si="72"/>
        <v>3.2250000000000001</v>
      </c>
      <c r="AJ37" s="131">
        <f t="shared" si="72"/>
        <v>3.1490000000000005</v>
      </c>
      <c r="AK37" s="201">
        <f t="shared" si="72"/>
        <v>1.5929999999999997</v>
      </c>
      <c r="AL37" s="202">
        <f t="shared" ref="AL37" si="73">AK37+0.075</f>
        <v>1.6679999999999997</v>
      </c>
      <c r="AM37" s="203">
        <f>AL37+2</f>
        <v>3.6679999999999997</v>
      </c>
      <c r="AN37" s="203">
        <f t="shared" ref="AN37:AS37" si="74">AM37+0.075</f>
        <v>3.7429999999999999</v>
      </c>
      <c r="AO37" s="203">
        <f t="shared" si="74"/>
        <v>3.8180000000000001</v>
      </c>
      <c r="AP37" s="202">
        <f t="shared" si="74"/>
        <v>3.8930000000000002</v>
      </c>
      <c r="AQ37" s="203">
        <f t="shared" si="74"/>
        <v>3.9680000000000004</v>
      </c>
      <c r="AR37" s="203">
        <f t="shared" si="74"/>
        <v>4.0430000000000001</v>
      </c>
      <c r="AS37" s="203">
        <f t="shared" si="74"/>
        <v>4.1180000000000003</v>
      </c>
      <c r="AT37" s="216"/>
      <c r="AU37" s="205">
        <f t="shared" si="54"/>
        <v>0.22500000000000001</v>
      </c>
      <c r="AV37" s="205">
        <f t="shared" si="55"/>
        <v>2.5819999999999999</v>
      </c>
      <c r="AW37" s="205">
        <f t="shared" si="56"/>
        <v>2.8769999999999993</v>
      </c>
      <c r="AX37" s="205">
        <f t="shared" si="57"/>
        <v>4.3579999999999997</v>
      </c>
      <c r="AY37" s="205">
        <f t="shared" si="58"/>
        <v>3.1830000000000003</v>
      </c>
      <c r="AZ37" s="199">
        <f t="shared" si="59"/>
        <v>5.8810000000000002</v>
      </c>
      <c r="BA37" s="205">
        <f>SUM(Z37:AC37)</f>
        <v>8.6009999999999991</v>
      </c>
      <c r="BB37" s="205">
        <f t="shared" si="61"/>
        <v>13.499000000000001</v>
      </c>
      <c r="BC37" s="205">
        <f>SUM(AH37:AK37)</f>
        <v>10.784000000000001</v>
      </c>
      <c r="BD37" s="205">
        <f t="shared" si="63"/>
        <v>12.896999999999998</v>
      </c>
      <c r="BE37" s="205">
        <f>SUM(AP37:AS37)</f>
        <v>16.021999999999998</v>
      </c>
    </row>
    <row r="38" spans="1:58" s="227" customFormat="1" ht="12" customHeight="1">
      <c r="A38" s="217" t="s">
        <v>108</v>
      </c>
      <c r="B38" s="218">
        <f t="shared" ref="B38:F38" si="75">+B37/B36</f>
        <v>-8.7167762217776491E-3</v>
      </c>
      <c r="C38" s="219">
        <f t="shared" si="75"/>
        <v>-7.3888191830475411E-3</v>
      </c>
      <c r="D38" s="219">
        <f t="shared" si="75"/>
        <v>-7.933884297520663E-3</v>
      </c>
      <c r="E38" s="220">
        <f t="shared" si="75"/>
        <v>-4.2198658299069493E-3</v>
      </c>
      <c r="F38" s="218">
        <f t="shared" si="75"/>
        <v>-3.5174711396916386E-2</v>
      </c>
      <c r="G38" s="219">
        <f>+G37/G36</f>
        <v>-1.9590707158983318E-2</v>
      </c>
      <c r="H38" s="219">
        <f>+H37/H36</f>
        <v>-4.9943246311010242E-2</v>
      </c>
      <c r="I38" s="220">
        <f>+I37/I36</f>
        <v>-0.13423028785982472</v>
      </c>
      <c r="J38" s="218">
        <f t="shared" ref="J38" si="76">+J37/J36</f>
        <v>-6.2831634801650868E-2</v>
      </c>
      <c r="K38" s="219">
        <f>+K37/K36</f>
        <v>-8.0645161290322634E-2</v>
      </c>
      <c r="L38" s="219">
        <f>+L37/L36</f>
        <v>-5.0966334164588498E-2</v>
      </c>
      <c r="M38" s="220">
        <f>+M37/M36</f>
        <v>-0.10496580434136145</v>
      </c>
      <c r="N38" s="218">
        <f t="shared" ref="N38" si="77">+N37/N36</f>
        <v>-0.11088735053492771</v>
      </c>
      <c r="O38" s="219">
        <f>+O37/O36</f>
        <v>0.19105551747772487</v>
      </c>
      <c r="P38" s="221">
        <f t="shared" ref="P38:S38" si="78">+P37/P36</f>
        <v>0.11173042817329616</v>
      </c>
      <c r="Q38" s="220">
        <f t="shared" si="78"/>
        <v>6.7380025940337179E-2</v>
      </c>
      <c r="R38" s="222">
        <f t="shared" si="78"/>
        <v>-6.9020517653882382E-2</v>
      </c>
      <c r="S38" s="221">
        <f t="shared" si="78"/>
        <v>7.81235822520642E-2</v>
      </c>
      <c r="T38" s="221">
        <f>+T37/T36</f>
        <v>0.13716295427901562</v>
      </c>
      <c r="U38" s="223">
        <f t="shared" ref="U38:AS38" si="79">+U37/U36</f>
        <v>0.25066229342752649</v>
      </c>
      <c r="V38" s="221">
        <f t="shared" si="79"/>
        <v>0.14915709748350864</v>
      </c>
      <c r="W38" s="221">
        <f t="shared" si="79"/>
        <v>0.19776671599623297</v>
      </c>
      <c r="X38" s="221">
        <f t="shared" si="79"/>
        <v>3.11248942768537E-2</v>
      </c>
      <c r="Y38" s="221">
        <f t="shared" si="79"/>
        <v>0.15663222895143089</v>
      </c>
      <c r="Z38" s="222">
        <f t="shared" si="79"/>
        <v>0.14899022801302911</v>
      </c>
      <c r="AA38" s="221">
        <f t="shared" si="79"/>
        <v>6.4934140263438939E-2</v>
      </c>
      <c r="AB38" s="221">
        <f t="shared" si="79"/>
        <v>6.5775256618044328E-2</v>
      </c>
      <c r="AC38" s="223">
        <f t="shared" si="79"/>
        <v>7.7737003058103993E-2</v>
      </c>
      <c r="AD38" s="222">
        <f t="shared" si="79"/>
        <v>8.3408611863896462E-2</v>
      </c>
      <c r="AE38" s="221">
        <f t="shared" si="79"/>
        <v>6.4152238952376262E-2</v>
      </c>
      <c r="AF38" s="221">
        <f t="shared" si="79"/>
        <v>8.9218297625940954E-2</v>
      </c>
      <c r="AG38" s="223">
        <f t="shared" si="79"/>
        <v>7.7578516158397809E-2</v>
      </c>
      <c r="AH38" s="222">
        <f t="shared" si="79"/>
        <v>5.9850850914653579E-2</v>
      </c>
      <c r="AI38" s="221">
        <f t="shared" si="79"/>
        <v>7.2209036765035109E-2</v>
      </c>
      <c r="AJ38" s="221">
        <f t="shared" si="79"/>
        <v>5.7687727847289677E-2</v>
      </c>
      <c r="AK38" s="224">
        <f t="shared" si="79"/>
        <v>2.7046758803354942E-2</v>
      </c>
      <c r="AL38" s="222">
        <f t="shared" si="79"/>
        <v>3.3676570763244838E-2</v>
      </c>
      <c r="AM38" s="221">
        <f t="shared" si="79"/>
        <v>7.2778295822201355E-2</v>
      </c>
      <c r="AN38" s="221">
        <f t="shared" si="79"/>
        <v>5.9493172958888001E-2</v>
      </c>
      <c r="AO38" s="223">
        <f t="shared" si="79"/>
        <v>5.6223613685614092E-2</v>
      </c>
      <c r="AP38" s="222">
        <f t="shared" si="79"/>
        <v>7.097465205030469E-2</v>
      </c>
      <c r="AQ38" s="221">
        <f t="shared" si="79"/>
        <v>6.977855257600063E-2</v>
      </c>
      <c r="AR38" s="221">
        <f t="shared" si="79"/>
        <v>5.7595688574575699E-2</v>
      </c>
      <c r="AS38" s="223">
        <f t="shared" si="79"/>
        <v>5.4506821735628153E-2</v>
      </c>
      <c r="AT38" s="225"/>
      <c r="AU38" s="223">
        <f>AU37/AU36</f>
        <v>-6.9256340802757973E-3</v>
      </c>
      <c r="AV38" s="223">
        <f t="shared" ref="AV38:BE38" si="80">AV37/AV36</f>
        <v>-5.4153820340191679E-2</v>
      </c>
      <c r="AW38" s="223">
        <f t="shared" si="80"/>
        <v>-7.6483411314334268E-2</v>
      </c>
      <c r="AX38" s="223">
        <f t="shared" si="80"/>
        <v>0.17326653944020348</v>
      </c>
      <c r="AY38" s="223">
        <f t="shared" si="80"/>
        <v>7.5562624632038791E-2</v>
      </c>
      <c r="AZ38" s="222">
        <f t="shared" si="80"/>
        <v>0.11716072993864056</v>
      </c>
      <c r="BA38" s="226">
        <f t="shared" si="80"/>
        <v>8.1328718937932587E-2</v>
      </c>
      <c r="BB38" s="226">
        <f t="shared" si="80"/>
        <v>7.8442424805913263E-2</v>
      </c>
      <c r="BC38" s="226">
        <f t="shared" si="80"/>
        <v>5.2550020953736107E-2</v>
      </c>
      <c r="BD38" s="226">
        <f t="shared" si="80"/>
        <v>5.5891217522501528E-2</v>
      </c>
      <c r="BE38" s="226">
        <f t="shared" si="80"/>
        <v>6.2230402120410248E-2</v>
      </c>
    </row>
    <row r="39" spans="1:58" s="215" customFormat="1" ht="12" customHeight="1">
      <c r="A39" s="228" t="s">
        <v>109</v>
      </c>
      <c r="B39" s="186">
        <f t="shared" ref="B39:S39" si="81">B36-B37</f>
        <v>-7.0590000000000011</v>
      </c>
      <c r="C39" s="75">
        <f t="shared" si="81"/>
        <v>-7.2259999999999991</v>
      </c>
      <c r="D39" s="75">
        <f t="shared" si="81"/>
        <v>-9.1469999999999967</v>
      </c>
      <c r="E39" s="76">
        <f t="shared" si="81"/>
        <v>-9.2809999999999935</v>
      </c>
      <c r="F39" s="186">
        <f t="shared" si="81"/>
        <v>-13.361000000000008</v>
      </c>
      <c r="G39" s="75">
        <f t="shared" si="81"/>
        <v>-14.000000000000004</v>
      </c>
      <c r="H39" s="77">
        <f t="shared" si="81"/>
        <v>-12.024999999999991</v>
      </c>
      <c r="I39" s="76">
        <f t="shared" si="81"/>
        <v>-10.875000000000007</v>
      </c>
      <c r="J39" s="208">
        <f t="shared" si="81"/>
        <v>-12.618999999999989</v>
      </c>
      <c r="K39" s="77">
        <f t="shared" si="81"/>
        <v>-9.9829999999999934</v>
      </c>
      <c r="L39" s="77">
        <f t="shared" si="81"/>
        <v>-6.743000000000003</v>
      </c>
      <c r="M39" s="160">
        <f t="shared" si="81"/>
        <v>-11.148000000000033</v>
      </c>
      <c r="N39" s="208">
        <f t="shared" si="81"/>
        <v>-8.8259999999999934</v>
      </c>
      <c r="O39" s="77">
        <f t="shared" si="81"/>
        <v>4.7209999999999877</v>
      </c>
      <c r="P39" s="77">
        <f t="shared" si="81"/>
        <v>10.518000000000001</v>
      </c>
      <c r="Q39" s="160">
        <f t="shared" si="81"/>
        <v>14.381000000000011</v>
      </c>
      <c r="R39" s="186">
        <f t="shared" si="81"/>
        <v>14.745000000000001</v>
      </c>
      <c r="S39" s="75">
        <f t="shared" si="81"/>
        <v>10.160000000000005</v>
      </c>
      <c r="T39" s="211">
        <f>T36-T37</f>
        <v>8.0959999999999752</v>
      </c>
      <c r="U39" s="213">
        <f t="shared" ref="U39" si="82">U36-U37</f>
        <v>5.9399999999999906</v>
      </c>
      <c r="V39" s="211">
        <f>V36-V37</f>
        <v>6.9649999999999892</v>
      </c>
      <c r="W39" s="75">
        <f t="shared" ref="W39:Y39" si="83">W36-W37</f>
        <v>5.9630000000000027</v>
      </c>
      <c r="X39" s="75">
        <f t="shared" si="83"/>
        <v>17.182999999999989</v>
      </c>
      <c r="Y39" s="211">
        <f t="shared" si="83"/>
        <v>14.204000000000006</v>
      </c>
      <c r="Z39" s="212">
        <f>Z36-Z37</f>
        <v>13.06300000000002</v>
      </c>
      <c r="AA39" s="211">
        <f t="shared" ref="AA39:AC39" si="84">AA36-AA37</f>
        <v>26.266000000000005</v>
      </c>
      <c r="AB39" s="211">
        <f t="shared" si="84"/>
        <v>27.667999999999989</v>
      </c>
      <c r="AC39" s="213">
        <f t="shared" si="84"/>
        <v>30.157999999999987</v>
      </c>
      <c r="AD39" s="212">
        <f>AD36-AD37</f>
        <v>30.43999999999998</v>
      </c>
      <c r="AE39" s="229">
        <f t="shared" ref="AE39:AG39" si="85">AE36-AE37</f>
        <v>38.16200000000002</v>
      </c>
      <c r="AF39" s="211">
        <f t="shared" si="85"/>
        <v>39.322999999999993</v>
      </c>
      <c r="AG39" s="213">
        <f t="shared" si="85"/>
        <v>50.664000000000001</v>
      </c>
      <c r="AH39" s="212">
        <f>AH36-AH37</f>
        <v>44.249999999999993</v>
      </c>
      <c r="AI39" s="211">
        <f t="shared" ref="AI39:AS39" si="86">AI36-AI37</f>
        <v>41.437000000000026</v>
      </c>
      <c r="AJ39" s="211">
        <f t="shared" si="86"/>
        <v>51.437999999999981</v>
      </c>
      <c r="AK39" s="214">
        <f t="shared" si="86"/>
        <v>57.305000000000014</v>
      </c>
      <c r="AL39" s="212">
        <f t="shared" si="86"/>
        <v>47.861983671035837</v>
      </c>
      <c r="AM39" s="211">
        <f t="shared" si="86"/>
        <v>46.73164124690399</v>
      </c>
      <c r="AN39" s="211">
        <f t="shared" si="86"/>
        <v>59.171781879032615</v>
      </c>
      <c r="AO39" s="213">
        <f t="shared" si="86"/>
        <v>64.089410244904087</v>
      </c>
      <c r="AP39" s="212">
        <f t="shared" si="86"/>
        <v>50.957568302057467</v>
      </c>
      <c r="AQ39" s="211">
        <f t="shared" si="86"/>
        <v>52.897610614066238</v>
      </c>
      <c r="AR39" s="211">
        <f t="shared" si="86"/>
        <v>66.153226489506537</v>
      </c>
      <c r="AS39" s="213">
        <f t="shared" si="86"/>
        <v>71.432176452652854</v>
      </c>
      <c r="AT39" s="230"/>
      <c r="AU39" s="185">
        <f t="shared" si="54"/>
        <v>-32.712999999999987</v>
      </c>
      <c r="AV39" s="185">
        <f t="shared" si="55"/>
        <v>-50.26100000000001</v>
      </c>
      <c r="AW39" s="185">
        <f t="shared" si="56"/>
        <v>-40.493000000000016</v>
      </c>
      <c r="AX39" s="185">
        <f t="shared" si="57"/>
        <v>20.794000000000004</v>
      </c>
      <c r="AY39" s="185">
        <f t="shared" si="58"/>
        <v>38.940999999999974</v>
      </c>
      <c r="AZ39" s="186">
        <f t="shared" si="59"/>
        <v>44.314999999999991</v>
      </c>
      <c r="BA39" s="185">
        <f>SUM(Z39:AC39)</f>
        <v>97.155000000000001</v>
      </c>
      <c r="BB39" s="185">
        <f t="shared" ref="BB39" si="87">SUM(AD39:AG39)</f>
        <v>158.589</v>
      </c>
      <c r="BC39" s="185">
        <f>SUM(AH39:AK39)</f>
        <v>194.43</v>
      </c>
      <c r="BD39" s="185">
        <f>SUM(AL39:AO39)</f>
        <v>217.85481704187652</v>
      </c>
      <c r="BE39" s="185">
        <f>SUM(AP39:AS39)</f>
        <v>241.44058185828311</v>
      </c>
    </row>
    <row r="40" spans="1:58" s="215" customFormat="1" ht="12" hidden="1" customHeight="1" outlineLevel="1">
      <c r="A40" s="231" t="s">
        <v>110</v>
      </c>
      <c r="B40" s="232" t="str">
        <f>'[2]VA Consensus'!C31</f>
        <v>-</v>
      </c>
      <c r="C40" s="232" t="str">
        <f>'[2]VA Consensus'!D31</f>
        <v>-</v>
      </c>
      <c r="D40" s="232" t="str">
        <f>'[2]VA Consensus'!E31</f>
        <v>-</v>
      </c>
      <c r="E40" s="232" t="str">
        <f>'[2]VA Consensus'!F31</f>
        <v>-</v>
      </c>
      <c r="F40" s="233" t="str">
        <f>'[2]VA Consensus'!G31</f>
        <v>-</v>
      </c>
      <c r="G40" s="145" t="str">
        <f>'[2]VA Consensus'!H31</f>
        <v>-</v>
      </c>
      <c r="H40" s="145">
        <f>'[2]VA Consensus'!I31</f>
        <v>-16.6191076089722</v>
      </c>
      <c r="I40" s="146">
        <f>'[2]VA Consensus'!J31</f>
        <v>-13.023465519630717</v>
      </c>
      <c r="J40" s="233">
        <f>'[2]VA Consensus'!K31</f>
        <v>-17.182053465747824</v>
      </c>
      <c r="K40" s="145">
        <f>'[2]VA Consensus'!L31</f>
        <v>-13.99552183841886</v>
      </c>
      <c r="L40" s="145">
        <f>'[2]VA Consensus'!M31</f>
        <v>-11.018871568422499</v>
      </c>
      <c r="M40" s="146">
        <f>'[2]VA Consensus'!N31</f>
        <v>-12.450756142801255</v>
      </c>
      <c r="N40" s="233">
        <f>'[2]VA Consensus'!O31</f>
        <v>-18.523531613955232</v>
      </c>
      <c r="O40" s="145">
        <f>'[2]VA Consensus'!P31</f>
        <v>-5.2269677156982786</v>
      </c>
      <c r="P40" s="145">
        <f>'[2]VA Consensus'!Q31</f>
        <v>2.7772311820426512</v>
      </c>
      <c r="Q40" s="146">
        <f>'[2]VA Consensus'!R31</f>
        <v>7.0732888138702634</v>
      </c>
      <c r="R40" s="233">
        <f>'[2]VA Consensus'!S31</f>
        <v>6.37520109841648</v>
      </c>
      <c r="S40" s="145">
        <f>'[2]VA Consensus'!T31</f>
        <v>5.5147642594799917</v>
      </c>
      <c r="T40" s="145">
        <f>'[2]VA Consensus'!U31</f>
        <v>2.5130656968931149</v>
      </c>
      <c r="U40" s="146">
        <f>'[2]VA Consensus'!V31</f>
        <v>2.6542441934754173</v>
      </c>
      <c r="V40" s="233">
        <f>'[2]VA Consensus'!W31</f>
        <v>5.5439541794734017</v>
      </c>
      <c r="W40" s="145">
        <f>'[2]VA Consensus'!X31</f>
        <v>1.5245378740100592</v>
      </c>
      <c r="X40" s="145">
        <f>'[2]VA Consensus'!Y31</f>
        <v>3.5568513299283349</v>
      </c>
      <c r="Y40" s="146">
        <f>'[2]VA Consensus'!Z31</f>
        <v>8.0618178736581676</v>
      </c>
      <c r="Z40" s="233">
        <f>'[2]VA Consensus'!AA31</f>
        <v>3.4740654313359038</v>
      </c>
      <c r="AA40" s="145">
        <f>'[2]VA Consensus'!AB31</f>
        <v>15.565687127889355</v>
      </c>
      <c r="AB40" s="145">
        <f>'[2]VA Consensus'!AC31</f>
        <v>22.490171203228595</v>
      </c>
      <c r="AC40" s="146">
        <f>'[2]VA Consensus'!AD31</f>
        <v>16.806054489486954</v>
      </c>
      <c r="AD40" s="233">
        <f>'[2]VA Consensus'!AE31</f>
        <v>21.374249915780517</v>
      </c>
      <c r="AE40" s="145">
        <f>'[2]VA Consensus'!AF31</f>
        <v>29.499517257681394</v>
      </c>
      <c r="AF40" s="145">
        <f>'[2]VA Consensus'!AG31</f>
        <v>36.453528718907087</v>
      </c>
      <c r="AG40" s="146">
        <f>'[2]VA Consensus'!AH31</f>
        <v>43.079956298015382</v>
      </c>
      <c r="AH40" s="233">
        <f>'[2]VA Consensus'!AI31</f>
        <v>35.369158242984597</v>
      </c>
      <c r="AI40" s="145">
        <f>'[2]VA Consensus'!AJ31</f>
        <v>37.282332926845186</v>
      </c>
      <c r="AJ40" s="145">
        <f>'[2]VA Consensus'!AK31</f>
        <v>45.342372814650076</v>
      </c>
      <c r="AK40" s="146">
        <f>'[2]VA Consensus'!AL31</f>
        <v>50.543081159242988</v>
      </c>
      <c r="AL40" s="233">
        <f>'[2]VA Consensus'!AM31</f>
        <v>48.497351513425812</v>
      </c>
      <c r="AM40" s="145">
        <f>'[2]VA Consensus'!AN31</f>
        <v>52.095499986167653</v>
      </c>
      <c r="AN40" s="145">
        <f>'[2]VA Consensus'!AO31</f>
        <v>58.129108142294655</v>
      </c>
      <c r="AO40" s="146">
        <f>'[2]VA Consensus'!AP31</f>
        <v>63.510457514235092</v>
      </c>
      <c r="AP40" s="233">
        <f>'[2]VA Consensus'!AQ31</f>
        <v>56.345370763383414</v>
      </c>
      <c r="AQ40" s="145">
        <f>'[2]VA Consensus'!AR31</f>
        <v>59.006314875766115</v>
      </c>
      <c r="AR40" s="145">
        <f>'[2]VA Consensus'!AS31</f>
        <v>64.176211407034927</v>
      </c>
      <c r="AS40" s="146">
        <f>'[2]VA Consensus'!AT31</f>
        <v>68.638046384353828</v>
      </c>
      <c r="AT40" s="85"/>
      <c r="AU40" s="174" t="str">
        <f>'[2]VA Consensus'!AV31</f>
        <v>-</v>
      </c>
      <c r="AV40" s="234">
        <f>'[2]VA Consensus'!AW31</f>
        <v>-52.415810591297387</v>
      </c>
      <c r="AW40" s="234">
        <f>'[2]VA Consensus'!AX31</f>
        <v>-41.748533920579042</v>
      </c>
      <c r="AX40" s="234">
        <f>'[2]VA Consensus'!AY31</f>
        <v>13.48762214720359</v>
      </c>
      <c r="AY40" s="174">
        <f>'[2]VA Consensus'!AZ31</f>
        <v>35.695242212352461</v>
      </c>
      <c r="AZ40" s="235">
        <f>'[2]VA Consensus'!BA31</f>
        <v>38.339587104427423</v>
      </c>
      <c r="BA40" s="174">
        <f>'[2]VA Consensus'!BB31</f>
        <v>83.813787822820302</v>
      </c>
      <c r="BB40" s="174">
        <f>'[2]VA Consensus'!BC31</f>
        <v>151.10782296468199</v>
      </c>
      <c r="BC40" s="174">
        <f>'[2]VA Consensus'!BD31</f>
        <v>187.46497099652288</v>
      </c>
      <c r="BD40" s="174">
        <f>'[2]VA Consensus'!BE31</f>
        <v>222.23241715612318</v>
      </c>
      <c r="BE40" s="174">
        <f>'[2]VA Consensus'!BF31</f>
        <v>248.16594343053822</v>
      </c>
    </row>
    <row r="41" spans="1:58" s="89" customFormat="1" ht="12" customHeight="1" collapsed="1" thickBot="1">
      <c r="A41" s="90" t="s">
        <v>111</v>
      </c>
      <c r="B41" s="91"/>
      <c r="C41" s="92"/>
      <c r="D41" s="92"/>
      <c r="E41" s="93"/>
      <c r="F41" s="92"/>
      <c r="G41" s="92"/>
      <c r="H41" s="92"/>
      <c r="I41" s="92"/>
      <c r="J41" s="91"/>
      <c r="K41" s="92"/>
      <c r="L41" s="92"/>
      <c r="M41" s="93"/>
      <c r="N41" s="91"/>
      <c r="O41" s="92"/>
      <c r="P41" s="92"/>
      <c r="Q41" s="93"/>
      <c r="R41" s="92"/>
      <c r="S41" s="94"/>
      <c r="T41" s="92"/>
      <c r="U41" s="92"/>
      <c r="V41" s="91"/>
      <c r="W41" s="92"/>
      <c r="X41" s="92"/>
      <c r="Y41" s="93"/>
      <c r="Z41" s="96"/>
      <c r="AA41" s="97"/>
      <c r="AB41" s="97"/>
      <c r="AC41" s="98"/>
      <c r="AD41" s="96"/>
      <c r="AE41" s="97"/>
      <c r="AF41" s="97"/>
      <c r="AG41" s="98"/>
      <c r="AH41" s="96"/>
      <c r="AI41" s="97"/>
      <c r="AJ41" s="97"/>
      <c r="AK41" s="98"/>
      <c r="AL41" s="96"/>
      <c r="AM41" s="97"/>
      <c r="AN41" s="97"/>
      <c r="AO41" s="98"/>
      <c r="AP41" s="96"/>
      <c r="AQ41" s="97"/>
      <c r="AR41" s="97"/>
      <c r="AS41" s="98"/>
      <c r="AT41" s="99"/>
      <c r="AU41" s="100"/>
      <c r="AV41" s="93"/>
      <c r="AW41" s="93"/>
      <c r="AX41" s="101"/>
      <c r="AY41" s="101"/>
      <c r="AZ41" s="91"/>
      <c r="BA41" s="101"/>
      <c r="BB41" s="101"/>
      <c r="BC41" s="93"/>
      <c r="BD41" s="93"/>
      <c r="BE41" s="93"/>
    </row>
    <row r="42" spans="1:58" s="89" customFormat="1" ht="12" customHeight="1" thickTop="1">
      <c r="A42" s="236" t="s">
        <v>88</v>
      </c>
      <c r="B42" s="235"/>
      <c r="C42" s="83"/>
      <c r="D42" s="83"/>
      <c r="E42" s="84"/>
      <c r="F42" s="83"/>
      <c r="G42" s="83"/>
      <c r="H42" s="83"/>
      <c r="I42" s="83"/>
      <c r="J42" s="235"/>
      <c r="K42" s="83"/>
      <c r="L42" s="83"/>
      <c r="M42" s="84"/>
      <c r="N42" s="105">
        <v>-19</v>
      </c>
      <c r="O42" s="107">
        <v>-6</v>
      </c>
      <c r="P42" s="105">
        <v>2</v>
      </c>
      <c r="Q42" s="109">
        <v>6</v>
      </c>
      <c r="R42" s="105">
        <v>5</v>
      </c>
      <c r="S42" s="107">
        <v>5</v>
      </c>
      <c r="T42" s="105">
        <v>1</v>
      </c>
      <c r="U42" s="105">
        <v>2</v>
      </c>
      <c r="V42" s="108">
        <v>5.2</v>
      </c>
      <c r="W42" s="105">
        <v>1</v>
      </c>
      <c r="X42" s="105">
        <v>3.2</v>
      </c>
      <c r="Y42" s="105">
        <v>7.5</v>
      </c>
      <c r="Z42" s="108">
        <v>3</v>
      </c>
      <c r="AA42" s="105">
        <v>15</v>
      </c>
      <c r="AB42" s="105">
        <v>22</v>
      </c>
      <c r="AC42" s="105">
        <v>16</v>
      </c>
      <c r="AD42" s="108">
        <v>20</v>
      </c>
      <c r="AE42" s="105">
        <v>28</v>
      </c>
      <c r="AF42" s="105">
        <v>35</v>
      </c>
      <c r="AG42" s="105">
        <v>42</v>
      </c>
      <c r="AH42" s="108">
        <v>32</v>
      </c>
      <c r="AI42" s="105">
        <v>36</v>
      </c>
      <c r="AJ42" s="105">
        <v>44</v>
      </c>
      <c r="AK42" s="105">
        <v>47.9</v>
      </c>
      <c r="AL42" s="108">
        <v>46</v>
      </c>
      <c r="AM42" s="166"/>
      <c r="AN42" s="166"/>
      <c r="AO42" s="109"/>
      <c r="AP42" s="108"/>
      <c r="AQ42" s="166"/>
      <c r="AR42" s="166"/>
      <c r="AS42" s="109"/>
      <c r="AT42" s="99"/>
      <c r="AU42" s="237"/>
      <c r="AV42" s="84"/>
      <c r="AW42" s="84"/>
      <c r="AX42" s="238"/>
      <c r="AY42" s="239">
        <v>35</v>
      </c>
      <c r="AZ42" s="240">
        <v>37.6</v>
      </c>
      <c r="BA42" s="239">
        <v>83</v>
      </c>
      <c r="BB42" s="239">
        <v>149.9</v>
      </c>
      <c r="BC42" s="106">
        <v>185</v>
      </c>
      <c r="BD42" s="106">
        <v>214</v>
      </c>
      <c r="BE42" s="106"/>
    </row>
    <row r="43" spans="1:58" s="89" customFormat="1" ht="12" customHeight="1">
      <c r="A43" s="241" t="s">
        <v>89</v>
      </c>
      <c r="B43" s="242"/>
      <c r="C43" s="83"/>
      <c r="D43" s="83"/>
      <c r="E43" s="84"/>
      <c r="F43" s="83"/>
      <c r="G43" s="83"/>
      <c r="H43" s="83"/>
      <c r="I43" s="83"/>
      <c r="J43" s="242"/>
      <c r="K43" s="83"/>
      <c r="L43" s="83"/>
      <c r="M43" s="84"/>
      <c r="N43" s="105">
        <f t="shared" ref="N43:P43" si="88">AVERAGE(N42,N44)</f>
        <v>-18.5</v>
      </c>
      <c r="O43" s="107">
        <f t="shared" si="88"/>
        <v>-5</v>
      </c>
      <c r="P43" s="105">
        <f t="shared" si="88"/>
        <v>2.5</v>
      </c>
      <c r="Q43" s="106">
        <f>AVERAGE(Q42,Q44)</f>
        <v>6.5</v>
      </c>
      <c r="R43" s="105">
        <f t="shared" ref="R43:T43" si="89">AVERAGE(R42,R44)</f>
        <v>6</v>
      </c>
      <c r="S43" s="107">
        <f t="shared" si="89"/>
        <v>5.5</v>
      </c>
      <c r="T43" s="105">
        <f t="shared" si="89"/>
        <v>2</v>
      </c>
      <c r="U43" s="105">
        <f>AVERAGE(U42,U44)</f>
        <v>2.5</v>
      </c>
      <c r="V43" s="240">
        <f t="shared" ref="V43:X43" si="90">AVERAGE(V42,V44)</f>
        <v>5.7</v>
      </c>
      <c r="W43" s="105">
        <f t="shared" si="90"/>
        <v>1.5</v>
      </c>
      <c r="X43" s="105">
        <f t="shared" si="90"/>
        <v>3.7</v>
      </c>
      <c r="Y43" s="105">
        <f>AVERAGE(Y42,Y44)</f>
        <v>8</v>
      </c>
      <c r="Z43" s="240">
        <f t="shared" ref="Z43:AA43" si="91">AVERAGE(Z42,Z44)</f>
        <v>3.5</v>
      </c>
      <c r="AA43" s="105">
        <f t="shared" si="91"/>
        <v>15.5</v>
      </c>
      <c r="AB43" s="105">
        <f>AVERAGE(AB42,AB44)</f>
        <v>22.5</v>
      </c>
      <c r="AC43" s="105">
        <f>AVERAGE(AC42,AC44)</f>
        <v>16.5</v>
      </c>
      <c r="AD43" s="240">
        <f t="shared" ref="AD43:AE43" si="92">IFERROR(AVERAGE(AD42,AD44),"")</f>
        <v>21</v>
      </c>
      <c r="AE43" s="105">
        <f t="shared" si="92"/>
        <v>29</v>
      </c>
      <c r="AF43" s="105">
        <f>IFERROR(AVERAGE(AF42,AF44),"")</f>
        <v>36</v>
      </c>
      <c r="AG43" s="105">
        <f>IFERROR(AVERAGE(AG42,AG44),"")</f>
        <v>43</v>
      </c>
      <c r="AH43" s="240">
        <f t="shared" ref="AH43:AI43" si="93">IFERROR(AVERAGE(AH42,AH44),"")</f>
        <v>33</v>
      </c>
      <c r="AI43" s="105">
        <f t="shared" si="93"/>
        <v>37</v>
      </c>
      <c r="AJ43" s="105">
        <f>IFERROR(AVERAGE(AJ42,AJ44),"")</f>
        <v>45</v>
      </c>
      <c r="AK43" s="105">
        <f>IFERROR(AVERAGE(AK42,AK44),"")</f>
        <v>49.9</v>
      </c>
      <c r="AL43" s="240">
        <f t="shared" ref="AL43:AS43" si="94">IFERROR(AVERAGE(AL42,AL44),"")</f>
        <v>47.5</v>
      </c>
      <c r="AM43" s="105" t="str">
        <f t="shared" si="94"/>
        <v/>
      </c>
      <c r="AN43" s="105" t="str">
        <f t="shared" si="94"/>
        <v/>
      </c>
      <c r="AO43" s="106" t="str">
        <f t="shared" si="94"/>
        <v/>
      </c>
      <c r="AP43" s="240" t="str">
        <f t="shared" si="94"/>
        <v/>
      </c>
      <c r="AQ43" s="105" t="str">
        <f t="shared" si="94"/>
        <v/>
      </c>
      <c r="AR43" s="105" t="str">
        <f t="shared" si="94"/>
        <v/>
      </c>
      <c r="AS43" s="106" t="str">
        <f t="shared" si="94"/>
        <v/>
      </c>
      <c r="AT43" s="99"/>
      <c r="AU43" s="243"/>
      <c r="AV43" s="84"/>
      <c r="AW43" s="84"/>
      <c r="AX43" s="244"/>
      <c r="AY43" s="245">
        <f>AVERAGE(AY42,AY44)</f>
        <v>35.5</v>
      </c>
      <c r="AZ43" s="246">
        <f t="shared" ref="AZ43:BA43" si="95">AVERAGE(AZ42,AZ44)</f>
        <v>38.1</v>
      </c>
      <c r="BA43" s="245">
        <f t="shared" si="95"/>
        <v>83.5</v>
      </c>
      <c r="BB43" s="245">
        <f t="shared" ref="BB43:BF43" si="96">IFERROR(AVERAGE(BB42,BB44),"")</f>
        <v>150.9</v>
      </c>
      <c r="BC43" s="106">
        <f t="shared" si="96"/>
        <v>187</v>
      </c>
      <c r="BD43" s="106">
        <f t="shared" si="96"/>
        <v>219</v>
      </c>
      <c r="BE43" s="106" t="str">
        <f t="shared" si="96"/>
        <v/>
      </c>
      <c r="BF43" s="89" t="str">
        <f t="shared" si="96"/>
        <v/>
      </c>
    </row>
    <row r="44" spans="1:58" s="89" customFormat="1" ht="12" customHeight="1" thickBot="1">
      <c r="A44" s="121" t="s">
        <v>90</v>
      </c>
      <c r="B44" s="91"/>
      <c r="C44" s="92"/>
      <c r="D44" s="92"/>
      <c r="E44" s="93"/>
      <c r="F44" s="92"/>
      <c r="G44" s="92"/>
      <c r="H44" s="92"/>
      <c r="I44" s="92"/>
      <c r="J44" s="91"/>
      <c r="K44" s="92"/>
      <c r="L44" s="92"/>
      <c r="M44" s="93"/>
      <c r="N44" s="123">
        <v>-18</v>
      </c>
      <c r="O44" s="125">
        <v>-4</v>
      </c>
      <c r="P44" s="123">
        <v>3</v>
      </c>
      <c r="Q44" s="124">
        <v>7</v>
      </c>
      <c r="R44" s="123">
        <v>7</v>
      </c>
      <c r="S44" s="125">
        <v>6</v>
      </c>
      <c r="T44" s="123">
        <v>3</v>
      </c>
      <c r="U44" s="123">
        <v>3</v>
      </c>
      <c r="V44" s="122">
        <v>6.2</v>
      </c>
      <c r="W44" s="123">
        <v>2</v>
      </c>
      <c r="X44" s="123">
        <v>4.2</v>
      </c>
      <c r="Y44" s="123">
        <v>8.5</v>
      </c>
      <c r="Z44" s="122">
        <v>4</v>
      </c>
      <c r="AA44" s="123">
        <v>16</v>
      </c>
      <c r="AB44" s="123">
        <v>23</v>
      </c>
      <c r="AC44" s="123">
        <v>17</v>
      </c>
      <c r="AD44" s="122">
        <v>22</v>
      </c>
      <c r="AE44" s="123">
        <v>30</v>
      </c>
      <c r="AF44" s="123">
        <v>37</v>
      </c>
      <c r="AG44" s="123">
        <v>44</v>
      </c>
      <c r="AH44" s="122">
        <v>34</v>
      </c>
      <c r="AI44" s="123">
        <v>38</v>
      </c>
      <c r="AJ44" s="123">
        <v>46</v>
      </c>
      <c r="AK44" s="123">
        <v>51.9</v>
      </c>
      <c r="AL44" s="122">
        <v>49</v>
      </c>
      <c r="AM44" s="123"/>
      <c r="AN44" s="123"/>
      <c r="AO44" s="124"/>
      <c r="AP44" s="122"/>
      <c r="AQ44" s="123"/>
      <c r="AR44" s="123"/>
      <c r="AS44" s="124"/>
      <c r="AT44" s="99"/>
      <c r="AU44" s="100"/>
      <c r="AV44" s="93"/>
      <c r="AW44" s="93"/>
      <c r="AX44" s="101"/>
      <c r="AY44" s="126">
        <v>36</v>
      </c>
      <c r="AZ44" s="122">
        <v>38.6</v>
      </c>
      <c r="BA44" s="126">
        <v>84</v>
      </c>
      <c r="BB44" s="126">
        <v>151.9</v>
      </c>
      <c r="BC44" s="124">
        <v>189</v>
      </c>
      <c r="BD44" s="124">
        <v>224</v>
      </c>
      <c r="BE44" s="124"/>
    </row>
    <row r="45" spans="1:58" s="215" customFormat="1" ht="12" customHeight="1" thickTop="1">
      <c r="A45" s="247"/>
      <c r="B45" s="248"/>
      <c r="C45" s="249"/>
      <c r="D45" s="249"/>
      <c r="E45" s="250"/>
      <c r="F45" s="248"/>
      <c r="G45" s="249"/>
      <c r="H45" s="249"/>
      <c r="I45" s="250"/>
      <c r="J45" s="248"/>
      <c r="K45" s="249"/>
      <c r="L45" s="249"/>
      <c r="M45" s="250"/>
      <c r="N45" s="248"/>
      <c r="O45" s="249"/>
      <c r="P45" s="251"/>
      <c r="Q45" s="250"/>
      <c r="R45" s="248"/>
      <c r="S45" s="249"/>
      <c r="T45" s="249"/>
      <c r="U45" s="250"/>
      <c r="V45" s="249"/>
      <c r="W45" s="249"/>
      <c r="X45" s="249"/>
      <c r="Y45" s="249"/>
      <c r="Z45" s="248"/>
      <c r="AA45" s="249"/>
      <c r="AB45" s="249"/>
      <c r="AC45" s="250"/>
      <c r="AD45" s="248"/>
      <c r="AE45" s="249"/>
      <c r="AF45" s="249"/>
      <c r="AG45" s="250"/>
      <c r="AH45" s="248"/>
      <c r="AI45" s="249"/>
      <c r="AJ45" s="249"/>
      <c r="AK45" s="250"/>
      <c r="AL45" s="248"/>
      <c r="AM45" s="249"/>
      <c r="AN45" s="249"/>
      <c r="AO45" s="250"/>
      <c r="AP45" s="248"/>
      <c r="AQ45" s="249"/>
      <c r="AR45" s="249"/>
      <c r="AS45" s="250"/>
      <c r="AT45" s="230"/>
      <c r="AU45" s="252"/>
      <c r="AV45" s="252"/>
      <c r="AW45" s="253"/>
      <c r="AX45" s="252"/>
      <c r="AY45" s="252"/>
      <c r="AZ45" s="248"/>
      <c r="BA45" s="252"/>
      <c r="BB45" s="252"/>
      <c r="BC45" s="252"/>
      <c r="BD45" s="252"/>
      <c r="BE45" s="252"/>
    </row>
    <row r="46" spans="1:58" s="161" customFormat="1" ht="12" customHeight="1">
      <c r="A46" s="254" t="s">
        <v>112</v>
      </c>
      <c r="B46" s="255">
        <v>-0.33</v>
      </c>
      <c r="C46" s="256">
        <f t="shared" ref="C46:AS46" si="97">IF(C39&lt;0,C39/C52,C39/C53)</f>
        <v>-0.32756119673617407</v>
      </c>
      <c r="D46" s="256">
        <f t="shared" si="97"/>
        <v>-0.40332466158119834</v>
      </c>
      <c r="E46" s="257">
        <f t="shared" si="97"/>
        <v>-0.40657992727909897</v>
      </c>
      <c r="F46" s="255">
        <f t="shared" si="97"/>
        <v>-0.56867418599702091</v>
      </c>
      <c r="G46" s="256">
        <f t="shared" si="97"/>
        <v>-0.58947368421052648</v>
      </c>
      <c r="H46" s="256">
        <f t="shared" si="97"/>
        <v>-0.16192887249027069</v>
      </c>
      <c r="I46" s="257">
        <f t="shared" si="97"/>
        <v>-0.11796674151453033</v>
      </c>
      <c r="J46" s="255">
        <f t="shared" si="97"/>
        <v>-0.13461989801361229</v>
      </c>
      <c r="K46" s="256">
        <f t="shared" si="97"/>
        <v>-0.10418493007722808</v>
      </c>
      <c r="L46" s="256">
        <f t="shared" si="97"/>
        <v>-6.9724637831018857E-2</v>
      </c>
      <c r="M46" s="257">
        <f t="shared" si="97"/>
        <v>-0.11406003806093877</v>
      </c>
      <c r="N46" s="255">
        <f t="shared" si="97"/>
        <v>-8.9282282130392923E-2</v>
      </c>
      <c r="O46" s="256">
        <f t="shared" si="97"/>
        <v>4.3476659268604785E-2</v>
      </c>
      <c r="P46" s="258">
        <f t="shared" si="97"/>
        <v>9.4565921024239372E-2</v>
      </c>
      <c r="Q46" s="257">
        <f t="shared" si="97"/>
        <v>0.12761445013355113</v>
      </c>
      <c r="R46" s="255">
        <f t="shared" si="97"/>
        <v>0.12941703091263365</v>
      </c>
      <c r="S46" s="256">
        <f t="shared" si="97"/>
        <v>8.9225337888275177E-2</v>
      </c>
      <c r="T46" s="256">
        <f t="shared" si="97"/>
        <v>7.0410408495168636E-2</v>
      </c>
      <c r="U46" s="257">
        <f t="shared" si="97"/>
        <v>5.1002009170058135E-2</v>
      </c>
      <c r="V46" s="256">
        <f t="shared" si="97"/>
        <v>5.945115445350168E-2</v>
      </c>
      <c r="W46" s="256">
        <f t="shared" si="97"/>
        <v>5.0509499648474912E-2</v>
      </c>
      <c r="X46" s="256">
        <f t="shared" si="97"/>
        <v>0.14644519065232575</v>
      </c>
      <c r="Y46" s="256">
        <f t="shared" si="97"/>
        <v>0.12083779966991651</v>
      </c>
      <c r="Z46" s="255">
        <f t="shared" si="97"/>
        <v>0.10953011805741901</v>
      </c>
      <c r="AA46" s="256">
        <f t="shared" si="97"/>
        <v>0.21877941311210514</v>
      </c>
      <c r="AB46" s="256">
        <f t="shared" si="97"/>
        <v>0.22586122448979581</v>
      </c>
      <c r="AC46" s="257">
        <f t="shared" si="97"/>
        <v>0.24715012743499168</v>
      </c>
      <c r="AD46" s="255">
        <f t="shared" si="97"/>
        <v>0.24694562977625606</v>
      </c>
      <c r="AE46" s="256">
        <f t="shared" si="97"/>
        <v>0.3101189702249384</v>
      </c>
      <c r="AF46" s="256">
        <f t="shared" si="97"/>
        <v>0.31895237168256435</v>
      </c>
      <c r="AG46" s="257">
        <f t="shared" si="97"/>
        <v>0.40906558581544256</v>
      </c>
      <c r="AH46" s="255">
        <f t="shared" si="97"/>
        <v>0.35641793930021259</v>
      </c>
      <c r="AI46" s="256">
        <f t="shared" si="97"/>
        <v>0.33722889114954241</v>
      </c>
      <c r="AJ46" s="256">
        <f t="shared" si="97"/>
        <v>0.42178544193254763</v>
      </c>
      <c r="AK46" s="257">
        <f t="shared" si="97"/>
        <v>0.48175704077343434</v>
      </c>
      <c r="AL46" s="255">
        <f t="shared" si="97"/>
        <v>0.40578197262429705</v>
      </c>
      <c r="AM46" s="256">
        <f t="shared" si="97"/>
        <v>0.39619873884615509</v>
      </c>
      <c r="AN46" s="256">
        <f t="shared" si="97"/>
        <v>0.50166834997060294</v>
      </c>
      <c r="AO46" s="257">
        <f t="shared" si="97"/>
        <v>0.54336083293687232</v>
      </c>
      <c r="AP46" s="255">
        <f t="shared" si="97"/>
        <v>0.43082151083917369</v>
      </c>
      <c r="AQ46" s="256">
        <f t="shared" si="97"/>
        <v>0.44597934924598465</v>
      </c>
      <c r="AR46" s="256">
        <f t="shared" si="97"/>
        <v>0.55618989817980946</v>
      </c>
      <c r="AS46" s="257">
        <f t="shared" si="97"/>
        <v>0.59891151549134614</v>
      </c>
      <c r="AT46" s="257"/>
      <c r="AU46" s="259">
        <f t="shared" ref="AU46" si="98">SUM(B46:E46)</f>
        <v>-1.4674657855964712</v>
      </c>
      <c r="AV46" s="259">
        <f t="shared" ref="AV46:BC46" si="99">IF(AV39&lt;0,AV39/AV52,AV39/AV53)</f>
        <v>-0.93649965529449053</v>
      </c>
      <c r="AW46" s="259">
        <f t="shared" si="99"/>
        <v>-0.42174057949882326</v>
      </c>
      <c r="AX46" s="259">
        <f t="shared" si="99"/>
        <v>0.18910168967461491</v>
      </c>
      <c r="AY46" s="259">
        <f t="shared" si="99"/>
        <v>0.33913346396690591</v>
      </c>
      <c r="AZ46" s="255">
        <f t="shared" si="99"/>
        <v>0.37703983528170559</v>
      </c>
      <c r="BA46" s="260">
        <f t="shared" si="99"/>
        <v>0.80319276461008082</v>
      </c>
      <c r="BB46" s="260">
        <f t="shared" si="99"/>
        <v>1.285518873755479</v>
      </c>
      <c r="BC46" s="260">
        <f t="shared" si="99"/>
        <v>1.5939171602483964</v>
      </c>
      <c r="BD46" s="260">
        <f>IF(BD39&lt;0,BD39/BD52,BD39/BD53)</f>
        <v>1.8470098943779272</v>
      </c>
      <c r="BE46" s="260">
        <f>IF(BE39&lt;0,BE39/BE52,BE39/BE53)</f>
        <v>2.0327558986174123</v>
      </c>
    </row>
    <row r="47" spans="1:58" s="165" customFormat="1" ht="12" hidden="1" customHeight="1" outlineLevel="1">
      <c r="A47" s="261" t="s">
        <v>113</v>
      </c>
      <c r="B47" s="232" t="str">
        <f>'[2]VA Consensus'!C33</f>
        <v>-</v>
      </c>
      <c r="C47" s="232" t="str">
        <f>'[2]VA Consensus'!D33</f>
        <v>-</v>
      </c>
      <c r="D47" s="232" t="str">
        <f>'[2]VA Consensus'!E33</f>
        <v>-</v>
      </c>
      <c r="E47" s="232" t="str">
        <f>'[2]VA Consensus'!F33</f>
        <v>-</v>
      </c>
      <c r="F47" s="262" t="str">
        <f>'[2]VA Consensus'!G33</f>
        <v>-</v>
      </c>
      <c r="G47" s="232" t="str">
        <f>'[2]VA Consensus'!H33</f>
        <v>-</v>
      </c>
      <c r="H47" s="232">
        <f>'[2]VA Consensus'!I33</f>
        <v>-0.187411648167329</v>
      </c>
      <c r="I47" s="232">
        <f>'[2]VA Consensus'!J33</f>
        <v>-0.14205223798945599</v>
      </c>
      <c r="J47" s="262">
        <f>'[2]VA Consensus'!K33</f>
        <v>-0.18427221834649499</v>
      </c>
      <c r="K47" s="232">
        <f>'[2]VA Consensus'!L33</f>
        <v>-0.14625604432114001</v>
      </c>
      <c r="L47" s="232">
        <f>'[2]VA Consensus'!M33</f>
        <v>-0.11372140960287599</v>
      </c>
      <c r="M47" s="263">
        <f>'[2]VA Consensus'!N33</f>
        <v>-0.127243486089267</v>
      </c>
      <c r="N47" s="262">
        <f>'[2]VA Consensus'!O33</f>
        <v>-0.187760865999124</v>
      </c>
      <c r="O47" s="232">
        <f>'[2]VA Consensus'!P33</f>
        <v>-5.2386670381702999E-2</v>
      </c>
      <c r="P47" s="232">
        <f>'[2]VA Consensus'!Q33</f>
        <v>2.5035357439273001E-2</v>
      </c>
      <c r="Q47" s="263">
        <f>'[2]VA Consensus'!R33</f>
        <v>6.2598398987359999E-2</v>
      </c>
      <c r="R47" s="262">
        <f>'[2]VA Consensus'!S33</f>
        <v>5.5450939974198997E-2</v>
      </c>
      <c r="S47" s="232">
        <f>'[2]VA Consensus'!T33</f>
        <v>4.8164775624190997E-2</v>
      </c>
      <c r="T47" s="232">
        <f>'[2]VA Consensus'!U33</f>
        <v>2.1791640552216999E-2</v>
      </c>
      <c r="U47" s="263">
        <f>'[2]VA Consensus'!V33</f>
        <v>2.2781900143235001E-2</v>
      </c>
      <c r="V47" s="232">
        <f>'[2]VA Consensus'!W33</f>
        <v>4.7167386514634001E-2</v>
      </c>
      <c r="W47" s="232">
        <f>'[2]VA Consensus'!X33</f>
        <v>1.3195403410743E-2</v>
      </c>
      <c r="X47" s="232">
        <f>'[2]VA Consensus'!Y33</f>
        <v>2.9914467990462001E-2</v>
      </c>
      <c r="Y47" s="232">
        <f>'[2]VA Consensus'!Z33</f>
        <v>6.7945406689634003E-2</v>
      </c>
      <c r="Z47" s="262">
        <f>'[2]VA Consensus'!AA33</f>
        <v>2.8943124022482E-2</v>
      </c>
      <c r="AA47" s="232">
        <f>'[2]VA Consensus'!AB33</f>
        <v>0.12910763864137201</v>
      </c>
      <c r="AB47" s="232">
        <f>'[2]VA Consensus'!AC33</f>
        <v>0.18365833284204999</v>
      </c>
      <c r="AC47" s="263">
        <f>'[2]VA Consensus'!AD33</f>
        <v>0.13617747794882001</v>
      </c>
      <c r="AD47" s="262">
        <f>'[2]VA Consensus'!AE33</f>
        <v>0.17389464165811999</v>
      </c>
      <c r="AE47" s="232">
        <f>'[2]VA Consensus'!AF33</f>
        <v>0.237274808795465</v>
      </c>
      <c r="AF47" s="232">
        <f>'[2]VA Consensus'!AG33</f>
        <v>0.29591682650730999</v>
      </c>
      <c r="AG47" s="263">
        <f>'[2]VA Consensus'!AH33</f>
        <v>0.34437246894177398</v>
      </c>
      <c r="AH47" s="262">
        <f>'[2]VA Consensus'!AI33</f>
        <v>0.28584487554160698</v>
      </c>
      <c r="AI47" s="232">
        <f>'[2]VA Consensus'!AJ33</f>
        <v>0.30301404244517299</v>
      </c>
      <c r="AJ47" s="232">
        <f>'[2]VA Consensus'!AK33</f>
        <v>0.36858222879471297</v>
      </c>
      <c r="AK47" s="263">
        <f>'[2]VA Consensus'!AL33</f>
        <v>0.41510611652977603</v>
      </c>
      <c r="AL47" s="262">
        <f>'[2]VA Consensus'!AM33</f>
        <v>0.40829006041145199</v>
      </c>
      <c r="AM47" s="232">
        <f>'[2]VA Consensus'!AN33</f>
        <v>0.43843249916118399</v>
      </c>
      <c r="AN47" s="232">
        <f>'[2]VA Consensus'!AO33</f>
        <v>0.48944712508417398</v>
      </c>
      <c r="AO47" s="263">
        <f>'[2]VA Consensus'!AP33</f>
        <v>0.53457368660329196</v>
      </c>
      <c r="AP47" s="262">
        <f>'[2]VA Consensus'!AQ33</f>
        <v>0.47179930300777001</v>
      </c>
      <c r="AQ47" s="232">
        <f>'[2]VA Consensus'!AR33</f>
        <v>0.49342692575748698</v>
      </c>
      <c r="AR47" s="232">
        <f>'[2]VA Consensus'!AS33</f>
        <v>0.53523887097114597</v>
      </c>
      <c r="AS47" s="263">
        <f>'[2]VA Consensus'!AT33</f>
        <v>0.57140588883364896</v>
      </c>
      <c r="AT47" s="263"/>
      <c r="AU47" s="264" t="str">
        <f>'[2]VA Consensus'!AV33</f>
        <v>-</v>
      </c>
      <c r="AV47" s="265">
        <f>'[2]VA Consensus'!AW33</f>
        <v>-0.61940889306550495</v>
      </c>
      <c r="AW47" s="266">
        <f>'[2]VA Consensus'!AX33</f>
        <v>-0.43477534836880799</v>
      </c>
      <c r="AX47" s="267">
        <f>'[2]VA Consensus'!AY33</f>
        <v>0.121228202529471</v>
      </c>
      <c r="AY47" s="267">
        <f>'[2]VA Consensus'!AZ33</f>
        <v>0.31047976045463399</v>
      </c>
      <c r="AZ47" s="266">
        <f>'[2]VA Consensus'!BA33</f>
        <v>0.32387048943067098</v>
      </c>
      <c r="BA47" s="267">
        <f>'[2]VA Consensus'!BB33</f>
        <v>0.69225592422731697</v>
      </c>
      <c r="BB47" s="267">
        <f>'[2]VA Consensus'!BC33</f>
        <v>1.222207284106213</v>
      </c>
      <c r="BC47" s="267">
        <f>'[2]VA Consensus'!BD33</f>
        <v>1.530826658045956</v>
      </c>
      <c r="BD47" s="267">
        <f>'[2]VA Consensus'!BE33</f>
        <v>1.8707809073559329</v>
      </c>
      <c r="BE47" s="267">
        <f>'[2]VA Consensus'!BF33</f>
        <v>2.071822447257079</v>
      </c>
    </row>
    <row r="48" spans="1:58" s="89" customFormat="1" ht="12" customHeight="1" collapsed="1" thickBot="1">
      <c r="A48" s="90" t="s">
        <v>114</v>
      </c>
      <c r="B48" s="91"/>
      <c r="C48" s="92"/>
      <c r="D48" s="92"/>
      <c r="E48" s="93"/>
      <c r="F48" s="92"/>
      <c r="G48" s="92"/>
      <c r="H48" s="92"/>
      <c r="I48" s="92"/>
      <c r="J48" s="91"/>
      <c r="K48" s="92"/>
      <c r="L48" s="92"/>
      <c r="M48" s="93"/>
      <c r="N48" s="91"/>
      <c r="O48" s="92"/>
      <c r="P48" s="92"/>
      <c r="Q48" s="93"/>
      <c r="R48" s="92"/>
      <c r="S48" s="94"/>
      <c r="T48" s="92"/>
      <c r="U48" s="92"/>
      <c r="V48" s="91"/>
      <c r="W48" s="92"/>
      <c r="X48" s="92"/>
      <c r="Y48" s="93"/>
      <c r="Z48" s="96"/>
      <c r="AA48" s="97"/>
      <c r="AB48" s="97"/>
      <c r="AC48" s="98"/>
      <c r="AD48" s="96"/>
      <c r="AE48" s="97"/>
      <c r="AF48" s="97"/>
      <c r="AG48" s="98"/>
      <c r="AH48" s="96"/>
      <c r="AI48" s="97"/>
      <c r="AJ48" s="97"/>
      <c r="AK48" s="98"/>
      <c r="AL48" s="96"/>
      <c r="AM48" s="97"/>
      <c r="AN48" s="97"/>
      <c r="AO48" s="98"/>
      <c r="AP48" s="96"/>
      <c r="AQ48" s="97"/>
      <c r="AR48" s="97"/>
      <c r="AS48" s="98"/>
      <c r="AT48" s="99"/>
      <c r="AU48" s="100"/>
      <c r="AV48" s="93"/>
      <c r="AW48" s="93"/>
      <c r="AX48" s="101"/>
      <c r="AY48" s="101"/>
      <c r="AZ48" s="91"/>
      <c r="BA48" s="101"/>
      <c r="BB48" s="101"/>
      <c r="BC48" s="93"/>
      <c r="BD48" s="93"/>
      <c r="BE48" s="93"/>
    </row>
    <row r="49" spans="1:57" s="89" customFormat="1" ht="12" customHeight="1" thickTop="1">
      <c r="A49" s="241" t="s">
        <v>88</v>
      </c>
      <c r="B49" s="268"/>
      <c r="C49" s="83"/>
      <c r="D49" s="83"/>
      <c r="E49" s="84"/>
      <c r="F49" s="83"/>
      <c r="G49" s="83"/>
      <c r="H49" s="83"/>
      <c r="I49" s="83"/>
      <c r="J49" s="268"/>
      <c r="K49" s="83"/>
      <c r="L49" s="83"/>
      <c r="M49" s="84"/>
      <c r="N49" s="269">
        <v>-0.19</v>
      </c>
      <c r="O49" s="270">
        <v>-0.06</v>
      </c>
      <c r="P49" s="270">
        <v>0.02</v>
      </c>
      <c r="Q49" s="271">
        <v>0.05</v>
      </c>
      <c r="R49" s="270">
        <v>0.04</v>
      </c>
      <c r="S49" s="272">
        <v>0.04</v>
      </c>
      <c r="T49" s="270">
        <v>0.01</v>
      </c>
      <c r="U49" s="270">
        <v>0.02</v>
      </c>
      <c r="V49" s="273">
        <v>0.04</v>
      </c>
      <c r="W49" s="272">
        <v>0.01</v>
      </c>
      <c r="X49" s="272">
        <v>0.03</v>
      </c>
      <c r="Y49" s="270">
        <v>0.06</v>
      </c>
      <c r="Z49" s="273">
        <v>0.02</v>
      </c>
      <c r="AA49" s="272">
        <v>0.12</v>
      </c>
      <c r="AB49" s="272">
        <v>0.18</v>
      </c>
      <c r="AC49" s="272">
        <v>0.13</v>
      </c>
      <c r="AD49" s="273">
        <v>0.16</v>
      </c>
      <c r="AE49" s="272">
        <v>0.22</v>
      </c>
      <c r="AF49" s="272">
        <v>0.28000000000000003</v>
      </c>
      <c r="AG49" s="272">
        <v>0.33</v>
      </c>
      <c r="AH49" s="273">
        <v>0.26</v>
      </c>
      <c r="AI49" s="272">
        <v>0.28999999999999998</v>
      </c>
      <c r="AJ49" s="272">
        <v>0.36</v>
      </c>
      <c r="AK49" s="272">
        <v>0.39</v>
      </c>
      <c r="AL49" s="273">
        <v>0.39</v>
      </c>
      <c r="AM49" s="274"/>
      <c r="AN49" s="274"/>
      <c r="AO49" s="275"/>
      <c r="AP49" s="273"/>
      <c r="AQ49" s="274"/>
      <c r="AR49" s="274"/>
      <c r="AS49" s="275"/>
      <c r="AT49" s="99"/>
      <c r="AU49" s="237"/>
      <c r="AV49" s="84"/>
      <c r="AW49" s="84"/>
      <c r="AX49" s="238"/>
      <c r="AY49" s="276">
        <v>0.3</v>
      </c>
      <c r="AZ49" s="269">
        <v>0.32</v>
      </c>
      <c r="BA49" s="276">
        <v>0.68</v>
      </c>
      <c r="BB49" s="276">
        <v>1.21</v>
      </c>
      <c r="BC49" s="271">
        <v>1.51</v>
      </c>
      <c r="BD49" s="271">
        <v>1.81</v>
      </c>
      <c r="BE49" s="271"/>
    </row>
    <row r="50" spans="1:57" s="89" customFormat="1" ht="12" customHeight="1">
      <c r="A50" s="241" t="s">
        <v>89</v>
      </c>
      <c r="B50" s="268"/>
      <c r="C50" s="83"/>
      <c r="D50" s="83"/>
      <c r="E50" s="84"/>
      <c r="F50" s="83"/>
      <c r="G50" s="83"/>
      <c r="H50" s="83"/>
      <c r="I50" s="83"/>
      <c r="J50" s="268"/>
      <c r="K50" s="83"/>
      <c r="L50" s="83"/>
      <c r="M50" s="84"/>
      <c r="N50" s="269">
        <f t="shared" ref="N50:Q50" si="100">AVERAGE(N49,N51)</f>
        <v>-0.185</v>
      </c>
      <c r="O50" s="270">
        <f t="shared" si="100"/>
        <v>-0.05</v>
      </c>
      <c r="P50" s="270">
        <f t="shared" si="100"/>
        <v>2.5000000000000001E-2</v>
      </c>
      <c r="Q50" s="271">
        <f t="shared" si="100"/>
        <v>5.5E-2</v>
      </c>
      <c r="R50" s="270">
        <f>AVERAGE(R49,R51)</f>
        <v>0.05</v>
      </c>
      <c r="S50" s="272">
        <f t="shared" ref="S50:T50" si="101">AVERAGE(S49,S51)</f>
        <v>4.4999999999999998E-2</v>
      </c>
      <c r="T50" s="270">
        <f t="shared" si="101"/>
        <v>0.02</v>
      </c>
      <c r="U50" s="270">
        <f>AVERAGE(U49,U51)</f>
        <v>2.5000000000000001E-2</v>
      </c>
      <c r="V50" s="269">
        <f>AVERAGE(V49,V51)</f>
        <v>4.4999999999999998E-2</v>
      </c>
      <c r="W50" s="272">
        <f>AVERAGE(W49,W51)</f>
        <v>1.4999999999999999E-2</v>
      </c>
      <c r="X50" s="272">
        <f t="shared" ref="X50" si="102">AVERAGE(X49,X51)</f>
        <v>3.5000000000000003E-2</v>
      </c>
      <c r="Y50" s="270">
        <f>AVERAGE(Y49,Y51)</f>
        <v>6.5000000000000002E-2</v>
      </c>
      <c r="Z50" s="269">
        <f>AVERAGE(Z49,Z51)</f>
        <v>2.5000000000000001E-2</v>
      </c>
      <c r="AA50" s="272">
        <f>AVERAGE(AA49,AA51)</f>
        <v>0.125</v>
      </c>
      <c r="AB50" s="272">
        <f t="shared" ref="AB50:AC50" si="103">AVERAGE(AB49,AB51)</f>
        <v>0.185</v>
      </c>
      <c r="AC50" s="272">
        <f t="shared" si="103"/>
        <v>0.13500000000000001</v>
      </c>
      <c r="AD50" s="269">
        <f t="shared" ref="AD50:AS50" si="104">IFERROR(AVERAGE(AD49,AD51),"")</f>
        <v>0.16999999999999998</v>
      </c>
      <c r="AE50" s="272">
        <f t="shared" si="104"/>
        <v>0.22999999999999998</v>
      </c>
      <c r="AF50" s="272">
        <f t="shared" si="104"/>
        <v>0.29000000000000004</v>
      </c>
      <c r="AG50" s="272">
        <f t="shared" si="104"/>
        <v>0.33999999999999997</v>
      </c>
      <c r="AH50" s="269">
        <f t="shared" si="104"/>
        <v>0.26500000000000001</v>
      </c>
      <c r="AI50" s="272">
        <f t="shared" si="104"/>
        <v>0.3</v>
      </c>
      <c r="AJ50" s="272">
        <f t="shared" si="104"/>
        <v>0.36499999999999999</v>
      </c>
      <c r="AK50" s="272">
        <f t="shared" si="104"/>
        <v>0.41000000000000003</v>
      </c>
      <c r="AL50" s="269">
        <f t="shared" si="104"/>
        <v>0.40500000000000003</v>
      </c>
      <c r="AM50" s="272" t="str">
        <f t="shared" si="104"/>
        <v/>
      </c>
      <c r="AN50" s="272" t="str">
        <f t="shared" si="104"/>
        <v/>
      </c>
      <c r="AO50" s="277" t="str">
        <f t="shared" si="104"/>
        <v/>
      </c>
      <c r="AP50" s="269" t="str">
        <f t="shared" si="104"/>
        <v/>
      </c>
      <c r="AQ50" s="272" t="str">
        <f t="shared" si="104"/>
        <v/>
      </c>
      <c r="AR50" s="272" t="str">
        <f t="shared" si="104"/>
        <v/>
      </c>
      <c r="AS50" s="277" t="str">
        <f t="shared" si="104"/>
        <v/>
      </c>
      <c r="AT50" s="99"/>
      <c r="AU50" s="278"/>
      <c r="AV50" s="84"/>
      <c r="AW50" s="84"/>
      <c r="AX50" s="279"/>
      <c r="AY50" s="280">
        <f>AVERAGE(AY49,AY51)</f>
        <v>0.30499999999999999</v>
      </c>
      <c r="AZ50" s="281">
        <f t="shared" ref="AZ50:BA50" si="105">AVERAGE(AZ49,AZ51)</f>
        <v>0.32500000000000001</v>
      </c>
      <c r="BA50" s="280">
        <f t="shared" si="105"/>
        <v>0.68500000000000005</v>
      </c>
      <c r="BB50" s="280">
        <f>IFERROR(AVERAGE(BB49,BB51),"")</f>
        <v>1.22</v>
      </c>
      <c r="BC50" s="271">
        <f>IFERROR(AVERAGE(BC49,BC51),"")</f>
        <v>1.5249999999999999</v>
      </c>
      <c r="BD50" s="271">
        <f>IFERROR(AVERAGE(BD49,BD51),"")</f>
        <v>1.855</v>
      </c>
      <c r="BE50" s="271" t="str">
        <f t="shared" ref="BE50" si="106">IFERROR(AVERAGE(BE49,BE51),"")</f>
        <v/>
      </c>
    </row>
    <row r="51" spans="1:57" s="89" customFormat="1" ht="12" customHeight="1" thickBot="1">
      <c r="A51" s="121" t="s">
        <v>90</v>
      </c>
      <c r="B51" s="91"/>
      <c r="C51" s="92"/>
      <c r="D51" s="92"/>
      <c r="E51" s="93"/>
      <c r="F51" s="92"/>
      <c r="G51" s="92"/>
      <c r="H51" s="92"/>
      <c r="I51" s="92"/>
      <c r="J51" s="91"/>
      <c r="K51" s="92"/>
      <c r="L51" s="92"/>
      <c r="M51" s="93"/>
      <c r="N51" s="282">
        <v>-0.18</v>
      </c>
      <c r="O51" s="283">
        <v>-0.04</v>
      </c>
      <c r="P51" s="283">
        <v>0.03</v>
      </c>
      <c r="Q51" s="284">
        <v>0.06</v>
      </c>
      <c r="R51" s="283">
        <v>0.06</v>
      </c>
      <c r="S51" s="285">
        <v>0.05</v>
      </c>
      <c r="T51" s="283">
        <v>0.03</v>
      </c>
      <c r="U51" s="283">
        <v>0.03</v>
      </c>
      <c r="V51" s="282">
        <v>0.05</v>
      </c>
      <c r="W51" s="285">
        <v>0.02</v>
      </c>
      <c r="X51" s="285">
        <v>0.04</v>
      </c>
      <c r="Y51" s="283">
        <v>7.0000000000000007E-2</v>
      </c>
      <c r="Z51" s="282">
        <v>0.03</v>
      </c>
      <c r="AA51" s="285">
        <v>0.13</v>
      </c>
      <c r="AB51" s="285">
        <v>0.19</v>
      </c>
      <c r="AC51" s="285">
        <v>0.14000000000000001</v>
      </c>
      <c r="AD51" s="282">
        <v>0.18</v>
      </c>
      <c r="AE51" s="285">
        <v>0.24</v>
      </c>
      <c r="AF51" s="285">
        <v>0.3</v>
      </c>
      <c r="AG51" s="285">
        <v>0.35</v>
      </c>
      <c r="AH51" s="282">
        <v>0.27</v>
      </c>
      <c r="AI51" s="285">
        <v>0.31</v>
      </c>
      <c r="AJ51" s="285">
        <v>0.37</v>
      </c>
      <c r="AK51" s="285">
        <v>0.43</v>
      </c>
      <c r="AL51" s="282">
        <v>0.42</v>
      </c>
      <c r="AM51" s="285"/>
      <c r="AN51" s="285"/>
      <c r="AO51" s="286"/>
      <c r="AP51" s="282"/>
      <c r="AQ51" s="285"/>
      <c r="AR51" s="285"/>
      <c r="AS51" s="286"/>
      <c r="AT51" s="99"/>
      <c r="AU51" s="100"/>
      <c r="AV51" s="93"/>
      <c r="AW51" s="93"/>
      <c r="AX51" s="101"/>
      <c r="AY51" s="287">
        <v>0.31</v>
      </c>
      <c r="AZ51" s="282">
        <v>0.33</v>
      </c>
      <c r="BA51" s="287">
        <v>0.69</v>
      </c>
      <c r="BB51" s="287">
        <v>1.23</v>
      </c>
      <c r="BC51" s="284">
        <v>1.54</v>
      </c>
      <c r="BD51" s="284">
        <v>1.9</v>
      </c>
      <c r="BE51" s="284"/>
    </row>
    <row r="52" spans="1:57" s="165" customFormat="1" ht="12" customHeight="1" thickTop="1">
      <c r="A52" s="288" t="s">
        <v>115</v>
      </c>
      <c r="B52" s="289"/>
      <c r="C52" s="70">
        <f>C136</f>
        <v>22.06</v>
      </c>
      <c r="D52" s="70">
        <f t="shared" ref="D52:S53" si="107">D136</f>
        <v>22.678999999999998</v>
      </c>
      <c r="E52" s="71">
        <f t="shared" si="107"/>
        <v>22.827000000000002</v>
      </c>
      <c r="F52" s="289">
        <f t="shared" si="107"/>
        <v>23.495000000000001</v>
      </c>
      <c r="G52" s="70">
        <f t="shared" si="107"/>
        <v>23.75</v>
      </c>
      <c r="H52" s="70">
        <f t="shared" si="107"/>
        <v>74.260999999999996</v>
      </c>
      <c r="I52" s="71">
        <f t="shared" si="107"/>
        <v>92.186999999999998</v>
      </c>
      <c r="J52" s="289">
        <f t="shared" si="107"/>
        <v>93.738</v>
      </c>
      <c r="K52" s="70">
        <f t="shared" si="107"/>
        <v>95.82</v>
      </c>
      <c r="L52" s="70">
        <f t="shared" si="107"/>
        <v>96.709000000000003</v>
      </c>
      <c r="M52" s="71">
        <f t="shared" si="107"/>
        <v>97.738</v>
      </c>
      <c r="N52" s="289">
        <f t="shared" si="107"/>
        <v>98.855000000000004</v>
      </c>
      <c r="O52" s="70">
        <f t="shared" si="107"/>
        <v>100.209</v>
      </c>
      <c r="P52" s="70">
        <f t="shared" si="107"/>
        <v>101.736</v>
      </c>
      <c r="Q52" s="71">
        <f t="shared" si="107"/>
        <v>103.203</v>
      </c>
      <c r="R52" s="289">
        <f t="shared" si="107"/>
        <v>104.53100000000001</v>
      </c>
      <c r="S52" s="70">
        <f t="shared" si="107"/>
        <v>105.869</v>
      </c>
      <c r="T52" s="70">
        <f>T136</f>
        <v>106.869</v>
      </c>
      <c r="U52" s="290">
        <f t="shared" ref="U52:AH53" si="108">U136</f>
        <v>108.235</v>
      </c>
      <c r="V52" s="291">
        <f t="shared" si="108"/>
        <v>109.524</v>
      </c>
      <c r="W52" s="291">
        <f t="shared" si="108"/>
        <v>111.041</v>
      </c>
      <c r="X52" s="291">
        <f t="shared" si="108"/>
        <v>111.937</v>
      </c>
      <c r="Y52" s="291">
        <f t="shared" si="108"/>
        <v>112.742</v>
      </c>
      <c r="Z52" s="292">
        <f t="shared" si="108"/>
        <v>113.794</v>
      </c>
      <c r="AA52" s="291">
        <f t="shared" si="108"/>
        <v>115.131</v>
      </c>
      <c r="AB52" s="291">
        <f t="shared" si="108"/>
        <v>115.95399999999999</v>
      </c>
      <c r="AC52" s="291">
        <f t="shared" si="108"/>
        <v>116.717</v>
      </c>
      <c r="AD52" s="293">
        <f t="shared" si="108"/>
        <v>117.542</v>
      </c>
      <c r="AE52" s="291">
        <f t="shared" si="108"/>
        <v>118.681</v>
      </c>
      <c r="AF52" s="291">
        <f t="shared" si="108"/>
        <v>119.169</v>
      </c>
      <c r="AG52" s="291">
        <f t="shared" si="108"/>
        <v>119.748</v>
      </c>
      <c r="AH52" s="293">
        <f t="shared" si="108"/>
        <v>120.083</v>
      </c>
      <c r="AI52" s="131">
        <v>120.979</v>
      </c>
      <c r="AJ52" s="291">
        <f t="shared" ref="AJ52:AK53" si="109">AJ136</f>
        <v>120.483</v>
      </c>
      <c r="AK52" s="294">
        <f t="shared" si="109"/>
        <v>118.95</v>
      </c>
      <c r="AL52" s="295">
        <f>AK52+0.2</f>
        <v>119.15</v>
      </c>
      <c r="AM52" s="296">
        <f t="shared" ref="AM52:AS52" si="110">AL52+0.2</f>
        <v>119.35000000000001</v>
      </c>
      <c r="AN52" s="296">
        <f t="shared" si="110"/>
        <v>119.55000000000001</v>
      </c>
      <c r="AO52" s="296">
        <f t="shared" si="110"/>
        <v>119.75000000000001</v>
      </c>
      <c r="AP52" s="295">
        <f t="shared" si="110"/>
        <v>119.95000000000002</v>
      </c>
      <c r="AQ52" s="296">
        <f t="shared" si="110"/>
        <v>120.15000000000002</v>
      </c>
      <c r="AR52" s="296">
        <f t="shared" si="110"/>
        <v>120.35000000000002</v>
      </c>
      <c r="AS52" s="296">
        <f t="shared" si="110"/>
        <v>120.55000000000003</v>
      </c>
      <c r="AT52" s="264"/>
      <c r="AU52" s="297"/>
      <c r="AV52" s="297">
        <f>AV136</f>
        <v>53.668999999999997</v>
      </c>
      <c r="AW52" s="289">
        <f t="shared" ref="AW52:AZ53" si="111">AW136</f>
        <v>96.013999999999996</v>
      </c>
      <c r="AX52" s="297">
        <f t="shared" si="111"/>
        <v>101.009</v>
      </c>
      <c r="AY52" s="297">
        <f t="shared" si="111"/>
        <v>106.387</v>
      </c>
      <c r="AZ52" s="289">
        <f t="shared" si="111"/>
        <v>111.321</v>
      </c>
      <c r="BA52" s="297">
        <f t="shared" ref="BA52" si="112">+AVERAGE(Z52:AC52)</f>
        <v>115.399</v>
      </c>
      <c r="BB52" s="297">
        <f>AVERAGE(AD52:AG52)</f>
        <v>118.785</v>
      </c>
      <c r="BC52" s="297">
        <f>AVERAGE(AH52:AK52)</f>
        <v>120.12375</v>
      </c>
      <c r="BD52" s="297">
        <f>AVERAGE(AL52:AO52)</f>
        <v>119.45</v>
      </c>
      <c r="BE52" s="297">
        <f>AVERAGE(AP52:AS52)</f>
        <v>120.25000000000001</v>
      </c>
    </row>
    <row r="53" spans="1:57" s="151" customFormat="1" ht="12" customHeight="1">
      <c r="A53" s="298" t="s">
        <v>116</v>
      </c>
      <c r="B53" s="299"/>
      <c r="C53" s="300">
        <f>C137</f>
        <v>77.445999999999998</v>
      </c>
      <c r="D53" s="300">
        <f t="shared" si="107"/>
        <v>78.064999999999998</v>
      </c>
      <c r="E53" s="301">
        <f t="shared" si="107"/>
        <v>78.213000000000008</v>
      </c>
      <c r="F53" s="299">
        <f t="shared" si="107"/>
        <v>78.881</v>
      </c>
      <c r="G53" s="300">
        <f t="shared" si="107"/>
        <v>79.135999999999996</v>
      </c>
      <c r="H53" s="300">
        <f t="shared" si="107"/>
        <v>88.71</v>
      </c>
      <c r="I53" s="301">
        <f t="shared" si="107"/>
        <v>92.186999999999998</v>
      </c>
      <c r="J53" s="299">
        <f t="shared" si="107"/>
        <v>93.738</v>
      </c>
      <c r="K53" s="300">
        <f t="shared" si="107"/>
        <v>95.82</v>
      </c>
      <c r="L53" s="300">
        <f t="shared" si="107"/>
        <v>96.709000000000003</v>
      </c>
      <c r="M53" s="301">
        <f t="shared" si="107"/>
        <v>97.738</v>
      </c>
      <c r="N53" s="299">
        <f t="shared" si="107"/>
        <v>98.855000000000004</v>
      </c>
      <c r="O53" s="300">
        <f t="shared" si="107"/>
        <v>108.587</v>
      </c>
      <c r="P53" s="300">
        <f t="shared" si="107"/>
        <v>111.224</v>
      </c>
      <c r="Q53" s="300">
        <f t="shared" si="107"/>
        <v>112.691</v>
      </c>
      <c r="R53" s="302">
        <f t="shared" si="107"/>
        <v>113.934</v>
      </c>
      <c r="S53" s="300">
        <f t="shared" si="107"/>
        <v>113.869</v>
      </c>
      <c r="T53" s="300">
        <f t="shared" ref="T53:U53" si="113">T137</f>
        <v>114.983</v>
      </c>
      <c r="U53" s="301">
        <f t="shared" si="113"/>
        <v>116.46599999999999</v>
      </c>
      <c r="V53" s="300">
        <f t="shared" si="108"/>
        <v>117.155</v>
      </c>
      <c r="W53" s="300">
        <f t="shared" si="108"/>
        <v>118.057</v>
      </c>
      <c r="X53" s="300">
        <f t="shared" si="108"/>
        <v>117.334</v>
      </c>
      <c r="Y53" s="300">
        <f t="shared" si="108"/>
        <v>117.54600000000001</v>
      </c>
      <c r="Z53" s="299">
        <f t="shared" si="108"/>
        <v>119.264</v>
      </c>
      <c r="AA53" s="300">
        <f t="shared" si="108"/>
        <v>120.057</v>
      </c>
      <c r="AB53" s="300">
        <f t="shared" si="108"/>
        <v>122.5</v>
      </c>
      <c r="AC53" s="300">
        <f>AC137</f>
        <v>122.023</v>
      </c>
      <c r="AD53" s="299">
        <f t="shared" si="108"/>
        <v>123.26600000000001</v>
      </c>
      <c r="AE53" s="300">
        <f t="shared" si="108"/>
        <v>123.056</v>
      </c>
      <c r="AF53" s="300">
        <f t="shared" si="108"/>
        <v>123.288</v>
      </c>
      <c r="AG53" s="300">
        <f t="shared" si="108"/>
        <v>123.85299999999999</v>
      </c>
      <c r="AH53" s="299">
        <f t="shared" si="108"/>
        <v>124.152</v>
      </c>
      <c r="AI53" s="303">
        <v>122.875</v>
      </c>
      <c r="AJ53" s="300">
        <f t="shared" si="109"/>
        <v>121.953</v>
      </c>
      <c r="AK53" s="304">
        <f t="shared" si="109"/>
        <v>118.95</v>
      </c>
      <c r="AL53" s="305">
        <f>AK53-1</f>
        <v>117.95</v>
      </c>
      <c r="AM53" s="306">
        <f>AL53+0</f>
        <v>117.95</v>
      </c>
      <c r="AN53" s="306">
        <f>AM53+0</f>
        <v>117.95</v>
      </c>
      <c r="AO53" s="306">
        <f>AN53+0</f>
        <v>117.95</v>
      </c>
      <c r="AP53" s="305">
        <f t="shared" ref="AP53:AS53" si="114">AO53+0.33</f>
        <v>118.28</v>
      </c>
      <c r="AQ53" s="306">
        <f t="shared" si="114"/>
        <v>118.61</v>
      </c>
      <c r="AR53" s="306">
        <f t="shared" si="114"/>
        <v>118.94</v>
      </c>
      <c r="AS53" s="306">
        <f t="shared" si="114"/>
        <v>119.27</v>
      </c>
      <c r="AT53" s="307"/>
      <c r="AU53" s="72">
        <f>AU137</f>
        <v>22.210999999999999</v>
      </c>
      <c r="AV53" s="72">
        <f>AV137</f>
        <v>84.774000000000001</v>
      </c>
      <c r="AW53" s="308">
        <f t="shared" si="111"/>
        <v>96.013999999999996</v>
      </c>
      <c r="AX53" s="72">
        <f t="shared" si="111"/>
        <v>109.962</v>
      </c>
      <c r="AY53" s="308">
        <f t="shared" si="111"/>
        <v>114.825</v>
      </c>
      <c r="AZ53" s="299">
        <f t="shared" si="111"/>
        <v>117.53400000000001</v>
      </c>
      <c r="BA53" s="308">
        <f>+AVERAGE(Z53:AC53)</f>
        <v>120.96100000000001</v>
      </c>
      <c r="BB53" s="308">
        <f>AVERAGE(AD53:AG53)</f>
        <v>123.36575000000001</v>
      </c>
      <c r="BC53" s="308">
        <f>AVERAGE(AH53:AK53)</f>
        <v>121.9825</v>
      </c>
      <c r="BD53" s="308">
        <f>AVERAGE(AL53:AO53)</f>
        <v>117.95</v>
      </c>
      <c r="BE53" s="308">
        <f>AVERAGE(AP53:AS53)</f>
        <v>118.77499999999999</v>
      </c>
    </row>
    <row r="54" spans="1:57" s="215" customFormat="1" ht="12" customHeight="1">
      <c r="A54" s="309"/>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c r="AT54" s="310"/>
      <c r="AU54" s="311"/>
      <c r="AV54" s="311"/>
      <c r="AW54" s="311"/>
      <c r="AX54" s="311"/>
      <c r="AY54" s="311"/>
      <c r="AZ54" s="311"/>
      <c r="BA54" s="312"/>
      <c r="BB54" s="312"/>
      <c r="BC54" s="312"/>
      <c r="BD54" s="312"/>
      <c r="BE54" s="312"/>
    </row>
    <row r="55" spans="1:57" s="45" customFormat="1" ht="12" customHeight="1">
      <c r="A55" s="313"/>
      <c r="B55" s="1724">
        <f>B3</f>
        <v>2017</v>
      </c>
      <c r="C55" s="1724"/>
      <c r="D55" s="1724"/>
      <c r="E55" s="1725"/>
      <c r="F55" s="1726">
        <f>F3</f>
        <v>2018</v>
      </c>
      <c r="G55" s="1724"/>
      <c r="H55" s="1724"/>
      <c r="I55" s="1727"/>
      <c r="J55" s="1721">
        <f>J3</f>
        <v>2019</v>
      </c>
      <c r="K55" s="1724"/>
      <c r="L55" s="1724"/>
      <c r="M55" s="1725"/>
      <c r="N55" s="1726">
        <f>N3</f>
        <v>2020</v>
      </c>
      <c r="O55" s="1724"/>
      <c r="P55" s="1724"/>
      <c r="Q55" s="1727"/>
      <c r="R55" s="1721">
        <f>R3</f>
        <v>2021</v>
      </c>
      <c r="S55" s="1724"/>
      <c r="T55" s="1724"/>
      <c r="U55" s="1727"/>
      <c r="V55" s="1721">
        <f>V3</f>
        <v>2022</v>
      </c>
      <c r="W55" s="1724"/>
      <c r="X55" s="1724"/>
      <c r="Y55" s="1727"/>
      <c r="Z55" s="1721">
        <f>Z3</f>
        <v>2023</v>
      </c>
      <c r="AA55" s="1724"/>
      <c r="AB55" s="1724"/>
      <c r="AC55" s="1725"/>
      <c r="AD55" s="1726">
        <f>AD3</f>
        <v>2024</v>
      </c>
      <c r="AE55" s="1724"/>
      <c r="AF55" s="1724"/>
      <c r="AG55" s="1727"/>
      <c r="AH55" s="1721">
        <f>AH3</f>
        <v>2025</v>
      </c>
      <c r="AI55" s="1724"/>
      <c r="AJ55" s="1724"/>
      <c r="AK55" s="1727"/>
      <c r="AL55" s="1721">
        <f>AL3</f>
        <v>2026</v>
      </c>
      <c r="AM55" s="1724"/>
      <c r="AN55" s="1724"/>
      <c r="AO55" s="1727"/>
      <c r="AP55" s="1721">
        <f>AP3</f>
        <v>2027</v>
      </c>
      <c r="AQ55" s="1724"/>
      <c r="AR55" s="1724"/>
      <c r="AS55" s="1727"/>
      <c r="AT55" s="314"/>
      <c r="AU55" s="42"/>
      <c r="AV55" s="42"/>
      <c r="AW55" s="42"/>
      <c r="AX55" s="42"/>
      <c r="AY55" s="42"/>
      <c r="AZ55" s="42"/>
      <c r="BA55" s="315"/>
      <c r="BB55" s="42"/>
      <c r="BC55" s="42"/>
      <c r="BD55" s="42"/>
      <c r="BE55" s="44"/>
    </row>
    <row r="56" spans="1:57" s="62" customFormat="1" ht="12" hidden="1" customHeight="1" outlineLevel="1">
      <c r="A56" s="316" t="s">
        <v>117</v>
      </c>
      <c r="B56" s="317">
        <f>B4</f>
        <v>42825</v>
      </c>
      <c r="C56" s="48">
        <f>C4</f>
        <v>42916</v>
      </c>
      <c r="D56" s="48">
        <f>D4</f>
        <v>43008</v>
      </c>
      <c r="E56" s="50">
        <f>E4</f>
        <v>43100</v>
      </c>
      <c r="F56" s="317">
        <f>F4</f>
        <v>43190</v>
      </c>
      <c r="G56" s="48">
        <f>G4</f>
        <v>43281</v>
      </c>
      <c r="H56" s="65">
        <f>H4</f>
        <v>43373</v>
      </c>
      <c r="I56" s="318">
        <f>I4</f>
        <v>43465</v>
      </c>
      <c r="J56" s="319">
        <f>J4</f>
        <v>43555</v>
      </c>
      <c r="K56" s="48">
        <f>K4</f>
        <v>43646</v>
      </c>
      <c r="L56" s="48">
        <f>L4</f>
        <v>43738</v>
      </c>
      <c r="M56" s="320">
        <f>M4</f>
        <v>43830</v>
      </c>
      <c r="N56" s="319">
        <f>N4</f>
        <v>43921</v>
      </c>
      <c r="O56" s="48">
        <f>O4</f>
        <v>44012</v>
      </c>
      <c r="P56" s="48">
        <f>P4</f>
        <v>44104</v>
      </c>
      <c r="Q56" s="320">
        <f>Q4</f>
        <v>44196</v>
      </c>
      <c r="R56" s="319">
        <f>R4</f>
        <v>44286</v>
      </c>
      <c r="S56" s="48">
        <f>S4</f>
        <v>44377</v>
      </c>
      <c r="T56" s="48">
        <f>T4</f>
        <v>44469</v>
      </c>
      <c r="U56" s="320">
        <f>U4</f>
        <v>44561</v>
      </c>
      <c r="V56" s="319">
        <f>V4</f>
        <v>44651</v>
      </c>
      <c r="W56" s="48">
        <f>W4</f>
        <v>44742</v>
      </c>
      <c r="X56" s="48">
        <f>X4</f>
        <v>44834</v>
      </c>
      <c r="Y56" s="320">
        <f>Y4</f>
        <v>44926</v>
      </c>
      <c r="Z56" s="319">
        <f>Z4</f>
        <v>45016</v>
      </c>
      <c r="AA56" s="48">
        <f>AA4</f>
        <v>45107</v>
      </c>
      <c r="AB56" s="48">
        <f>AB4</f>
        <v>45199</v>
      </c>
      <c r="AC56" s="320">
        <f>AC4</f>
        <v>45291</v>
      </c>
      <c r="AD56" s="319">
        <f>AD4</f>
        <v>45382</v>
      </c>
      <c r="AE56" s="48">
        <f>AE4</f>
        <v>45473</v>
      </c>
      <c r="AF56" s="48" t="str">
        <f>AF4</f>
        <v>Sep-24</v>
      </c>
      <c r="AG56" s="320" t="str">
        <f>AG4</f>
        <v>Dec-24</v>
      </c>
      <c r="AH56" s="319" t="str">
        <f>AH4</f>
        <v>Mar-25</v>
      </c>
      <c r="AI56" s="48" t="str">
        <f>AI4</f>
        <v>Jun-25</v>
      </c>
      <c r="AJ56" s="48" t="str">
        <f>AJ4</f>
        <v>Sep-25</v>
      </c>
      <c r="AK56" s="320" t="str">
        <f>AK4</f>
        <v>Dec-25</v>
      </c>
      <c r="AL56" s="319" t="str">
        <f>AL4</f>
        <v>Mar-26E</v>
      </c>
      <c r="AM56" s="48" t="str">
        <f>AM4</f>
        <v>Jun-26E</v>
      </c>
      <c r="AN56" s="48" t="str">
        <f>AN4</f>
        <v>Sep-26E</v>
      </c>
      <c r="AO56" s="320" t="str">
        <f>AO4</f>
        <v>Dec-26E</v>
      </c>
      <c r="AP56" s="319" t="str">
        <f>AP4</f>
        <v>Mar-27E</v>
      </c>
      <c r="AQ56" s="48" t="str">
        <f>AQ4</f>
        <v>Jun-27E</v>
      </c>
      <c r="AR56" s="48" t="str">
        <f>AR4</f>
        <v>Sep-27E</v>
      </c>
      <c r="AS56" s="320" t="str">
        <f>AS4</f>
        <v>Dec-27E</v>
      </c>
      <c r="AT56" s="321"/>
      <c r="AU56" s="322">
        <f t="shared" ref="AU56:BE56" si="115">AU4</f>
        <v>2017</v>
      </c>
      <c r="AV56" s="322">
        <f t="shared" si="115"/>
        <v>2018</v>
      </c>
      <c r="AW56" s="322">
        <f t="shared" si="115"/>
        <v>2019</v>
      </c>
      <c r="AX56" s="322">
        <f t="shared" si="115"/>
        <v>2020</v>
      </c>
      <c r="AY56" s="322" t="str">
        <f t="shared" si="115"/>
        <v>CY21</v>
      </c>
      <c r="AZ56" s="323" t="str">
        <f t="shared" si="115"/>
        <v>CY22</v>
      </c>
      <c r="BA56" s="61" t="str">
        <f t="shared" si="115"/>
        <v>CY23</v>
      </c>
      <c r="BB56" s="322" t="str">
        <f t="shared" si="115"/>
        <v>CY24</v>
      </c>
      <c r="BC56" s="322" t="str">
        <f t="shared" si="115"/>
        <v>CY25</v>
      </c>
      <c r="BD56" s="322" t="str">
        <f t="shared" si="115"/>
        <v>CY26E</v>
      </c>
      <c r="BE56" s="322" t="str">
        <f t="shared" si="115"/>
        <v>CY27E</v>
      </c>
    </row>
    <row r="57" spans="1:57" s="45" customFormat="1" ht="12" hidden="1" customHeight="1" outlineLevel="1">
      <c r="A57" s="324" t="s">
        <v>118</v>
      </c>
      <c r="B57" s="325"/>
      <c r="C57" s="326"/>
      <c r="D57" s="326"/>
      <c r="E57" s="327"/>
      <c r="F57" s="325">
        <f t="shared" ref="F57:AS57" si="116">IF(OR(B9&lt;=0,F9&lt;=0),"NM",(F9-B9)/B9)</f>
        <v>0.46011709196907186</v>
      </c>
      <c r="G57" s="326">
        <f t="shared" si="116"/>
        <v>0.44039502593490221</v>
      </c>
      <c r="H57" s="326">
        <f t="shared" si="116"/>
        <v>0.41772151898734161</v>
      </c>
      <c r="I57" s="327">
        <f t="shared" si="116"/>
        <v>0.389969880074653</v>
      </c>
      <c r="J57" s="325">
        <f t="shared" si="116"/>
        <v>0.35857005092459443</v>
      </c>
      <c r="K57" s="326">
        <f t="shared" si="116"/>
        <v>0.34268461441690784</v>
      </c>
      <c r="L57" s="326">
        <f t="shared" si="116"/>
        <v>0.32275345622119828</v>
      </c>
      <c r="M57" s="327">
        <f t="shared" si="116"/>
        <v>0.29018492176386879</v>
      </c>
      <c r="N57" s="325">
        <f t="shared" si="116"/>
        <v>0.27829043224866434</v>
      </c>
      <c r="O57" s="326">
        <f t="shared" si="116"/>
        <v>0.25560995034198447</v>
      </c>
      <c r="P57" s="328">
        <f t="shared" si="116"/>
        <v>0.22242302834995434</v>
      </c>
      <c r="Q57" s="327">
        <f t="shared" si="116"/>
        <v>0.21672557161846112</v>
      </c>
      <c r="R57" s="325">
        <f t="shared" si="116"/>
        <v>0.20011105915361246</v>
      </c>
      <c r="S57" s="326">
        <f t="shared" si="116"/>
        <v>0.21500060629238227</v>
      </c>
      <c r="T57" s="326">
        <f t="shared" si="116"/>
        <v>0.23496197075221295</v>
      </c>
      <c r="U57" s="327">
        <f t="shared" si="116"/>
        <v>0.2619874324621872</v>
      </c>
      <c r="V57" s="325">
        <f t="shared" si="116"/>
        <v>0.2936869363336011</v>
      </c>
      <c r="W57" s="326">
        <f t="shared" si="116"/>
        <v>0.26164794755064902</v>
      </c>
      <c r="X57" s="326">
        <f t="shared" si="116"/>
        <v>0.26096896094155669</v>
      </c>
      <c r="Y57" s="327">
        <f t="shared" si="116"/>
        <v>0.23898455220174744</v>
      </c>
      <c r="Z57" s="325">
        <f t="shared" si="116"/>
        <v>0.18492420059233994</v>
      </c>
      <c r="AA57" s="326">
        <f t="shared" si="116"/>
        <v>0.18677627615750172</v>
      </c>
      <c r="AB57" s="326">
        <f t="shared" si="116"/>
        <v>0.15257562152918769</v>
      </c>
      <c r="AC57" s="327">
        <f t="shared" si="116"/>
        <v>0.15530978004777088</v>
      </c>
      <c r="AD57" s="325">
        <f t="shared" si="116"/>
        <v>0.14362499271866486</v>
      </c>
      <c r="AE57" s="326">
        <f t="shared" si="116"/>
        <v>0.13435981049652379</v>
      </c>
      <c r="AF57" s="326">
        <f t="shared" si="116"/>
        <v>0.12682541966664845</v>
      </c>
      <c r="AG57" s="327">
        <f t="shared" si="116"/>
        <v>0.10513065736547501</v>
      </c>
      <c r="AH57" s="325">
        <f t="shared" si="116"/>
        <v>0.10731567273720727</v>
      </c>
      <c r="AI57" s="326">
        <f t="shared" si="116"/>
        <v>0.11776298244900357</v>
      </c>
      <c r="AJ57" s="326">
        <f t="shared" si="116"/>
        <v>0.11163954061861484</v>
      </c>
      <c r="AK57" s="327">
        <f t="shared" si="116"/>
        <v>0.10521314549210763</v>
      </c>
      <c r="AL57" s="325">
        <f t="shared" si="116"/>
        <v>8.1249597511050306E-2</v>
      </c>
      <c r="AM57" s="326">
        <f t="shared" si="116"/>
        <v>7.3764269394852297E-2</v>
      </c>
      <c r="AN57" s="326">
        <f t="shared" si="116"/>
        <v>6.4597627158928889E-2</v>
      </c>
      <c r="AO57" s="327">
        <f t="shared" si="116"/>
        <v>6.4696602733626762E-2</v>
      </c>
      <c r="AP57" s="325">
        <f t="shared" si="116"/>
        <v>6.5901979121177387E-2</v>
      </c>
      <c r="AQ57" s="326">
        <f t="shared" si="116"/>
        <v>6.5827287751570457E-2</v>
      </c>
      <c r="AR57" s="326">
        <f t="shared" si="116"/>
        <v>6.5672183078119881E-2</v>
      </c>
      <c r="AS57" s="327">
        <f t="shared" si="116"/>
        <v>6.5621742061498067E-2</v>
      </c>
      <c r="AT57" s="329"/>
      <c r="AU57" s="330"/>
      <c r="AV57" s="330">
        <f t="shared" ref="AV57:BE57" si="117">IF(OR(AU9&lt;=0,AV9&lt;=0),"NM",(AV9-AU9)/AU9)</f>
        <v>0.42419577365003419</v>
      </c>
      <c r="AW57" s="330">
        <f t="shared" si="117"/>
        <v>0.32624925194494314</v>
      </c>
      <c r="AX57" s="330">
        <f t="shared" si="117"/>
        <v>0.24150699689215024</v>
      </c>
      <c r="AY57" s="330">
        <f t="shared" si="117"/>
        <v>0.22922350364930338</v>
      </c>
      <c r="AZ57" s="325">
        <f t="shared" si="117"/>
        <v>0.26252656478110625</v>
      </c>
      <c r="BA57" s="331">
        <f t="shared" si="117"/>
        <v>0.16908741479322767</v>
      </c>
      <c r="BB57" s="330">
        <f t="shared" si="117"/>
        <v>0.12684328479673462</v>
      </c>
      <c r="BC57" s="330">
        <f t="shared" si="117"/>
        <v>0.11042409010456437</v>
      </c>
      <c r="BD57" s="330">
        <f t="shared" si="117"/>
        <v>7.0876116289192034E-2</v>
      </c>
      <c r="BE57" s="330">
        <f t="shared" si="117"/>
        <v>6.5753110630822717E-2</v>
      </c>
    </row>
    <row r="58" spans="1:57" s="33" customFormat="1" ht="12" hidden="1" customHeight="1" outlineLevel="1">
      <c r="A58" s="332" t="s">
        <v>119</v>
      </c>
      <c r="B58" s="333"/>
      <c r="C58" s="334"/>
      <c r="D58" s="334"/>
      <c r="E58" s="335"/>
      <c r="F58" s="333">
        <f t="shared" ref="F58:AS59" si="118">IF(OR(B16&lt;=0,F16&lt;=0),"NM",(F16-B16)/B16)</f>
        <v>1.0080321285140563</v>
      </c>
      <c r="G58" s="334">
        <f t="shared" si="118"/>
        <v>0.86788420439090708</v>
      </c>
      <c r="H58" s="334">
        <f t="shared" si="118"/>
        <v>0.56976421636615793</v>
      </c>
      <c r="I58" s="335">
        <f t="shared" si="118"/>
        <v>0.40806014296278043</v>
      </c>
      <c r="J58" s="333">
        <f t="shared" si="118"/>
        <v>0.46152941176470608</v>
      </c>
      <c r="K58" s="334">
        <f t="shared" si="118"/>
        <v>0.35479509049303098</v>
      </c>
      <c r="L58" s="334">
        <f t="shared" si="118"/>
        <v>0.27460682099310824</v>
      </c>
      <c r="M58" s="335">
        <f t="shared" si="118"/>
        <v>0.53234135667396054</v>
      </c>
      <c r="N58" s="333">
        <f t="shared" si="118"/>
        <v>0.39861547130322766</v>
      </c>
      <c r="O58" s="334">
        <f t="shared" si="118"/>
        <v>0.36153550863723638</v>
      </c>
      <c r="P58" s="336">
        <f t="shared" si="118"/>
        <v>0.2469846111188132</v>
      </c>
      <c r="Q58" s="335">
        <f t="shared" si="118"/>
        <v>8.4366253498600788E-2</v>
      </c>
      <c r="R58" s="333">
        <f t="shared" si="118"/>
        <v>0.18313669064748195</v>
      </c>
      <c r="S58" s="334">
        <f t="shared" si="118"/>
        <v>0.34312619826322299</v>
      </c>
      <c r="T58" s="334">
        <f t="shared" si="118"/>
        <v>0.34215353827338962</v>
      </c>
      <c r="U58" s="335">
        <f t="shared" si="118"/>
        <v>0.42135482511588696</v>
      </c>
      <c r="V58" s="333">
        <f t="shared" si="118"/>
        <v>0.50751568808678327</v>
      </c>
      <c r="W58" s="334">
        <f t="shared" si="118"/>
        <v>0.3072757042697008</v>
      </c>
      <c r="X58" s="334">
        <f t="shared" si="118"/>
        <v>0.3734675281643472</v>
      </c>
      <c r="Y58" s="335">
        <f t="shared" si="118"/>
        <v>0.47348330430270907</v>
      </c>
      <c r="Z58" s="333">
        <f t="shared" si="118"/>
        <v>0.28431752178121972</v>
      </c>
      <c r="AA58" s="334">
        <f t="shared" si="118"/>
        <v>0.20544029802813288</v>
      </c>
      <c r="AB58" s="334">
        <f t="shared" si="118"/>
        <v>0.1968275986852023</v>
      </c>
      <c r="AC58" s="335">
        <f t="shared" si="118"/>
        <v>4.2455796171935976E-2</v>
      </c>
      <c r="AD58" s="333">
        <f t="shared" si="118"/>
        <v>3.718499535187568E-2</v>
      </c>
      <c r="AE58" s="334">
        <f t="shared" si="118"/>
        <v>8.5653390169175517E-2</v>
      </c>
      <c r="AF58" s="334">
        <f t="shared" si="118"/>
        <v>6.5032251562185131E-2</v>
      </c>
      <c r="AG58" s="335">
        <f t="shared" si="118"/>
        <v>4.3115303882066053E-2</v>
      </c>
      <c r="AH58" s="333">
        <f t="shared" si="118"/>
        <v>4.8448438749061302E-2</v>
      </c>
      <c r="AI58" s="334">
        <f t="shared" si="118"/>
        <v>9.047852760736172E-2</v>
      </c>
      <c r="AJ58" s="334">
        <f t="shared" si="118"/>
        <v>9.9529205800941614E-2</v>
      </c>
      <c r="AK58" s="335">
        <f t="shared" si="118"/>
        <v>4.2327797566729851E-2</v>
      </c>
      <c r="AL58" s="333">
        <f t="shared" si="118"/>
        <v>8.7223738242549156E-2</v>
      </c>
      <c r="AM58" s="334">
        <f t="shared" si="118"/>
        <v>7.9739842340821265E-2</v>
      </c>
      <c r="AN58" s="334">
        <f t="shared" si="118"/>
        <v>2.9283295679490871E-2</v>
      </c>
      <c r="AO58" s="335">
        <f t="shared" si="118"/>
        <v>6.4890551216048711E-2</v>
      </c>
      <c r="AP58" s="333">
        <f t="shared" si="118"/>
        <v>7.1758959800744149E-2</v>
      </c>
      <c r="AQ58" s="334">
        <f t="shared" si="118"/>
        <v>7.1725864849508908E-2</v>
      </c>
      <c r="AR58" s="334">
        <f t="shared" si="118"/>
        <v>7.1659105454963234E-2</v>
      </c>
      <c r="AS58" s="335">
        <f t="shared" si="118"/>
        <v>7.1781405310408539E-2</v>
      </c>
      <c r="AT58" s="337"/>
      <c r="AU58" s="338"/>
      <c r="AV58" s="338">
        <f t="shared" ref="AV58:BE59" si="119">IF(OR(AU16&lt;=0,AV16&lt;=0),"NM",(AV16-AU16)/AU16)</f>
        <v>0.65386172279792709</v>
      </c>
      <c r="AW58" s="338">
        <f t="shared" si="119"/>
        <v>0.40443498054189009</v>
      </c>
      <c r="AX58" s="338">
        <f t="shared" si="119"/>
        <v>0.25619978738606858</v>
      </c>
      <c r="AY58" s="338">
        <f t="shared" si="119"/>
        <v>0.32492161704725186</v>
      </c>
      <c r="AZ58" s="333">
        <f t="shared" si="119"/>
        <v>0.41407076217501021</v>
      </c>
      <c r="BA58" s="339">
        <f t="shared" si="119"/>
        <v>0.1734420354244417</v>
      </c>
      <c r="BB58" s="338">
        <f t="shared" si="119"/>
        <v>5.7190274561276122E-2</v>
      </c>
      <c r="BC58" s="338">
        <f t="shared" si="119"/>
        <v>6.9979824990748257E-2</v>
      </c>
      <c r="BD58" s="338">
        <f t="shared" si="119"/>
        <v>6.4731996557893468E-2</v>
      </c>
      <c r="BE58" s="338">
        <f t="shared" si="119"/>
        <v>7.1731256404238886E-2</v>
      </c>
    </row>
    <row r="59" spans="1:57" s="33" customFormat="1" ht="12" hidden="1" customHeight="1" outlineLevel="1">
      <c r="A59" s="332" t="s">
        <v>92</v>
      </c>
      <c r="B59" s="333"/>
      <c r="C59" s="334"/>
      <c r="D59" s="334"/>
      <c r="E59" s="335"/>
      <c r="F59" s="333">
        <f t="shared" si="118"/>
        <v>0.3961322003972631</v>
      </c>
      <c r="G59" s="334">
        <f t="shared" si="118"/>
        <v>0.3839803087021178</v>
      </c>
      <c r="H59" s="334">
        <f t="shared" si="118"/>
        <v>0.39147713670098144</v>
      </c>
      <c r="I59" s="335">
        <f t="shared" si="118"/>
        <v>0.38677912310066725</v>
      </c>
      <c r="J59" s="333">
        <f t="shared" si="118"/>
        <v>0.34127689845278325</v>
      </c>
      <c r="K59" s="334">
        <f t="shared" si="118"/>
        <v>0.34052762236466722</v>
      </c>
      <c r="L59" s="334">
        <f t="shared" si="118"/>
        <v>0.3321289700973814</v>
      </c>
      <c r="M59" s="335">
        <f t="shared" si="118"/>
        <v>0.24681798231864013</v>
      </c>
      <c r="N59" s="333">
        <f t="shared" si="118"/>
        <v>0.25626859954624465</v>
      </c>
      <c r="O59" s="334">
        <f t="shared" si="118"/>
        <v>0.23654279357094465</v>
      </c>
      <c r="P59" s="336">
        <f t="shared" si="118"/>
        <v>0.2178467181566916</v>
      </c>
      <c r="Q59" s="335">
        <f t="shared" si="118"/>
        <v>0.24585753438435098</v>
      </c>
      <c r="R59" s="333">
        <f t="shared" si="118"/>
        <v>0.20356971139751162</v>
      </c>
      <c r="S59" s="334">
        <f t="shared" si="118"/>
        <v>0.18960603520536484</v>
      </c>
      <c r="T59" s="334">
        <f t="shared" si="118"/>
        <v>0.21451221193513806</v>
      </c>
      <c r="U59" s="335">
        <f t="shared" si="118"/>
        <v>0.23145774889503301</v>
      </c>
      <c r="V59" s="333">
        <f t="shared" si="118"/>
        <v>0.25085743237976438</v>
      </c>
      <c r="W59" s="334">
        <f t="shared" si="118"/>
        <v>0.25143742953776765</v>
      </c>
      <c r="X59" s="334">
        <f t="shared" si="118"/>
        <v>0.23725113517289573</v>
      </c>
      <c r="Y59" s="335">
        <f t="shared" si="118"/>
        <v>0.18713483836604267</v>
      </c>
      <c r="Z59" s="333">
        <f t="shared" si="118"/>
        <v>0.16093100063873894</v>
      </c>
      <c r="AA59" s="334">
        <f t="shared" si="118"/>
        <v>0.18241330900955685</v>
      </c>
      <c r="AB59" s="334">
        <f t="shared" si="118"/>
        <v>0.14221892864704644</v>
      </c>
      <c r="AC59" s="335">
        <f t="shared" si="118"/>
        <v>0.18628168314097937</v>
      </c>
      <c r="AD59" s="333">
        <f t="shared" si="118"/>
        <v>0.17205008118734796</v>
      </c>
      <c r="AE59" s="334">
        <f t="shared" si="118"/>
        <v>0.14596732719157343</v>
      </c>
      <c r="AF59" s="334">
        <f t="shared" si="118"/>
        <v>0.14197885579055974</v>
      </c>
      <c r="AG59" s="335">
        <f t="shared" si="118"/>
        <v>0.12008681535444775</v>
      </c>
      <c r="AH59" s="333">
        <f t="shared" si="118"/>
        <v>0.12122738722234955</v>
      </c>
      <c r="AI59" s="334">
        <f t="shared" si="118"/>
        <v>0.12392307649688898</v>
      </c>
      <c r="AJ59" s="334">
        <f t="shared" si="118"/>
        <v>0.11440923281697234</v>
      </c>
      <c r="AK59" s="335">
        <f t="shared" si="118"/>
        <v>0.11933692473129455</v>
      </c>
      <c r="AL59" s="333">
        <f t="shared" si="118"/>
        <v>7.9929409286027875E-2</v>
      </c>
      <c r="AM59" s="334">
        <f t="shared" si="118"/>
        <v>7.2455292006728511E-2</v>
      </c>
      <c r="AN59" s="334">
        <f t="shared" si="118"/>
        <v>7.256634436115042E-2</v>
      </c>
      <c r="AO59" s="335">
        <f t="shared" si="118"/>
        <v>6.4656039615907476E-2</v>
      </c>
      <c r="AP59" s="333">
        <f t="shared" si="118"/>
        <v>6.4598939098594474E-2</v>
      </c>
      <c r="AQ59" s="334">
        <f t="shared" si="118"/>
        <v>6.4526400125102218E-2</v>
      </c>
      <c r="AR59" s="334">
        <f t="shared" si="118"/>
        <v>6.4375744899192761E-2</v>
      </c>
      <c r="AS59" s="335">
        <f t="shared" si="118"/>
        <v>6.4333203074724676E-2</v>
      </c>
      <c r="AT59" s="337"/>
      <c r="AU59" s="338"/>
      <c r="AV59" s="338">
        <f t="shared" si="119"/>
        <v>0.38939290774921298</v>
      </c>
      <c r="AW59" s="338">
        <f t="shared" si="119"/>
        <v>0.31214597599148797</v>
      </c>
      <c r="AX59" s="338">
        <f t="shared" si="119"/>
        <v>0.23867027809088012</v>
      </c>
      <c r="AY59" s="338">
        <f t="shared" si="119"/>
        <v>0.21048571327677845</v>
      </c>
      <c r="AZ59" s="333">
        <f t="shared" si="119"/>
        <v>0.23004889739625312</v>
      </c>
      <c r="BA59" s="339">
        <f t="shared" si="119"/>
        <v>0.16801455094747172</v>
      </c>
      <c r="BB59" s="338">
        <f t="shared" si="119"/>
        <v>0.14408369374561694</v>
      </c>
      <c r="BC59" s="338">
        <f t="shared" si="119"/>
        <v>0.11967447886447126</v>
      </c>
      <c r="BD59" s="338">
        <f t="shared" si="119"/>
        <v>7.2219025078461771E-2</v>
      </c>
      <c r="BE59" s="338">
        <f t="shared" si="119"/>
        <v>6.4455602334915929E-2</v>
      </c>
    </row>
    <row r="60" spans="1:57" s="33" customFormat="1" ht="12" hidden="1" customHeight="1" outlineLevel="1">
      <c r="A60" s="340" t="s">
        <v>95</v>
      </c>
      <c r="B60" s="341"/>
      <c r="C60" s="342"/>
      <c r="D60" s="342"/>
      <c r="E60" s="343"/>
      <c r="F60" s="341">
        <f t="shared" ref="F60:AS64" si="120">IF(OR(B21&lt;=0,F21&lt;=0),"NM",(F21-B21)/B21)</f>
        <v>0.50536720982315253</v>
      </c>
      <c r="G60" s="342">
        <f t="shared" si="120"/>
        <v>0.50103957687397427</v>
      </c>
      <c r="H60" s="342">
        <f t="shared" si="120"/>
        <v>0.43469912566432339</v>
      </c>
      <c r="I60" s="343">
        <f t="shared" si="120"/>
        <v>0.37872960734445776</v>
      </c>
      <c r="J60" s="341">
        <f t="shared" si="120"/>
        <v>0.26514646283281162</v>
      </c>
      <c r="K60" s="342">
        <f t="shared" si="120"/>
        <v>0.25877864450438609</v>
      </c>
      <c r="L60" s="342">
        <f t="shared" si="120"/>
        <v>0.27089357837631151</v>
      </c>
      <c r="M60" s="343">
        <f t="shared" si="120"/>
        <v>0.29804512631318458</v>
      </c>
      <c r="N60" s="341">
        <f t="shared" si="120"/>
        <v>0.12237698436834731</v>
      </c>
      <c r="O60" s="342">
        <f t="shared" si="120"/>
        <v>-3.3436293436293424E-2</v>
      </c>
      <c r="P60" s="342">
        <f t="shared" si="120"/>
        <v>-9.2876753544698806E-2</v>
      </c>
      <c r="Q60" s="343">
        <f t="shared" si="120"/>
        <v>-0.12015181449516481</v>
      </c>
      <c r="R60" s="341">
        <f t="shared" si="120"/>
        <v>-5.4553008544229419E-2</v>
      </c>
      <c r="S60" s="342">
        <f t="shared" si="120"/>
        <v>0.16044179915315174</v>
      </c>
      <c r="T60" s="342">
        <f t="shared" si="120"/>
        <v>0.25896059205207395</v>
      </c>
      <c r="U60" s="343">
        <f t="shared" si="120"/>
        <v>0.36811833993184817</v>
      </c>
      <c r="V60" s="341">
        <f t="shared" si="120"/>
        <v>0.36618964825464756</v>
      </c>
      <c r="W60" s="342">
        <f t="shared" si="120"/>
        <v>0.30221510817369751</v>
      </c>
      <c r="X60" s="342">
        <f t="shared" si="120"/>
        <v>0.22728096030034092</v>
      </c>
      <c r="Y60" s="343">
        <f t="shared" si="120"/>
        <v>0.12799101615364702</v>
      </c>
      <c r="Z60" s="341">
        <f t="shared" si="120"/>
        <v>0.15791902664149363</v>
      </c>
      <c r="AA60" s="342">
        <f t="shared" si="120"/>
        <v>7.5561723499867811E-2</v>
      </c>
      <c r="AB60" s="342">
        <f t="shared" si="120"/>
        <v>5.9301795153889517E-2</v>
      </c>
      <c r="AC60" s="343">
        <f t="shared" si="120"/>
        <v>0.13595752284678594</v>
      </c>
      <c r="AD60" s="341">
        <f t="shared" si="120"/>
        <v>2.0870321388456209E-2</v>
      </c>
      <c r="AE60" s="342">
        <f t="shared" si="120"/>
        <v>4.2714771987170989E-2</v>
      </c>
      <c r="AF60" s="342">
        <f t="shared" si="120"/>
        <v>5.3043544342275095E-2</v>
      </c>
      <c r="AG60" s="343">
        <f t="shared" si="120"/>
        <v>-9.9573033707865105E-2</v>
      </c>
      <c r="AH60" s="341">
        <f t="shared" si="120"/>
        <v>1.1511387163561064E-2</v>
      </c>
      <c r="AI60" s="342">
        <f t="shared" si="120"/>
        <v>4.9049532721294371E-2</v>
      </c>
      <c r="AJ60" s="342">
        <f t="shared" si="120"/>
        <v>-2.9347381588126311E-3</v>
      </c>
      <c r="AK60" s="343">
        <f t="shared" si="120"/>
        <v>0.11588759390052167</v>
      </c>
      <c r="AL60" s="341">
        <f t="shared" si="120"/>
        <v>6.612837917845768E-2</v>
      </c>
      <c r="AM60" s="342">
        <f t="shared" si="120"/>
        <v>2.9018462227521011E-2</v>
      </c>
      <c r="AN60" s="342">
        <f t="shared" si="120"/>
        <v>1.596912737606318E-2</v>
      </c>
      <c r="AO60" s="343">
        <f t="shared" si="120"/>
        <v>1.8167902705670334E-2</v>
      </c>
      <c r="AP60" s="341">
        <f t="shared" si="120"/>
        <v>5.0783971888451809E-2</v>
      </c>
      <c r="AQ60" s="342">
        <f t="shared" si="120"/>
        <v>5.0378487416743153E-2</v>
      </c>
      <c r="AR60" s="342">
        <f t="shared" si="120"/>
        <v>4.8669684961777558E-2</v>
      </c>
      <c r="AS60" s="343">
        <f t="shared" si="120"/>
        <v>4.9389319672260464E-2</v>
      </c>
      <c r="AT60" s="337"/>
      <c r="AU60" s="344"/>
      <c r="AV60" s="344">
        <f t="shared" ref="AV60:BE64" si="121">IF(OR(AU21&lt;=0,AV21&lt;=0),"NM",(AV21-AU21)/AU21)</f>
        <v>0.45077580195258016</v>
      </c>
      <c r="AW60" s="344">
        <f t="shared" si="121"/>
        <v>0.27380387302998799</v>
      </c>
      <c r="AX60" s="344">
        <f t="shared" si="121"/>
        <v>-3.5697608052716163E-2</v>
      </c>
      <c r="AY60" s="344">
        <f t="shared" si="121"/>
        <v>0.17704404823048886</v>
      </c>
      <c r="AZ60" s="341">
        <f t="shared" si="121"/>
        <v>0.2469278432774106</v>
      </c>
      <c r="BA60" s="345">
        <f t="shared" si="121"/>
        <v>0.10691991587984535</v>
      </c>
      <c r="BB60" s="344">
        <f t="shared" si="121"/>
        <v>1.5957703054245037E-3</v>
      </c>
      <c r="BC60" s="344">
        <f t="shared" si="121"/>
        <v>4.2620348826722929E-2</v>
      </c>
      <c r="BD60" s="344">
        <f t="shared" si="121"/>
        <v>3.224981258824932E-2</v>
      </c>
      <c r="BE60" s="344">
        <f t="shared" si="121"/>
        <v>4.9828181848982904E-2</v>
      </c>
    </row>
    <row r="61" spans="1:57" s="33" customFormat="1" ht="12" hidden="1" customHeight="1" outlineLevel="1">
      <c r="A61" s="340" t="s">
        <v>96</v>
      </c>
      <c r="B61" s="341"/>
      <c r="C61" s="342"/>
      <c r="D61" s="342"/>
      <c r="E61" s="343"/>
      <c r="F61" s="341">
        <f t="shared" si="120"/>
        <v>0.38080238726790433</v>
      </c>
      <c r="G61" s="342">
        <f t="shared" si="120"/>
        <v>0.29334137697006263</v>
      </c>
      <c r="H61" s="342">
        <f t="shared" si="120"/>
        <v>0.18015495800507852</v>
      </c>
      <c r="I61" s="343">
        <f t="shared" si="120"/>
        <v>0.2467284803051227</v>
      </c>
      <c r="J61" s="341">
        <f t="shared" si="120"/>
        <v>0.19492135910673553</v>
      </c>
      <c r="K61" s="342">
        <f t="shared" si="120"/>
        <v>0.12279167395487153</v>
      </c>
      <c r="L61" s="342">
        <f t="shared" si="120"/>
        <v>2.8301886792452921E-2</v>
      </c>
      <c r="M61" s="343">
        <f t="shared" si="120"/>
        <v>7.3474339363890542E-2</v>
      </c>
      <c r="N61" s="341">
        <f t="shared" si="120"/>
        <v>0.19984928409947258</v>
      </c>
      <c r="O61" s="342">
        <f t="shared" si="120"/>
        <v>0.11216700420626247</v>
      </c>
      <c r="P61" s="342">
        <f t="shared" si="120"/>
        <v>0.13605880143784524</v>
      </c>
      <c r="Q61" s="343">
        <f t="shared" si="120"/>
        <v>3.2429245283018349E-3</v>
      </c>
      <c r="R61" s="341">
        <f t="shared" si="120"/>
        <v>-5.0286814889251644E-2</v>
      </c>
      <c r="S61" s="342">
        <f t="shared" si="120"/>
        <v>7.5080543493486515E-2</v>
      </c>
      <c r="T61" s="342">
        <f t="shared" si="120"/>
        <v>0.18479338842975207</v>
      </c>
      <c r="U61" s="343">
        <f t="shared" si="120"/>
        <v>0.21975707708884329</v>
      </c>
      <c r="V61" s="341">
        <f t="shared" si="120"/>
        <v>0.22683184904329404</v>
      </c>
      <c r="W61" s="342">
        <f t="shared" si="120"/>
        <v>0.22262757871878416</v>
      </c>
      <c r="X61" s="342">
        <f t="shared" si="120"/>
        <v>9.1238839285714343E-2</v>
      </c>
      <c r="Y61" s="343">
        <f t="shared" si="120"/>
        <v>0.15261995583216229</v>
      </c>
      <c r="Z61" s="341">
        <f t="shared" si="120"/>
        <v>5.3581054371653419E-2</v>
      </c>
      <c r="AA61" s="342">
        <f t="shared" si="120"/>
        <v>-2.4865901744166754E-3</v>
      </c>
      <c r="AB61" s="342">
        <f t="shared" si="120"/>
        <v>1.5816196076998804E-2</v>
      </c>
      <c r="AC61" s="343">
        <f t="shared" si="120"/>
        <v>7.0473071831672673E-2</v>
      </c>
      <c r="AD61" s="341">
        <f t="shared" si="120"/>
        <v>0.11078518316392652</v>
      </c>
      <c r="AE61" s="342">
        <f t="shared" si="120"/>
        <v>0.18763576795698167</v>
      </c>
      <c r="AF61" s="342">
        <f t="shared" si="120"/>
        <v>0.27957569219705153</v>
      </c>
      <c r="AG61" s="343">
        <f t="shared" si="120"/>
        <v>5.6558950828207867E-2</v>
      </c>
      <c r="AH61" s="341">
        <f t="shared" si="120"/>
        <v>0.19809003254928478</v>
      </c>
      <c r="AI61" s="342">
        <f t="shared" si="120"/>
        <v>0.30146926536731616</v>
      </c>
      <c r="AJ61" s="342">
        <f t="shared" si="120"/>
        <v>0.18282984403540817</v>
      </c>
      <c r="AK61" s="343">
        <f t="shared" si="120"/>
        <v>0.25789262943912294</v>
      </c>
      <c r="AL61" s="341">
        <f t="shared" si="120"/>
        <v>8.1249597511050375E-2</v>
      </c>
      <c r="AM61" s="342">
        <f t="shared" si="120"/>
        <v>7.3764269394852144E-2</v>
      </c>
      <c r="AN61" s="342">
        <f t="shared" si="120"/>
        <v>6.459762715892893E-2</v>
      </c>
      <c r="AO61" s="343">
        <f t="shared" si="120"/>
        <v>6.4696602733626804E-2</v>
      </c>
      <c r="AP61" s="341">
        <f t="shared" si="120"/>
        <v>6.5901979121177442E-2</v>
      </c>
      <c r="AQ61" s="342">
        <f t="shared" si="120"/>
        <v>6.5827287751570443E-2</v>
      </c>
      <c r="AR61" s="342">
        <f t="shared" si="120"/>
        <v>6.5672183078119922E-2</v>
      </c>
      <c r="AS61" s="343">
        <f t="shared" si="120"/>
        <v>6.5621742061498026E-2</v>
      </c>
      <c r="AT61" s="337"/>
      <c r="AU61" s="344"/>
      <c r="AV61" s="344">
        <f t="shared" si="121"/>
        <v>0.26843320033636914</v>
      </c>
      <c r="AW61" s="344">
        <f t="shared" si="121"/>
        <v>0.10239230400315964</v>
      </c>
      <c r="AX61" s="344">
        <f t="shared" si="121"/>
        <v>0.11183191944007261</v>
      </c>
      <c r="AY61" s="344">
        <f t="shared" si="121"/>
        <v>0.10135453949109827</v>
      </c>
      <c r="AZ61" s="341">
        <f t="shared" si="121"/>
        <v>0.1709613375130617</v>
      </c>
      <c r="BA61" s="345">
        <f t="shared" si="121"/>
        <v>3.4597228295303407E-2</v>
      </c>
      <c r="BB61" s="344">
        <f t="shared" si="121"/>
        <v>0.15551415411685568</v>
      </c>
      <c r="BC61" s="344">
        <f t="shared" si="121"/>
        <v>0.23426489908037726</v>
      </c>
      <c r="BD61" s="344">
        <f t="shared" si="121"/>
        <v>7.0957520170851426E-2</v>
      </c>
      <c r="BE61" s="344">
        <f t="shared" si="121"/>
        <v>6.5755362931876976E-2</v>
      </c>
    </row>
    <row r="62" spans="1:57" s="33" customFormat="1" ht="12" hidden="1" customHeight="1" outlineLevel="1">
      <c r="A62" s="340" t="s">
        <v>97</v>
      </c>
      <c r="B62" s="341"/>
      <c r="C62" s="342"/>
      <c r="D62" s="342"/>
      <c r="E62" s="343"/>
      <c r="F62" s="341">
        <f t="shared" si="120"/>
        <v>0.49609895337773552</v>
      </c>
      <c r="G62" s="342">
        <f t="shared" si="120"/>
        <v>0.61044104410441047</v>
      </c>
      <c r="H62" s="342">
        <f t="shared" si="120"/>
        <v>0.65596403917161683</v>
      </c>
      <c r="I62" s="343">
        <f t="shared" si="120"/>
        <v>0.43577863577863579</v>
      </c>
      <c r="J62" s="341">
        <f t="shared" si="120"/>
        <v>0.50915797506995653</v>
      </c>
      <c r="K62" s="342">
        <f t="shared" si="120"/>
        <v>0.3427230046948358</v>
      </c>
      <c r="L62" s="342">
        <f t="shared" si="120"/>
        <v>0.29054774600096944</v>
      </c>
      <c r="M62" s="343">
        <f t="shared" si="120"/>
        <v>0.13176765865901746</v>
      </c>
      <c r="N62" s="341">
        <f t="shared" si="120"/>
        <v>0.15887062789717657</v>
      </c>
      <c r="O62" s="342">
        <f t="shared" si="120"/>
        <v>2.4891774891774996E-2</v>
      </c>
      <c r="P62" s="342">
        <f t="shared" si="120"/>
        <v>-6.3626802884615474E-2</v>
      </c>
      <c r="Q62" s="343">
        <f t="shared" si="120"/>
        <v>-1.0613020750831785E-2</v>
      </c>
      <c r="R62" s="341">
        <f t="shared" si="120"/>
        <v>-1.8909090909088183E-3</v>
      </c>
      <c r="S62" s="342">
        <f t="shared" si="120"/>
        <v>0.11932418162618776</v>
      </c>
      <c r="T62" s="342">
        <f t="shared" si="120"/>
        <v>0.20465302847974343</v>
      </c>
      <c r="U62" s="343">
        <f t="shared" si="120"/>
        <v>0.26424911943643969</v>
      </c>
      <c r="V62" s="341">
        <f t="shared" si="120"/>
        <v>0.20883124453512103</v>
      </c>
      <c r="W62" s="342">
        <f t="shared" si="120"/>
        <v>0.24825834542815683</v>
      </c>
      <c r="X62" s="342">
        <f t="shared" si="120"/>
        <v>0.11161427810335629</v>
      </c>
      <c r="Y62" s="343">
        <f t="shared" si="120"/>
        <v>0.1322737921864115</v>
      </c>
      <c r="Z62" s="341">
        <f t="shared" si="120"/>
        <v>0.1321277878239899</v>
      </c>
      <c r="AA62" s="342">
        <f t="shared" si="120"/>
        <v>3.6276960641823078E-2</v>
      </c>
      <c r="AB62" s="342">
        <f t="shared" si="120"/>
        <v>0.10843517852863661</v>
      </c>
      <c r="AC62" s="343">
        <f t="shared" si="120"/>
        <v>-0.10149871379040365</v>
      </c>
      <c r="AD62" s="341">
        <f t="shared" si="120"/>
        <v>9.5783196677670296E-2</v>
      </c>
      <c r="AE62" s="342">
        <f t="shared" si="120"/>
        <v>9.419354838709669E-2</v>
      </c>
      <c r="AF62" s="342">
        <f t="shared" si="120"/>
        <v>0.14133607177602392</v>
      </c>
      <c r="AG62" s="343">
        <f t="shared" si="120"/>
        <v>0.27845895313375241</v>
      </c>
      <c r="AH62" s="341">
        <f t="shared" si="120"/>
        <v>0.101209853748603</v>
      </c>
      <c r="AI62" s="342">
        <f t="shared" si="120"/>
        <v>0.16606849876948324</v>
      </c>
      <c r="AJ62" s="342">
        <f t="shared" si="120"/>
        <v>4.475067481176339E-2</v>
      </c>
      <c r="AK62" s="343">
        <f t="shared" si="120"/>
        <v>4.7222627914901845E-2</v>
      </c>
      <c r="AL62" s="341">
        <f t="shared" si="120"/>
        <v>6.1009133648076447E-2</v>
      </c>
      <c r="AM62" s="342">
        <f t="shared" si="120"/>
        <v>3.9121998636943309E-2</v>
      </c>
      <c r="AN62" s="342">
        <f t="shared" si="120"/>
        <v>8.4148546142688616E-2</v>
      </c>
      <c r="AO62" s="343">
        <f t="shared" si="120"/>
        <v>3.1615824461903273E-2</v>
      </c>
      <c r="AP62" s="341">
        <f t="shared" si="120"/>
        <v>4.2979355914270344E-2</v>
      </c>
      <c r="AQ62" s="342">
        <f t="shared" si="120"/>
        <v>4.1876112745917113E-2</v>
      </c>
      <c r="AR62" s="342">
        <f t="shared" si="120"/>
        <v>4.1724493570746361E-2</v>
      </c>
      <c r="AS62" s="343">
        <f t="shared" si="120"/>
        <v>3.8981198509960631E-2</v>
      </c>
      <c r="AT62" s="337"/>
      <c r="AU62" s="344"/>
      <c r="AV62" s="344">
        <f t="shared" si="121"/>
        <v>0.54294812366479939</v>
      </c>
      <c r="AW62" s="344">
        <f t="shared" si="121"/>
        <v>0.30136628438569435</v>
      </c>
      <c r="AX62" s="344">
        <f t="shared" si="121"/>
        <v>2.4149352604637075E-2</v>
      </c>
      <c r="AY62" s="344">
        <f t="shared" si="121"/>
        <v>0.14298874906895626</v>
      </c>
      <c r="AZ62" s="341">
        <f t="shared" si="121"/>
        <v>0.17238008677310387</v>
      </c>
      <c r="BA62" s="345">
        <f t="shared" si="121"/>
        <v>4.1117530900314378E-2</v>
      </c>
      <c r="BB62" s="344">
        <f t="shared" si="121"/>
        <v>0.14846296504439688</v>
      </c>
      <c r="BC62" s="344">
        <f t="shared" si="121"/>
        <v>8.8533574740344678E-2</v>
      </c>
      <c r="BD62" s="344">
        <f t="shared" si="121"/>
        <v>5.4046255844010023E-2</v>
      </c>
      <c r="BE62" s="344">
        <f t="shared" si="121"/>
        <v>4.1435353039266556E-2</v>
      </c>
    </row>
    <row r="63" spans="1:57" s="33" customFormat="1" ht="12" hidden="1" customHeight="1" outlineLevel="1">
      <c r="A63" s="332" t="s">
        <v>98</v>
      </c>
      <c r="B63" s="333"/>
      <c r="C63" s="334"/>
      <c r="D63" s="334"/>
      <c r="E63" s="335"/>
      <c r="F63" s="333">
        <f t="shared" si="120"/>
        <v>0.46946803341277737</v>
      </c>
      <c r="G63" s="334">
        <f t="shared" si="120"/>
        <v>0.45460837965867062</v>
      </c>
      <c r="H63" s="334">
        <f t="shared" si="120"/>
        <v>0.38482454239158259</v>
      </c>
      <c r="I63" s="335">
        <f t="shared" si="120"/>
        <v>0.35040475198754073</v>
      </c>
      <c r="J63" s="333">
        <f t="shared" si="120"/>
        <v>0.27693446288539636</v>
      </c>
      <c r="K63" s="334">
        <f t="shared" si="120"/>
        <v>0.23526350226029022</v>
      </c>
      <c r="L63" s="334">
        <f t="shared" si="120"/>
        <v>0.21121450116669532</v>
      </c>
      <c r="M63" s="335">
        <f t="shared" si="120"/>
        <v>0.21607123699173897</v>
      </c>
      <c r="N63" s="333">
        <f t="shared" si="120"/>
        <v>0.14673276361708165</v>
      </c>
      <c r="O63" s="334">
        <f t="shared" si="120"/>
        <v>8.7517605845743151E-3</v>
      </c>
      <c r="P63" s="336">
        <f t="shared" si="120"/>
        <v>-3.8177354368076684E-2</v>
      </c>
      <c r="Q63" s="335">
        <f t="shared" si="120"/>
        <v>-7.7205558006175609E-2</v>
      </c>
      <c r="R63" s="333">
        <f t="shared" si="120"/>
        <v>-4.5670595320027381E-2</v>
      </c>
      <c r="S63" s="334">
        <f t="shared" si="120"/>
        <v>0.13258389421929445</v>
      </c>
      <c r="T63" s="334">
        <f t="shared" si="120"/>
        <v>0.23151235359493891</v>
      </c>
      <c r="U63" s="335">
        <f t="shared" si="120"/>
        <v>0.31641152499432357</v>
      </c>
      <c r="V63" s="333">
        <f t="shared" si="120"/>
        <v>0.30623697109696313</v>
      </c>
      <c r="W63" s="334">
        <f t="shared" si="120"/>
        <v>0.27507217668008338</v>
      </c>
      <c r="X63" s="334">
        <f t="shared" si="120"/>
        <v>0.17620865770813704</v>
      </c>
      <c r="Y63" s="335">
        <f t="shared" si="120"/>
        <v>0.13417335415229312</v>
      </c>
      <c r="Z63" s="333">
        <f t="shared" si="120"/>
        <v>0.12918169113714389</v>
      </c>
      <c r="AA63" s="334">
        <f t="shared" si="120"/>
        <v>5.1821306977820385E-2</v>
      </c>
      <c r="AB63" s="334">
        <f t="shared" si="120"/>
        <v>5.617901739416381E-2</v>
      </c>
      <c r="AC63" s="335">
        <f t="shared" si="120"/>
        <v>8.6924505346737402E-2</v>
      </c>
      <c r="AD63" s="333">
        <f t="shared" si="120"/>
        <v>5.1758252671948217E-2</v>
      </c>
      <c r="AE63" s="334">
        <f t="shared" si="120"/>
        <v>8.1896246945782167E-2</v>
      </c>
      <c r="AF63" s="334">
        <f t="shared" si="120"/>
        <v>0.1163763511248062</v>
      </c>
      <c r="AG63" s="335">
        <f t="shared" si="120"/>
        <v>-1.9514565966596786E-2</v>
      </c>
      <c r="AH63" s="333">
        <f t="shared" si="120"/>
        <v>6.9055436109012769E-2</v>
      </c>
      <c r="AI63" s="334">
        <f t="shared" si="120"/>
        <v>0.12675463120974231</v>
      </c>
      <c r="AJ63" s="334">
        <f t="shared" si="120"/>
        <v>5.1535997254083282E-2</v>
      </c>
      <c r="AK63" s="335">
        <f t="shared" si="120"/>
        <v>0.13992158983371633</v>
      </c>
      <c r="AL63" s="333">
        <f t="shared" si="120"/>
        <v>6.9348689107063044E-2</v>
      </c>
      <c r="AM63" s="334">
        <f t="shared" si="120"/>
        <v>4.3016295091562171E-2</v>
      </c>
      <c r="AN63" s="334">
        <f t="shared" si="120"/>
        <v>4.0117188397000687E-2</v>
      </c>
      <c r="AO63" s="335">
        <f t="shared" si="120"/>
        <v>3.2593835356682879E-2</v>
      </c>
      <c r="AP63" s="333">
        <f t="shared" si="120"/>
        <v>5.3643887731331517E-2</v>
      </c>
      <c r="AQ63" s="334">
        <f t="shared" si="120"/>
        <v>5.3585842446616322E-2</v>
      </c>
      <c r="AR63" s="334">
        <f t="shared" si="120"/>
        <v>5.2564827551495559E-2</v>
      </c>
      <c r="AS63" s="335">
        <f t="shared" si="120"/>
        <v>5.241921426143728E-2</v>
      </c>
      <c r="AT63" s="337"/>
      <c r="AU63" s="338"/>
      <c r="AV63" s="338">
        <f t="shared" si="121"/>
        <v>0.41032647630744024</v>
      </c>
      <c r="AW63" s="338">
        <f t="shared" si="121"/>
        <v>0.23353990841999089</v>
      </c>
      <c r="AX63" s="338">
        <f t="shared" si="121"/>
        <v>6.9858899729682827E-3</v>
      </c>
      <c r="AY63" s="338">
        <f t="shared" si="121"/>
        <v>0.15275773632523817</v>
      </c>
      <c r="AZ63" s="333">
        <f t="shared" si="121"/>
        <v>0.21749078912026615</v>
      </c>
      <c r="BA63" s="339">
        <f t="shared" si="121"/>
        <v>8.0689237480565792E-2</v>
      </c>
      <c r="BB63" s="338">
        <f t="shared" si="121"/>
        <v>5.6095231125371348E-2</v>
      </c>
      <c r="BC63" s="338">
        <f t="shared" si="121"/>
        <v>9.6283706774088415E-2</v>
      </c>
      <c r="BD63" s="338">
        <f t="shared" si="121"/>
        <v>4.6122547639176524E-2</v>
      </c>
      <c r="BE63" s="338">
        <f t="shared" si="121"/>
        <v>5.3061325276714956E-2</v>
      </c>
    </row>
    <row r="64" spans="1:57" s="45" customFormat="1" ht="12" hidden="1" customHeight="1" outlineLevel="1">
      <c r="A64" s="324" t="s">
        <v>120</v>
      </c>
      <c r="B64" s="325"/>
      <c r="C64" s="326"/>
      <c r="D64" s="326"/>
      <c r="E64" s="327"/>
      <c r="F64" s="325" t="str">
        <f t="shared" si="120"/>
        <v>NM</v>
      </c>
      <c r="G64" s="326" t="str">
        <f t="shared" si="120"/>
        <v>NM</v>
      </c>
      <c r="H64" s="326" t="str">
        <f t="shared" si="120"/>
        <v>NM</v>
      </c>
      <c r="I64" s="327" t="str">
        <f t="shared" si="120"/>
        <v>NM</v>
      </c>
      <c r="J64" s="325" t="str">
        <f t="shared" si="120"/>
        <v>NM</v>
      </c>
      <c r="K64" s="326" t="str">
        <f t="shared" si="120"/>
        <v>NM</v>
      </c>
      <c r="L64" s="326" t="str">
        <f t="shared" si="120"/>
        <v>NM</v>
      </c>
      <c r="M64" s="327" t="str">
        <f t="shared" si="120"/>
        <v>NM</v>
      </c>
      <c r="N64" s="325" t="str">
        <f t="shared" si="120"/>
        <v>NM</v>
      </c>
      <c r="O64" s="326" t="str">
        <f t="shared" si="120"/>
        <v>NM</v>
      </c>
      <c r="P64" s="328" t="str">
        <f t="shared" si="120"/>
        <v>NM</v>
      </c>
      <c r="Q64" s="327" t="str">
        <f t="shared" si="120"/>
        <v>NM</v>
      </c>
      <c r="R64" s="325" t="str">
        <f t="shared" si="120"/>
        <v>NM</v>
      </c>
      <c r="S64" s="326">
        <f t="shared" si="120"/>
        <v>1.0309913717203787</v>
      </c>
      <c r="T64" s="326">
        <f t="shared" si="120"/>
        <v>0.1023844047043638</v>
      </c>
      <c r="U64" s="327">
        <f t="shared" si="120"/>
        <v>-0.22958687333809052</v>
      </c>
      <c r="V64" s="325">
        <f t="shared" si="120"/>
        <v>-0.10304601425793991</v>
      </c>
      <c r="W64" s="326">
        <f t="shared" si="120"/>
        <v>5.6962025316455361E-2</v>
      </c>
      <c r="X64" s="326">
        <f t="shared" si="120"/>
        <v>0.68702959444647671</v>
      </c>
      <c r="Y64" s="327">
        <f t="shared" si="120"/>
        <v>0.67825574543311917</v>
      </c>
      <c r="Z64" s="325">
        <f t="shared" si="120"/>
        <v>0.4564065510597331</v>
      </c>
      <c r="AA64" s="326">
        <f t="shared" si="120"/>
        <v>1.4787138052661797</v>
      </c>
      <c r="AB64" s="326">
        <f t="shared" si="120"/>
        <v>0.58422488846537035</v>
      </c>
      <c r="AC64" s="327">
        <f t="shared" si="120"/>
        <v>0.80893860353129898</v>
      </c>
      <c r="AD64" s="325">
        <f t="shared" si="120"/>
        <v>1.0400198445510138</v>
      </c>
      <c r="AE64" s="326">
        <f t="shared" si="120"/>
        <v>0.41584486067906595</v>
      </c>
      <c r="AF64" s="326">
        <f t="shared" si="120"/>
        <v>0.22966507177033516</v>
      </c>
      <c r="AG64" s="327">
        <f t="shared" si="120"/>
        <v>0.64575881096969245</v>
      </c>
      <c r="AH64" s="325">
        <f t="shared" si="120"/>
        <v>0.31531020319930869</v>
      </c>
      <c r="AI64" s="326">
        <f t="shared" si="120"/>
        <v>0.11480927449513846</v>
      </c>
      <c r="AJ64" s="326">
        <f t="shared" si="120"/>
        <v>0.30990550305725378</v>
      </c>
      <c r="AK64" s="327">
        <f t="shared" si="120"/>
        <v>7.315799228319679E-2</v>
      </c>
      <c r="AL64" s="325">
        <f t="shared" si="120"/>
        <v>0.11192110588236423</v>
      </c>
      <c r="AM64" s="326">
        <f t="shared" si="120"/>
        <v>0.16822461520680893</v>
      </c>
      <c r="AN64" s="326">
        <f t="shared" si="120"/>
        <v>0.15356172456049835</v>
      </c>
      <c r="AO64" s="327">
        <f t="shared" si="120"/>
        <v>0.14105804790014706</v>
      </c>
      <c r="AP64" s="325">
        <f t="shared" si="120"/>
        <v>9.6454248610062007E-2</v>
      </c>
      <c r="AQ64" s="326">
        <f t="shared" si="120"/>
        <v>9.6303013570827781E-2</v>
      </c>
      <c r="AR64" s="326">
        <f t="shared" si="120"/>
        <v>9.095739332237425E-2</v>
      </c>
      <c r="AS64" s="327">
        <f t="shared" si="120"/>
        <v>9.0024757152206425E-2</v>
      </c>
      <c r="AT64" s="329"/>
      <c r="AU64" s="330"/>
      <c r="AV64" s="330" t="str">
        <f t="shared" si="121"/>
        <v>NM</v>
      </c>
      <c r="AW64" s="330" t="str">
        <f t="shared" si="121"/>
        <v>NM</v>
      </c>
      <c r="AX64" s="330" t="str">
        <f t="shared" si="121"/>
        <v>NM</v>
      </c>
      <c r="AY64" s="330">
        <f t="shared" si="121"/>
        <v>0.9766991044081712</v>
      </c>
      <c r="AZ64" s="325">
        <f t="shared" si="121"/>
        <v>0.32725311366088117</v>
      </c>
      <c r="BA64" s="331">
        <f t="shared" si="121"/>
        <v>0.78804492389537495</v>
      </c>
      <c r="BB64" s="330">
        <f t="shared" si="121"/>
        <v>0.52167409109316754</v>
      </c>
      <c r="BC64" s="330">
        <f t="shared" si="121"/>
        <v>0.18934053161559444</v>
      </c>
      <c r="BD64" s="330">
        <f t="shared" si="121"/>
        <v>0.14386227465590998</v>
      </c>
      <c r="BE64" s="330">
        <f t="shared" si="121"/>
        <v>9.3063700557990736E-2</v>
      </c>
    </row>
    <row r="65" spans="1:57" s="33" customFormat="1" ht="12" hidden="1" customHeight="1" outlineLevel="1">
      <c r="A65" s="332" t="s">
        <v>121</v>
      </c>
      <c r="B65" s="333"/>
      <c r="C65" s="334"/>
      <c r="D65" s="334"/>
      <c r="E65" s="346"/>
      <c r="F65" s="333" t="str">
        <f t="shared" ref="F65:AS65" si="122">IF(OR(B39&lt;=0,F39&lt;=0),"NM",(F39-B39)/B39)</f>
        <v>NM</v>
      </c>
      <c r="G65" s="334" t="str">
        <f t="shared" si="122"/>
        <v>NM</v>
      </c>
      <c r="H65" s="334" t="str">
        <f t="shared" si="122"/>
        <v>NM</v>
      </c>
      <c r="I65" s="335" t="str">
        <f t="shared" si="122"/>
        <v>NM</v>
      </c>
      <c r="J65" s="333" t="str">
        <f t="shared" si="122"/>
        <v>NM</v>
      </c>
      <c r="K65" s="334" t="str">
        <f t="shared" si="122"/>
        <v>NM</v>
      </c>
      <c r="L65" s="334" t="str">
        <f t="shared" si="122"/>
        <v>NM</v>
      </c>
      <c r="M65" s="335" t="str">
        <f t="shared" si="122"/>
        <v>NM</v>
      </c>
      <c r="N65" s="333" t="str">
        <f t="shared" si="122"/>
        <v>NM</v>
      </c>
      <c r="O65" s="334" t="str">
        <f t="shared" si="122"/>
        <v>NM</v>
      </c>
      <c r="P65" s="336" t="str">
        <f t="shared" si="122"/>
        <v>NM</v>
      </c>
      <c r="Q65" s="335" t="str">
        <f t="shared" si="122"/>
        <v>NM</v>
      </c>
      <c r="R65" s="333" t="str">
        <f t="shared" si="122"/>
        <v>NM</v>
      </c>
      <c r="S65" s="334">
        <f t="shared" si="122"/>
        <v>1.1520864223681491</v>
      </c>
      <c r="T65" s="334">
        <f t="shared" si="122"/>
        <v>-0.23027191481270445</v>
      </c>
      <c r="U65" s="335">
        <f t="shared" si="122"/>
        <v>-0.58695501008274908</v>
      </c>
      <c r="V65" s="333">
        <f t="shared" si="122"/>
        <v>-0.52763648694472776</v>
      </c>
      <c r="W65" s="334">
        <f t="shared" si="122"/>
        <v>-0.41309055118110238</v>
      </c>
      <c r="X65" s="334">
        <f t="shared" si="122"/>
        <v>1.1224061264822185</v>
      </c>
      <c r="Y65" s="335">
        <f t="shared" si="122"/>
        <v>1.3912457912457961</v>
      </c>
      <c r="Z65" s="333">
        <f t="shared" si="122"/>
        <v>0.87552045944006318</v>
      </c>
      <c r="AA65" s="334">
        <f t="shared" si="122"/>
        <v>3.4048297836659391</v>
      </c>
      <c r="AB65" s="334">
        <f t="shared" si="122"/>
        <v>0.61019612407612212</v>
      </c>
      <c r="AC65" s="335">
        <f t="shared" si="122"/>
        <v>1.1232047310616711</v>
      </c>
      <c r="AD65" s="333">
        <f t="shared" si="122"/>
        <v>1.330245732220771</v>
      </c>
      <c r="AE65" s="334">
        <f t="shared" si="122"/>
        <v>0.45290489606335232</v>
      </c>
      <c r="AF65" s="334">
        <f t="shared" si="122"/>
        <v>0.4212447592887093</v>
      </c>
      <c r="AG65" s="335">
        <f t="shared" si="122"/>
        <v>0.67995225147556282</v>
      </c>
      <c r="AH65" s="333">
        <f t="shared" si="122"/>
        <v>0.45367936925098629</v>
      </c>
      <c r="AI65" s="334">
        <f t="shared" si="122"/>
        <v>8.5818353335779154E-2</v>
      </c>
      <c r="AJ65" s="334">
        <f t="shared" si="122"/>
        <v>0.30808941332044831</v>
      </c>
      <c r="AK65" s="335">
        <f t="shared" si="122"/>
        <v>0.13107926732985969</v>
      </c>
      <c r="AL65" s="333">
        <f t="shared" si="122"/>
        <v>8.1626749627928694E-2</v>
      </c>
      <c r="AM65" s="334">
        <f t="shared" si="122"/>
        <v>0.12777568952636439</v>
      </c>
      <c r="AN65" s="334">
        <f t="shared" si="122"/>
        <v>0.15035152764556625</v>
      </c>
      <c r="AO65" s="335">
        <f t="shared" si="122"/>
        <v>0.11839124413060068</v>
      </c>
      <c r="AP65" s="333">
        <f t="shared" si="122"/>
        <v>6.4677315764807189E-2</v>
      </c>
      <c r="AQ65" s="334">
        <f t="shared" si="122"/>
        <v>0.1319442074500379</v>
      </c>
      <c r="AR65" s="334">
        <f t="shared" si="122"/>
        <v>0.11798604653729011</v>
      </c>
      <c r="AS65" s="335">
        <f t="shared" si="122"/>
        <v>0.11457066276144441</v>
      </c>
      <c r="AT65" s="337"/>
      <c r="AU65" s="338"/>
      <c r="AV65" s="338" t="str">
        <f t="shared" ref="AV65:BE65" si="123">IF(OR(AU39&lt;=0,AV39&lt;=0),"NM",(AV39-AU39)/AU39)</f>
        <v>NM</v>
      </c>
      <c r="AW65" s="338" t="str">
        <f t="shared" si="123"/>
        <v>NM</v>
      </c>
      <c r="AX65" s="338" t="str">
        <f t="shared" si="123"/>
        <v>NM</v>
      </c>
      <c r="AY65" s="338">
        <f t="shared" si="123"/>
        <v>0.87270366451860948</v>
      </c>
      <c r="AZ65" s="333">
        <f t="shared" si="123"/>
        <v>0.1380036465422054</v>
      </c>
      <c r="BA65" s="339">
        <f t="shared" si="123"/>
        <v>1.1923727857384638</v>
      </c>
      <c r="BB65" s="338">
        <f t="shared" si="123"/>
        <v>0.6323297823066234</v>
      </c>
      <c r="BC65" s="338">
        <f t="shared" si="123"/>
        <v>0.22599928116073631</v>
      </c>
      <c r="BD65" s="338">
        <f t="shared" si="123"/>
        <v>0.1204794375450111</v>
      </c>
      <c r="BE65" s="338">
        <f t="shared" si="123"/>
        <v>0.1082636828354954</v>
      </c>
    </row>
    <row r="66" spans="1:57" s="33" customFormat="1" ht="12" hidden="1" customHeight="1" outlineLevel="1">
      <c r="A66" s="347" t="s">
        <v>122</v>
      </c>
      <c r="B66" s="348"/>
      <c r="C66" s="349"/>
      <c r="D66" s="349"/>
      <c r="E66" s="350"/>
      <c r="F66" s="348" t="str">
        <f t="shared" ref="F66:AS66" si="124">IF(OR(B46&lt;=0,F46&lt;=0),"NM",(F46-B46)/B46)</f>
        <v>NM</v>
      </c>
      <c r="G66" s="349" t="str">
        <f t="shared" si="124"/>
        <v>NM</v>
      </c>
      <c r="H66" s="349" t="str">
        <f t="shared" si="124"/>
        <v>NM</v>
      </c>
      <c r="I66" s="351" t="str">
        <f t="shared" si="124"/>
        <v>NM</v>
      </c>
      <c r="J66" s="348" t="str">
        <f t="shared" si="124"/>
        <v>NM</v>
      </c>
      <c r="K66" s="349" t="str">
        <f t="shared" si="124"/>
        <v>NM</v>
      </c>
      <c r="L66" s="349" t="str">
        <f t="shared" si="124"/>
        <v>NM</v>
      </c>
      <c r="M66" s="351" t="str">
        <f t="shared" si="124"/>
        <v>NM</v>
      </c>
      <c r="N66" s="348" t="str">
        <f t="shared" si="124"/>
        <v>NM</v>
      </c>
      <c r="O66" s="349" t="str">
        <f t="shared" si="124"/>
        <v>NM</v>
      </c>
      <c r="P66" s="352" t="str">
        <f t="shared" si="124"/>
        <v>NM</v>
      </c>
      <c r="Q66" s="351" t="str">
        <f t="shared" si="124"/>
        <v>NM</v>
      </c>
      <c r="R66" s="348" t="str">
        <f t="shared" si="124"/>
        <v>NM</v>
      </c>
      <c r="S66" s="349">
        <f t="shared" si="124"/>
        <v>1.0522583701067914</v>
      </c>
      <c r="T66" s="349">
        <f t="shared" si="124"/>
        <v>-0.25543570313114317</v>
      </c>
      <c r="U66" s="351">
        <f t="shared" si="124"/>
        <v>-0.60034299315881945</v>
      </c>
      <c r="V66" s="348">
        <f t="shared" si="124"/>
        <v>-0.54062340918919904</v>
      </c>
      <c r="W66" s="349">
        <f t="shared" si="124"/>
        <v>-0.43391080556376121</v>
      </c>
      <c r="X66" s="349">
        <f t="shared" si="124"/>
        <v>1.07987986126191</v>
      </c>
      <c r="Y66" s="351">
        <f t="shared" si="124"/>
        <v>1.3692752822149019</v>
      </c>
      <c r="Z66" s="348">
        <f t="shared" si="124"/>
        <v>0.84235477114385415</v>
      </c>
      <c r="AA66" s="349">
        <f t="shared" si="124"/>
        <v>3.3314508089511632</v>
      </c>
      <c r="AB66" s="349">
        <f t="shared" si="124"/>
        <v>0.5422918532436547</v>
      </c>
      <c r="AC66" s="351">
        <f t="shared" si="124"/>
        <v>1.0453047648179048</v>
      </c>
      <c r="AD66" s="348">
        <f t="shared" si="124"/>
        <v>1.2545911038532767</v>
      </c>
      <c r="AE66" s="349">
        <f t="shared" si="124"/>
        <v>0.41749612458293689</v>
      </c>
      <c r="AF66" s="349">
        <f t="shared" si="124"/>
        <v>0.41216081867551507</v>
      </c>
      <c r="AG66" s="351">
        <f t="shared" si="124"/>
        <v>0.6551299813634115</v>
      </c>
      <c r="AH66" s="348">
        <f t="shared" si="124"/>
        <v>0.44330531227923903</v>
      </c>
      <c r="AI66" s="349">
        <f t="shared" si="124"/>
        <v>8.7417809058698961E-2</v>
      </c>
      <c r="AJ66" s="349">
        <f t="shared" si="124"/>
        <v>0.32240885906415945</v>
      </c>
      <c r="AK66" s="351">
        <f t="shared" si="124"/>
        <v>0.17770122317448594</v>
      </c>
      <c r="AL66" s="348">
        <f t="shared" si="124"/>
        <v>0.13850041729382451</v>
      </c>
      <c r="AM66" s="349">
        <f t="shared" si="124"/>
        <v>0.17486594192922456</v>
      </c>
      <c r="AN66" s="349">
        <f t="shared" si="124"/>
        <v>0.18939228360288041</v>
      </c>
      <c r="AO66" s="351">
        <f t="shared" si="124"/>
        <v>0.12787315378834213</v>
      </c>
      <c r="AP66" s="348">
        <f t="shared" si="124"/>
        <v>6.1706876855419354E-2</v>
      </c>
      <c r="AQ66" s="349">
        <f t="shared" si="124"/>
        <v>0.12564555491722423</v>
      </c>
      <c r="AR66" s="349">
        <f t="shared" si="124"/>
        <v>0.10868046232615911</v>
      </c>
      <c r="AS66" s="351">
        <f t="shared" si="124"/>
        <v>0.10223534562515606</v>
      </c>
      <c r="AT66" s="337"/>
      <c r="AU66" s="353"/>
      <c r="AV66" s="353" t="str">
        <f t="shared" ref="AV66:BE66" si="125">IF(OR(AU46&lt;=0,AV46&lt;=0),"NM",(AV46-AU46)/AU46)</f>
        <v>NM</v>
      </c>
      <c r="AW66" s="353" t="str">
        <f t="shared" si="125"/>
        <v>NM</v>
      </c>
      <c r="AX66" s="353" t="str">
        <f t="shared" si="125"/>
        <v>NM</v>
      </c>
      <c r="AY66" s="353">
        <f t="shared" si="125"/>
        <v>0.79339203446806283</v>
      </c>
      <c r="AZ66" s="348">
        <f t="shared" si="125"/>
        <v>0.11177419907608629</v>
      </c>
      <c r="BA66" s="354">
        <f t="shared" si="125"/>
        <v>1.1302596952652888</v>
      </c>
      <c r="BB66" s="353">
        <f t="shared" si="125"/>
        <v>0.60051102350199703</v>
      </c>
      <c r="BC66" s="353">
        <f t="shared" si="125"/>
        <v>0.23990179591216049</v>
      </c>
      <c r="BD66" s="353">
        <f t="shared" si="125"/>
        <v>0.15878662984598824</v>
      </c>
      <c r="BE66" s="353">
        <f t="shared" si="125"/>
        <v>0.10056578733274432</v>
      </c>
    </row>
    <row r="67" spans="1:57" s="33" customFormat="1" ht="12" hidden="1" customHeight="1" outlineLevel="1">
      <c r="A67" s="355"/>
      <c r="B67" s="334"/>
      <c r="C67" s="334"/>
      <c r="D67" s="334"/>
      <c r="E67" s="356"/>
      <c r="F67" s="334"/>
      <c r="G67" s="334"/>
      <c r="H67" s="334"/>
      <c r="I67" s="334"/>
      <c r="J67" s="334"/>
      <c r="K67" s="334"/>
      <c r="L67" s="334"/>
      <c r="M67" s="334"/>
      <c r="N67" s="334"/>
      <c r="O67" s="334"/>
      <c r="P67" s="336"/>
      <c r="Q67" s="334"/>
      <c r="R67" s="334"/>
      <c r="S67" s="334"/>
      <c r="T67" s="334"/>
      <c r="U67" s="334"/>
      <c r="V67" s="334"/>
      <c r="W67" s="334"/>
      <c r="X67" s="334"/>
      <c r="Y67" s="334"/>
      <c r="Z67" s="334"/>
      <c r="AA67" s="334"/>
      <c r="AB67" s="334"/>
      <c r="AC67" s="357"/>
      <c r="AD67" s="334"/>
      <c r="AE67" s="334"/>
      <c r="AF67" s="334"/>
      <c r="AG67" s="334"/>
      <c r="AH67" s="334"/>
      <c r="AI67" s="334"/>
      <c r="AJ67" s="334"/>
      <c r="AK67" s="334"/>
      <c r="AL67" s="334"/>
      <c r="AM67" s="334"/>
      <c r="AN67" s="334"/>
      <c r="AO67" s="334"/>
      <c r="AP67" s="334"/>
      <c r="AQ67" s="334"/>
      <c r="AR67" s="334"/>
      <c r="AS67" s="334"/>
      <c r="AT67" s="337"/>
      <c r="AU67" s="334"/>
      <c r="AV67" s="334"/>
      <c r="AW67" s="334"/>
      <c r="AX67" s="334"/>
      <c r="AY67" s="334"/>
      <c r="AZ67" s="334"/>
      <c r="BA67" s="334"/>
      <c r="BB67" s="334"/>
      <c r="BC67" s="334"/>
      <c r="BD67" s="334"/>
      <c r="BE67" s="334"/>
    </row>
    <row r="68" spans="1:57" s="62" customFormat="1" ht="12" customHeight="1" collapsed="1">
      <c r="A68" s="358" t="s">
        <v>123</v>
      </c>
      <c r="B68" s="359">
        <f t="shared" ref="B68:AS68" si="126">B4</f>
        <v>42825</v>
      </c>
      <c r="C68" s="359">
        <f t="shared" si="126"/>
        <v>42916</v>
      </c>
      <c r="D68" s="359">
        <f t="shared" si="126"/>
        <v>43008</v>
      </c>
      <c r="E68" s="359">
        <f t="shared" si="126"/>
        <v>43100</v>
      </c>
      <c r="F68" s="360">
        <f t="shared" si="126"/>
        <v>43190</v>
      </c>
      <c r="G68" s="359">
        <f t="shared" si="126"/>
        <v>43281</v>
      </c>
      <c r="H68" s="359">
        <f t="shared" si="126"/>
        <v>43373</v>
      </c>
      <c r="I68" s="359">
        <f t="shared" si="126"/>
        <v>43465</v>
      </c>
      <c r="J68" s="360">
        <f t="shared" si="126"/>
        <v>43555</v>
      </c>
      <c r="K68" s="359">
        <f t="shared" si="126"/>
        <v>43646</v>
      </c>
      <c r="L68" s="359">
        <f t="shared" si="126"/>
        <v>43738</v>
      </c>
      <c r="M68" s="359">
        <f t="shared" si="126"/>
        <v>43830</v>
      </c>
      <c r="N68" s="360">
        <f t="shared" si="126"/>
        <v>43921</v>
      </c>
      <c r="O68" s="359">
        <f t="shared" si="126"/>
        <v>44012</v>
      </c>
      <c r="P68" s="359">
        <f t="shared" si="126"/>
        <v>44104</v>
      </c>
      <c r="Q68" s="359">
        <f t="shared" si="126"/>
        <v>44196</v>
      </c>
      <c r="R68" s="360">
        <f t="shared" si="126"/>
        <v>44286</v>
      </c>
      <c r="S68" s="359">
        <f t="shared" si="126"/>
        <v>44377</v>
      </c>
      <c r="T68" s="359">
        <f t="shared" si="126"/>
        <v>44469</v>
      </c>
      <c r="U68" s="359">
        <f t="shared" si="126"/>
        <v>44561</v>
      </c>
      <c r="V68" s="360">
        <f t="shared" si="126"/>
        <v>44651</v>
      </c>
      <c r="W68" s="359">
        <f t="shared" si="126"/>
        <v>44742</v>
      </c>
      <c r="X68" s="359">
        <f t="shared" si="126"/>
        <v>44834</v>
      </c>
      <c r="Y68" s="359">
        <f t="shared" si="126"/>
        <v>44926</v>
      </c>
      <c r="Z68" s="360">
        <f t="shared" si="126"/>
        <v>45016</v>
      </c>
      <c r="AA68" s="359">
        <f t="shared" si="126"/>
        <v>45107</v>
      </c>
      <c r="AB68" s="359">
        <f t="shared" si="126"/>
        <v>45199</v>
      </c>
      <c r="AC68" s="361">
        <f t="shared" si="126"/>
        <v>45291</v>
      </c>
      <c r="AD68" s="360">
        <f t="shared" si="126"/>
        <v>45382</v>
      </c>
      <c r="AE68" s="359">
        <f t="shared" si="126"/>
        <v>45473</v>
      </c>
      <c r="AF68" s="359" t="str">
        <f t="shared" si="126"/>
        <v>Sep-24</v>
      </c>
      <c r="AG68" s="361" t="str">
        <f t="shared" si="126"/>
        <v>Dec-24</v>
      </c>
      <c r="AH68" s="360" t="str">
        <f t="shared" si="126"/>
        <v>Mar-25</v>
      </c>
      <c r="AI68" s="359" t="str">
        <f t="shared" si="126"/>
        <v>Jun-25</v>
      </c>
      <c r="AJ68" s="359" t="str">
        <f t="shared" si="126"/>
        <v>Sep-25</v>
      </c>
      <c r="AK68" s="361" t="str">
        <f t="shared" si="126"/>
        <v>Dec-25</v>
      </c>
      <c r="AL68" s="360" t="str">
        <f t="shared" si="126"/>
        <v>Mar-26E</v>
      </c>
      <c r="AM68" s="359" t="str">
        <f t="shared" si="126"/>
        <v>Jun-26E</v>
      </c>
      <c r="AN68" s="359" t="str">
        <f t="shared" si="126"/>
        <v>Sep-26E</v>
      </c>
      <c r="AO68" s="361" t="str">
        <f t="shared" si="126"/>
        <v>Dec-26E</v>
      </c>
      <c r="AP68" s="360" t="str">
        <f t="shared" si="126"/>
        <v>Mar-27E</v>
      </c>
      <c r="AQ68" s="359" t="str">
        <f t="shared" si="126"/>
        <v>Jun-27E</v>
      </c>
      <c r="AR68" s="359" t="str">
        <f t="shared" si="126"/>
        <v>Sep-27E</v>
      </c>
      <c r="AS68" s="361" t="str">
        <f t="shared" si="126"/>
        <v>Dec-27E</v>
      </c>
      <c r="AT68" s="61"/>
      <c r="AU68" s="362">
        <f t="shared" ref="AU68:BE68" si="127">AU56</f>
        <v>2017</v>
      </c>
      <c r="AV68" s="363">
        <f t="shared" si="127"/>
        <v>2018</v>
      </c>
      <c r="AW68" s="362">
        <f t="shared" si="127"/>
        <v>2019</v>
      </c>
      <c r="AX68" s="362">
        <f t="shared" si="127"/>
        <v>2020</v>
      </c>
      <c r="AY68" s="364" t="str">
        <f t="shared" si="127"/>
        <v>CY21</v>
      </c>
      <c r="AZ68" s="362" t="str">
        <f t="shared" si="127"/>
        <v>CY22</v>
      </c>
      <c r="BA68" s="363" t="str">
        <f t="shared" si="127"/>
        <v>CY23</v>
      </c>
      <c r="BB68" s="363" t="str">
        <f t="shared" si="127"/>
        <v>CY24</v>
      </c>
      <c r="BC68" s="363" t="str">
        <f t="shared" si="127"/>
        <v>CY25</v>
      </c>
      <c r="BD68" s="363" t="str">
        <f t="shared" si="127"/>
        <v>CY26E</v>
      </c>
      <c r="BE68" s="363" t="str">
        <f t="shared" si="127"/>
        <v>CY27E</v>
      </c>
    </row>
    <row r="69" spans="1:57" s="62" customFormat="1" ht="11.45" customHeight="1">
      <c r="A69" s="324" t="s">
        <v>124</v>
      </c>
      <c r="B69" s="325">
        <f t="shared" ref="B69:AK69" si="128">+B17/B$9</f>
        <v>0.89543242508831311</v>
      </c>
      <c r="C69" s="326">
        <f t="shared" si="128"/>
        <v>0.88341751795057655</v>
      </c>
      <c r="D69" s="326">
        <f t="shared" si="128"/>
        <v>0.85279706002449984</v>
      </c>
      <c r="E69" s="327">
        <f t="shared" si="128"/>
        <v>0.85006559861041819</v>
      </c>
      <c r="F69" s="325">
        <f t="shared" si="128"/>
        <v>0.85619300590454595</v>
      </c>
      <c r="G69" s="326">
        <f t="shared" si="128"/>
        <v>0.84881746131588887</v>
      </c>
      <c r="H69" s="326">
        <f t="shared" si="128"/>
        <v>0.83701036866359446</v>
      </c>
      <c r="I69" s="326">
        <f t="shared" si="128"/>
        <v>0.84811422342165088</v>
      </c>
      <c r="J69" s="365">
        <f t="shared" si="128"/>
        <v>0.84529457914596329</v>
      </c>
      <c r="K69" s="326">
        <f t="shared" si="128"/>
        <v>0.84745385552328312</v>
      </c>
      <c r="L69" s="326">
        <f t="shared" si="128"/>
        <v>0.84294299525323346</v>
      </c>
      <c r="M69" s="327">
        <f t="shared" si="128"/>
        <v>0.81960659048521867</v>
      </c>
      <c r="N69" s="365">
        <f t="shared" si="128"/>
        <v>0.83073221105135997</v>
      </c>
      <c r="O69" s="326">
        <f t="shared" si="128"/>
        <v>0.83458478299396499</v>
      </c>
      <c r="P69" s="326">
        <f t="shared" si="128"/>
        <v>0.83978732120909849</v>
      </c>
      <c r="Q69" s="327">
        <f t="shared" si="128"/>
        <v>0.83923036533934048</v>
      </c>
      <c r="R69" s="326">
        <f t="shared" si="128"/>
        <v>0.83312633433179906</v>
      </c>
      <c r="S69" s="326">
        <f t="shared" si="128"/>
        <v>0.81714123400302474</v>
      </c>
      <c r="T69" s="326">
        <f t="shared" si="128"/>
        <v>0.82588126694744124</v>
      </c>
      <c r="U69" s="326">
        <f t="shared" si="128"/>
        <v>0.81892791474855386</v>
      </c>
      <c r="V69" s="365">
        <f t="shared" si="128"/>
        <v>0.80554440038150688</v>
      </c>
      <c r="W69" s="326">
        <f t="shared" si="128"/>
        <v>0.81052810923628305</v>
      </c>
      <c r="X69" s="326">
        <f t="shared" si="128"/>
        <v>0.81034709552704876</v>
      </c>
      <c r="Y69" s="327">
        <f t="shared" si="128"/>
        <v>0.78465696443175859</v>
      </c>
      <c r="Z69" s="365">
        <f t="shared" si="128"/>
        <v>0.78923315628657209</v>
      </c>
      <c r="AA69" s="326">
        <f t="shared" si="128"/>
        <v>0.80754835004819625</v>
      </c>
      <c r="AB69" s="326">
        <f t="shared" si="128"/>
        <v>0.80306556376501648</v>
      </c>
      <c r="AC69" s="326">
        <f t="shared" si="128"/>
        <v>0.80569229182488999</v>
      </c>
      <c r="AD69" s="365">
        <f t="shared" si="128"/>
        <v>0.80884974601895709</v>
      </c>
      <c r="AE69" s="326">
        <f t="shared" si="128"/>
        <v>0.81581171663480101</v>
      </c>
      <c r="AF69" s="326">
        <f t="shared" si="128"/>
        <v>0.81386510956105118</v>
      </c>
      <c r="AG69" s="326">
        <f t="shared" si="128"/>
        <v>0.81659603531143554</v>
      </c>
      <c r="AH69" s="365">
        <f t="shared" si="128"/>
        <v>0.81901169622434</v>
      </c>
      <c r="AI69" s="326">
        <f t="shared" si="128"/>
        <v>0.82030772963464682</v>
      </c>
      <c r="AJ69" s="326">
        <f t="shared" si="128"/>
        <v>0.81589288543812388</v>
      </c>
      <c r="AK69" s="326">
        <f t="shared" si="128"/>
        <v>0.82703150848452978</v>
      </c>
      <c r="AL69" s="366">
        <f>AH69-0.001</f>
        <v>0.81801169622434</v>
      </c>
      <c r="AM69" s="367">
        <f t="shared" ref="AM69" si="129">AI69-0.001</f>
        <v>0.81930772963464682</v>
      </c>
      <c r="AN69" s="367">
        <v>0.82199999999999995</v>
      </c>
      <c r="AO69" s="368">
        <v>0.82699999999999996</v>
      </c>
      <c r="AP69" s="367">
        <f t="shared" ref="AP69:AS69" si="130">AL69-0.001</f>
        <v>0.81701169622434</v>
      </c>
      <c r="AQ69" s="367">
        <f t="shared" si="130"/>
        <v>0.81830772963464682</v>
      </c>
      <c r="AR69" s="367">
        <f t="shared" si="130"/>
        <v>0.82099999999999995</v>
      </c>
      <c r="AS69" s="367">
        <f t="shared" si="130"/>
        <v>0.82599999999999996</v>
      </c>
      <c r="AT69" s="369"/>
      <c r="AU69" s="370">
        <f t="shared" ref="AU69:BE69" si="131">+AU17/AU$9</f>
        <v>0.86840465143532897</v>
      </c>
      <c r="AV69" s="326">
        <f t="shared" si="131"/>
        <v>0.84718357271095146</v>
      </c>
      <c r="AW69" s="370">
        <f t="shared" si="131"/>
        <v>0.83817466002605845</v>
      </c>
      <c r="AX69" s="370">
        <f t="shared" si="131"/>
        <v>0.83625951510718477</v>
      </c>
      <c r="AY69" s="326">
        <f t="shared" si="131"/>
        <v>0.82351191026185933</v>
      </c>
      <c r="AZ69" s="370">
        <f t="shared" si="131"/>
        <v>0.8023276067746794</v>
      </c>
      <c r="BA69" s="327">
        <f t="shared" si="131"/>
        <v>0.80159131599704525</v>
      </c>
      <c r="BB69" s="327">
        <f t="shared" si="131"/>
        <v>0.81385545448384</v>
      </c>
      <c r="BC69" s="327">
        <f t="shared" si="131"/>
        <v>0.82063527799040425</v>
      </c>
      <c r="BD69" s="327">
        <f t="shared" si="131"/>
        <v>0.82166437772550427</v>
      </c>
      <c r="BE69" s="327">
        <f t="shared" si="131"/>
        <v>0.82066403689992706</v>
      </c>
    </row>
    <row r="70" spans="1:57" s="62" customFormat="1" ht="12" hidden="1" customHeight="1" outlineLevel="1">
      <c r="A70" s="371" t="s">
        <v>125</v>
      </c>
      <c r="B70" s="325"/>
      <c r="C70" s="326"/>
      <c r="D70" s="326"/>
      <c r="E70" s="327"/>
      <c r="F70" s="372"/>
      <c r="G70" s="373"/>
      <c r="H70" s="373">
        <f t="shared" ref="H70:AS70" si="132">H18/H10</f>
        <v>0.82232900700764888</v>
      </c>
      <c r="I70" s="374">
        <f t="shared" si="132"/>
        <v>0.82219587776143477</v>
      </c>
      <c r="J70" s="372">
        <f t="shared" si="132"/>
        <v>0.80826269977852805</v>
      </c>
      <c r="K70" s="373">
        <f t="shared" si="132"/>
        <v>0.82085107262631307</v>
      </c>
      <c r="L70" s="373">
        <f t="shared" si="132"/>
        <v>0.83078380553052478</v>
      </c>
      <c r="M70" s="374">
        <f t="shared" si="132"/>
        <v>0.83779344263195454</v>
      </c>
      <c r="N70" s="372">
        <f t="shared" si="132"/>
        <v>0.81988574232889611</v>
      </c>
      <c r="O70" s="373">
        <f t="shared" si="132"/>
        <v>0.8307279931842001</v>
      </c>
      <c r="P70" s="373">
        <f t="shared" si="132"/>
        <v>0.82796033776719091</v>
      </c>
      <c r="Q70" s="374">
        <f t="shared" si="132"/>
        <v>0.83422791096246718</v>
      </c>
      <c r="R70" s="373">
        <f t="shared" si="132"/>
        <v>0.8273768589940278</v>
      </c>
      <c r="S70" s="373">
        <f t="shared" si="132"/>
        <v>0.82616036897522094</v>
      </c>
      <c r="T70" s="373">
        <f t="shared" si="132"/>
        <v>0.81913525094028594</v>
      </c>
      <c r="U70" s="373">
        <f t="shared" si="132"/>
        <v>0.8221433732021951</v>
      </c>
      <c r="V70" s="372">
        <f t="shared" si="132"/>
        <v>0.81541942979441662</v>
      </c>
      <c r="W70" s="373">
        <f t="shared" si="132"/>
        <v>0.80287420973921275</v>
      </c>
      <c r="X70" s="373">
        <f t="shared" si="132"/>
        <v>0.80651025096452977</v>
      </c>
      <c r="Y70" s="374">
        <f t="shared" si="132"/>
        <v>0.80856547733846784</v>
      </c>
      <c r="Z70" s="372">
        <f t="shared" si="132"/>
        <v>0.77995800044651087</v>
      </c>
      <c r="AA70" s="373">
        <f t="shared" si="132"/>
        <v>0.79107831654698335</v>
      </c>
      <c r="AB70" s="373">
        <f t="shared" si="132"/>
        <v>0.79704009380913732</v>
      </c>
      <c r="AC70" s="374">
        <f t="shared" si="132"/>
        <v>0.79400961514138768</v>
      </c>
      <c r="AD70" s="372">
        <f t="shared" si="132"/>
        <v>0.79577242830493589</v>
      </c>
      <c r="AE70" s="373">
        <f t="shared" si="132"/>
        <v>0.80212557473348745</v>
      </c>
      <c r="AF70" s="373">
        <f t="shared" si="132"/>
        <v>0.80542939353392251</v>
      </c>
      <c r="AG70" s="373">
        <f t="shared" si="132"/>
        <v>0.81106593163869556</v>
      </c>
      <c r="AH70" s="372">
        <f t="shared" si="132"/>
        <v>0.8066256919263004</v>
      </c>
      <c r="AI70" s="373">
        <f t="shared" si="132"/>
        <v>0.81284807074261312</v>
      </c>
      <c r="AJ70" s="334">
        <f t="shared" si="132"/>
        <v>0.81563196897445123</v>
      </c>
      <c r="AK70" s="373">
        <f t="shared" si="132"/>
        <v>0.81699627580397083</v>
      </c>
      <c r="AL70" s="372">
        <f t="shared" si="132"/>
        <v>0.81747826937536627</v>
      </c>
      <c r="AM70" s="373">
        <f t="shared" si="132"/>
        <v>0.81964164231314007</v>
      </c>
      <c r="AN70" s="373">
        <f t="shared" si="132"/>
        <v>0.81872939494049546</v>
      </c>
      <c r="AO70" s="374">
        <f t="shared" si="132"/>
        <v>0.82313277621983982</v>
      </c>
      <c r="AP70" s="372">
        <f t="shared" si="132"/>
        <v>0.8194746517118634</v>
      </c>
      <c r="AQ70" s="373">
        <f t="shared" si="132"/>
        <v>0.82106671164613731</v>
      </c>
      <c r="AR70" s="373">
        <f t="shared" si="132"/>
        <v>0.82100373775731983</v>
      </c>
      <c r="AS70" s="374">
        <f t="shared" si="132"/>
        <v>0.82406026753676442</v>
      </c>
      <c r="AT70" s="61"/>
      <c r="AU70" s="331"/>
      <c r="AV70" s="326"/>
      <c r="AW70" s="331"/>
      <c r="AX70" s="375">
        <f t="shared" ref="AX70:BE70" si="133">AX18/AX10</f>
        <v>0.83492908860570447</v>
      </c>
      <c r="AY70" s="373">
        <f t="shared" si="133"/>
        <v>0.82439087019137713</v>
      </c>
      <c r="AZ70" s="375">
        <f t="shared" si="133"/>
        <v>0.80878986990977175</v>
      </c>
      <c r="BA70" s="374">
        <f t="shared" si="133"/>
        <v>0.79850944275676727</v>
      </c>
      <c r="BB70" s="374">
        <f t="shared" si="133"/>
        <v>0.81241327430806487</v>
      </c>
      <c r="BC70" s="374">
        <f t="shared" si="133"/>
        <v>0.81798625682007264</v>
      </c>
      <c r="BD70" s="374">
        <f t="shared" si="133"/>
        <v>0.81979654407847613</v>
      </c>
      <c r="BE70" s="374">
        <f t="shared" si="133"/>
        <v>0.82143920461215647</v>
      </c>
    </row>
    <row r="71" spans="1:57" s="62" customFormat="1" ht="12" customHeight="1" collapsed="1">
      <c r="A71" s="376" t="s">
        <v>126</v>
      </c>
      <c r="B71" s="333">
        <f t="shared" ref="B71:AK75" si="134">+B21/B$9</f>
        <v>0.63975692300091402</v>
      </c>
      <c r="C71" s="334">
        <f t="shared" si="134"/>
        <v>0.62096536727898699</v>
      </c>
      <c r="D71" s="334">
        <f t="shared" si="134"/>
        <v>0.59544712127398935</v>
      </c>
      <c r="E71" s="335">
        <f t="shared" si="134"/>
        <v>0.59578321045142923</v>
      </c>
      <c r="F71" s="333">
        <f t="shared" si="134"/>
        <v>0.65958346727122008</v>
      </c>
      <c r="G71" s="334">
        <f t="shared" si="134"/>
        <v>0.64710969933324958</v>
      </c>
      <c r="H71" s="334">
        <f t="shared" si="134"/>
        <v>0.60257776497695847</v>
      </c>
      <c r="I71" s="334">
        <f t="shared" si="134"/>
        <v>0.59096528894856493</v>
      </c>
      <c r="J71" s="377">
        <f t="shared" si="134"/>
        <v>0.61422647289572985</v>
      </c>
      <c r="K71" s="334">
        <f t="shared" si="134"/>
        <v>0.60667103907055187</v>
      </c>
      <c r="L71" s="334">
        <f t="shared" si="134"/>
        <v>0.57895309846274434</v>
      </c>
      <c r="M71" s="335">
        <f t="shared" si="134"/>
        <v>0.59456563179424837</v>
      </c>
      <c r="N71" s="377">
        <f t="shared" si="134"/>
        <v>0.53930909516015901</v>
      </c>
      <c r="O71" s="334">
        <f t="shared" si="134"/>
        <v>0.46701303062242905</v>
      </c>
      <c r="P71" s="336">
        <f t="shared" si="134"/>
        <v>0.42962362622682176</v>
      </c>
      <c r="Q71" s="335">
        <f t="shared" si="134"/>
        <v>0.42994698599278464</v>
      </c>
      <c r="R71" s="334">
        <f t="shared" si="134"/>
        <v>0.42486748005097852</v>
      </c>
      <c r="S71" s="334">
        <f t="shared" si="134"/>
        <v>0.44604211609178629</v>
      </c>
      <c r="T71" s="334">
        <f t="shared" si="134"/>
        <v>0.43797236485317032</v>
      </c>
      <c r="U71" s="334">
        <f t="shared" si="134"/>
        <v>0.46610476586721067</v>
      </c>
      <c r="V71" s="377">
        <f t="shared" si="134"/>
        <v>0.44867853019426734</v>
      </c>
      <c r="W71" s="334">
        <f t="shared" si="134"/>
        <v>0.46038420114274581</v>
      </c>
      <c r="X71" s="334">
        <f t="shared" si="134"/>
        <v>0.42627151117236967</v>
      </c>
      <c r="Y71" s="334">
        <f t="shared" si="134"/>
        <v>0.42434910713802132</v>
      </c>
      <c r="Z71" s="377">
        <f t="shared" si="134"/>
        <v>0.43845286196177691</v>
      </c>
      <c r="AA71" s="334">
        <f t="shared" si="134"/>
        <v>0.41724091962509485</v>
      </c>
      <c r="AB71" s="334">
        <f t="shared" si="134"/>
        <v>0.39177488103449137</v>
      </c>
      <c r="AC71" s="335">
        <f t="shared" si="134"/>
        <v>0.41724095899787161</v>
      </c>
      <c r="AD71" s="377">
        <f t="shared" si="134"/>
        <v>0.39139011210357433</v>
      </c>
      <c r="AE71" s="334">
        <f t="shared" si="134"/>
        <v>0.38353198548189532</v>
      </c>
      <c r="AF71" s="334">
        <f t="shared" si="134"/>
        <v>0.36612238427393784</v>
      </c>
      <c r="AG71" s="334">
        <f t="shared" si="134"/>
        <v>0.33995528801897079</v>
      </c>
      <c r="AH71" s="377">
        <f t="shared" si="134"/>
        <v>0.35752727516026378</v>
      </c>
      <c r="AI71" s="334">
        <f t="shared" si="134"/>
        <v>0.35995470996178652</v>
      </c>
      <c r="AJ71" s="336">
        <f t="shared" si="134"/>
        <v>0.32838694343210267</v>
      </c>
      <c r="AK71" s="334">
        <f t="shared" si="134"/>
        <v>0.34323866842204254</v>
      </c>
      <c r="AL71" s="378">
        <f>+AH71-0.005</f>
        <v>0.35252727516026378</v>
      </c>
      <c r="AM71" s="379">
        <f>+AI71-0.015</f>
        <v>0.34495470996178651</v>
      </c>
      <c r="AN71" s="379">
        <f t="shared" ref="AN71:AO71" si="135">+AJ71-0.015</f>
        <v>0.31338694343210266</v>
      </c>
      <c r="AO71" s="380">
        <f t="shared" si="135"/>
        <v>0.32823866842204252</v>
      </c>
      <c r="AP71" s="378">
        <f>+AL71-0.005</f>
        <v>0.34752727516026377</v>
      </c>
      <c r="AQ71" s="379">
        <f t="shared" ref="AQ71:AS71" si="136">+AM71-0.005</f>
        <v>0.33995470996178651</v>
      </c>
      <c r="AR71" s="379">
        <f t="shared" si="136"/>
        <v>0.30838694343210266</v>
      </c>
      <c r="AS71" s="380">
        <f t="shared" si="136"/>
        <v>0.32323866842204252</v>
      </c>
      <c r="AT71" s="61"/>
      <c r="AU71" s="339">
        <f t="shared" ref="AU71:BE75" si="137">+AU21/AU$9</f>
        <v>0.61110016140459278</v>
      </c>
      <c r="AV71" s="334">
        <f t="shared" si="137"/>
        <v>0.6225052363853979</v>
      </c>
      <c r="AW71" s="339">
        <f t="shared" si="137"/>
        <v>0.59788880553659751</v>
      </c>
      <c r="AX71" s="339">
        <f t="shared" si="137"/>
        <v>0.4643917486898626</v>
      </c>
      <c r="AY71" s="334">
        <f t="shared" si="137"/>
        <v>0.44467872784728252</v>
      </c>
      <c r="AZ71" s="339">
        <f t="shared" si="137"/>
        <v>0.4391846496806896</v>
      </c>
      <c r="BA71" s="335">
        <f t="shared" si="137"/>
        <v>0.41583052672434295</v>
      </c>
      <c r="BB71" s="335">
        <f t="shared" si="137"/>
        <v>0.36961137573456621</v>
      </c>
      <c r="BC71" s="335">
        <f t="shared" si="137"/>
        <v>0.34704249028171763</v>
      </c>
      <c r="BD71" s="335">
        <f t="shared" si="137"/>
        <v>0.33452473176338954</v>
      </c>
      <c r="BE71" s="335">
        <f t="shared" si="137"/>
        <v>0.3295261232902294</v>
      </c>
    </row>
    <row r="72" spans="1:57" s="62" customFormat="1" ht="12" customHeight="1">
      <c r="A72" s="376" t="s">
        <v>127</v>
      </c>
      <c r="B72" s="333">
        <f t="shared" si="134"/>
        <v>0.29801635335095478</v>
      </c>
      <c r="C72" s="334">
        <f t="shared" si="134"/>
        <v>0.30036920428548775</v>
      </c>
      <c r="D72" s="334">
        <f t="shared" si="134"/>
        <v>0.31357697019191505</v>
      </c>
      <c r="E72" s="335">
        <f t="shared" si="134"/>
        <v>0.28100227285326235</v>
      </c>
      <c r="F72" s="333">
        <f t="shared" si="134"/>
        <v>0.28182787148730265</v>
      </c>
      <c r="G72" s="334">
        <f t="shared" si="134"/>
        <v>0.26970373631903383</v>
      </c>
      <c r="H72" s="334">
        <f t="shared" si="134"/>
        <v>0.26103110599078344</v>
      </c>
      <c r="I72" s="334">
        <f t="shared" si="134"/>
        <v>0.25204397708086834</v>
      </c>
      <c r="J72" s="377">
        <f t="shared" si="134"/>
        <v>0.24787985205663687</v>
      </c>
      <c r="K72" s="334">
        <f t="shared" si="134"/>
        <v>0.22553405790312003</v>
      </c>
      <c r="L72" s="334">
        <f t="shared" si="134"/>
        <v>0.20292426947698475</v>
      </c>
      <c r="M72" s="335">
        <f t="shared" si="134"/>
        <v>0.2097084977691682</v>
      </c>
      <c r="N72" s="377">
        <f t="shared" si="134"/>
        <v>0.232668926817863</v>
      </c>
      <c r="O72" s="334">
        <f t="shared" si="134"/>
        <v>0.19976867613726457</v>
      </c>
      <c r="P72" s="336">
        <f t="shared" si="134"/>
        <v>0.18858766320514417</v>
      </c>
      <c r="Q72" s="335">
        <f t="shared" si="134"/>
        <v>0.17291373791094322</v>
      </c>
      <c r="R72" s="334">
        <f t="shared" si="134"/>
        <v>0.1841235824627199</v>
      </c>
      <c r="S72" s="334">
        <f t="shared" si="134"/>
        <v>0.17676321789665203</v>
      </c>
      <c r="T72" s="334">
        <f t="shared" si="134"/>
        <v>0.18092655627992849</v>
      </c>
      <c r="U72" s="334">
        <f t="shared" si="134"/>
        <v>0.16712746111208043</v>
      </c>
      <c r="V72" s="377">
        <f t="shared" si="134"/>
        <v>0.17460845339089404</v>
      </c>
      <c r="W72" s="334">
        <f t="shared" si="134"/>
        <v>0.17129626812542215</v>
      </c>
      <c r="X72" s="334">
        <f t="shared" si="134"/>
        <v>0.15657331099050051</v>
      </c>
      <c r="Y72" s="334">
        <f t="shared" si="134"/>
        <v>0.15547768251268748</v>
      </c>
      <c r="Z72" s="377">
        <f t="shared" si="134"/>
        <v>0.15525394648351237</v>
      </c>
      <c r="AA72" s="334">
        <f t="shared" si="134"/>
        <v>0.14397854755019585</v>
      </c>
      <c r="AB72" s="334">
        <f t="shared" si="134"/>
        <v>0.137995028010857</v>
      </c>
      <c r="AC72" s="335">
        <f t="shared" si="134"/>
        <v>0.14406064527017526</v>
      </c>
      <c r="AD72" s="377">
        <f t="shared" si="134"/>
        <v>0.15079574552812774</v>
      </c>
      <c r="AE72" s="334">
        <f t="shared" si="134"/>
        <v>0.1507405950976537</v>
      </c>
      <c r="AF72" s="334">
        <f t="shared" si="134"/>
        <v>0.15670136687099276</v>
      </c>
      <c r="AG72" s="334">
        <f t="shared" si="134"/>
        <v>0.13772902163907166</v>
      </c>
      <c r="AH72" s="377">
        <f t="shared" si="134"/>
        <v>0.16315752058443489</v>
      </c>
      <c r="AI72" s="334">
        <f t="shared" si="134"/>
        <v>0.17551507309084288</v>
      </c>
      <c r="AJ72" s="334">
        <f t="shared" si="134"/>
        <v>0.16673665029313897</v>
      </c>
      <c r="AK72" s="334">
        <f t="shared" si="134"/>
        <v>0.15675557414991576</v>
      </c>
      <c r="AL72" s="381">
        <f>+AH72</f>
        <v>0.16315752058443489</v>
      </c>
      <c r="AM72" s="382">
        <f t="shared" ref="AM72:AS72" si="138">+AI72</f>
        <v>0.17551507309084288</v>
      </c>
      <c r="AN72" s="382">
        <f t="shared" si="138"/>
        <v>0.16673665029313897</v>
      </c>
      <c r="AO72" s="383">
        <f t="shared" si="138"/>
        <v>0.15675557414991576</v>
      </c>
      <c r="AP72" s="381">
        <f t="shared" si="138"/>
        <v>0.16315752058443489</v>
      </c>
      <c r="AQ72" s="382">
        <f t="shared" si="138"/>
        <v>0.17551507309084288</v>
      </c>
      <c r="AR72" s="382">
        <f t="shared" si="138"/>
        <v>0.16673665029313897</v>
      </c>
      <c r="AS72" s="383">
        <f t="shared" si="138"/>
        <v>0.15675557414991576</v>
      </c>
      <c r="AT72" s="61"/>
      <c r="AU72" s="339">
        <f t="shared" si="137"/>
        <v>0.29772488773591432</v>
      </c>
      <c r="AV72" s="334">
        <f t="shared" si="137"/>
        <v>0.2651630760023938</v>
      </c>
      <c r="AW72" s="339">
        <f t="shared" si="137"/>
        <v>0.22040633301935214</v>
      </c>
      <c r="AX72" s="339">
        <f t="shared" si="137"/>
        <v>0.19738494983201618</v>
      </c>
      <c r="AY72" s="334">
        <f t="shared" si="137"/>
        <v>0.17685214273834385</v>
      </c>
      <c r="AZ72" s="339">
        <f t="shared" si="137"/>
        <v>0.16402587270616856</v>
      </c>
      <c r="BA72" s="335">
        <f t="shared" si="137"/>
        <v>0.1451565649609996</v>
      </c>
      <c r="BB72" s="335">
        <f t="shared" si="137"/>
        <v>0.1488498601699294</v>
      </c>
      <c r="BC72" s="335">
        <f t="shared" si="137"/>
        <v>0.16545044301359307</v>
      </c>
      <c r="BD72" s="335">
        <f t="shared" si="137"/>
        <v>0.16546301991962237</v>
      </c>
      <c r="BE72" s="335">
        <f t="shared" si="137"/>
        <v>0.16546336959960967</v>
      </c>
    </row>
    <row r="73" spans="1:57" s="62" customFormat="1" ht="12" customHeight="1">
      <c r="A73" s="376" t="s">
        <v>97</v>
      </c>
      <c r="B73" s="333">
        <f t="shared" si="134"/>
        <v>0.12981398680862627</v>
      </c>
      <c r="C73" s="334">
        <f t="shared" si="134"/>
        <v>0.12582391447144894</v>
      </c>
      <c r="D73" s="334">
        <f t="shared" si="134"/>
        <v>0.12717435688035933</v>
      </c>
      <c r="E73" s="335">
        <f t="shared" si="134"/>
        <v>0.1435778036476523</v>
      </c>
      <c r="F73" s="333">
        <f t="shared" si="134"/>
        <v>0.13301301030334817</v>
      </c>
      <c r="G73" s="334">
        <f t="shared" si="134"/>
        <v>0.14067807271354887</v>
      </c>
      <c r="H73" s="334">
        <f t="shared" si="134"/>
        <v>0.14854550691244242</v>
      </c>
      <c r="I73" s="334">
        <f t="shared" si="134"/>
        <v>0.14830964757182169</v>
      </c>
      <c r="J73" s="377">
        <f t="shared" si="134"/>
        <v>0.14775656592072325</v>
      </c>
      <c r="K73" s="334">
        <f t="shared" si="134"/>
        <v>0.14068209500609014</v>
      </c>
      <c r="L73" s="334">
        <f t="shared" si="134"/>
        <v>0.14492879850193791</v>
      </c>
      <c r="M73" s="335">
        <f t="shared" si="134"/>
        <v>0.13009922822491735</v>
      </c>
      <c r="N73" s="377">
        <f t="shared" si="134"/>
        <v>0.13395292650611798</v>
      </c>
      <c r="O73" s="334">
        <f t="shared" si="134"/>
        <v>0.11483177718288577</v>
      </c>
      <c r="P73" s="336">
        <f t="shared" si="134"/>
        <v>0.11101512263764449</v>
      </c>
      <c r="Q73" s="335">
        <f t="shared" si="134"/>
        <v>0.10579089107569313</v>
      </c>
      <c r="R73" s="334">
        <f t="shared" si="134"/>
        <v>0.11140605086493113</v>
      </c>
      <c r="S73" s="334">
        <f t="shared" si="134"/>
        <v>0.10578923529276286</v>
      </c>
      <c r="T73" s="334">
        <f t="shared" si="134"/>
        <v>0.10829054404892403</v>
      </c>
      <c r="U73" s="334">
        <f t="shared" si="134"/>
        <v>0.10598048557892335</v>
      </c>
      <c r="V73" s="377">
        <f t="shared" si="134"/>
        <v>0.10409868982480802</v>
      </c>
      <c r="W73" s="334">
        <f t="shared" si="134"/>
        <v>0.10466651657224917</v>
      </c>
      <c r="X73" s="334">
        <f t="shared" si="134"/>
        <v>9.5464138037529095E-2</v>
      </c>
      <c r="Y73" s="334">
        <f t="shared" si="134"/>
        <v>9.6852641214097299E-2</v>
      </c>
      <c r="Z73" s="377">
        <f t="shared" si="134"/>
        <v>9.9460386890419847E-2</v>
      </c>
      <c r="AA73" s="334">
        <f t="shared" si="134"/>
        <v>9.139338378555753E-2</v>
      </c>
      <c r="AB73" s="334">
        <f t="shared" si="134"/>
        <v>9.1808126870078263E-2</v>
      </c>
      <c r="AC73" s="335">
        <f t="shared" si="134"/>
        <v>7.5323713350773078E-2</v>
      </c>
      <c r="AD73" s="377">
        <f t="shared" si="134"/>
        <v>9.5299614282208372E-2</v>
      </c>
      <c r="AE73" s="334">
        <f t="shared" si="134"/>
        <v>8.8157258374351941E-2</v>
      </c>
      <c r="AF73" s="334">
        <f t="shared" si="134"/>
        <v>9.2990382582963424E-2</v>
      </c>
      <c r="AG73" s="334">
        <f t="shared" si="134"/>
        <v>8.7137457525739093E-2</v>
      </c>
      <c r="AH73" s="377">
        <f t="shared" si="134"/>
        <v>9.4774125292196518E-2</v>
      </c>
      <c r="AI73" s="334">
        <f t="shared" si="134"/>
        <v>9.1967083847226988E-2</v>
      </c>
      <c r="AJ73" s="334">
        <f t="shared" si="134"/>
        <v>8.7395024560291579E-2</v>
      </c>
      <c r="AK73" s="334">
        <f t="shared" si="134"/>
        <v>8.2565356403987197E-2</v>
      </c>
      <c r="AL73" s="381">
        <v>9.2999999999999999E-2</v>
      </c>
      <c r="AM73" s="382">
        <v>8.8999999999999996E-2</v>
      </c>
      <c r="AN73" s="382">
        <v>8.8999999999999996E-2</v>
      </c>
      <c r="AO73" s="383">
        <v>0.08</v>
      </c>
      <c r="AP73" s="381">
        <f>+AL73-0.002</f>
        <v>9.0999999999999998E-2</v>
      </c>
      <c r="AQ73" s="382">
        <f t="shared" ref="AQ73:AS73" si="139">+AM73-0.002</f>
        <v>8.6999999999999994E-2</v>
      </c>
      <c r="AR73" s="382">
        <f t="shared" si="139"/>
        <v>8.6999999999999994E-2</v>
      </c>
      <c r="AS73" s="383">
        <f t="shared" si="139"/>
        <v>7.8E-2</v>
      </c>
      <c r="AT73" s="61"/>
      <c r="AU73" s="339">
        <f t="shared" si="137"/>
        <v>0.13215467141114487</v>
      </c>
      <c r="AV73" s="334">
        <f t="shared" si="137"/>
        <v>0.14317399760622382</v>
      </c>
      <c r="AW73" s="339">
        <f t="shared" si="137"/>
        <v>0.14048778011540217</v>
      </c>
      <c r="AX73" s="339">
        <f t="shared" si="137"/>
        <v>0.11589179071420944</v>
      </c>
      <c r="AY73" s="334">
        <f t="shared" si="137"/>
        <v>0.107761536044943</v>
      </c>
      <c r="AZ73" s="339">
        <f t="shared" si="137"/>
        <v>0.10006718472579411</v>
      </c>
      <c r="BA73" s="335">
        <f t="shared" si="137"/>
        <v>8.9113695834533185E-2</v>
      </c>
      <c r="BB73" s="335">
        <f t="shared" si="137"/>
        <v>9.0823436342040903E-2</v>
      </c>
      <c r="BC73" s="335">
        <f t="shared" si="137"/>
        <v>8.9032974619898828E-2</v>
      </c>
      <c r="BD73" s="335">
        <f t="shared" si="137"/>
        <v>8.7633734768453972E-2</v>
      </c>
      <c r="BE73" s="335">
        <f t="shared" si="137"/>
        <v>8.563415728874986E-2</v>
      </c>
    </row>
    <row r="74" spans="1:57" s="62" customFormat="1" ht="12" customHeight="1">
      <c r="A74" s="332" t="s">
        <v>98</v>
      </c>
      <c r="B74" s="333">
        <f t="shared" si="134"/>
        <v>1.0675872631604952</v>
      </c>
      <c r="C74" s="334">
        <f t="shared" si="134"/>
        <v>1.0471584860359238</v>
      </c>
      <c r="D74" s="334">
        <f t="shared" si="134"/>
        <v>1.0361984483462636</v>
      </c>
      <c r="E74" s="335">
        <f t="shared" si="134"/>
        <v>1.020363286952344</v>
      </c>
      <c r="F74" s="333">
        <f t="shared" si="134"/>
        <v>1.074424349061871</v>
      </c>
      <c r="G74" s="334">
        <f t="shared" si="134"/>
        <v>1.0574915083658323</v>
      </c>
      <c r="H74" s="334">
        <f t="shared" si="134"/>
        <v>1.0121543778801843</v>
      </c>
      <c r="I74" s="334">
        <f t="shared" si="134"/>
        <v>0.99131891360125513</v>
      </c>
      <c r="J74" s="377">
        <f t="shared" si="134"/>
        <v>1.0098628908730898</v>
      </c>
      <c r="K74" s="334">
        <f t="shared" si="134"/>
        <v>0.97288719197976203</v>
      </c>
      <c r="L74" s="334">
        <f t="shared" si="134"/>
        <v>0.92680616644166702</v>
      </c>
      <c r="M74" s="335">
        <f t="shared" si="134"/>
        <v>0.93437335778833397</v>
      </c>
      <c r="N74" s="377">
        <f t="shared" si="134"/>
        <v>0.90593094848413991</v>
      </c>
      <c r="O74" s="334">
        <f t="shared" si="134"/>
        <v>0.78161348394257946</v>
      </c>
      <c r="P74" s="336">
        <f t="shared" si="134"/>
        <v>0.72922641206961047</v>
      </c>
      <c r="Q74" s="335">
        <f t="shared" si="134"/>
        <v>0.70865161497942109</v>
      </c>
      <c r="R74" s="334">
        <f t="shared" si="134"/>
        <v>0.72039711337862955</v>
      </c>
      <c r="S74" s="334">
        <f t="shared" si="134"/>
        <v>0.72859456928120125</v>
      </c>
      <c r="T74" s="334">
        <f t="shared" si="134"/>
        <v>0.72718946518202288</v>
      </c>
      <c r="U74" s="334">
        <f t="shared" si="134"/>
        <v>0.73921271255821452</v>
      </c>
      <c r="V74" s="377">
        <f t="shared" si="134"/>
        <v>0.7273856734099694</v>
      </c>
      <c r="W74" s="334">
        <f t="shared" si="134"/>
        <v>0.73634698584041713</v>
      </c>
      <c r="X74" s="334">
        <f t="shared" si="134"/>
        <v>0.67830896020039921</v>
      </c>
      <c r="Y74" s="334">
        <f t="shared" si="134"/>
        <v>0.67667943086480609</v>
      </c>
      <c r="Z74" s="377">
        <f t="shared" si="134"/>
        <v>0.69316719533570914</v>
      </c>
      <c r="AA74" s="334">
        <f t="shared" si="134"/>
        <v>0.6526128509608482</v>
      </c>
      <c r="AB74" s="334">
        <f t="shared" si="134"/>
        <v>0.62157803591542671</v>
      </c>
      <c r="AC74" s="335">
        <f t="shared" si="134"/>
        <v>0.63662531761881991</v>
      </c>
      <c r="AD74" s="377">
        <f t="shared" si="134"/>
        <v>0.63748547191391036</v>
      </c>
      <c r="AE74" s="334">
        <f t="shared" si="134"/>
        <v>0.62242983895390092</v>
      </c>
      <c r="AF74" s="334">
        <f t="shared" si="134"/>
        <v>0.61581413372789406</v>
      </c>
      <c r="AG74" s="334">
        <f t="shared" si="134"/>
        <v>0.56482176718378163</v>
      </c>
      <c r="AH74" s="377">
        <f t="shared" si="134"/>
        <v>0.61545892103689515</v>
      </c>
      <c r="AI74" s="334">
        <f t="shared" si="134"/>
        <v>0.62743686689985634</v>
      </c>
      <c r="AJ74" s="334">
        <f t="shared" si="134"/>
        <v>0.58251861828553331</v>
      </c>
      <c r="AK74" s="334">
        <f t="shared" si="134"/>
        <v>0.58255959897594545</v>
      </c>
      <c r="AL74" s="377">
        <f t="shared" ref="AL74:AS75" si="140">+AL24/AL$9</f>
        <v>0.60868479574469869</v>
      </c>
      <c r="AM74" s="334">
        <f t="shared" si="140"/>
        <v>0.60946978305262944</v>
      </c>
      <c r="AN74" s="334">
        <f t="shared" si="140"/>
        <v>0.56912359372524168</v>
      </c>
      <c r="AO74" s="335">
        <f t="shared" si="140"/>
        <v>0.56499424257195829</v>
      </c>
      <c r="AP74" s="377">
        <f t="shared" si="140"/>
        <v>0.60168479574469869</v>
      </c>
      <c r="AQ74" s="334">
        <f t="shared" si="140"/>
        <v>0.60246978305262944</v>
      </c>
      <c r="AR74" s="334">
        <f t="shared" si="140"/>
        <v>0.56212359372524168</v>
      </c>
      <c r="AS74" s="335">
        <f t="shared" si="140"/>
        <v>0.55799424257195818</v>
      </c>
      <c r="AT74" s="61"/>
      <c r="AU74" s="339">
        <f t="shared" si="137"/>
        <v>1.040979720551652</v>
      </c>
      <c r="AV74" s="334">
        <f t="shared" si="137"/>
        <v>1.0308423099940154</v>
      </c>
      <c r="AW74" s="339">
        <f t="shared" si="137"/>
        <v>0.9587829186713519</v>
      </c>
      <c r="AX74" s="339">
        <f t="shared" si="137"/>
        <v>0.77766848923608822</v>
      </c>
      <c r="AY74" s="334">
        <f t="shared" si="137"/>
        <v>0.72929240663056938</v>
      </c>
      <c r="AZ74" s="339">
        <f t="shared" si="137"/>
        <v>0.70327770711265236</v>
      </c>
      <c r="BA74" s="335">
        <f t="shared" si="137"/>
        <v>0.65010078751987577</v>
      </c>
      <c r="BB74" s="335">
        <f t="shared" si="137"/>
        <v>0.60928467224653649</v>
      </c>
      <c r="BC74" s="335">
        <f t="shared" si="137"/>
        <v>0.60152590791520966</v>
      </c>
      <c r="BD74" s="335">
        <f t="shared" si="137"/>
        <v>0.58762148645146584</v>
      </c>
      <c r="BE74" s="335">
        <f t="shared" si="137"/>
        <v>0.58062365017858897</v>
      </c>
    </row>
    <row r="75" spans="1:57" s="62" customFormat="1" ht="12" customHeight="1">
      <c r="A75" s="324" t="s">
        <v>128</v>
      </c>
      <c r="B75" s="325">
        <f t="shared" si="134"/>
        <v>-0.17215483807218204</v>
      </c>
      <c r="C75" s="326">
        <f t="shared" si="134"/>
        <v>-0.16374096808534733</v>
      </c>
      <c r="D75" s="326">
        <f t="shared" si="134"/>
        <v>-0.18340138832176392</v>
      </c>
      <c r="E75" s="327">
        <f t="shared" si="134"/>
        <v>-0.17029768834192571</v>
      </c>
      <c r="F75" s="325">
        <f t="shared" si="134"/>
        <v>-0.21823134315732498</v>
      </c>
      <c r="G75" s="326">
        <f t="shared" si="134"/>
        <v>-0.20867404704994344</v>
      </c>
      <c r="H75" s="326">
        <f t="shared" si="134"/>
        <v>-0.17514400921658976</v>
      </c>
      <c r="I75" s="326">
        <f t="shared" si="134"/>
        <v>-0.14320469017960416</v>
      </c>
      <c r="J75" s="384">
        <f t="shared" si="134"/>
        <v>-0.16456831172712655</v>
      </c>
      <c r="K75" s="326">
        <f t="shared" si="134"/>
        <v>-0.12543333645647889</v>
      </c>
      <c r="L75" s="326">
        <f t="shared" si="134"/>
        <v>-8.3863171188433602E-2</v>
      </c>
      <c r="M75" s="327">
        <f t="shared" si="134"/>
        <v>-0.11476676730311529</v>
      </c>
      <c r="N75" s="384">
        <f t="shared" si="134"/>
        <v>-7.5198737432779925E-2</v>
      </c>
      <c r="O75" s="326">
        <f t="shared" si="134"/>
        <v>5.2971299051385499E-2</v>
      </c>
      <c r="P75" s="328">
        <f t="shared" si="134"/>
        <v>0.11056090913948807</v>
      </c>
      <c r="Q75" s="327">
        <f t="shared" si="134"/>
        <v>0.13057875035991948</v>
      </c>
      <c r="R75" s="326">
        <f t="shared" si="134"/>
        <v>0.11272922095316952</v>
      </c>
      <c r="S75" s="326">
        <f t="shared" si="134"/>
        <v>8.8546664721823487E-2</v>
      </c>
      <c r="T75" s="326">
        <f t="shared" si="134"/>
        <v>9.8691801765418391E-2</v>
      </c>
      <c r="U75" s="326">
        <f t="shared" si="134"/>
        <v>7.9715202190339354E-2</v>
      </c>
      <c r="V75" s="384">
        <f t="shared" si="134"/>
        <v>7.8158726971537501E-2</v>
      </c>
      <c r="W75" s="326">
        <f t="shared" si="134"/>
        <v>7.4181123395865925E-2</v>
      </c>
      <c r="X75" s="326">
        <f t="shared" si="134"/>
        <v>0.13203813532664949</v>
      </c>
      <c r="Y75" s="326">
        <f t="shared" si="134"/>
        <v>0.1079775335669525</v>
      </c>
      <c r="Z75" s="384">
        <f t="shared" si="134"/>
        <v>9.6065960950862991E-2</v>
      </c>
      <c r="AA75" s="326">
        <f t="shared" si="134"/>
        <v>0.15493549908734799</v>
      </c>
      <c r="AB75" s="326">
        <f t="shared" si="134"/>
        <v>0.18148752784958982</v>
      </c>
      <c r="AC75" s="327">
        <f t="shared" si="134"/>
        <v>0.16906697420607011</v>
      </c>
      <c r="AD75" s="384">
        <f t="shared" si="134"/>
        <v>0.17136427410504668</v>
      </c>
      <c r="AE75" s="326">
        <f t="shared" si="134"/>
        <v>0.19338187768090009</v>
      </c>
      <c r="AF75" s="326">
        <f t="shared" si="134"/>
        <v>0.19805097583315717</v>
      </c>
      <c r="AG75" s="327">
        <f t="shared" si="134"/>
        <v>0.25177426812765397</v>
      </c>
      <c r="AH75" s="384">
        <f t="shared" si="134"/>
        <v>0.20355277518744483</v>
      </c>
      <c r="AI75" s="326">
        <f t="shared" si="134"/>
        <v>0.19287086273479054</v>
      </c>
      <c r="AJ75" s="326">
        <f t="shared" si="134"/>
        <v>0.23337426715259066</v>
      </c>
      <c r="AK75" s="327">
        <f t="shared" si="134"/>
        <v>0.24447190950858436</v>
      </c>
      <c r="AL75" s="384">
        <f t="shared" si="140"/>
        <v>0.20932690047964136</v>
      </c>
      <c r="AM75" s="326">
        <f t="shared" si="140"/>
        <v>0.20983794658201738</v>
      </c>
      <c r="AN75" s="326">
        <f t="shared" si="140"/>
        <v>0.25287640627475827</v>
      </c>
      <c r="AO75" s="327">
        <f t="shared" si="140"/>
        <v>0.26200575742804166</v>
      </c>
      <c r="AP75" s="384">
        <f t="shared" si="140"/>
        <v>0.21532690047964126</v>
      </c>
      <c r="AQ75" s="326">
        <f t="shared" si="140"/>
        <v>0.21583794658201746</v>
      </c>
      <c r="AR75" s="326">
        <f t="shared" si="140"/>
        <v>0.25887640627475828</v>
      </c>
      <c r="AS75" s="327">
        <f t="shared" si="140"/>
        <v>0.26800575742804167</v>
      </c>
      <c r="AT75" s="61"/>
      <c r="AU75" s="331">
        <f t="shared" si="137"/>
        <v>-0.17257506911632309</v>
      </c>
      <c r="AV75" s="326">
        <f t="shared" si="137"/>
        <v>-0.18365873728306406</v>
      </c>
      <c r="AW75" s="331">
        <f t="shared" si="137"/>
        <v>-0.12060825864529344</v>
      </c>
      <c r="AX75" s="331">
        <f t="shared" si="137"/>
        <v>5.8591025871096575E-2</v>
      </c>
      <c r="AY75" s="326">
        <f t="shared" si="137"/>
        <v>9.421950363129003E-2</v>
      </c>
      <c r="AZ75" s="331">
        <f t="shared" si="137"/>
        <v>9.9049899662027138E-2</v>
      </c>
      <c r="BA75" s="327">
        <f t="shared" si="137"/>
        <v>0.15149052847716943</v>
      </c>
      <c r="BB75" s="327">
        <f t="shared" si="137"/>
        <v>0.20457078223730335</v>
      </c>
      <c r="BC75" s="327">
        <f t="shared" si="137"/>
        <v>0.21910937007519474</v>
      </c>
      <c r="BD75" s="327">
        <f t="shared" si="137"/>
        <v>0.23404289127403835</v>
      </c>
      <c r="BE75" s="327">
        <f t="shared" si="137"/>
        <v>0.24004038672133823</v>
      </c>
    </row>
    <row r="76" spans="1:57" s="62" customFormat="1" ht="12" hidden="1" customHeight="1" outlineLevel="1">
      <c r="A76" s="144" t="s">
        <v>129</v>
      </c>
      <c r="B76" s="325"/>
      <c r="C76" s="326"/>
      <c r="D76" s="326"/>
      <c r="E76" s="327"/>
      <c r="F76" s="372"/>
      <c r="G76" s="373"/>
      <c r="H76" s="373">
        <f t="shared" ref="H76:AS76" si="141">H26/H10</f>
        <v>-0.25543932416730325</v>
      </c>
      <c r="I76" s="374">
        <f t="shared" si="141"/>
        <v>-0.18447417318312029</v>
      </c>
      <c r="J76" s="372">
        <f t="shared" si="141"/>
        <v>-0.20859378660932451</v>
      </c>
      <c r="K76" s="373">
        <f t="shared" si="141"/>
        <v>-0.17578036172492204</v>
      </c>
      <c r="L76" s="373">
        <f t="shared" si="141"/>
        <v>-0.12977776016343698</v>
      </c>
      <c r="M76" s="374">
        <f t="shared" si="141"/>
        <v>-0.1355618874327108</v>
      </c>
      <c r="N76" s="372">
        <f t="shared" si="141"/>
        <v>-0.17298549348322453</v>
      </c>
      <c r="O76" s="373">
        <f t="shared" si="141"/>
        <v>-4.5755892007124689E-2</v>
      </c>
      <c r="P76" s="373">
        <f t="shared" si="141"/>
        <v>3.3315242554488353E-2</v>
      </c>
      <c r="Q76" s="374">
        <f t="shared" si="141"/>
        <v>7.7229236105395255E-2</v>
      </c>
      <c r="R76" s="373">
        <f t="shared" si="141"/>
        <v>6.9618788266568005E-2</v>
      </c>
      <c r="S76" s="373">
        <f t="shared" si="141"/>
        <v>6.0507455723984992E-2</v>
      </c>
      <c r="T76" s="373">
        <f t="shared" si="141"/>
        <v>5.7119467424936517E-2</v>
      </c>
      <c r="U76" s="373">
        <f t="shared" si="141"/>
        <v>5.4045932564399948E-2</v>
      </c>
      <c r="V76" s="372">
        <f t="shared" si="141"/>
        <v>6.7684271937396345E-2</v>
      </c>
      <c r="W76" s="373">
        <f t="shared" si="141"/>
        <v>4.0439795069237033E-2</v>
      </c>
      <c r="X76" s="373">
        <f t="shared" si="141"/>
        <v>5.5836236889408558E-2</v>
      </c>
      <c r="Y76" s="374">
        <f t="shared" si="141"/>
        <v>8.6065117962886239E-2</v>
      </c>
      <c r="Z76" s="372">
        <f t="shared" si="141"/>
        <v>5.062337408886123E-2</v>
      </c>
      <c r="AA76" s="373">
        <f t="shared" si="141"/>
        <v>0.10817174754932546</v>
      </c>
      <c r="AB76" s="373">
        <f t="shared" si="141"/>
        <v>0.13405372015729561</v>
      </c>
      <c r="AC76" s="374">
        <f t="shared" si="141"/>
        <v>0.11536727798577885</v>
      </c>
      <c r="AD76" s="372">
        <f t="shared" si="141"/>
        <v>0.13320547721709888</v>
      </c>
      <c r="AE76" s="373">
        <f t="shared" si="141"/>
        <v>0.16107245806657283</v>
      </c>
      <c r="AF76" s="373">
        <f t="shared" si="141"/>
        <v>0.19271541963769512</v>
      </c>
      <c r="AG76" s="374">
        <f t="shared" si="141"/>
        <v>0.2071790395914842</v>
      </c>
      <c r="AH76" s="372">
        <f t="shared" si="141"/>
        <v>0.18187203941673333</v>
      </c>
      <c r="AI76" s="373">
        <f t="shared" si="141"/>
        <v>0.18151964875546989</v>
      </c>
      <c r="AJ76" s="334">
        <f t="shared" si="141"/>
        <v>0.21351409895374873</v>
      </c>
      <c r="AK76" s="374">
        <f t="shared" si="141"/>
        <v>0.23083044614361056</v>
      </c>
      <c r="AL76" s="372">
        <f t="shared" si="141"/>
        <v>0.21284627714742096</v>
      </c>
      <c r="AM76" s="373">
        <f t="shared" si="141"/>
        <v>0.22370488963822788</v>
      </c>
      <c r="AN76" s="373">
        <f t="shared" si="141"/>
        <v>0.24261522863159937</v>
      </c>
      <c r="AO76" s="374">
        <f t="shared" si="141"/>
        <v>0.25666504596312184</v>
      </c>
      <c r="AP76" s="372">
        <f t="shared" si="141"/>
        <v>0.23013072347296895</v>
      </c>
      <c r="AQ76" s="373">
        <f t="shared" si="141"/>
        <v>0.23547539151616212</v>
      </c>
      <c r="AR76" s="373">
        <f t="shared" si="141"/>
        <v>0.25015858234048227</v>
      </c>
      <c r="AS76" s="374">
        <f t="shared" si="141"/>
        <v>0.26093623056851678</v>
      </c>
      <c r="AT76" s="61"/>
      <c r="AU76" s="331"/>
      <c r="AV76" s="326"/>
      <c r="AW76" s="331"/>
      <c r="AX76" s="375">
        <f t="shared" ref="AX76:BE76" si="142">AX26/AX10</f>
        <v>4.4040925353301036E-2</v>
      </c>
      <c r="AY76" s="373">
        <f t="shared" si="142"/>
        <v>8.7453649609479392E-2</v>
      </c>
      <c r="AZ76" s="375">
        <f t="shared" si="142"/>
        <v>9.3160854193874612E-2</v>
      </c>
      <c r="BA76" s="374">
        <f t="shared" si="142"/>
        <v>0.13733551462910915</v>
      </c>
      <c r="BB76" s="374">
        <f t="shared" si="142"/>
        <v>0.19275871077470993</v>
      </c>
      <c r="BC76" s="374">
        <f t="shared" si="142"/>
        <v>0.21537415524538067</v>
      </c>
      <c r="BD76" s="374">
        <f t="shared" si="142"/>
        <v>0.2343774957555555</v>
      </c>
      <c r="BE76" s="374">
        <f t="shared" si="142"/>
        <v>0.24446053943982146</v>
      </c>
    </row>
    <row r="77" spans="1:57" s="62" customFormat="1" ht="12" customHeight="1" collapsed="1">
      <c r="A77" s="385" t="s">
        <v>121</v>
      </c>
      <c r="B77" s="386">
        <f t="shared" ref="B77:AS77" si="143">+B39/B$9</f>
        <v>-0.17437810330772463</v>
      </c>
      <c r="C77" s="387">
        <f t="shared" si="143"/>
        <v>-0.16367301637636184</v>
      </c>
      <c r="D77" s="387">
        <f t="shared" si="143"/>
        <v>-0.18674969375255199</v>
      </c>
      <c r="E77" s="351">
        <f t="shared" si="143"/>
        <v>-0.17149878965944146</v>
      </c>
      <c r="F77" s="386">
        <f t="shared" si="143"/>
        <v>-0.22604767624816025</v>
      </c>
      <c r="G77" s="387">
        <f t="shared" si="143"/>
        <v>-0.22015347842495916</v>
      </c>
      <c r="H77" s="387">
        <f t="shared" si="143"/>
        <v>-0.17317108294930864</v>
      </c>
      <c r="I77" s="349">
        <f t="shared" si="143"/>
        <v>-0.14457398864678755</v>
      </c>
      <c r="J77" s="388">
        <f t="shared" si="143"/>
        <v>-0.15714623728222549</v>
      </c>
      <c r="K77" s="349">
        <f t="shared" si="143"/>
        <v>-0.11691886067647327</v>
      </c>
      <c r="L77" s="349">
        <f t="shared" si="143"/>
        <v>-7.3411575142620769E-2</v>
      </c>
      <c r="M77" s="351">
        <f t="shared" si="143"/>
        <v>-0.11486980803511665</v>
      </c>
      <c r="N77" s="388">
        <f t="shared" si="143"/>
        <v>-8.5983165770399758E-2</v>
      </c>
      <c r="O77" s="349">
        <f t="shared" si="143"/>
        <v>4.4035482095719461E-2</v>
      </c>
      <c r="P77" s="352">
        <f t="shared" si="143"/>
        <v>9.3674854384496173E-2</v>
      </c>
      <c r="Q77" s="351">
        <f t="shared" si="143"/>
        <v>0.12178824884402373</v>
      </c>
      <c r="R77" s="349">
        <f t="shared" si="143"/>
        <v>0.11969412853420354</v>
      </c>
      <c r="S77" s="349">
        <f t="shared" si="143"/>
        <v>7.7998449243430426E-2</v>
      </c>
      <c r="T77" s="349">
        <f t="shared" si="143"/>
        <v>5.8385738187272662E-2</v>
      </c>
      <c r="U77" s="349">
        <f t="shared" si="143"/>
        <v>3.9860956394529454E-2</v>
      </c>
      <c r="V77" s="388">
        <f t="shared" si="143"/>
        <v>4.3703880327292742E-2</v>
      </c>
      <c r="W77" s="349">
        <f t="shared" si="143"/>
        <v>3.6284311279595492E-2</v>
      </c>
      <c r="X77" s="349">
        <f t="shared" si="143"/>
        <v>9.8272243224230851E-2</v>
      </c>
      <c r="Y77" s="351">
        <f t="shared" si="143"/>
        <v>7.6931826183035387E-2</v>
      </c>
      <c r="Z77" s="388">
        <f t="shared" si="143"/>
        <v>6.9175329248725201E-2</v>
      </c>
      <c r="AA77" s="349">
        <f t="shared" si="143"/>
        <v>0.1346725732685248</v>
      </c>
      <c r="AB77" s="349">
        <f t="shared" si="143"/>
        <v>0.13729041477901438</v>
      </c>
      <c r="AC77" s="351">
        <f t="shared" si="143"/>
        <v>0.14138373979166075</v>
      </c>
      <c r="AD77" s="388">
        <f t="shared" si="143"/>
        <v>0.14095137547983191</v>
      </c>
      <c r="AE77" s="349">
        <f t="shared" si="143"/>
        <v>0.17249063238730622</v>
      </c>
      <c r="AF77" s="349">
        <f t="shared" si="143"/>
        <v>0.17316194602973295</v>
      </c>
      <c r="AG77" s="351">
        <f t="shared" si="143"/>
        <v>0.21492294182776131</v>
      </c>
      <c r="AH77" s="388">
        <f t="shared" si="143"/>
        <v>0.18504037434608611</v>
      </c>
      <c r="AI77" s="349">
        <f t="shared" si="143"/>
        <v>0.16756101012960239</v>
      </c>
      <c r="AJ77" s="349">
        <f t="shared" si="143"/>
        <v>0.203763270480114</v>
      </c>
      <c r="AK77" s="351">
        <f t="shared" si="143"/>
        <v>0.21995294262147216</v>
      </c>
      <c r="AL77" s="388">
        <f t="shared" si="143"/>
        <v>0.18510491852631353</v>
      </c>
      <c r="AM77" s="349">
        <f t="shared" si="143"/>
        <v>0.175989497064515</v>
      </c>
      <c r="AN77" s="349">
        <f t="shared" si="143"/>
        <v>0.22017650941078368</v>
      </c>
      <c r="AO77" s="351">
        <f t="shared" si="143"/>
        <v>0.23104558098243436</v>
      </c>
      <c r="AP77" s="388">
        <f t="shared" si="143"/>
        <v>0.18489224305029089</v>
      </c>
      <c r="AQ77" s="349">
        <f t="shared" si="143"/>
        <v>0.18690672875759246</v>
      </c>
      <c r="AR77" s="349">
        <f t="shared" si="143"/>
        <v>0.23098497756180802</v>
      </c>
      <c r="AS77" s="351">
        <f t="shared" si="143"/>
        <v>0.24165856997766971</v>
      </c>
      <c r="AT77" s="61"/>
      <c r="AU77" s="354">
        <f t="shared" ref="AU77:BE77" si="144">+AU39/AU$9</f>
        <v>-0.1742583645399968</v>
      </c>
      <c r="AV77" s="349">
        <f t="shared" si="144"/>
        <v>-0.18798997606223822</v>
      </c>
      <c r="AW77" s="354">
        <f t="shared" si="144"/>
        <v>-0.11419796607875103</v>
      </c>
      <c r="AX77" s="354">
        <f t="shared" si="144"/>
        <v>4.7235365873050134E-2</v>
      </c>
      <c r="AY77" s="349">
        <f t="shared" si="144"/>
        <v>7.196237503002971E-2</v>
      </c>
      <c r="AZ77" s="354">
        <f t="shared" si="144"/>
        <v>6.4864730360909298E-2</v>
      </c>
      <c r="BA77" s="351">
        <f t="shared" si="144"/>
        <v>0.12163989432960649</v>
      </c>
      <c r="BB77" s="351">
        <f t="shared" si="144"/>
        <v>0.17620588852926766</v>
      </c>
      <c r="BC77" s="351">
        <f t="shared" si="144"/>
        <v>0.1945457547240608</v>
      </c>
      <c r="BD77" s="351">
        <f t="shared" si="144"/>
        <v>0.20355717576870322</v>
      </c>
      <c r="BE77" s="351">
        <f t="shared" si="144"/>
        <v>0.21167662851247496</v>
      </c>
    </row>
    <row r="78" spans="1:57" ht="12" customHeight="1">
      <c r="A78" s="389" t="s">
        <v>130</v>
      </c>
      <c r="B78" s="390"/>
      <c r="C78" s="390"/>
      <c r="D78" s="390"/>
      <c r="E78" s="390"/>
      <c r="F78" s="390"/>
      <c r="G78" s="390"/>
      <c r="H78" s="391"/>
      <c r="I78" s="390"/>
      <c r="J78" s="390"/>
      <c r="K78" s="390"/>
      <c r="L78" s="390"/>
      <c r="M78" s="390"/>
      <c r="N78" s="390"/>
      <c r="O78" s="390"/>
      <c r="P78" s="390"/>
      <c r="Q78" s="390"/>
      <c r="R78" s="390"/>
      <c r="S78" s="390"/>
      <c r="T78" s="390"/>
      <c r="U78" s="390"/>
      <c r="V78" s="392"/>
      <c r="W78" s="390"/>
      <c r="X78" s="390"/>
      <c r="Y78" s="390"/>
      <c r="Z78" s="390"/>
      <c r="AA78" s="390"/>
      <c r="AB78" s="390"/>
      <c r="AC78" s="390"/>
      <c r="AD78" s="390"/>
      <c r="AE78" s="390"/>
      <c r="AF78" s="390"/>
      <c r="AG78" s="390"/>
      <c r="AH78" s="390"/>
      <c r="AI78" s="390"/>
      <c r="AJ78" s="390"/>
      <c r="AK78" s="390"/>
      <c r="AL78" s="390"/>
      <c r="AM78" s="390"/>
      <c r="AN78" s="390"/>
      <c r="AO78" s="390"/>
      <c r="AP78" s="390"/>
      <c r="AQ78" s="390"/>
      <c r="AR78" s="390"/>
      <c r="AS78" s="390"/>
      <c r="AT78" s="393"/>
      <c r="AU78" s="393"/>
      <c r="AV78" s="393"/>
      <c r="AW78" s="393"/>
      <c r="AX78" s="393"/>
      <c r="AY78" s="394"/>
      <c r="AZ78" s="392"/>
      <c r="BA78" s="393"/>
      <c r="BB78" s="395"/>
      <c r="BC78" s="395"/>
      <c r="BD78" s="395"/>
      <c r="BE78" s="395"/>
    </row>
    <row r="79" spans="1:57" s="33" customFormat="1" ht="12" customHeight="1">
      <c r="A79" s="396"/>
      <c r="B79" s="337"/>
      <c r="C79" s="337"/>
      <c r="D79" s="337"/>
      <c r="E79" s="337"/>
      <c r="F79" s="337"/>
      <c r="G79" s="337"/>
      <c r="H79" s="397"/>
      <c r="I79" s="337"/>
      <c r="J79" s="337"/>
      <c r="K79" s="337"/>
      <c r="L79" s="337"/>
      <c r="M79" s="337"/>
      <c r="N79" s="337"/>
      <c r="O79" s="337"/>
      <c r="P79" s="337"/>
      <c r="Q79" s="337"/>
      <c r="R79" s="337"/>
      <c r="S79" s="337"/>
      <c r="T79" s="337"/>
      <c r="U79" s="337"/>
      <c r="V79" s="256"/>
      <c r="W79" s="256"/>
      <c r="X79" s="256"/>
      <c r="Y79" s="256"/>
      <c r="Z79" s="256"/>
      <c r="AA79" s="256"/>
      <c r="AB79" s="256"/>
      <c r="AC79" s="256"/>
      <c r="AD79" s="256"/>
      <c r="AE79" s="256"/>
      <c r="AF79" s="256"/>
      <c r="AG79" s="256"/>
      <c r="AH79" s="256"/>
      <c r="AI79" s="256"/>
      <c r="AJ79" s="256"/>
      <c r="AK79" s="256"/>
      <c r="AL79" s="256"/>
      <c r="AM79" s="256"/>
      <c r="AN79" s="256"/>
      <c r="AO79" s="256"/>
      <c r="AP79" s="256"/>
      <c r="AQ79" s="256"/>
      <c r="AR79" s="256"/>
      <c r="AS79" s="256"/>
      <c r="AT79" s="256"/>
      <c r="AU79" s="256"/>
      <c r="AV79" s="256"/>
      <c r="AW79" s="256"/>
      <c r="AX79" s="256"/>
      <c r="AY79" s="256"/>
      <c r="AZ79" s="256"/>
      <c r="BA79" s="256"/>
      <c r="BB79" s="256"/>
      <c r="BC79" s="256"/>
      <c r="BD79" s="256"/>
      <c r="BE79" s="256"/>
    </row>
    <row r="80" spans="1:57" s="161" customFormat="1" ht="12" customHeight="1">
      <c r="A80" s="398" t="s">
        <v>131</v>
      </c>
      <c r="B80" s="1728">
        <f>B3</f>
        <v>2017</v>
      </c>
      <c r="C80" s="1729"/>
      <c r="D80" s="1729"/>
      <c r="E80" s="1730"/>
      <c r="F80" s="1731">
        <f>F3</f>
        <v>2018</v>
      </c>
      <c r="G80" s="1729"/>
      <c r="H80" s="1729"/>
      <c r="I80" s="1732"/>
      <c r="J80" s="1728">
        <f>J3</f>
        <v>2019</v>
      </c>
      <c r="K80" s="1729"/>
      <c r="L80" s="1729"/>
      <c r="M80" s="1730"/>
      <c r="N80" s="1728">
        <f>N3</f>
        <v>2020</v>
      </c>
      <c r="O80" s="1729"/>
      <c r="P80" s="1729"/>
      <c r="Q80" s="1732"/>
      <c r="R80" s="1728">
        <f>R3</f>
        <v>2021</v>
      </c>
      <c r="S80" s="1729"/>
      <c r="T80" s="1729"/>
      <c r="U80" s="1730"/>
      <c r="V80" s="1728">
        <f>V3</f>
        <v>2022</v>
      </c>
      <c r="W80" s="1729"/>
      <c r="X80" s="1729"/>
      <c r="Y80" s="1730"/>
      <c r="Z80" s="1728">
        <f>Z3</f>
        <v>2023</v>
      </c>
      <c r="AA80" s="1729"/>
      <c r="AB80" s="1729"/>
      <c r="AC80" s="1730"/>
      <c r="AD80" s="1728">
        <f>AD3</f>
        <v>2024</v>
      </c>
      <c r="AE80" s="1729"/>
      <c r="AF80" s="1729"/>
      <c r="AG80" s="1730"/>
      <c r="AH80" s="1728">
        <f>AH3</f>
        <v>2025</v>
      </c>
      <c r="AI80" s="1729"/>
      <c r="AJ80" s="1729"/>
      <c r="AK80" s="1730"/>
      <c r="AL80" s="1728">
        <f>AL3</f>
        <v>2026</v>
      </c>
      <c r="AM80" s="1729"/>
      <c r="AN80" s="1729"/>
      <c r="AO80" s="1730"/>
      <c r="AP80" s="1728">
        <f>AP3</f>
        <v>2027</v>
      </c>
      <c r="AQ80" s="1729"/>
      <c r="AR80" s="1729"/>
      <c r="AS80" s="1730"/>
      <c r="AT80" s="399"/>
      <c r="AU80" s="400"/>
      <c r="AV80" s="401"/>
      <c r="AW80" s="400"/>
      <c r="AX80" s="402"/>
      <c r="AY80" s="402"/>
      <c r="AZ80" s="402"/>
      <c r="BA80" s="403"/>
      <c r="BB80" s="42"/>
      <c r="BC80" s="42"/>
      <c r="BD80" s="404"/>
      <c r="BE80" s="404"/>
    </row>
    <row r="81" spans="1:57" s="161" customFormat="1" ht="12" customHeight="1">
      <c r="A81" s="405" t="s">
        <v>132</v>
      </c>
      <c r="B81" s="406"/>
      <c r="C81" s="407"/>
      <c r="D81" s="407"/>
      <c r="E81" s="408"/>
      <c r="F81" s="407"/>
      <c r="G81" s="407"/>
      <c r="H81" s="407"/>
      <c r="I81" s="407"/>
      <c r="J81" s="406"/>
      <c r="K81" s="407"/>
      <c r="L81" s="407"/>
      <c r="M81" s="408"/>
      <c r="N81" s="406"/>
      <c r="O81" s="407"/>
      <c r="P81" s="407"/>
      <c r="Q81" s="407"/>
      <c r="R81" s="406"/>
      <c r="S81" s="407"/>
      <c r="T81" s="407"/>
      <c r="U81" s="408"/>
      <c r="V81" s="406"/>
      <c r="W81" s="407"/>
      <c r="X81" s="407"/>
      <c r="Y81" s="408"/>
      <c r="Z81" s="406"/>
      <c r="AA81" s="407"/>
      <c r="AB81" s="407"/>
      <c r="AC81" s="408"/>
      <c r="AD81" s="409"/>
      <c r="AE81" s="321"/>
      <c r="AF81" s="321"/>
      <c r="AG81" s="410"/>
      <c r="AH81" s="409"/>
      <c r="AI81" s="321"/>
      <c r="AJ81" s="321"/>
      <c r="AK81" s="410"/>
      <c r="AL81" s="409"/>
      <c r="AM81" s="321"/>
      <c r="AN81" s="321"/>
      <c r="AO81" s="410"/>
      <c r="AP81" s="409"/>
      <c r="AQ81" s="321"/>
      <c r="AR81" s="321"/>
      <c r="AS81" s="410"/>
      <c r="AT81" s="411"/>
      <c r="AU81" s="61">
        <f t="shared" ref="AU81:BE81" si="145">AU4</f>
        <v>2017</v>
      </c>
      <c r="AV81" s="61">
        <f t="shared" si="145"/>
        <v>2018</v>
      </c>
      <c r="AW81" s="61">
        <f t="shared" si="145"/>
        <v>2019</v>
      </c>
      <c r="AX81" s="61">
        <f t="shared" si="145"/>
        <v>2020</v>
      </c>
      <c r="AY81" s="61" t="str">
        <f t="shared" si="145"/>
        <v>CY21</v>
      </c>
      <c r="AZ81" s="61" t="str">
        <f t="shared" si="145"/>
        <v>CY22</v>
      </c>
      <c r="BA81" s="61" t="str">
        <f t="shared" si="145"/>
        <v>CY23</v>
      </c>
      <c r="BB81" s="61" t="str">
        <f t="shared" si="145"/>
        <v>CY24</v>
      </c>
      <c r="BC81" s="61" t="str">
        <f t="shared" si="145"/>
        <v>CY25</v>
      </c>
      <c r="BD81" s="61" t="str">
        <f t="shared" si="145"/>
        <v>CY26E</v>
      </c>
      <c r="BE81" s="61" t="str">
        <f t="shared" si="145"/>
        <v>CY27E</v>
      </c>
    </row>
    <row r="82" spans="1:57" s="161" customFormat="1" ht="12" customHeight="1">
      <c r="A82" s="412" t="s">
        <v>133</v>
      </c>
      <c r="B82" s="413">
        <f t="shared" ref="B82:AS82" si="146">B83+B84</f>
        <v>1.6260000000000001</v>
      </c>
      <c r="C82" s="414">
        <f t="shared" si="146"/>
        <v>1.849</v>
      </c>
      <c r="D82" s="414">
        <f t="shared" si="146"/>
        <v>2.028</v>
      </c>
      <c r="E82" s="415">
        <f t="shared" si="146"/>
        <v>2.2569999999999997</v>
      </c>
      <c r="F82" s="413">
        <f t="shared" si="146"/>
        <v>2.399</v>
      </c>
      <c r="G82" s="414">
        <f t="shared" si="146"/>
        <v>3.024</v>
      </c>
      <c r="H82" s="414">
        <f t="shared" si="146"/>
        <v>8.7830000000000013</v>
      </c>
      <c r="I82" s="415">
        <f t="shared" si="146"/>
        <v>8.6690000000000005</v>
      </c>
      <c r="J82" s="414">
        <f t="shared" si="146"/>
        <v>9.3189999999999991</v>
      </c>
      <c r="K82" s="414">
        <f t="shared" si="146"/>
        <v>11.373000000000001</v>
      </c>
      <c r="L82" s="414">
        <f t="shared" si="146"/>
        <v>10.498999999999999</v>
      </c>
      <c r="M82" s="414">
        <f t="shared" si="146"/>
        <v>12.251999999999999</v>
      </c>
      <c r="N82" s="413">
        <f t="shared" si="146"/>
        <v>13.035</v>
      </c>
      <c r="O82" s="414">
        <f t="shared" si="146"/>
        <v>15.666</v>
      </c>
      <c r="P82" s="416">
        <f t="shared" si="146"/>
        <v>15.3</v>
      </c>
      <c r="Q82" s="417">
        <f t="shared" si="146"/>
        <v>15.572000000000001</v>
      </c>
      <c r="R82" s="416">
        <f t="shared" si="146"/>
        <v>16.952000000000002</v>
      </c>
      <c r="S82" s="414">
        <f t="shared" si="146"/>
        <v>20.469000000000001</v>
      </c>
      <c r="T82" s="414">
        <f t="shared" si="146"/>
        <v>20.911999999999999</v>
      </c>
      <c r="U82" s="414">
        <f t="shared" si="146"/>
        <v>21.071999999999999</v>
      </c>
      <c r="V82" s="413">
        <f t="shared" si="146"/>
        <v>25.397999999999996</v>
      </c>
      <c r="W82" s="414">
        <f t="shared" si="146"/>
        <v>31.913</v>
      </c>
      <c r="X82" s="414">
        <f t="shared" si="146"/>
        <v>32.643000000000001</v>
      </c>
      <c r="Y82" s="415">
        <f t="shared" si="146"/>
        <v>30.678999999999998</v>
      </c>
      <c r="Z82" s="413">
        <f t="shared" si="146"/>
        <v>34.117000000000004</v>
      </c>
      <c r="AA82" s="414">
        <f t="shared" si="146"/>
        <v>37.859999999999992</v>
      </c>
      <c r="AB82" s="414">
        <f t="shared" si="146"/>
        <v>36.835000000000001</v>
      </c>
      <c r="AC82" s="415">
        <f t="shared" si="146"/>
        <v>36.515000000000001</v>
      </c>
      <c r="AD82" s="413">
        <f t="shared" si="146"/>
        <v>39.718999999999994</v>
      </c>
      <c r="AE82" s="414">
        <f t="shared" si="146"/>
        <v>41.397999999999996</v>
      </c>
      <c r="AF82" s="414">
        <f t="shared" si="146"/>
        <v>41.684000000000005</v>
      </c>
      <c r="AG82" s="415">
        <f t="shared" si="146"/>
        <v>40.713999999999999</v>
      </c>
      <c r="AH82" s="413">
        <f t="shared" si="146"/>
        <v>55.902999999999999</v>
      </c>
      <c r="AI82" s="414">
        <f t="shared" si="146"/>
        <v>46.526000000000003</v>
      </c>
      <c r="AJ82" s="414">
        <f t="shared" si="146"/>
        <v>44.881999999999998</v>
      </c>
      <c r="AK82" s="415">
        <f t="shared" si="146"/>
        <v>44.502000000000002</v>
      </c>
      <c r="AL82" s="413">
        <f t="shared" si="146"/>
        <v>54.299024850000002</v>
      </c>
      <c r="AM82" s="414">
        <f t="shared" si="146"/>
        <v>47.796576299999998</v>
      </c>
      <c r="AN82" s="414">
        <f t="shared" si="146"/>
        <v>48.374464500000002</v>
      </c>
      <c r="AO82" s="415">
        <f t="shared" si="146"/>
        <v>49.929947999999989</v>
      </c>
      <c r="AP82" s="413">
        <f t="shared" si="146"/>
        <v>57.877438051965001</v>
      </c>
      <c r="AQ82" s="414">
        <f>AQ83+AQ84</f>
        <v>50.942895281639991</v>
      </c>
      <c r="AR82" s="414">
        <f t="shared" si="146"/>
        <v>51.551321188950013</v>
      </c>
      <c r="AS82" s="415">
        <f t="shared" si="146"/>
        <v>53.206438168800005</v>
      </c>
      <c r="AT82" s="418"/>
      <c r="AU82" s="79">
        <f t="shared" ref="AU82" si="147">SUM(B82:E82)</f>
        <v>7.76</v>
      </c>
      <c r="AV82" s="79">
        <f t="shared" ref="AV82:AV95" si="148">SUM(F82:I82)</f>
        <v>22.875</v>
      </c>
      <c r="AW82" s="79">
        <f t="shared" ref="AW82:AW95" si="149">SUM(J82:M82)</f>
        <v>43.442999999999998</v>
      </c>
      <c r="AX82" s="79">
        <f>SUM(N82:Q82)</f>
        <v>59.573000000000008</v>
      </c>
      <c r="AY82" s="79">
        <f>SUM(R82:U82)</f>
        <v>79.405000000000001</v>
      </c>
      <c r="AZ82" s="79">
        <f>SUM(V82:Y82)</f>
        <v>120.633</v>
      </c>
      <c r="BA82" s="79">
        <f>SUM(Z82:AC82)</f>
        <v>145.327</v>
      </c>
      <c r="BB82" s="79">
        <f>SUM(AD82:AG82)</f>
        <v>163.51499999999999</v>
      </c>
      <c r="BC82" s="79">
        <f t="shared" ref="BC82:BC99" si="150">SUM(AH82:AK82)</f>
        <v>191.81300000000002</v>
      </c>
      <c r="BD82" s="79">
        <f>SUM(AL82:AO82)</f>
        <v>200.40001364999998</v>
      </c>
      <c r="BE82" s="79">
        <f t="shared" ref="BE82:BE95" si="151">SUM(AP82:AS82)</f>
        <v>213.57809269135498</v>
      </c>
    </row>
    <row r="83" spans="1:57" s="161" customFormat="1" ht="12" customHeight="1">
      <c r="A83" s="419" t="s">
        <v>134</v>
      </c>
      <c r="B83" s="420">
        <f t="shared" ref="B83:S83" si="152">+B142</f>
        <v>5.3999999999999999E-2</v>
      </c>
      <c r="C83" s="421">
        <f t="shared" si="152"/>
        <v>0.05</v>
      </c>
      <c r="D83" s="421">
        <f t="shared" si="152"/>
        <v>6.3E-2</v>
      </c>
      <c r="E83" s="422">
        <f t="shared" si="152"/>
        <v>0.114</v>
      </c>
      <c r="F83" s="420">
        <f t="shared" si="152"/>
        <v>7.6999999999999999E-2</v>
      </c>
      <c r="G83" s="421">
        <f t="shared" si="152"/>
        <v>0.114</v>
      </c>
      <c r="H83" s="421">
        <f t="shared" si="152"/>
        <v>0.69199999999999995</v>
      </c>
      <c r="I83" s="422">
        <f t="shared" si="152"/>
        <v>0.82399999999999995</v>
      </c>
      <c r="J83" s="421">
        <f t="shared" si="152"/>
        <v>0.65200000000000002</v>
      </c>
      <c r="K83" s="421">
        <f t="shared" si="152"/>
        <v>0.74199999999999999</v>
      </c>
      <c r="L83" s="421">
        <f t="shared" si="152"/>
        <v>0.69399999999999995</v>
      </c>
      <c r="M83" s="421">
        <f t="shared" si="152"/>
        <v>0.72899999999999998</v>
      </c>
      <c r="N83" s="420">
        <f t="shared" si="152"/>
        <v>0.747</v>
      </c>
      <c r="O83" s="421">
        <f t="shared" si="152"/>
        <v>0.83</v>
      </c>
      <c r="P83" s="423">
        <f t="shared" si="152"/>
        <v>0.82599999999999996</v>
      </c>
      <c r="Q83" s="424">
        <f t="shared" si="152"/>
        <v>0.755</v>
      </c>
      <c r="R83" s="423">
        <f t="shared" si="152"/>
        <v>0.93700000000000006</v>
      </c>
      <c r="S83" s="421">
        <f t="shared" si="152"/>
        <v>1.202</v>
      </c>
      <c r="T83" s="421">
        <f t="shared" ref="T83:AS83" si="153">T142</f>
        <v>1.1970000000000001</v>
      </c>
      <c r="U83" s="421">
        <f t="shared" si="153"/>
        <v>1.1100000000000001</v>
      </c>
      <c r="V83" s="420">
        <f t="shared" si="153"/>
        <v>1.5129999999999999</v>
      </c>
      <c r="W83" s="421">
        <f t="shared" si="153"/>
        <v>2.1139999999999999</v>
      </c>
      <c r="X83" s="421">
        <f t="shared" si="153"/>
        <v>2.3410000000000002</v>
      </c>
      <c r="Y83" s="421">
        <f t="shared" si="153"/>
        <v>2.4009999999999998</v>
      </c>
      <c r="Z83" s="420">
        <f t="shared" si="153"/>
        <v>2.625</v>
      </c>
      <c r="AA83" s="421">
        <f t="shared" si="153"/>
        <v>2.9060000000000001</v>
      </c>
      <c r="AB83" s="421">
        <f t="shared" si="153"/>
        <v>3.0110000000000001</v>
      </c>
      <c r="AC83" s="422">
        <f t="shared" si="153"/>
        <v>2.7050000000000001</v>
      </c>
      <c r="AD83" s="420">
        <f t="shared" si="153"/>
        <v>2.9820000000000002</v>
      </c>
      <c r="AE83" s="421">
        <f t="shared" si="153"/>
        <v>3.2879999999999998</v>
      </c>
      <c r="AF83" s="421">
        <f t="shared" si="153"/>
        <v>3.2160000000000002</v>
      </c>
      <c r="AG83" s="422">
        <f t="shared" si="153"/>
        <v>3.1909999999999998</v>
      </c>
      <c r="AH83" s="420">
        <f t="shared" si="153"/>
        <v>3.3149999999999999</v>
      </c>
      <c r="AI83" s="421">
        <f t="shared" si="153"/>
        <v>3.46</v>
      </c>
      <c r="AJ83" s="421">
        <f t="shared" si="153"/>
        <v>3.4950000000000001</v>
      </c>
      <c r="AK83" s="422">
        <f t="shared" si="153"/>
        <v>3.444</v>
      </c>
      <c r="AL83" s="420">
        <f t="shared" si="153"/>
        <v>4.2021896000943784</v>
      </c>
      <c r="AM83" s="421">
        <f t="shared" si="153"/>
        <v>3.698966535823109</v>
      </c>
      <c r="AN83" s="421">
        <f t="shared" si="153"/>
        <v>3.7436891766212756</v>
      </c>
      <c r="AO83" s="422">
        <f t="shared" si="153"/>
        <v>3.8640677028448156</v>
      </c>
      <c r="AP83" s="420">
        <f t="shared" si="153"/>
        <v>4.4791222113830269</v>
      </c>
      <c r="AQ83" s="421">
        <f t="shared" si="153"/>
        <v>3.9424594703601663</v>
      </c>
      <c r="AR83" s="421">
        <f t="shared" si="153"/>
        <v>3.9895454176159237</v>
      </c>
      <c r="AS83" s="422">
        <f t="shared" si="153"/>
        <v>4.1176345569490636</v>
      </c>
      <c r="AT83" s="425"/>
      <c r="AU83" s="72">
        <f t="shared" ref="AU83:AU95" si="154">SUM(B83:E83)</f>
        <v>0.28100000000000003</v>
      </c>
      <c r="AV83" s="72">
        <f t="shared" si="148"/>
        <v>1.7069999999999999</v>
      </c>
      <c r="AW83" s="72">
        <f t="shared" si="149"/>
        <v>2.8170000000000002</v>
      </c>
      <c r="AX83" s="72">
        <f t="shared" ref="AX83:AX91" si="155">SUM(N83:Q83)</f>
        <v>3.1579999999999999</v>
      </c>
      <c r="AY83" s="72">
        <f t="shared" ref="AY83:AY91" si="156">SUM(R83:U83)</f>
        <v>4.4460000000000006</v>
      </c>
      <c r="AZ83" s="72">
        <f t="shared" ref="AZ83:AZ91" si="157">SUM(V83:Y83)</f>
        <v>8.3689999999999998</v>
      </c>
      <c r="BA83" s="72">
        <f t="shared" ref="BA83:BA91" si="158">SUM(Z83:AC83)</f>
        <v>11.247000000000002</v>
      </c>
      <c r="BB83" s="72">
        <f t="shared" ref="BB83:BB99" si="159">SUM(AD83:AG83)</f>
        <v>12.677</v>
      </c>
      <c r="BC83" s="72">
        <f t="shared" si="150"/>
        <v>13.713999999999999</v>
      </c>
      <c r="BD83" s="72">
        <f t="shared" ref="BD83:BD99" si="160">SUM(AL83:AO83)</f>
        <v>15.508913015383579</v>
      </c>
      <c r="BE83" s="72">
        <f t="shared" si="151"/>
        <v>16.528761656308181</v>
      </c>
    </row>
    <row r="84" spans="1:57" s="161" customFormat="1" ht="12" customHeight="1">
      <c r="A84" s="419" t="s">
        <v>135</v>
      </c>
      <c r="B84" s="420">
        <f t="shared" ref="B84:S84" si="161">+B146</f>
        <v>1.5720000000000001</v>
      </c>
      <c r="C84" s="421">
        <f t="shared" si="161"/>
        <v>1.7989999999999999</v>
      </c>
      <c r="D84" s="421">
        <f t="shared" si="161"/>
        <v>1.9650000000000001</v>
      </c>
      <c r="E84" s="422">
        <f t="shared" si="161"/>
        <v>2.1429999999999998</v>
      </c>
      <c r="F84" s="420">
        <f t="shared" si="161"/>
        <v>2.3220000000000001</v>
      </c>
      <c r="G84" s="421">
        <f t="shared" si="161"/>
        <v>2.91</v>
      </c>
      <c r="H84" s="421">
        <f t="shared" si="161"/>
        <v>8.0910000000000011</v>
      </c>
      <c r="I84" s="422">
        <f t="shared" si="161"/>
        <v>7.8450000000000006</v>
      </c>
      <c r="J84" s="421">
        <f t="shared" si="161"/>
        <v>8.6669999999999998</v>
      </c>
      <c r="K84" s="421">
        <f t="shared" si="161"/>
        <v>10.631</v>
      </c>
      <c r="L84" s="421">
        <f t="shared" si="161"/>
        <v>9.8049999999999997</v>
      </c>
      <c r="M84" s="421">
        <f t="shared" si="161"/>
        <v>11.523</v>
      </c>
      <c r="N84" s="420">
        <f t="shared" si="161"/>
        <v>12.288</v>
      </c>
      <c r="O84" s="421">
        <f t="shared" si="161"/>
        <v>14.836</v>
      </c>
      <c r="P84" s="423">
        <f t="shared" si="161"/>
        <v>14.474</v>
      </c>
      <c r="Q84" s="424">
        <f t="shared" si="161"/>
        <v>14.817</v>
      </c>
      <c r="R84" s="423">
        <f t="shared" si="161"/>
        <v>16.015000000000001</v>
      </c>
      <c r="S84" s="421">
        <f t="shared" si="161"/>
        <v>19.266999999999999</v>
      </c>
      <c r="T84" s="421">
        <f t="shared" ref="T84:AS84" si="162">T146</f>
        <v>19.715</v>
      </c>
      <c r="U84" s="421">
        <f t="shared" si="162"/>
        <v>19.962</v>
      </c>
      <c r="V84" s="420">
        <f t="shared" si="162"/>
        <v>23.884999999999998</v>
      </c>
      <c r="W84" s="421">
        <f t="shared" si="162"/>
        <v>29.798999999999999</v>
      </c>
      <c r="X84" s="421">
        <f t="shared" si="162"/>
        <v>30.302</v>
      </c>
      <c r="Y84" s="421">
        <f t="shared" si="162"/>
        <v>28.277999999999999</v>
      </c>
      <c r="Z84" s="420">
        <f t="shared" si="162"/>
        <v>31.492000000000001</v>
      </c>
      <c r="AA84" s="421">
        <f t="shared" si="162"/>
        <v>34.953999999999994</v>
      </c>
      <c r="AB84" s="421">
        <f t="shared" si="162"/>
        <v>33.823999999999998</v>
      </c>
      <c r="AC84" s="422">
        <f t="shared" si="162"/>
        <v>33.81</v>
      </c>
      <c r="AD84" s="420">
        <f t="shared" si="162"/>
        <v>36.736999999999995</v>
      </c>
      <c r="AE84" s="421">
        <f t="shared" si="162"/>
        <v>38.11</v>
      </c>
      <c r="AF84" s="421">
        <f t="shared" si="162"/>
        <v>38.468000000000004</v>
      </c>
      <c r="AG84" s="422">
        <f t="shared" si="162"/>
        <v>37.522999999999996</v>
      </c>
      <c r="AH84" s="420">
        <f t="shared" si="162"/>
        <v>52.588000000000001</v>
      </c>
      <c r="AI84" s="421">
        <f t="shared" si="162"/>
        <v>43.066000000000003</v>
      </c>
      <c r="AJ84" s="421">
        <f t="shared" si="162"/>
        <v>41.387</v>
      </c>
      <c r="AK84" s="422">
        <f t="shared" si="162"/>
        <v>41.058</v>
      </c>
      <c r="AL84" s="420">
        <f t="shared" si="162"/>
        <v>50.096835249905624</v>
      </c>
      <c r="AM84" s="421">
        <f t="shared" si="162"/>
        <v>44.097609764176887</v>
      </c>
      <c r="AN84" s="421">
        <f t="shared" si="162"/>
        <v>44.630775323378728</v>
      </c>
      <c r="AO84" s="422">
        <f t="shared" si="162"/>
        <v>46.065880297155175</v>
      </c>
      <c r="AP84" s="420">
        <f t="shared" si="162"/>
        <v>53.398315840581972</v>
      </c>
      <c r="AQ84" s="421">
        <f t="shared" si="162"/>
        <v>47.000435811279822</v>
      </c>
      <c r="AR84" s="421">
        <f t="shared" si="162"/>
        <v>47.561775771334091</v>
      </c>
      <c r="AS84" s="422">
        <f t="shared" si="162"/>
        <v>49.088803611850942</v>
      </c>
      <c r="AT84" s="425"/>
      <c r="AU84" s="72">
        <f t="shared" si="154"/>
        <v>7.4790000000000001</v>
      </c>
      <c r="AV84" s="72">
        <f t="shared" si="148"/>
        <v>21.167999999999999</v>
      </c>
      <c r="AW84" s="72">
        <f t="shared" si="149"/>
        <v>40.626000000000005</v>
      </c>
      <c r="AX84" s="72">
        <f t="shared" si="155"/>
        <v>56.414999999999999</v>
      </c>
      <c r="AY84" s="72">
        <f t="shared" si="156"/>
        <v>74.959000000000003</v>
      </c>
      <c r="AZ84" s="72">
        <f t="shared" si="157"/>
        <v>112.26399999999998</v>
      </c>
      <c r="BA84" s="72">
        <f t="shared" si="158"/>
        <v>134.07999999999998</v>
      </c>
      <c r="BB84" s="72">
        <f t="shared" si="159"/>
        <v>150.83799999999999</v>
      </c>
      <c r="BC84" s="72">
        <f t="shared" si="150"/>
        <v>178.09899999999999</v>
      </c>
      <c r="BD84" s="72">
        <f t="shared" si="160"/>
        <v>184.89110063461641</v>
      </c>
      <c r="BE84" s="72">
        <f t="shared" si="151"/>
        <v>197.04933103504683</v>
      </c>
    </row>
    <row r="85" spans="1:57" s="161" customFormat="1" ht="12" customHeight="1">
      <c r="A85" s="412" t="s">
        <v>136</v>
      </c>
      <c r="B85" s="413">
        <f>B86+B87</f>
        <v>0.15100000000000002</v>
      </c>
      <c r="C85" s="414">
        <f t="shared" ref="C85:AS85" si="163">C86+C87</f>
        <v>0.151</v>
      </c>
      <c r="D85" s="414">
        <f t="shared" si="163"/>
        <v>0.151</v>
      </c>
      <c r="E85" s="415">
        <f t="shared" si="163"/>
        <v>0.15</v>
      </c>
      <c r="F85" s="413">
        <f t="shared" si="163"/>
        <v>0.151</v>
      </c>
      <c r="G85" s="414">
        <f t="shared" si="163"/>
        <v>0.151</v>
      </c>
      <c r="H85" s="414">
        <f t="shared" si="163"/>
        <v>0.151</v>
      </c>
      <c r="I85" s="415">
        <f t="shared" si="163"/>
        <v>0.15</v>
      </c>
      <c r="J85" s="414">
        <f t="shared" si="163"/>
        <v>0.151</v>
      </c>
      <c r="K85" s="414">
        <f t="shared" si="163"/>
        <v>0.151</v>
      </c>
      <c r="L85" s="414">
        <f t="shared" si="163"/>
        <v>0.125</v>
      </c>
      <c r="M85" s="414">
        <f t="shared" si="163"/>
        <v>0.193</v>
      </c>
      <c r="N85" s="413">
        <f t="shared" si="163"/>
        <v>0.57899999999999996</v>
      </c>
      <c r="O85" s="414">
        <f t="shared" si="163"/>
        <v>0.57799999999999996</v>
      </c>
      <c r="P85" s="416">
        <f t="shared" si="163"/>
        <v>0.57899999999999996</v>
      </c>
      <c r="Q85" s="417">
        <f t="shared" si="163"/>
        <v>0.57799999999999996</v>
      </c>
      <c r="R85" s="416">
        <f t="shared" si="163"/>
        <v>0.57899999999999996</v>
      </c>
      <c r="S85" s="414">
        <f t="shared" si="163"/>
        <v>1.4039999999999999</v>
      </c>
      <c r="T85" s="414">
        <f t="shared" si="163"/>
        <v>1.7210000000000001</v>
      </c>
      <c r="U85" s="414">
        <f t="shared" si="163"/>
        <v>2.7429999999999999</v>
      </c>
      <c r="V85" s="413">
        <f t="shared" si="163"/>
        <v>2.427</v>
      </c>
      <c r="W85" s="414">
        <f t="shared" si="163"/>
        <v>2.7850000000000001</v>
      </c>
      <c r="X85" s="414">
        <f t="shared" si="163"/>
        <v>3.08</v>
      </c>
      <c r="Y85" s="415">
        <f t="shared" si="163"/>
        <v>3.08</v>
      </c>
      <c r="Z85" s="413">
        <f t="shared" si="163"/>
        <v>3.08</v>
      </c>
      <c r="AA85" s="414">
        <f t="shared" si="163"/>
        <v>3.073</v>
      </c>
      <c r="AB85" s="414">
        <f t="shared" si="163"/>
        <v>3.0550000000000002</v>
      </c>
      <c r="AC85" s="415">
        <f t="shared" si="163"/>
        <v>4.6509999999999998</v>
      </c>
      <c r="AD85" s="413">
        <f t="shared" si="163"/>
        <v>4.6689999999999996</v>
      </c>
      <c r="AE85" s="414">
        <f t="shared" si="163"/>
        <v>4.76</v>
      </c>
      <c r="AF85" s="414">
        <f t="shared" si="163"/>
        <v>5.0140000000000002</v>
      </c>
      <c r="AG85" s="415">
        <f t="shared" si="163"/>
        <v>5.0140000000000002</v>
      </c>
      <c r="AH85" s="413">
        <f t="shared" si="163"/>
        <v>5.8639999999999999</v>
      </c>
      <c r="AI85" s="414">
        <f t="shared" si="163"/>
        <v>6.5369999999999999</v>
      </c>
      <c r="AJ85" s="414">
        <f t="shared" si="163"/>
        <v>6.782</v>
      </c>
      <c r="AK85" s="415">
        <f t="shared" si="163"/>
        <v>6.782</v>
      </c>
      <c r="AL85" s="413">
        <f t="shared" si="163"/>
        <v>6.782</v>
      </c>
      <c r="AM85" s="414">
        <f t="shared" si="163"/>
        <v>6.782</v>
      </c>
      <c r="AN85" s="414">
        <f t="shared" si="163"/>
        <v>6.782</v>
      </c>
      <c r="AO85" s="415">
        <f t="shared" si="163"/>
        <v>6.782</v>
      </c>
      <c r="AP85" s="413">
        <f t="shared" si="163"/>
        <v>6.782</v>
      </c>
      <c r="AQ85" s="414">
        <f t="shared" si="163"/>
        <v>6.782</v>
      </c>
      <c r="AR85" s="414">
        <f t="shared" si="163"/>
        <v>6.782</v>
      </c>
      <c r="AS85" s="415">
        <f t="shared" si="163"/>
        <v>6.782</v>
      </c>
      <c r="AT85" s="426"/>
      <c r="AU85" s="79">
        <f t="shared" si="154"/>
        <v>0.60300000000000009</v>
      </c>
      <c r="AV85" s="79">
        <f t="shared" si="148"/>
        <v>0.60299999999999998</v>
      </c>
      <c r="AW85" s="79">
        <f t="shared" si="149"/>
        <v>0.62</v>
      </c>
      <c r="AX85" s="79">
        <f t="shared" si="155"/>
        <v>2.3140000000000001</v>
      </c>
      <c r="AY85" s="79">
        <f t="shared" si="156"/>
        <v>6.4469999999999992</v>
      </c>
      <c r="AZ85" s="79">
        <f t="shared" si="157"/>
        <v>11.372</v>
      </c>
      <c r="BA85" s="79">
        <f t="shared" si="158"/>
        <v>13.859</v>
      </c>
      <c r="BB85" s="79">
        <f t="shared" si="159"/>
        <v>19.456999999999997</v>
      </c>
      <c r="BC85" s="79">
        <f t="shared" si="150"/>
        <v>25.965</v>
      </c>
      <c r="BD85" s="79">
        <f t="shared" si="160"/>
        <v>27.128</v>
      </c>
      <c r="BE85" s="79">
        <f t="shared" si="151"/>
        <v>27.128</v>
      </c>
    </row>
    <row r="86" spans="1:57" s="161" customFormat="1" ht="12" customHeight="1">
      <c r="A86" s="419" t="s">
        <v>134</v>
      </c>
      <c r="B86" s="420">
        <f t="shared" ref="B86:AS86" si="164">B151</f>
        <v>0.15100000000000002</v>
      </c>
      <c r="C86" s="421">
        <f t="shared" si="164"/>
        <v>0.151</v>
      </c>
      <c r="D86" s="421">
        <f t="shared" si="164"/>
        <v>0.151</v>
      </c>
      <c r="E86" s="422">
        <f t="shared" si="164"/>
        <v>0.15</v>
      </c>
      <c r="F86" s="420">
        <f t="shared" si="164"/>
        <v>0.151</v>
      </c>
      <c r="G86" s="421">
        <f t="shared" si="164"/>
        <v>0.151</v>
      </c>
      <c r="H86" s="421">
        <f t="shared" si="164"/>
        <v>0.151</v>
      </c>
      <c r="I86" s="422">
        <f t="shared" si="164"/>
        <v>0.15</v>
      </c>
      <c r="J86" s="421">
        <f t="shared" si="164"/>
        <v>0.151</v>
      </c>
      <c r="K86" s="421">
        <f t="shared" si="164"/>
        <v>0.151</v>
      </c>
      <c r="L86" s="421">
        <f t="shared" si="164"/>
        <v>0.125</v>
      </c>
      <c r="M86" s="421">
        <f t="shared" si="164"/>
        <v>0.193</v>
      </c>
      <c r="N86" s="420">
        <f t="shared" si="164"/>
        <v>0.57899999999999996</v>
      </c>
      <c r="O86" s="421">
        <f t="shared" si="164"/>
        <v>0.57799999999999996</v>
      </c>
      <c r="P86" s="423">
        <f t="shared" si="164"/>
        <v>0.57899999999999996</v>
      </c>
      <c r="Q86" s="424">
        <f t="shared" si="164"/>
        <v>0.57799999999999996</v>
      </c>
      <c r="R86" s="423">
        <f t="shared" si="164"/>
        <v>0.57899999999999996</v>
      </c>
      <c r="S86" s="421">
        <f t="shared" si="164"/>
        <v>1.4039999999999999</v>
      </c>
      <c r="T86" s="421">
        <f t="shared" si="164"/>
        <v>1.7210000000000001</v>
      </c>
      <c r="U86" s="421">
        <f t="shared" si="164"/>
        <v>2.7429999999999999</v>
      </c>
      <c r="V86" s="420">
        <f t="shared" si="164"/>
        <v>2.427</v>
      </c>
      <c r="W86" s="421">
        <f t="shared" si="164"/>
        <v>2.7850000000000001</v>
      </c>
      <c r="X86" s="421">
        <f t="shared" si="164"/>
        <v>3.08</v>
      </c>
      <c r="Y86" s="422">
        <f t="shared" si="164"/>
        <v>3.08</v>
      </c>
      <c r="Z86" s="420">
        <f t="shared" si="164"/>
        <v>3.08</v>
      </c>
      <c r="AA86" s="421">
        <f t="shared" si="164"/>
        <v>3.073</v>
      </c>
      <c r="AB86" s="421">
        <f t="shared" si="164"/>
        <v>3.0550000000000002</v>
      </c>
      <c r="AC86" s="422">
        <f t="shared" si="164"/>
        <v>4.6509999999999998</v>
      </c>
      <c r="AD86" s="420">
        <f t="shared" si="164"/>
        <v>4.6689999999999996</v>
      </c>
      <c r="AE86" s="421">
        <f t="shared" si="164"/>
        <v>4.76</v>
      </c>
      <c r="AF86" s="421">
        <f t="shared" si="164"/>
        <v>5.0140000000000002</v>
      </c>
      <c r="AG86" s="422">
        <f t="shared" si="164"/>
        <v>5.0140000000000002</v>
      </c>
      <c r="AH86" s="420">
        <f t="shared" si="164"/>
        <v>5.8639999999999999</v>
      </c>
      <c r="AI86" s="421">
        <f t="shared" si="164"/>
        <v>6.5369999999999999</v>
      </c>
      <c r="AJ86" s="421">
        <f t="shared" si="164"/>
        <v>6.782</v>
      </c>
      <c r="AK86" s="422">
        <f t="shared" si="164"/>
        <v>6.782</v>
      </c>
      <c r="AL86" s="420">
        <f t="shared" si="164"/>
        <v>6.782</v>
      </c>
      <c r="AM86" s="421">
        <f t="shared" si="164"/>
        <v>6.782</v>
      </c>
      <c r="AN86" s="421">
        <f t="shared" si="164"/>
        <v>6.782</v>
      </c>
      <c r="AO86" s="422">
        <f t="shared" si="164"/>
        <v>6.782</v>
      </c>
      <c r="AP86" s="420">
        <f t="shared" si="164"/>
        <v>6.782</v>
      </c>
      <c r="AQ86" s="421">
        <f t="shared" si="164"/>
        <v>6.782</v>
      </c>
      <c r="AR86" s="421">
        <f t="shared" si="164"/>
        <v>6.782</v>
      </c>
      <c r="AS86" s="422">
        <f t="shared" si="164"/>
        <v>6.782</v>
      </c>
      <c r="AT86" s="425"/>
      <c r="AU86" s="72">
        <f t="shared" si="154"/>
        <v>0.60300000000000009</v>
      </c>
      <c r="AV86" s="72">
        <f t="shared" si="148"/>
        <v>0.60299999999999998</v>
      </c>
      <c r="AW86" s="72">
        <f t="shared" si="149"/>
        <v>0.62</v>
      </c>
      <c r="AX86" s="72">
        <f t="shared" si="155"/>
        <v>2.3140000000000001</v>
      </c>
      <c r="AY86" s="72">
        <f t="shared" si="156"/>
        <v>6.4469999999999992</v>
      </c>
      <c r="AZ86" s="72">
        <f t="shared" si="157"/>
        <v>11.372</v>
      </c>
      <c r="BA86" s="72">
        <f t="shared" si="158"/>
        <v>13.859</v>
      </c>
      <c r="BB86" s="72">
        <f t="shared" si="159"/>
        <v>19.456999999999997</v>
      </c>
      <c r="BC86" s="72">
        <f t="shared" si="150"/>
        <v>25.965</v>
      </c>
      <c r="BD86" s="72">
        <f t="shared" si="160"/>
        <v>27.128</v>
      </c>
      <c r="BE86" s="72">
        <f t="shared" si="151"/>
        <v>27.128</v>
      </c>
    </row>
    <row r="87" spans="1:57" s="161" customFormat="1" ht="12" customHeight="1">
      <c r="A87" s="419" t="s">
        <v>135</v>
      </c>
      <c r="B87" s="420">
        <f t="shared" ref="B87:S87" si="165">+B155</f>
        <v>0</v>
      </c>
      <c r="C87" s="421">
        <f t="shared" si="165"/>
        <v>0</v>
      </c>
      <c r="D87" s="421">
        <f t="shared" si="165"/>
        <v>0</v>
      </c>
      <c r="E87" s="422">
        <f t="shared" si="165"/>
        <v>0</v>
      </c>
      <c r="F87" s="420">
        <f t="shared" si="165"/>
        <v>0</v>
      </c>
      <c r="G87" s="421">
        <f t="shared" si="165"/>
        <v>0</v>
      </c>
      <c r="H87" s="421">
        <f t="shared" si="165"/>
        <v>0</v>
      </c>
      <c r="I87" s="422">
        <f t="shared" si="165"/>
        <v>0</v>
      </c>
      <c r="J87" s="421">
        <f t="shared" si="165"/>
        <v>0</v>
      </c>
      <c r="K87" s="421">
        <f t="shared" si="165"/>
        <v>0</v>
      </c>
      <c r="L87" s="421">
        <f t="shared" si="165"/>
        <v>0</v>
      </c>
      <c r="M87" s="421">
        <f t="shared" si="165"/>
        <v>0</v>
      </c>
      <c r="N87" s="420">
        <f t="shared" si="165"/>
        <v>0</v>
      </c>
      <c r="O87" s="421">
        <f t="shared" si="165"/>
        <v>0</v>
      </c>
      <c r="P87" s="423">
        <f t="shared" si="165"/>
        <v>0</v>
      </c>
      <c r="Q87" s="424">
        <f t="shared" si="165"/>
        <v>0</v>
      </c>
      <c r="R87" s="423">
        <f t="shared" si="165"/>
        <v>0</v>
      </c>
      <c r="S87" s="421">
        <f t="shared" si="165"/>
        <v>0</v>
      </c>
      <c r="T87" s="421">
        <f t="shared" ref="T87:AS87" si="166">T155</f>
        <v>0</v>
      </c>
      <c r="U87" s="421">
        <f t="shared" si="166"/>
        <v>0</v>
      </c>
      <c r="V87" s="420">
        <f t="shared" si="166"/>
        <v>0</v>
      </c>
      <c r="W87" s="421">
        <f t="shared" si="166"/>
        <v>0</v>
      </c>
      <c r="X87" s="421">
        <f t="shared" si="166"/>
        <v>0</v>
      </c>
      <c r="Y87" s="422">
        <f t="shared" si="166"/>
        <v>0</v>
      </c>
      <c r="Z87" s="420">
        <f t="shared" si="166"/>
        <v>0</v>
      </c>
      <c r="AA87" s="421">
        <f t="shared" si="166"/>
        <v>0</v>
      </c>
      <c r="AB87" s="421">
        <f t="shared" si="166"/>
        <v>0</v>
      </c>
      <c r="AC87" s="422">
        <f t="shared" si="166"/>
        <v>0</v>
      </c>
      <c r="AD87" s="420">
        <f t="shared" si="166"/>
        <v>0</v>
      </c>
      <c r="AE87" s="421">
        <f t="shared" si="166"/>
        <v>0</v>
      </c>
      <c r="AF87" s="421">
        <f t="shared" si="166"/>
        <v>0</v>
      </c>
      <c r="AG87" s="422">
        <f t="shared" si="166"/>
        <v>0</v>
      </c>
      <c r="AH87" s="420">
        <f t="shared" si="166"/>
        <v>0</v>
      </c>
      <c r="AI87" s="421">
        <f t="shared" si="166"/>
        <v>0</v>
      </c>
      <c r="AJ87" s="421">
        <f t="shared" si="166"/>
        <v>0</v>
      </c>
      <c r="AK87" s="422">
        <f t="shared" si="166"/>
        <v>0</v>
      </c>
      <c r="AL87" s="420">
        <f t="shared" si="166"/>
        <v>0</v>
      </c>
      <c r="AM87" s="421">
        <f t="shared" si="166"/>
        <v>0</v>
      </c>
      <c r="AN87" s="421">
        <f t="shared" si="166"/>
        <v>0</v>
      </c>
      <c r="AO87" s="422">
        <f t="shared" si="166"/>
        <v>0</v>
      </c>
      <c r="AP87" s="420">
        <f t="shared" si="166"/>
        <v>0</v>
      </c>
      <c r="AQ87" s="421">
        <f t="shared" si="166"/>
        <v>0</v>
      </c>
      <c r="AR87" s="421">
        <f t="shared" si="166"/>
        <v>0</v>
      </c>
      <c r="AS87" s="422">
        <f t="shared" si="166"/>
        <v>0</v>
      </c>
      <c r="AT87" s="425"/>
      <c r="AU87" s="72">
        <f t="shared" si="154"/>
        <v>0</v>
      </c>
      <c r="AV87" s="72">
        <f t="shared" si="148"/>
        <v>0</v>
      </c>
      <c r="AW87" s="72">
        <f t="shared" si="149"/>
        <v>0</v>
      </c>
      <c r="AX87" s="72">
        <f t="shared" si="155"/>
        <v>0</v>
      </c>
      <c r="AY87" s="72">
        <f t="shared" si="156"/>
        <v>0</v>
      </c>
      <c r="AZ87" s="72">
        <f t="shared" si="157"/>
        <v>0</v>
      </c>
      <c r="BA87" s="72">
        <f t="shared" si="158"/>
        <v>0</v>
      </c>
      <c r="BB87" s="72">
        <f t="shared" si="159"/>
        <v>0</v>
      </c>
      <c r="BC87" s="72">
        <f t="shared" si="150"/>
        <v>0</v>
      </c>
      <c r="BD87" s="72">
        <f t="shared" si="160"/>
        <v>0</v>
      </c>
      <c r="BE87" s="72">
        <f t="shared" si="151"/>
        <v>0</v>
      </c>
    </row>
    <row r="88" spans="1:57" s="161" customFormat="1" ht="12" customHeight="1">
      <c r="A88" s="412" t="s">
        <v>137</v>
      </c>
      <c r="B88" s="413">
        <f>B89+B90</f>
        <v>0</v>
      </c>
      <c r="C88" s="414">
        <f t="shared" ref="C88:AS88" si="167">C89+C90</f>
        <v>0</v>
      </c>
      <c r="D88" s="414">
        <f t="shared" si="167"/>
        <v>0</v>
      </c>
      <c r="E88" s="415">
        <f t="shared" si="167"/>
        <v>0</v>
      </c>
      <c r="F88" s="413">
        <f t="shared" si="167"/>
        <v>0</v>
      </c>
      <c r="G88" s="414">
        <f t="shared" si="167"/>
        <v>0</v>
      </c>
      <c r="H88" s="414">
        <f t="shared" si="167"/>
        <v>0</v>
      </c>
      <c r="I88" s="415">
        <f t="shared" si="167"/>
        <v>0</v>
      </c>
      <c r="J88" s="414">
        <f t="shared" si="167"/>
        <v>0</v>
      </c>
      <c r="K88" s="414">
        <f t="shared" si="167"/>
        <v>0</v>
      </c>
      <c r="L88" s="414">
        <f t="shared" si="167"/>
        <v>0</v>
      </c>
      <c r="M88" s="414">
        <f t="shared" si="167"/>
        <v>3.97</v>
      </c>
      <c r="N88" s="413">
        <f t="shared" si="167"/>
        <v>0.33900000000000002</v>
      </c>
      <c r="O88" s="414">
        <f t="shared" si="167"/>
        <v>0</v>
      </c>
      <c r="P88" s="416">
        <f t="shared" si="167"/>
        <v>0</v>
      </c>
      <c r="Q88" s="417">
        <f t="shared" si="167"/>
        <v>0</v>
      </c>
      <c r="R88" s="416">
        <f t="shared" si="167"/>
        <v>2.1579999999999999</v>
      </c>
      <c r="S88" s="414">
        <f t="shared" si="167"/>
        <v>1.542</v>
      </c>
      <c r="T88" s="414">
        <f t="shared" si="167"/>
        <v>2.27</v>
      </c>
      <c r="U88" s="414">
        <f t="shared" si="167"/>
        <v>0.93100000000000005</v>
      </c>
      <c r="V88" s="413">
        <f t="shared" si="167"/>
        <v>2.1789999999999998</v>
      </c>
      <c r="W88" s="414">
        <f t="shared" si="167"/>
        <v>0.71299999999999997</v>
      </c>
      <c r="X88" s="414">
        <f t="shared" si="167"/>
        <v>0.32200000000000001</v>
      </c>
      <c r="Y88" s="415">
        <f t="shared" si="167"/>
        <v>0.26600000000000001</v>
      </c>
      <c r="Z88" s="413">
        <f t="shared" si="167"/>
        <v>0.1</v>
      </c>
      <c r="AA88" s="414">
        <f t="shared" si="167"/>
        <v>0.03</v>
      </c>
      <c r="AB88" s="414">
        <f t="shared" si="167"/>
        <v>4.5979999999999999</v>
      </c>
      <c r="AC88" s="415">
        <f t="shared" si="167"/>
        <v>4.7439999999999998</v>
      </c>
      <c r="AD88" s="413">
        <f t="shared" si="167"/>
        <v>0.161</v>
      </c>
      <c r="AE88" s="414">
        <f t="shared" si="167"/>
        <v>0.76300000000000001</v>
      </c>
      <c r="AF88" s="414">
        <f t="shared" si="167"/>
        <v>0.36</v>
      </c>
      <c r="AG88" s="415">
        <f t="shared" si="167"/>
        <v>0.64800000000000002</v>
      </c>
      <c r="AH88" s="413">
        <f t="shared" si="167"/>
        <v>4.6210000000000004</v>
      </c>
      <c r="AI88" s="414">
        <f t="shared" si="167"/>
        <v>2.081</v>
      </c>
      <c r="AJ88" s="414">
        <f t="shared" si="167"/>
        <v>0.113</v>
      </c>
      <c r="AK88" s="415">
        <f t="shared" si="167"/>
        <v>0.441</v>
      </c>
      <c r="AL88" s="413">
        <f t="shared" si="167"/>
        <v>0.441</v>
      </c>
      <c r="AM88" s="414">
        <f t="shared" si="167"/>
        <v>0.441</v>
      </c>
      <c r="AN88" s="414">
        <f t="shared" si="167"/>
        <v>0.441</v>
      </c>
      <c r="AO88" s="415">
        <f t="shared" si="167"/>
        <v>0.441</v>
      </c>
      <c r="AP88" s="413">
        <f t="shared" si="167"/>
        <v>0.441</v>
      </c>
      <c r="AQ88" s="414">
        <f t="shared" si="167"/>
        <v>0.441</v>
      </c>
      <c r="AR88" s="414">
        <f t="shared" si="167"/>
        <v>0.441</v>
      </c>
      <c r="AS88" s="415">
        <f t="shared" si="167"/>
        <v>0.441</v>
      </c>
      <c r="AT88" s="426"/>
      <c r="AU88" s="79">
        <f t="shared" si="154"/>
        <v>0</v>
      </c>
      <c r="AV88" s="79">
        <f t="shared" si="148"/>
        <v>0</v>
      </c>
      <c r="AW88" s="79">
        <f t="shared" si="149"/>
        <v>3.97</v>
      </c>
      <c r="AX88" s="79">
        <f t="shared" si="155"/>
        <v>0.33900000000000002</v>
      </c>
      <c r="AY88" s="79">
        <f t="shared" si="156"/>
        <v>6.9010000000000007</v>
      </c>
      <c r="AZ88" s="79">
        <f t="shared" si="157"/>
        <v>3.48</v>
      </c>
      <c r="BA88" s="79">
        <f t="shared" si="158"/>
        <v>9.4719999999999995</v>
      </c>
      <c r="BB88" s="79">
        <f t="shared" si="159"/>
        <v>1.9319999999999999</v>
      </c>
      <c r="BC88" s="79">
        <f t="shared" si="150"/>
        <v>7.2560000000000002</v>
      </c>
      <c r="BD88" s="79">
        <f t="shared" si="160"/>
        <v>1.764</v>
      </c>
      <c r="BE88" s="79">
        <f t="shared" si="151"/>
        <v>1.764</v>
      </c>
    </row>
    <row r="89" spans="1:57" s="161" customFormat="1" ht="12" customHeight="1">
      <c r="A89" s="419" t="s">
        <v>134</v>
      </c>
      <c r="B89" s="420">
        <f t="shared" ref="B89:AS89" si="168">B160</f>
        <v>0</v>
      </c>
      <c r="C89" s="421">
        <f t="shared" si="168"/>
        <v>0</v>
      </c>
      <c r="D89" s="421">
        <f t="shared" si="168"/>
        <v>0</v>
      </c>
      <c r="E89" s="422">
        <f t="shared" si="168"/>
        <v>0</v>
      </c>
      <c r="F89" s="420">
        <f t="shared" si="168"/>
        <v>0</v>
      </c>
      <c r="G89" s="421">
        <f t="shared" si="168"/>
        <v>0</v>
      </c>
      <c r="H89" s="421">
        <f t="shared" si="168"/>
        <v>0</v>
      </c>
      <c r="I89" s="422">
        <f t="shared" si="168"/>
        <v>0</v>
      </c>
      <c r="J89" s="421">
        <f t="shared" si="168"/>
        <v>0</v>
      </c>
      <c r="K89" s="421">
        <f t="shared" si="168"/>
        <v>0</v>
      </c>
      <c r="L89" s="421">
        <f t="shared" si="168"/>
        <v>0</v>
      </c>
      <c r="M89" s="421">
        <f t="shared" si="168"/>
        <v>0</v>
      </c>
      <c r="N89" s="420">
        <f t="shared" si="168"/>
        <v>0</v>
      </c>
      <c r="O89" s="421">
        <f t="shared" si="168"/>
        <v>0</v>
      </c>
      <c r="P89" s="423">
        <f t="shared" si="168"/>
        <v>0</v>
      </c>
      <c r="Q89" s="424">
        <f t="shared" si="168"/>
        <v>0</v>
      </c>
      <c r="R89" s="423">
        <f t="shared" si="168"/>
        <v>0</v>
      </c>
      <c r="S89" s="421">
        <f t="shared" si="168"/>
        <v>0</v>
      </c>
      <c r="T89" s="421">
        <f t="shared" si="168"/>
        <v>0</v>
      </c>
      <c r="U89" s="421">
        <f t="shared" si="168"/>
        <v>0</v>
      </c>
      <c r="V89" s="420">
        <f t="shared" si="168"/>
        <v>0</v>
      </c>
      <c r="W89" s="421">
        <f t="shared" si="168"/>
        <v>0</v>
      </c>
      <c r="X89" s="421">
        <f t="shared" si="168"/>
        <v>0</v>
      </c>
      <c r="Y89" s="422">
        <f t="shared" si="168"/>
        <v>0</v>
      </c>
      <c r="Z89" s="420">
        <f t="shared" si="168"/>
        <v>0</v>
      </c>
      <c r="AA89" s="421">
        <f t="shared" si="168"/>
        <v>0</v>
      </c>
      <c r="AB89" s="421">
        <f t="shared" si="168"/>
        <v>0</v>
      </c>
      <c r="AC89" s="422">
        <f t="shared" si="168"/>
        <v>0</v>
      </c>
      <c r="AD89" s="420">
        <f t="shared" si="168"/>
        <v>0</v>
      </c>
      <c r="AE89" s="421">
        <f t="shared" si="168"/>
        <v>0</v>
      </c>
      <c r="AF89" s="421">
        <f t="shared" si="168"/>
        <v>0</v>
      </c>
      <c r="AG89" s="422">
        <f t="shared" si="168"/>
        <v>0</v>
      </c>
      <c r="AH89" s="420">
        <f t="shared" si="168"/>
        <v>0</v>
      </c>
      <c r="AI89" s="421">
        <f t="shared" si="168"/>
        <v>0</v>
      </c>
      <c r="AJ89" s="421">
        <f t="shared" si="168"/>
        <v>0</v>
      </c>
      <c r="AK89" s="422">
        <f t="shared" si="168"/>
        <v>0</v>
      </c>
      <c r="AL89" s="420">
        <f t="shared" si="168"/>
        <v>0</v>
      </c>
      <c r="AM89" s="421">
        <f t="shared" si="168"/>
        <v>0</v>
      </c>
      <c r="AN89" s="421">
        <f t="shared" si="168"/>
        <v>0</v>
      </c>
      <c r="AO89" s="422">
        <f t="shared" si="168"/>
        <v>0</v>
      </c>
      <c r="AP89" s="420">
        <f t="shared" si="168"/>
        <v>0</v>
      </c>
      <c r="AQ89" s="421">
        <f t="shared" si="168"/>
        <v>0</v>
      </c>
      <c r="AR89" s="421">
        <f t="shared" si="168"/>
        <v>0</v>
      </c>
      <c r="AS89" s="422">
        <f t="shared" si="168"/>
        <v>0</v>
      </c>
      <c r="AT89" s="425"/>
      <c r="AU89" s="72">
        <f t="shared" si="154"/>
        <v>0</v>
      </c>
      <c r="AV89" s="72">
        <f t="shared" si="148"/>
        <v>0</v>
      </c>
      <c r="AW89" s="72">
        <f t="shared" si="149"/>
        <v>0</v>
      </c>
      <c r="AX89" s="72">
        <f t="shared" si="155"/>
        <v>0</v>
      </c>
      <c r="AY89" s="72">
        <f t="shared" si="156"/>
        <v>0</v>
      </c>
      <c r="AZ89" s="72">
        <f t="shared" si="157"/>
        <v>0</v>
      </c>
      <c r="BA89" s="72">
        <f t="shared" si="158"/>
        <v>0</v>
      </c>
      <c r="BB89" s="72">
        <f t="shared" si="159"/>
        <v>0</v>
      </c>
      <c r="BC89" s="72">
        <f t="shared" si="150"/>
        <v>0</v>
      </c>
      <c r="BD89" s="72">
        <f t="shared" si="160"/>
        <v>0</v>
      </c>
      <c r="BE89" s="72">
        <f t="shared" si="151"/>
        <v>0</v>
      </c>
    </row>
    <row r="90" spans="1:57" s="161" customFormat="1" ht="12" customHeight="1">
      <c r="A90" s="419" t="s">
        <v>135</v>
      </c>
      <c r="B90" s="420">
        <f t="shared" ref="B90:S90" si="169">+B164</f>
        <v>0</v>
      </c>
      <c r="C90" s="421">
        <f t="shared" si="169"/>
        <v>0</v>
      </c>
      <c r="D90" s="421">
        <f t="shared" si="169"/>
        <v>0</v>
      </c>
      <c r="E90" s="422">
        <f t="shared" si="169"/>
        <v>0</v>
      </c>
      <c r="F90" s="420">
        <f t="shared" si="169"/>
        <v>0</v>
      </c>
      <c r="G90" s="421">
        <f t="shared" si="169"/>
        <v>0</v>
      </c>
      <c r="H90" s="421">
        <f t="shared" si="169"/>
        <v>0</v>
      </c>
      <c r="I90" s="422">
        <f t="shared" si="169"/>
        <v>0</v>
      </c>
      <c r="J90" s="421">
        <f t="shared" si="169"/>
        <v>0</v>
      </c>
      <c r="K90" s="421">
        <f t="shared" si="169"/>
        <v>0</v>
      </c>
      <c r="L90" s="421">
        <f t="shared" si="169"/>
        <v>0</v>
      </c>
      <c r="M90" s="421">
        <f t="shared" si="169"/>
        <v>3.97</v>
      </c>
      <c r="N90" s="420">
        <f t="shared" si="169"/>
        <v>0.33900000000000002</v>
      </c>
      <c r="O90" s="421">
        <f t="shared" si="169"/>
        <v>0</v>
      </c>
      <c r="P90" s="423">
        <f t="shared" si="169"/>
        <v>0</v>
      </c>
      <c r="Q90" s="424">
        <f t="shared" si="169"/>
        <v>0</v>
      </c>
      <c r="R90" s="423">
        <f t="shared" si="169"/>
        <v>2.1579999999999999</v>
      </c>
      <c r="S90" s="421">
        <f t="shared" si="169"/>
        <v>1.542</v>
      </c>
      <c r="T90" s="421">
        <f t="shared" ref="T90:AS90" si="170">T164</f>
        <v>2.27</v>
      </c>
      <c r="U90" s="421">
        <f t="shared" si="170"/>
        <v>0.93100000000000005</v>
      </c>
      <c r="V90" s="420">
        <f t="shared" si="170"/>
        <v>2.1789999999999998</v>
      </c>
      <c r="W90" s="421">
        <f t="shared" si="170"/>
        <v>0.71299999999999997</v>
      </c>
      <c r="X90" s="421">
        <f t="shared" si="170"/>
        <v>0.32200000000000001</v>
      </c>
      <c r="Y90" s="422">
        <f t="shared" si="170"/>
        <v>0.26600000000000001</v>
      </c>
      <c r="Z90" s="420">
        <f t="shared" si="170"/>
        <v>0.1</v>
      </c>
      <c r="AA90" s="421">
        <f t="shared" si="170"/>
        <v>0.03</v>
      </c>
      <c r="AB90" s="421">
        <f t="shared" si="170"/>
        <v>4.5979999999999999</v>
      </c>
      <c r="AC90" s="422">
        <f t="shared" si="170"/>
        <v>4.7439999999999998</v>
      </c>
      <c r="AD90" s="420">
        <f t="shared" si="170"/>
        <v>0.161</v>
      </c>
      <c r="AE90" s="421">
        <f t="shared" si="170"/>
        <v>0.76300000000000001</v>
      </c>
      <c r="AF90" s="421">
        <f t="shared" si="170"/>
        <v>0.36</v>
      </c>
      <c r="AG90" s="422">
        <f t="shared" si="170"/>
        <v>0.64800000000000002</v>
      </c>
      <c r="AH90" s="420">
        <f t="shared" si="170"/>
        <v>4.6210000000000004</v>
      </c>
      <c r="AI90" s="421">
        <f t="shared" si="170"/>
        <v>2.081</v>
      </c>
      <c r="AJ90" s="421">
        <f t="shared" si="170"/>
        <v>0.113</v>
      </c>
      <c r="AK90" s="422">
        <f t="shared" si="170"/>
        <v>0.441</v>
      </c>
      <c r="AL90" s="420">
        <f t="shared" si="170"/>
        <v>0.441</v>
      </c>
      <c r="AM90" s="421">
        <f t="shared" si="170"/>
        <v>0.441</v>
      </c>
      <c r="AN90" s="421">
        <f t="shared" si="170"/>
        <v>0.441</v>
      </c>
      <c r="AO90" s="422">
        <f t="shared" si="170"/>
        <v>0.441</v>
      </c>
      <c r="AP90" s="420">
        <f t="shared" si="170"/>
        <v>0.441</v>
      </c>
      <c r="AQ90" s="421">
        <f t="shared" si="170"/>
        <v>0.441</v>
      </c>
      <c r="AR90" s="421">
        <f t="shared" si="170"/>
        <v>0.441</v>
      </c>
      <c r="AS90" s="422">
        <f t="shared" si="170"/>
        <v>0.441</v>
      </c>
      <c r="AT90" s="425"/>
      <c r="AU90" s="72">
        <f t="shared" si="154"/>
        <v>0</v>
      </c>
      <c r="AV90" s="72">
        <f t="shared" si="148"/>
        <v>0</v>
      </c>
      <c r="AW90" s="72">
        <f t="shared" si="149"/>
        <v>3.97</v>
      </c>
      <c r="AX90" s="72">
        <f t="shared" si="155"/>
        <v>0.33900000000000002</v>
      </c>
      <c r="AY90" s="72">
        <f t="shared" si="156"/>
        <v>6.9010000000000007</v>
      </c>
      <c r="AZ90" s="72">
        <f t="shared" si="157"/>
        <v>3.48</v>
      </c>
      <c r="BA90" s="72">
        <f t="shared" si="158"/>
        <v>9.4719999999999995</v>
      </c>
      <c r="BB90" s="72">
        <f t="shared" si="159"/>
        <v>1.9319999999999999</v>
      </c>
      <c r="BC90" s="72">
        <f t="shared" si="150"/>
        <v>7.2560000000000002</v>
      </c>
      <c r="BD90" s="72">
        <f t="shared" si="160"/>
        <v>1.764</v>
      </c>
      <c r="BE90" s="72">
        <f t="shared" si="151"/>
        <v>1.764</v>
      </c>
    </row>
    <row r="91" spans="1:57" s="161" customFormat="1" ht="12" customHeight="1">
      <c r="A91" s="412" t="s">
        <v>138</v>
      </c>
      <c r="B91" s="427">
        <f>SUM(B92:B95)</f>
        <v>0.17699999999999994</v>
      </c>
      <c r="C91" s="416">
        <f t="shared" ref="C91:AS91" si="171">SUM(C92:C95)</f>
        <v>0.17899999999999999</v>
      </c>
      <c r="D91" s="416">
        <f t="shared" si="171"/>
        <v>0.17899999999999999</v>
      </c>
      <c r="E91" s="417">
        <f t="shared" si="171"/>
        <v>0.17400000000000002</v>
      </c>
      <c r="F91" s="427">
        <f t="shared" si="171"/>
        <v>0.16500000000000001</v>
      </c>
      <c r="G91" s="416">
        <f t="shared" si="171"/>
        <v>0.16600000000000001</v>
      </c>
      <c r="H91" s="416">
        <f t="shared" si="171"/>
        <v>-3.4999999999999996E-2</v>
      </c>
      <c r="I91" s="417">
        <f t="shared" si="171"/>
        <v>-0.08</v>
      </c>
      <c r="J91" s="416">
        <f t="shared" si="171"/>
        <v>-0.64900000000000002</v>
      </c>
      <c r="K91" s="416">
        <f t="shared" si="171"/>
        <v>0.121</v>
      </c>
      <c r="L91" s="416">
        <f t="shared" si="171"/>
        <v>0.27300000000000002</v>
      </c>
      <c r="M91" s="416">
        <f t="shared" si="171"/>
        <v>10.742000000000001</v>
      </c>
      <c r="N91" s="427">
        <f t="shared" si="171"/>
        <v>0.19800000000000001</v>
      </c>
      <c r="O91" s="416">
        <f t="shared" si="171"/>
        <v>0.437</v>
      </c>
      <c r="P91" s="416">
        <f t="shared" si="171"/>
        <v>0.497</v>
      </c>
      <c r="Q91" s="417">
        <f t="shared" si="171"/>
        <v>0.16700000000000001</v>
      </c>
      <c r="R91" s="416">
        <f t="shared" si="171"/>
        <v>2.8039999999999998</v>
      </c>
      <c r="S91" s="416">
        <f t="shared" si="171"/>
        <v>-1.617</v>
      </c>
      <c r="T91" s="416">
        <f t="shared" si="171"/>
        <v>-0.56100000000000005</v>
      </c>
      <c r="U91" s="416">
        <f t="shared" si="171"/>
        <v>-7.761000000000001</v>
      </c>
      <c r="V91" s="427">
        <f t="shared" si="171"/>
        <v>1.4670000000000001</v>
      </c>
      <c r="W91" s="416">
        <f t="shared" si="171"/>
        <v>-1.9489999999999998</v>
      </c>
      <c r="X91" s="416">
        <f t="shared" si="171"/>
        <v>-0.1319999999999999</v>
      </c>
      <c r="Y91" s="417">
        <f t="shared" si="171"/>
        <v>1.6659999999999999</v>
      </c>
      <c r="Z91" s="427">
        <f t="shared" si="171"/>
        <v>0.86299999999999999</v>
      </c>
      <c r="AA91" s="416">
        <f t="shared" si="171"/>
        <v>1.2770000000000001</v>
      </c>
      <c r="AB91" s="416">
        <f t="shared" si="171"/>
        <v>-1.2550000000000001</v>
      </c>
      <c r="AC91" s="417">
        <f t="shared" si="171"/>
        <v>1.397</v>
      </c>
      <c r="AD91" s="427">
        <f t="shared" si="171"/>
        <v>-1.1119999999999999</v>
      </c>
      <c r="AE91" s="416">
        <f t="shared" si="171"/>
        <v>1.1320000000000001</v>
      </c>
      <c r="AF91" s="416">
        <f t="shared" si="171"/>
        <v>1.476</v>
      </c>
      <c r="AG91" s="417">
        <f t="shared" si="171"/>
        <v>2.42</v>
      </c>
      <c r="AH91" s="427">
        <f t="shared" si="171"/>
        <v>0.79699999999999993</v>
      </c>
      <c r="AI91" s="416">
        <f t="shared" si="171"/>
        <v>0.99899999999999989</v>
      </c>
      <c r="AJ91" s="416">
        <f t="shared" si="171"/>
        <v>-2.5990000000000002</v>
      </c>
      <c r="AK91" s="417">
        <f t="shared" si="171"/>
        <v>3.2040000000000002</v>
      </c>
      <c r="AL91" s="427">
        <f t="shared" si="171"/>
        <v>3.3040000000000003</v>
      </c>
      <c r="AM91" s="416">
        <f t="shared" si="171"/>
        <v>3.4040000000000004</v>
      </c>
      <c r="AN91" s="416">
        <f t="shared" si="171"/>
        <v>3.5040000000000004</v>
      </c>
      <c r="AO91" s="417">
        <f t="shared" si="171"/>
        <v>3.6040000000000005</v>
      </c>
      <c r="AP91" s="427">
        <f t="shared" si="171"/>
        <v>3.7040000000000006</v>
      </c>
      <c r="AQ91" s="416">
        <f t="shared" si="171"/>
        <v>3.8040000000000007</v>
      </c>
      <c r="AR91" s="416">
        <f t="shared" si="171"/>
        <v>3.9040000000000008</v>
      </c>
      <c r="AS91" s="417">
        <f t="shared" si="171"/>
        <v>4.0040000000000004</v>
      </c>
      <c r="AT91" s="425"/>
      <c r="AU91" s="79">
        <f t="shared" si="154"/>
        <v>0.70899999999999996</v>
      </c>
      <c r="AV91" s="79">
        <f t="shared" si="148"/>
        <v>0.21600000000000003</v>
      </c>
      <c r="AW91" s="79">
        <f t="shared" si="149"/>
        <v>10.487</v>
      </c>
      <c r="AX91" s="79">
        <f t="shared" si="155"/>
        <v>1.2990000000000002</v>
      </c>
      <c r="AY91" s="79">
        <f t="shared" si="156"/>
        <v>-7.1350000000000016</v>
      </c>
      <c r="AZ91" s="79">
        <f t="shared" si="157"/>
        <v>1.0520000000000003</v>
      </c>
      <c r="BA91" s="79">
        <f t="shared" si="158"/>
        <v>2.282</v>
      </c>
      <c r="BB91" s="79">
        <f t="shared" si="159"/>
        <v>3.9160000000000004</v>
      </c>
      <c r="BC91" s="79">
        <f t="shared" si="150"/>
        <v>2.4009999999999998</v>
      </c>
      <c r="BD91" s="79">
        <f t="shared" si="160"/>
        <v>13.816000000000001</v>
      </c>
      <c r="BE91" s="79">
        <f t="shared" si="151"/>
        <v>15.416000000000004</v>
      </c>
    </row>
    <row r="92" spans="1:57" s="161" customFormat="1" ht="12" customHeight="1">
      <c r="A92" s="428" t="s">
        <v>139</v>
      </c>
      <c r="B92" s="420">
        <f t="shared" ref="B92:AS94" si="172">B169</f>
        <v>-0.01</v>
      </c>
      <c r="C92" s="421">
        <f t="shared" si="172"/>
        <v>-1.2E-2</v>
      </c>
      <c r="D92" s="421">
        <f t="shared" si="172"/>
        <v>-1.2999999999999999E-2</v>
      </c>
      <c r="E92" s="422">
        <f t="shared" si="172"/>
        <v>-1.9E-2</v>
      </c>
      <c r="F92" s="420">
        <f t="shared" si="172"/>
        <v>-2.3E-2</v>
      </c>
      <c r="G92" s="421">
        <f t="shared" si="172"/>
        <v>-2.5000000000000001E-2</v>
      </c>
      <c r="H92" s="421">
        <f t="shared" si="172"/>
        <v>-0.09</v>
      </c>
      <c r="I92" s="422">
        <f t="shared" si="172"/>
        <v>-0.08</v>
      </c>
      <c r="J92" s="421">
        <f t="shared" si="172"/>
        <v>-0.64900000000000002</v>
      </c>
      <c r="K92" s="421">
        <f t="shared" si="172"/>
        <v>0.121</v>
      </c>
      <c r="L92" s="421">
        <f t="shared" si="172"/>
        <v>0.27300000000000002</v>
      </c>
      <c r="M92" s="421">
        <f t="shared" si="172"/>
        <v>0.16</v>
      </c>
      <c r="N92" s="420">
        <f t="shared" si="172"/>
        <v>0.19800000000000001</v>
      </c>
      <c r="O92" s="421">
        <f t="shared" si="172"/>
        <v>0.437</v>
      </c>
      <c r="P92" s="421">
        <f t="shared" si="172"/>
        <v>0.497</v>
      </c>
      <c r="Q92" s="422">
        <f t="shared" si="172"/>
        <v>0.16700000000000001</v>
      </c>
      <c r="R92" s="421">
        <f t="shared" si="172"/>
        <v>-4.0000000000000001E-3</v>
      </c>
      <c r="S92" s="421">
        <f t="shared" si="172"/>
        <v>-0.48</v>
      </c>
      <c r="T92" s="423">
        <f t="shared" si="172"/>
        <v>-1.4999999999999999E-2</v>
      </c>
      <c r="U92" s="423">
        <f t="shared" si="172"/>
        <v>1.1160000000000001</v>
      </c>
      <c r="V92" s="429">
        <f t="shared" si="172"/>
        <v>1.0660000000000001</v>
      </c>
      <c r="W92" s="423">
        <f t="shared" si="172"/>
        <v>0.188</v>
      </c>
      <c r="X92" s="423">
        <f t="shared" si="172"/>
        <v>0.318</v>
      </c>
      <c r="Y92" s="424">
        <f t="shared" si="172"/>
        <v>0.53100000000000003</v>
      </c>
      <c r="Z92" s="429">
        <f t="shared" si="172"/>
        <v>0.91700000000000004</v>
      </c>
      <c r="AA92" s="423">
        <f t="shared" si="172"/>
        <v>1.3360000000000001</v>
      </c>
      <c r="AB92" s="423">
        <f t="shared" si="172"/>
        <v>-1.2070000000000001</v>
      </c>
      <c r="AC92" s="424">
        <f t="shared" si="172"/>
        <v>0.97099999999999997</v>
      </c>
      <c r="AD92" s="429">
        <f t="shared" si="172"/>
        <v>-1.077</v>
      </c>
      <c r="AE92" s="423">
        <f t="shared" si="172"/>
        <v>1.175</v>
      </c>
      <c r="AF92" s="423">
        <f t="shared" si="172"/>
        <v>1.528</v>
      </c>
      <c r="AG92" s="424">
        <f t="shared" si="172"/>
        <v>1.2190000000000001</v>
      </c>
      <c r="AH92" s="429">
        <f t="shared" si="172"/>
        <v>0.85499999999999998</v>
      </c>
      <c r="AI92" s="423">
        <f t="shared" si="172"/>
        <v>1.0569999999999999</v>
      </c>
      <c r="AJ92" s="423">
        <f t="shared" si="172"/>
        <v>-2.552</v>
      </c>
      <c r="AK92" s="424">
        <f t="shared" si="172"/>
        <v>3.363</v>
      </c>
      <c r="AL92" s="429">
        <f t="shared" si="172"/>
        <v>3.4630000000000001</v>
      </c>
      <c r="AM92" s="423">
        <f t="shared" si="172"/>
        <v>3.5630000000000002</v>
      </c>
      <c r="AN92" s="423">
        <f t="shared" si="172"/>
        <v>3.6630000000000003</v>
      </c>
      <c r="AO92" s="424">
        <f t="shared" si="172"/>
        <v>3.7630000000000003</v>
      </c>
      <c r="AP92" s="429">
        <f t="shared" si="172"/>
        <v>3.8630000000000004</v>
      </c>
      <c r="AQ92" s="423">
        <f t="shared" si="172"/>
        <v>3.9630000000000005</v>
      </c>
      <c r="AR92" s="423">
        <f t="shared" si="172"/>
        <v>4.0630000000000006</v>
      </c>
      <c r="AS92" s="424">
        <f t="shared" si="172"/>
        <v>4.1630000000000003</v>
      </c>
      <c r="AT92" s="425"/>
      <c r="AU92" s="72">
        <f t="shared" si="154"/>
        <v>-5.3999999999999992E-2</v>
      </c>
      <c r="AV92" s="72">
        <f t="shared" si="148"/>
        <v>-0.21800000000000003</v>
      </c>
      <c r="AW92" s="72">
        <f t="shared" si="149"/>
        <v>-9.5000000000000001E-2</v>
      </c>
      <c r="AX92" s="72">
        <f>SUM(N92:Q92)</f>
        <v>1.2990000000000002</v>
      </c>
      <c r="AY92" s="72">
        <f>SUM(R92:U92)</f>
        <v>0.6170000000000001</v>
      </c>
      <c r="AZ92" s="72">
        <f>SUM(V92:Y92)</f>
        <v>2.1030000000000002</v>
      </c>
      <c r="BA92" s="72">
        <f>SUM(Z92:AC92)</f>
        <v>2.0169999999999999</v>
      </c>
      <c r="BB92" s="72">
        <f t="shared" si="159"/>
        <v>2.8450000000000002</v>
      </c>
      <c r="BC92" s="72">
        <f t="shared" si="150"/>
        <v>2.7229999999999999</v>
      </c>
      <c r="BD92" s="72">
        <f t="shared" si="160"/>
        <v>14.452</v>
      </c>
      <c r="BE92" s="72">
        <f t="shared" si="151"/>
        <v>16.052</v>
      </c>
    </row>
    <row r="93" spans="1:57" s="161" customFormat="1" ht="12" customHeight="1">
      <c r="A93" s="428" t="s">
        <v>140</v>
      </c>
      <c r="B93" s="430">
        <f t="shared" si="172"/>
        <v>0</v>
      </c>
      <c r="C93" s="431">
        <f t="shared" si="172"/>
        <v>0</v>
      </c>
      <c r="D93" s="431">
        <f t="shared" si="172"/>
        <v>0</v>
      </c>
      <c r="E93" s="432">
        <f t="shared" si="172"/>
        <v>0</v>
      </c>
      <c r="F93" s="420">
        <f t="shared" si="172"/>
        <v>0</v>
      </c>
      <c r="G93" s="421">
        <f t="shared" si="172"/>
        <v>0</v>
      </c>
      <c r="H93" s="421">
        <f t="shared" si="172"/>
        <v>0</v>
      </c>
      <c r="I93" s="422">
        <f t="shared" si="172"/>
        <v>0</v>
      </c>
      <c r="J93" s="421">
        <f t="shared" si="172"/>
        <v>0</v>
      </c>
      <c r="K93" s="421">
        <f t="shared" si="172"/>
        <v>0</v>
      </c>
      <c r="L93" s="421">
        <f t="shared" si="172"/>
        <v>0</v>
      </c>
      <c r="M93" s="421">
        <f t="shared" si="172"/>
        <v>10.582000000000001</v>
      </c>
      <c r="N93" s="420">
        <f t="shared" si="172"/>
        <v>0</v>
      </c>
      <c r="O93" s="421">
        <f t="shared" si="172"/>
        <v>0</v>
      </c>
      <c r="P93" s="421">
        <f t="shared" si="172"/>
        <v>0</v>
      </c>
      <c r="Q93" s="422">
        <f t="shared" si="172"/>
        <v>0</v>
      </c>
      <c r="R93" s="420">
        <f t="shared" si="172"/>
        <v>0</v>
      </c>
      <c r="S93" s="421">
        <f t="shared" si="172"/>
        <v>-1.137</v>
      </c>
      <c r="T93" s="421">
        <f t="shared" si="172"/>
        <v>-0.54600000000000004</v>
      </c>
      <c r="U93" s="422">
        <f t="shared" si="172"/>
        <v>-8.8770000000000007</v>
      </c>
      <c r="V93" s="420">
        <f t="shared" si="172"/>
        <v>-0.442</v>
      </c>
      <c r="W93" s="421">
        <f t="shared" si="172"/>
        <v>-2.907</v>
      </c>
      <c r="X93" s="421">
        <f t="shared" si="172"/>
        <v>-0.95799999999999996</v>
      </c>
      <c r="Y93" s="422">
        <f t="shared" si="172"/>
        <v>0.60399999999999998</v>
      </c>
      <c r="Z93" s="420">
        <f t="shared" si="172"/>
        <v>-5.3999999999999999E-2</v>
      </c>
      <c r="AA93" s="421">
        <f t="shared" si="172"/>
        <v>-5.8999999999999997E-2</v>
      </c>
      <c r="AB93" s="421">
        <f t="shared" si="172"/>
        <v>-4.8000000000000001E-2</v>
      </c>
      <c r="AC93" s="422">
        <f t="shared" si="172"/>
        <v>0.42599999999999999</v>
      </c>
      <c r="AD93" s="420">
        <f t="shared" si="172"/>
        <v>-3.5000000000000003E-2</v>
      </c>
      <c r="AE93" s="421">
        <f t="shared" si="172"/>
        <v>-4.2999999999999997E-2</v>
      </c>
      <c r="AF93" s="421">
        <f t="shared" si="172"/>
        <v>-5.1999999999999998E-2</v>
      </c>
      <c r="AG93" s="422">
        <f t="shared" si="172"/>
        <v>-3.1E-2</v>
      </c>
      <c r="AH93" s="420">
        <f t="shared" si="172"/>
        <v>-5.8000000000000003E-2</v>
      </c>
      <c r="AI93" s="421">
        <f t="shared" si="172"/>
        <v>-5.8000000000000003E-2</v>
      </c>
      <c r="AJ93" s="421">
        <f t="shared" si="172"/>
        <v>-4.7E-2</v>
      </c>
      <c r="AK93" s="422">
        <f t="shared" si="172"/>
        <v>-0.159</v>
      </c>
      <c r="AL93" s="420">
        <f t="shared" si="172"/>
        <v>-0.159</v>
      </c>
      <c r="AM93" s="421">
        <f t="shared" si="172"/>
        <v>-0.159</v>
      </c>
      <c r="AN93" s="421">
        <f t="shared" si="172"/>
        <v>-0.159</v>
      </c>
      <c r="AO93" s="422">
        <f t="shared" si="172"/>
        <v>-0.159</v>
      </c>
      <c r="AP93" s="420">
        <f t="shared" si="172"/>
        <v>-0.159</v>
      </c>
      <c r="AQ93" s="421">
        <f t="shared" si="172"/>
        <v>-0.159</v>
      </c>
      <c r="AR93" s="421">
        <f t="shared" si="172"/>
        <v>-0.159</v>
      </c>
      <c r="AS93" s="422">
        <f t="shared" si="172"/>
        <v>-0.159</v>
      </c>
      <c r="AT93" s="425"/>
      <c r="AU93" s="72">
        <f t="shared" si="154"/>
        <v>0</v>
      </c>
      <c r="AV93" s="72">
        <f t="shared" si="148"/>
        <v>0</v>
      </c>
      <c r="AW93" s="72">
        <f t="shared" si="149"/>
        <v>10.582000000000001</v>
      </c>
      <c r="AX93" s="72">
        <f t="shared" ref="AX93:AX95" si="173">SUM(N93:Q93)</f>
        <v>0</v>
      </c>
      <c r="AY93" s="72">
        <f t="shared" ref="AY93:AY95" si="174">SUM(R93:U93)</f>
        <v>-10.56</v>
      </c>
      <c r="AZ93" s="72">
        <f t="shared" ref="AZ93:AZ95" si="175">SUM(V93:Y93)</f>
        <v>-3.7030000000000003</v>
      </c>
      <c r="BA93" s="72">
        <f t="shared" ref="BA93:BA95" si="176">SUM(Z93:AC93)</f>
        <v>0.26500000000000001</v>
      </c>
      <c r="BB93" s="72">
        <f t="shared" si="159"/>
        <v>-0.161</v>
      </c>
      <c r="BC93" s="72">
        <f t="shared" si="150"/>
        <v>-0.32200000000000001</v>
      </c>
      <c r="BD93" s="72">
        <f t="shared" si="160"/>
        <v>-0.63600000000000001</v>
      </c>
      <c r="BE93" s="72">
        <f t="shared" si="151"/>
        <v>-0.63600000000000001</v>
      </c>
    </row>
    <row r="94" spans="1:57" s="161" customFormat="1" ht="12" customHeight="1">
      <c r="A94" s="419" t="s">
        <v>141</v>
      </c>
      <c r="B94" s="430">
        <f t="shared" si="172"/>
        <v>0</v>
      </c>
      <c r="C94" s="431">
        <f t="shared" si="172"/>
        <v>0</v>
      </c>
      <c r="D94" s="431">
        <f t="shared" si="172"/>
        <v>0</v>
      </c>
      <c r="E94" s="432">
        <f t="shared" si="172"/>
        <v>0</v>
      </c>
      <c r="F94" s="420">
        <f t="shared" si="172"/>
        <v>0</v>
      </c>
      <c r="G94" s="421">
        <f t="shared" si="172"/>
        <v>0</v>
      </c>
      <c r="H94" s="421">
        <f t="shared" si="172"/>
        <v>0</v>
      </c>
      <c r="I94" s="422">
        <f t="shared" si="172"/>
        <v>0</v>
      </c>
      <c r="J94" s="421">
        <f t="shared" si="172"/>
        <v>0</v>
      </c>
      <c r="K94" s="421">
        <f t="shared" si="172"/>
        <v>0</v>
      </c>
      <c r="L94" s="421">
        <f t="shared" si="172"/>
        <v>0</v>
      </c>
      <c r="M94" s="421">
        <f t="shared" si="172"/>
        <v>0</v>
      </c>
      <c r="N94" s="420">
        <f t="shared" si="172"/>
        <v>0</v>
      </c>
      <c r="O94" s="421">
        <f t="shared" si="172"/>
        <v>0</v>
      </c>
      <c r="P94" s="421">
        <f t="shared" si="172"/>
        <v>0</v>
      </c>
      <c r="Q94" s="422">
        <f t="shared" si="172"/>
        <v>0</v>
      </c>
      <c r="R94" s="420">
        <f t="shared" si="172"/>
        <v>2.8079999999999998</v>
      </c>
      <c r="S94" s="421">
        <f t="shared" si="172"/>
        <v>0</v>
      </c>
      <c r="T94" s="421">
        <f t="shared" si="172"/>
        <v>0</v>
      </c>
      <c r="U94" s="422">
        <f t="shared" si="172"/>
        <v>0</v>
      </c>
      <c r="V94" s="420">
        <f t="shared" si="172"/>
        <v>0.84299999999999997</v>
      </c>
      <c r="W94" s="421">
        <f t="shared" si="172"/>
        <v>0.77</v>
      </c>
      <c r="X94" s="421">
        <f t="shared" si="172"/>
        <v>0.50800000000000001</v>
      </c>
      <c r="Y94" s="422">
        <f t="shared" si="172"/>
        <v>0.53100000000000003</v>
      </c>
      <c r="Z94" s="420">
        <f t="shared" si="172"/>
        <v>0</v>
      </c>
      <c r="AA94" s="421">
        <f t="shared" si="172"/>
        <v>0</v>
      </c>
      <c r="AB94" s="421">
        <f t="shared" si="172"/>
        <v>0</v>
      </c>
      <c r="AC94" s="422">
        <f t="shared" si="172"/>
        <v>0</v>
      </c>
      <c r="AD94" s="420">
        <f t="shared" si="172"/>
        <v>0</v>
      </c>
      <c r="AE94" s="421">
        <f t="shared" si="172"/>
        <v>0</v>
      </c>
      <c r="AF94" s="421">
        <f t="shared" si="172"/>
        <v>0</v>
      </c>
      <c r="AG94" s="422">
        <f t="shared" si="172"/>
        <v>1.232</v>
      </c>
      <c r="AH94" s="420">
        <f t="shared" si="172"/>
        <v>0</v>
      </c>
      <c r="AI94" s="421">
        <f t="shared" si="172"/>
        <v>0</v>
      </c>
      <c r="AJ94" s="421">
        <f t="shared" si="172"/>
        <v>0</v>
      </c>
      <c r="AK94" s="422">
        <f t="shared" si="172"/>
        <v>0</v>
      </c>
      <c r="AL94" s="420">
        <f t="shared" si="172"/>
        <v>0</v>
      </c>
      <c r="AM94" s="421">
        <f t="shared" si="172"/>
        <v>0</v>
      </c>
      <c r="AN94" s="421">
        <f t="shared" si="172"/>
        <v>0</v>
      </c>
      <c r="AO94" s="422">
        <f t="shared" si="172"/>
        <v>0</v>
      </c>
      <c r="AP94" s="420">
        <f t="shared" si="172"/>
        <v>0</v>
      </c>
      <c r="AQ94" s="421">
        <f t="shared" si="172"/>
        <v>0</v>
      </c>
      <c r="AR94" s="421">
        <f t="shared" si="172"/>
        <v>0</v>
      </c>
      <c r="AS94" s="422">
        <f t="shared" si="172"/>
        <v>0</v>
      </c>
      <c r="AT94" s="425"/>
      <c r="AU94" s="72">
        <f t="shared" si="154"/>
        <v>0</v>
      </c>
      <c r="AV94" s="72">
        <f t="shared" si="148"/>
        <v>0</v>
      </c>
      <c r="AW94" s="72">
        <f t="shared" si="149"/>
        <v>0</v>
      </c>
      <c r="AX94" s="72">
        <f t="shared" si="173"/>
        <v>0</v>
      </c>
      <c r="AY94" s="72">
        <f t="shared" si="174"/>
        <v>2.8079999999999998</v>
      </c>
      <c r="AZ94" s="72">
        <f t="shared" si="175"/>
        <v>2.6520000000000001</v>
      </c>
      <c r="BA94" s="72">
        <f t="shared" si="176"/>
        <v>0</v>
      </c>
      <c r="BB94" s="72">
        <f t="shared" si="159"/>
        <v>1.232</v>
      </c>
      <c r="BC94" s="72">
        <f t="shared" si="150"/>
        <v>0</v>
      </c>
      <c r="BD94" s="72">
        <f t="shared" si="160"/>
        <v>0</v>
      </c>
      <c r="BE94" s="72">
        <f t="shared" si="151"/>
        <v>0</v>
      </c>
    </row>
    <row r="95" spans="1:57" s="161" customFormat="1" ht="12" customHeight="1">
      <c r="A95" s="419" t="s">
        <v>142</v>
      </c>
      <c r="B95" s="420">
        <f t="shared" ref="B95:AS95" si="177">-B130</f>
        <v>0.18699999999999994</v>
      </c>
      <c r="C95" s="421">
        <f t="shared" si="177"/>
        <v>0.191</v>
      </c>
      <c r="D95" s="421">
        <f t="shared" si="177"/>
        <v>0.192</v>
      </c>
      <c r="E95" s="422">
        <f t="shared" si="177"/>
        <v>0.193</v>
      </c>
      <c r="F95" s="420">
        <f t="shared" si="177"/>
        <v>0.188</v>
      </c>
      <c r="G95" s="421">
        <f t="shared" si="177"/>
        <v>0.191</v>
      </c>
      <c r="H95" s="423">
        <f t="shared" si="177"/>
        <v>5.5E-2</v>
      </c>
      <c r="I95" s="424">
        <f t="shared" si="177"/>
        <v>0</v>
      </c>
      <c r="J95" s="423">
        <f t="shared" si="177"/>
        <v>0</v>
      </c>
      <c r="K95" s="423">
        <f t="shared" si="177"/>
        <v>0</v>
      </c>
      <c r="L95" s="423">
        <f t="shared" si="177"/>
        <v>0</v>
      </c>
      <c r="M95" s="423">
        <f t="shared" si="177"/>
        <v>0</v>
      </c>
      <c r="N95" s="429">
        <f t="shared" si="177"/>
        <v>0</v>
      </c>
      <c r="O95" s="423">
        <f t="shared" si="177"/>
        <v>0</v>
      </c>
      <c r="P95" s="423">
        <f t="shared" si="177"/>
        <v>0</v>
      </c>
      <c r="Q95" s="424">
        <f t="shared" si="177"/>
        <v>0</v>
      </c>
      <c r="R95" s="429">
        <f t="shared" si="177"/>
        <v>0</v>
      </c>
      <c r="S95" s="423">
        <f t="shared" si="177"/>
        <v>0</v>
      </c>
      <c r="T95" s="433">
        <f t="shared" si="177"/>
        <v>0</v>
      </c>
      <c r="U95" s="434">
        <f t="shared" si="177"/>
        <v>0</v>
      </c>
      <c r="V95" s="435">
        <f t="shared" si="177"/>
        <v>0</v>
      </c>
      <c r="W95" s="433">
        <f t="shared" si="177"/>
        <v>0</v>
      </c>
      <c r="X95" s="433">
        <f t="shared" si="177"/>
        <v>0</v>
      </c>
      <c r="Y95" s="434">
        <f t="shared" si="177"/>
        <v>0</v>
      </c>
      <c r="Z95" s="435">
        <f t="shared" si="177"/>
        <v>0</v>
      </c>
      <c r="AA95" s="433">
        <f t="shared" si="177"/>
        <v>0</v>
      </c>
      <c r="AB95" s="433">
        <f t="shared" si="177"/>
        <v>0</v>
      </c>
      <c r="AC95" s="434">
        <f t="shared" si="177"/>
        <v>0</v>
      </c>
      <c r="AD95" s="435">
        <f t="shared" si="177"/>
        <v>0</v>
      </c>
      <c r="AE95" s="433">
        <f t="shared" si="177"/>
        <v>0</v>
      </c>
      <c r="AF95" s="433">
        <f t="shared" si="177"/>
        <v>0</v>
      </c>
      <c r="AG95" s="434">
        <f t="shared" si="177"/>
        <v>0</v>
      </c>
      <c r="AH95" s="435">
        <f t="shared" si="177"/>
        <v>0</v>
      </c>
      <c r="AI95" s="433">
        <f t="shared" si="177"/>
        <v>0</v>
      </c>
      <c r="AJ95" s="433">
        <f t="shared" si="177"/>
        <v>0</v>
      </c>
      <c r="AK95" s="434">
        <f t="shared" si="177"/>
        <v>0</v>
      </c>
      <c r="AL95" s="435">
        <f t="shared" si="177"/>
        <v>0</v>
      </c>
      <c r="AM95" s="433">
        <f t="shared" si="177"/>
        <v>0</v>
      </c>
      <c r="AN95" s="433">
        <f t="shared" si="177"/>
        <v>0</v>
      </c>
      <c r="AO95" s="434">
        <f t="shared" si="177"/>
        <v>0</v>
      </c>
      <c r="AP95" s="435">
        <f t="shared" si="177"/>
        <v>0</v>
      </c>
      <c r="AQ95" s="433">
        <f t="shared" si="177"/>
        <v>0</v>
      </c>
      <c r="AR95" s="433">
        <f t="shared" si="177"/>
        <v>0</v>
      </c>
      <c r="AS95" s="434">
        <f t="shared" si="177"/>
        <v>0</v>
      </c>
      <c r="AT95" s="425"/>
      <c r="AU95" s="72">
        <f t="shared" si="154"/>
        <v>0.7629999999999999</v>
      </c>
      <c r="AV95" s="72">
        <f t="shared" si="148"/>
        <v>0.434</v>
      </c>
      <c r="AW95" s="72">
        <f t="shared" si="149"/>
        <v>0</v>
      </c>
      <c r="AX95" s="72">
        <f t="shared" si="173"/>
        <v>0</v>
      </c>
      <c r="AY95" s="72">
        <f t="shared" si="174"/>
        <v>0</v>
      </c>
      <c r="AZ95" s="72">
        <f t="shared" si="175"/>
        <v>0</v>
      </c>
      <c r="BA95" s="72">
        <f t="shared" si="176"/>
        <v>0</v>
      </c>
      <c r="BB95" s="72">
        <f t="shared" si="159"/>
        <v>0</v>
      </c>
      <c r="BC95" s="72">
        <f t="shared" si="150"/>
        <v>0</v>
      </c>
      <c r="BD95" s="72">
        <f t="shared" si="160"/>
        <v>0</v>
      </c>
      <c r="BE95" s="72">
        <f t="shared" si="151"/>
        <v>0</v>
      </c>
    </row>
    <row r="96" spans="1:57" s="448" customFormat="1" ht="12" customHeight="1">
      <c r="A96" s="436"/>
      <c r="B96" s="437"/>
      <c r="C96" s="438"/>
      <c r="D96" s="438"/>
      <c r="E96" s="439"/>
      <c r="F96" s="437"/>
      <c r="G96" s="438"/>
      <c r="H96" s="440"/>
      <c r="I96" s="441"/>
      <c r="J96" s="440"/>
      <c r="K96" s="440"/>
      <c r="L96" s="440"/>
      <c r="M96" s="440"/>
      <c r="N96" s="442"/>
      <c r="O96" s="440"/>
      <c r="P96" s="440"/>
      <c r="Q96" s="441"/>
      <c r="R96" s="440"/>
      <c r="S96" s="443"/>
      <c r="T96" s="443"/>
      <c r="U96" s="443"/>
      <c r="V96" s="444"/>
      <c r="W96" s="443"/>
      <c r="X96" s="443"/>
      <c r="Y96" s="445"/>
      <c r="Z96" s="444"/>
      <c r="AA96" s="443"/>
      <c r="AB96" s="443"/>
      <c r="AC96" s="445"/>
      <c r="AD96" s="444"/>
      <c r="AE96" s="443"/>
      <c r="AF96" s="443"/>
      <c r="AG96" s="445"/>
      <c r="AH96" s="444"/>
      <c r="AI96" s="443"/>
      <c r="AJ96" s="443"/>
      <c r="AK96" s="445"/>
      <c r="AL96" s="444"/>
      <c r="AM96" s="443"/>
      <c r="AN96" s="443"/>
      <c r="AO96" s="445"/>
      <c r="AP96" s="444"/>
      <c r="AQ96" s="443"/>
      <c r="AR96" s="443"/>
      <c r="AS96" s="445"/>
      <c r="AT96" s="446"/>
      <c r="AU96" s="447"/>
      <c r="AV96" s="447"/>
      <c r="AW96" s="447"/>
      <c r="AX96" s="447"/>
      <c r="AY96" s="447"/>
      <c r="AZ96" s="447"/>
      <c r="BA96" s="447"/>
      <c r="BB96" s="447"/>
      <c r="BC96" s="447"/>
      <c r="BD96" s="447"/>
      <c r="BE96" s="447"/>
    </row>
    <row r="97" spans="1:57" s="453" customFormat="1" ht="12" customHeight="1">
      <c r="A97" s="376" t="s">
        <v>143</v>
      </c>
      <c r="B97" s="289">
        <f t="shared" ref="B97:AS97" si="178">+B17-B83-B86-B89</f>
        <v>36.042999999999999</v>
      </c>
      <c r="C97" s="70">
        <f t="shared" si="178"/>
        <v>38.801000000000002</v>
      </c>
      <c r="D97" s="70">
        <f t="shared" si="178"/>
        <v>41.555999999999997</v>
      </c>
      <c r="E97" s="449">
        <f t="shared" si="178"/>
        <v>45.739000000000011</v>
      </c>
      <c r="F97" s="289">
        <f t="shared" si="178"/>
        <v>50.378999999999998</v>
      </c>
      <c r="G97" s="70">
        <f t="shared" si="178"/>
        <v>53.713000000000001</v>
      </c>
      <c r="H97" s="70">
        <f t="shared" si="178"/>
        <v>57.278999999999996</v>
      </c>
      <c r="I97" s="449">
        <f t="shared" si="178"/>
        <v>62.82200000000001</v>
      </c>
      <c r="J97" s="289">
        <f t="shared" si="178"/>
        <v>67.075000000000003</v>
      </c>
      <c r="K97" s="70">
        <f t="shared" si="178"/>
        <v>71.466000000000008</v>
      </c>
      <c r="L97" s="70">
        <f t="shared" si="178"/>
        <v>76.606999999999999</v>
      </c>
      <c r="M97" s="449">
        <f t="shared" si="178"/>
        <v>78.619999999999976</v>
      </c>
      <c r="N97" s="70">
        <f t="shared" si="178"/>
        <v>83.947000000000003</v>
      </c>
      <c r="O97" s="70">
        <f t="shared" si="178"/>
        <v>88.066999999999993</v>
      </c>
      <c r="P97" s="131">
        <f t="shared" si="178"/>
        <v>92.888000000000019</v>
      </c>
      <c r="Q97" s="450">
        <f t="shared" si="178"/>
        <v>97.765000000000015</v>
      </c>
      <c r="R97" s="451">
        <f t="shared" si="178"/>
        <v>101.11600000000001</v>
      </c>
      <c r="S97" s="131">
        <f t="shared" si="178"/>
        <v>103.83400000000002</v>
      </c>
      <c r="T97" s="131">
        <f t="shared" si="178"/>
        <v>111.60199999999998</v>
      </c>
      <c r="U97" s="450">
        <f t="shared" si="178"/>
        <v>118.182</v>
      </c>
      <c r="V97" s="451">
        <f t="shared" si="178"/>
        <v>124.43799999999997</v>
      </c>
      <c r="W97" s="131">
        <f t="shared" si="178"/>
        <v>128.304</v>
      </c>
      <c r="X97" s="131">
        <f t="shared" si="178"/>
        <v>136.26899999999998</v>
      </c>
      <c r="Y97" s="450">
        <f t="shared" si="178"/>
        <v>139.39099999999999</v>
      </c>
      <c r="Z97" s="451">
        <f t="shared" si="178"/>
        <v>143.333</v>
      </c>
      <c r="AA97" s="131">
        <f t="shared" si="178"/>
        <v>151.52199999999999</v>
      </c>
      <c r="AB97" s="131">
        <f t="shared" si="178"/>
        <v>155.77500000000001</v>
      </c>
      <c r="AC97" s="450">
        <f t="shared" si="178"/>
        <v>164.50299999999996</v>
      </c>
      <c r="AD97" s="451">
        <f t="shared" si="178"/>
        <v>167.02899999999997</v>
      </c>
      <c r="AE97" s="131">
        <f t="shared" si="178"/>
        <v>172.44300000000001</v>
      </c>
      <c r="AF97" s="131">
        <f t="shared" si="178"/>
        <v>176.58899999999997</v>
      </c>
      <c r="AG97" s="450">
        <f t="shared" si="178"/>
        <v>184.292</v>
      </c>
      <c r="AH97" s="451">
        <f t="shared" si="178"/>
        <v>186.67699999999999</v>
      </c>
      <c r="AI97" s="131">
        <f t="shared" si="178"/>
        <v>192.86099999999999</v>
      </c>
      <c r="AJ97" s="131">
        <f t="shared" si="178"/>
        <v>195.68699999999998</v>
      </c>
      <c r="AK97" s="450">
        <f t="shared" si="178"/>
        <v>205.24300000000002</v>
      </c>
      <c r="AL97" s="451">
        <f t="shared" si="178"/>
        <v>200.52646478502987</v>
      </c>
      <c r="AM97" s="131">
        <f t="shared" si="178"/>
        <v>207.07516909007782</v>
      </c>
      <c r="AN97" s="131">
        <f t="shared" si="178"/>
        <v>210.3843653733787</v>
      </c>
      <c r="AO97" s="450">
        <f t="shared" si="178"/>
        <v>218.75430449715518</v>
      </c>
      <c r="AP97" s="451">
        <f t="shared" si="178"/>
        <v>213.91289605506975</v>
      </c>
      <c r="AQ97" s="131">
        <f t="shared" si="178"/>
        <v>220.86979041260864</v>
      </c>
      <c r="AR97" s="131">
        <f t="shared" si="178"/>
        <v>224.35975844976161</v>
      </c>
      <c r="AS97" s="450">
        <f t="shared" si="178"/>
        <v>233.25879837321094</v>
      </c>
      <c r="AT97" s="452"/>
      <c r="AU97" s="72">
        <f t="shared" ref="AU97:AU100" si="179">SUM(B97:E97)</f>
        <v>162.13900000000001</v>
      </c>
      <c r="AV97" s="72">
        <f t="shared" ref="AV97:AV100" si="180">SUM(F97:I97)</f>
        <v>224.19299999999998</v>
      </c>
      <c r="AW97" s="72">
        <f t="shared" ref="AW97:AW99" si="181">SUM(J97:M97)</f>
        <v>293.76799999999997</v>
      </c>
      <c r="AX97" s="72">
        <f t="shared" ref="AX97:AX99" si="182">SUM(N97:Q97)</f>
        <v>362.66700000000003</v>
      </c>
      <c r="AY97" s="72">
        <f t="shared" ref="AY97:AY99" si="183">SUM(R97:U97)</f>
        <v>434.73400000000004</v>
      </c>
      <c r="AZ97" s="72">
        <f t="shared" ref="AZ97:AZ99" si="184">SUM(V97:Y97)</f>
        <v>528.40199999999993</v>
      </c>
      <c r="BA97" s="72">
        <f t="shared" ref="BA97:BA99" si="185">SUM(Z97:AC97)</f>
        <v>615.13299999999992</v>
      </c>
      <c r="BB97" s="447">
        <f t="shared" si="159"/>
        <v>700.35299999999995</v>
      </c>
      <c r="BC97" s="447">
        <f t="shared" si="150"/>
        <v>780.46800000000007</v>
      </c>
      <c r="BD97" s="447">
        <f t="shared" si="160"/>
        <v>836.74030374564165</v>
      </c>
      <c r="BE97" s="447">
        <f>SUM(AP97:AS97)</f>
        <v>892.40124329065088</v>
      </c>
    </row>
    <row r="98" spans="1:57" s="454" customFormat="1" ht="12" customHeight="1">
      <c r="A98" s="376" t="s">
        <v>144</v>
      </c>
      <c r="B98" s="289">
        <f t="shared" ref="B98:AS98" si="186">+B25-B82-B85-B88</f>
        <v>-8.7460000000000004</v>
      </c>
      <c r="C98" s="70">
        <f t="shared" si="186"/>
        <v>-9.2289999999999992</v>
      </c>
      <c r="D98" s="70">
        <f t="shared" si="186"/>
        <v>-11.161999999999997</v>
      </c>
      <c r="E98" s="449">
        <f t="shared" si="186"/>
        <v>-11.622999999999994</v>
      </c>
      <c r="F98" s="289">
        <f t="shared" si="186"/>
        <v>-15.449000000000009</v>
      </c>
      <c r="G98" s="70">
        <f t="shared" si="186"/>
        <v>-16.445000000000004</v>
      </c>
      <c r="H98" s="70">
        <f t="shared" si="186"/>
        <v>-21.095999999999993</v>
      </c>
      <c r="I98" s="449">
        <f t="shared" si="186"/>
        <v>-19.591000000000005</v>
      </c>
      <c r="J98" s="289">
        <f t="shared" si="186"/>
        <v>-22.684999999999988</v>
      </c>
      <c r="K98" s="70">
        <f t="shared" si="186"/>
        <v>-22.233999999999995</v>
      </c>
      <c r="L98" s="70">
        <f t="shared" si="186"/>
        <v>-18.327000000000002</v>
      </c>
      <c r="M98" s="449">
        <f t="shared" si="186"/>
        <v>-27.553000000000033</v>
      </c>
      <c r="N98" s="70">
        <f t="shared" si="186"/>
        <v>-21.671999999999993</v>
      </c>
      <c r="O98" s="70">
        <f t="shared" si="186"/>
        <v>-10.565000000000012</v>
      </c>
      <c r="P98" s="131">
        <f t="shared" si="186"/>
        <v>-3.464999999999999</v>
      </c>
      <c r="Q98" s="450">
        <f t="shared" si="186"/>
        <v>-0.73099999999998977</v>
      </c>
      <c r="R98" s="451">
        <f t="shared" si="186"/>
        <v>-5.8020000000000014</v>
      </c>
      <c r="S98" s="131">
        <f t="shared" si="186"/>
        <v>-11.880999999999995</v>
      </c>
      <c r="T98" s="131">
        <f t="shared" si="186"/>
        <v>-11.218000000000025</v>
      </c>
      <c r="U98" s="450">
        <f t="shared" si="186"/>
        <v>-12.867000000000008</v>
      </c>
      <c r="V98" s="451">
        <f t="shared" si="186"/>
        <v>-17.548000000000005</v>
      </c>
      <c r="W98" s="131">
        <f t="shared" si="186"/>
        <v>-23.22</v>
      </c>
      <c r="X98" s="131">
        <f t="shared" si="186"/>
        <v>-12.958000000000011</v>
      </c>
      <c r="Y98" s="450">
        <f t="shared" si="186"/>
        <v>-14.088999999999992</v>
      </c>
      <c r="Z98" s="451">
        <f t="shared" si="186"/>
        <v>-19.155999999999985</v>
      </c>
      <c r="AA98" s="131">
        <f t="shared" si="186"/>
        <v>-10.744999999999989</v>
      </c>
      <c r="AB98" s="131">
        <f t="shared" si="186"/>
        <v>-7.9130000000000127</v>
      </c>
      <c r="AC98" s="450">
        <f t="shared" si="186"/>
        <v>-9.847000000000012</v>
      </c>
      <c r="AD98" s="451">
        <f t="shared" si="186"/>
        <v>-7.5410000000000119</v>
      </c>
      <c r="AE98" s="131">
        <f t="shared" si="186"/>
        <v>-4.1369999999999756</v>
      </c>
      <c r="AF98" s="131">
        <f t="shared" si="186"/>
        <v>-2.0830000000000104</v>
      </c>
      <c r="AG98" s="450">
        <f t="shared" si="186"/>
        <v>12.975000000000001</v>
      </c>
      <c r="AH98" s="451">
        <f t="shared" si="186"/>
        <v>-17.711000000000006</v>
      </c>
      <c r="AI98" s="131">
        <f t="shared" si="186"/>
        <v>-7.4479999999999773</v>
      </c>
      <c r="AJ98" s="131">
        <f t="shared" si="186"/>
        <v>7.1359999999999841</v>
      </c>
      <c r="AK98" s="450">
        <f>+AK25-AK82-AK85-AK88-AK168</f>
        <v>8.8550000000000093</v>
      </c>
      <c r="AL98" s="451">
        <f t="shared" si="186"/>
        <v>-7.3970411789641668</v>
      </c>
      <c r="AM98" s="131">
        <f t="shared" si="186"/>
        <v>0.70006494690399168</v>
      </c>
      <c r="AN98" s="131">
        <f t="shared" si="186"/>
        <v>12.362317379032616</v>
      </c>
      <c r="AO98" s="450">
        <f t="shared" si="186"/>
        <v>15.524462244904091</v>
      </c>
      <c r="AP98" s="451">
        <f t="shared" si="186"/>
        <v>-5.7548697499075283</v>
      </c>
      <c r="AQ98" s="131">
        <f t="shared" si="186"/>
        <v>2.9197153324262493</v>
      </c>
      <c r="AR98" s="131">
        <f t="shared" si="186"/>
        <v>15.366905300556537</v>
      </c>
      <c r="AS98" s="450">
        <f t="shared" si="186"/>
        <v>18.790738283852846</v>
      </c>
      <c r="AT98" s="452"/>
      <c r="AU98" s="72">
        <f t="shared" si="179"/>
        <v>-40.759999999999991</v>
      </c>
      <c r="AV98" s="72">
        <f t="shared" si="180"/>
        <v>-72.581000000000017</v>
      </c>
      <c r="AW98" s="72">
        <f t="shared" si="181"/>
        <v>-90.799000000000007</v>
      </c>
      <c r="AX98" s="72">
        <f t="shared" si="182"/>
        <v>-36.432999999999993</v>
      </c>
      <c r="AY98" s="72">
        <f t="shared" si="183"/>
        <v>-41.768000000000029</v>
      </c>
      <c r="AZ98" s="72">
        <f t="shared" si="184"/>
        <v>-67.814999999999998</v>
      </c>
      <c r="BA98" s="72">
        <f t="shared" si="185"/>
        <v>-47.661000000000001</v>
      </c>
      <c r="BB98" s="447">
        <f t="shared" si="159"/>
        <v>-0.78599999999999604</v>
      </c>
      <c r="BC98" s="447">
        <f t="shared" si="150"/>
        <v>-9.1679999999999904</v>
      </c>
      <c r="BD98" s="447">
        <f t="shared" si="160"/>
        <v>21.189803391876531</v>
      </c>
      <c r="BE98" s="447">
        <f>SUM(AP98:AS98)</f>
        <v>31.322489166928104</v>
      </c>
    </row>
    <row r="99" spans="1:57" s="454" customFormat="1" ht="12" customHeight="1">
      <c r="A99" s="376" t="s">
        <v>145</v>
      </c>
      <c r="B99" s="289">
        <f t="shared" ref="B99:AS99" si="187">+B39-B82-B85-B88-B91</f>
        <v>-9.0129999999999999</v>
      </c>
      <c r="C99" s="70">
        <f t="shared" si="187"/>
        <v>-9.4049999999999994</v>
      </c>
      <c r="D99" s="70">
        <f t="shared" si="187"/>
        <v>-11.504999999999997</v>
      </c>
      <c r="E99" s="449">
        <f t="shared" si="187"/>
        <v>-11.861999999999993</v>
      </c>
      <c r="F99" s="289">
        <f t="shared" si="187"/>
        <v>-16.076000000000008</v>
      </c>
      <c r="G99" s="70">
        <f t="shared" si="187"/>
        <v>-17.341000000000005</v>
      </c>
      <c r="H99" s="70">
        <f t="shared" si="187"/>
        <v>-20.923999999999992</v>
      </c>
      <c r="I99" s="449">
        <f t="shared" si="187"/>
        <v>-19.614000000000008</v>
      </c>
      <c r="J99" s="289">
        <f t="shared" si="187"/>
        <v>-21.439999999999987</v>
      </c>
      <c r="K99" s="70">
        <f t="shared" si="187"/>
        <v>-21.627999999999993</v>
      </c>
      <c r="L99" s="70">
        <f t="shared" si="187"/>
        <v>-17.64</v>
      </c>
      <c r="M99" s="449">
        <f t="shared" si="187"/>
        <v>-38.305000000000035</v>
      </c>
      <c r="N99" s="70">
        <f t="shared" si="187"/>
        <v>-22.976999999999993</v>
      </c>
      <c r="O99" s="70">
        <f t="shared" si="187"/>
        <v>-11.960000000000012</v>
      </c>
      <c r="P99" s="131">
        <f t="shared" si="187"/>
        <v>-5.8579999999999997</v>
      </c>
      <c r="Q99" s="450">
        <f t="shared" si="187"/>
        <v>-1.93599999999999</v>
      </c>
      <c r="R99" s="451">
        <f t="shared" si="187"/>
        <v>-7.7480000000000011</v>
      </c>
      <c r="S99" s="131">
        <f t="shared" si="187"/>
        <v>-11.637999999999995</v>
      </c>
      <c r="T99" s="131">
        <f t="shared" si="187"/>
        <v>-16.246000000000024</v>
      </c>
      <c r="U99" s="450">
        <f t="shared" si="187"/>
        <v>-11.045000000000007</v>
      </c>
      <c r="V99" s="451">
        <f t="shared" si="187"/>
        <v>-24.506000000000004</v>
      </c>
      <c r="W99" s="131">
        <f t="shared" si="187"/>
        <v>-27.498999999999995</v>
      </c>
      <c r="X99" s="131">
        <f t="shared" si="187"/>
        <v>-18.730000000000011</v>
      </c>
      <c r="Y99" s="450">
        <f t="shared" si="187"/>
        <v>-21.486999999999991</v>
      </c>
      <c r="Z99" s="451">
        <f t="shared" si="187"/>
        <v>-25.096999999999987</v>
      </c>
      <c r="AA99" s="131">
        <f t="shared" si="187"/>
        <v>-15.973999999999986</v>
      </c>
      <c r="AB99" s="131">
        <f t="shared" si="187"/>
        <v>-15.56500000000001</v>
      </c>
      <c r="AC99" s="450">
        <f t="shared" si="187"/>
        <v>-17.149000000000012</v>
      </c>
      <c r="AD99" s="451">
        <f t="shared" si="187"/>
        <v>-12.997000000000014</v>
      </c>
      <c r="AE99" s="131">
        <f t="shared" si="187"/>
        <v>-9.8909999999999751</v>
      </c>
      <c r="AF99" s="131">
        <f t="shared" si="187"/>
        <v>-9.2110000000000127</v>
      </c>
      <c r="AG99" s="450">
        <f t="shared" si="187"/>
        <v>1.868000000000003</v>
      </c>
      <c r="AH99" s="451">
        <f t="shared" si="187"/>
        <v>-22.935000000000006</v>
      </c>
      <c r="AI99" s="455">
        <f t="shared" si="187"/>
        <v>-14.705999999999976</v>
      </c>
      <c r="AJ99" s="131">
        <f t="shared" si="187"/>
        <v>2.2599999999999834</v>
      </c>
      <c r="AK99" s="450">
        <f>+AK39-AK82-AK85-AK88-AK91-AK168</f>
        <v>-0.73699999999998855</v>
      </c>
      <c r="AL99" s="451">
        <f t="shared" si="187"/>
        <v>-16.964041178964166</v>
      </c>
      <c r="AM99" s="131">
        <f t="shared" si="187"/>
        <v>-11.691935053096008</v>
      </c>
      <c r="AN99" s="131">
        <f t="shared" si="187"/>
        <v>7.0317379032612592E-2</v>
      </c>
      <c r="AO99" s="450">
        <f t="shared" si="187"/>
        <v>3.3324622449040979</v>
      </c>
      <c r="AP99" s="451">
        <f t="shared" si="187"/>
        <v>-17.846869749907533</v>
      </c>
      <c r="AQ99" s="131">
        <f t="shared" si="187"/>
        <v>-9.0722846675737543</v>
      </c>
      <c r="AR99" s="131">
        <f t="shared" si="187"/>
        <v>3.4749053005565234</v>
      </c>
      <c r="AS99" s="450">
        <f t="shared" si="187"/>
        <v>6.9987382838528474</v>
      </c>
      <c r="AT99" s="452"/>
      <c r="AU99" s="72">
        <f t="shared" si="179"/>
        <v>-41.784999999999989</v>
      </c>
      <c r="AV99" s="456">
        <f t="shared" si="180"/>
        <v>-73.955000000000013</v>
      </c>
      <c r="AW99" s="456">
        <f t="shared" si="181"/>
        <v>-99.013000000000019</v>
      </c>
      <c r="AX99" s="456">
        <f t="shared" si="182"/>
        <v>-42.730999999999995</v>
      </c>
      <c r="AY99" s="72">
        <f t="shared" si="183"/>
        <v>-46.677000000000028</v>
      </c>
      <c r="AZ99" s="72">
        <f t="shared" si="184"/>
        <v>-92.222000000000008</v>
      </c>
      <c r="BA99" s="72">
        <f t="shared" si="185"/>
        <v>-73.784999999999997</v>
      </c>
      <c r="BB99" s="447">
        <f t="shared" si="159"/>
        <v>-30.231000000000002</v>
      </c>
      <c r="BC99" s="447">
        <f t="shared" si="150"/>
        <v>-36.117999999999988</v>
      </c>
      <c r="BD99" s="447">
        <f t="shared" si="160"/>
        <v>-25.253196608123467</v>
      </c>
      <c r="BE99" s="447">
        <f>SUM(AP99:AS99)</f>
        <v>-16.445510833071918</v>
      </c>
    </row>
    <row r="100" spans="1:57" s="161" customFormat="1" ht="12" customHeight="1">
      <c r="A100" s="457" t="s">
        <v>146</v>
      </c>
      <c r="B100" s="458">
        <v>-0.4267174525803914</v>
      </c>
      <c r="C100" s="459">
        <f t="shared" ref="C100:AS100" si="188">IF(C99&lt;0,C99/C102,C99/C103)</f>
        <v>-0.42633726201269267</v>
      </c>
      <c r="D100" s="459">
        <f t="shared" si="188"/>
        <v>-0.5072974998897658</v>
      </c>
      <c r="E100" s="460">
        <f t="shared" si="188"/>
        <v>-0.51964778551715041</v>
      </c>
      <c r="F100" s="458">
        <f t="shared" si="188"/>
        <v>-0.68423068738029402</v>
      </c>
      <c r="G100" s="459">
        <f t="shared" si="188"/>
        <v>-0.73014736842105288</v>
      </c>
      <c r="H100" s="461">
        <f t="shared" si="188"/>
        <v>-0.28176297114232224</v>
      </c>
      <c r="I100" s="462">
        <f t="shared" si="188"/>
        <v>-0.21276318786813769</v>
      </c>
      <c r="J100" s="461">
        <f t="shared" si="188"/>
        <v>-0.22872260982739109</v>
      </c>
      <c r="K100" s="461">
        <f t="shared" si="188"/>
        <v>-0.22571488207054888</v>
      </c>
      <c r="L100" s="461">
        <f t="shared" si="188"/>
        <v>-0.18240287873931071</v>
      </c>
      <c r="M100" s="461">
        <f t="shared" si="188"/>
        <v>-0.39191512001473361</v>
      </c>
      <c r="N100" s="463">
        <f t="shared" si="188"/>
        <v>-0.23243133882959882</v>
      </c>
      <c r="O100" s="461">
        <f t="shared" si="188"/>
        <v>-0.11935055733516961</v>
      </c>
      <c r="P100" s="461">
        <f t="shared" si="188"/>
        <v>-5.758040418337658E-2</v>
      </c>
      <c r="Q100" s="462">
        <f t="shared" si="188"/>
        <v>-1.8759144598509636E-2</v>
      </c>
      <c r="R100" s="459">
        <f t="shared" si="188"/>
        <v>-7.4121552458122478E-2</v>
      </c>
      <c r="S100" s="256">
        <f t="shared" si="188"/>
        <v>-0.1099283076254616</v>
      </c>
      <c r="T100" s="459">
        <f t="shared" si="188"/>
        <v>-0.15201789106289029</v>
      </c>
      <c r="U100" s="459">
        <f t="shared" si="188"/>
        <v>-0.10204647295237222</v>
      </c>
      <c r="V100" s="458">
        <f t="shared" si="188"/>
        <v>-0.22375004565209455</v>
      </c>
      <c r="W100" s="459">
        <f t="shared" si="188"/>
        <v>-0.24764726542448282</v>
      </c>
      <c r="X100" s="459">
        <f t="shared" si="188"/>
        <v>-0.16732626388057578</v>
      </c>
      <c r="Y100" s="460">
        <f t="shared" si="188"/>
        <v>-0.19058558478650361</v>
      </c>
      <c r="Z100" s="458">
        <f t="shared" si="188"/>
        <v>-0.22054765629119275</v>
      </c>
      <c r="AA100" s="459">
        <f t="shared" si="188"/>
        <v>-0.13874629769566829</v>
      </c>
      <c r="AB100" s="459">
        <f t="shared" si="188"/>
        <v>-0.13423426531210661</v>
      </c>
      <c r="AC100" s="460">
        <f t="shared" si="188"/>
        <v>-0.14692803961719383</v>
      </c>
      <c r="AD100" s="458">
        <f t="shared" si="188"/>
        <v>-0.1105732419050213</v>
      </c>
      <c r="AE100" s="459">
        <f t="shared" si="188"/>
        <v>-8.3341057119505027E-2</v>
      </c>
      <c r="AF100" s="459">
        <f t="shared" si="188"/>
        <v>-7.729359145415346E-2</v>
      </c>
      <c r="AG100" s="460">
        <f t="shared" si="188"/>
        <v>1.5082396066304434E-2</v>
      </c>
      <c r="AH100" s="458">
        <f t="shared" si="188"/>
        <v>-0.19099289657986565</v>
      </c>
      <c r="AI100" s="459">
        <f t="shared" si="188"/>
        <v>-0.1215582869754253</v>
      </c>
      <c r="AJ100" s="459">
        <f t="shared" si="188"/>
        <v>1.8531729436750088E-2</v>
      </c>
      <c r="AK100" s="460">
        <f t="shared" si="188"/>
        <v>-6.1958806221100336E-3</v>
      </c>
      <c r="AL100" s="458">
        <f t="shared" si="188"/>
        <v>-0.14237550297074414</v>
      </c>
      <c r="AM100" s="459">
        <f t="shared" si="188"/>
        <v>-9.7963427340561432E-2</v>
      </c>
      <c r="AN100" s="459">
        <f t="shared" si="188"/>
        <v>5.9616260307429072E-4</v>
      </c>
      <c r="AO100" s="460">
        <f t="shared" si="188"/>
        <v>2.8253177150522238E-2</v>
      </c>
      <c r="AP100" s="458">
        <f t="shared" si="188"/>
        <v>-0.14878590871119243</v>
      </c>
      <c r="AQ100" s="459">
        <f t="shared" si="188"/>
        <v>-7.550798724572412E-2</v>
      </c>
      <c r="AR100" s="459">
        <f t="shared" si="188"/>
        <v>2.9215615441033491E-2</v>
      </c>
      <c r="AS100" s="460">
        <f t="shared" si="188"/>
        <v>5.8679787740863985E-2</v>
      </c>
      <c r="AT100" s="258"/>
      <c r="AU100" s="464">
        <f t="shared" si="179"/>
        <v>-1.8800000000000003</v>
      </c>
      <c r="AV100" s="465">
        <f t="shared" si="180"/>
        <v>-1.9089042148118067</v>
      </c>
      <c r="AW100" s="465">
        <f t="shared" ref="AW100:BC100" si="189">IF(AW99&lt;0,AW99/AW102,AW99/AW103)</f>
        <v>-1.0312350282250509</v>
      </c>
      <c r="AX100" s="465">
        <f t="shared" si="189"/>
        <v>-0.42304151115247152</v>
      </c>
      <c r="AY100" s="465">
        <f t="shared" si="189"/>
        <v>-0.43874721535525985</v>
      </c>
      <c r="AZ100" s="465">
        <f t="shared" si="189"/>
        <v>-0.82843308989319187</v>
      </c>
      <c r="BA100" s="465">
        <f t="shared" si="189"/>
        <v>-0.63939028934392839</v>
      </c>
      <c r="BB100" s="465">
        <f t="shared" si="189"/>
        <v>-0.25450183103927265</v>
      </c>
      <c r="BC100" s="465">
        <f t="shared" si="189"/>
        <v>-0.30067326402980249</v>
      </c>
      <c r="BD100" s="465">
        <f>IF(BD99&lt;0,BD99/BD102,BD99/BD103)</f>
        <v>-0.21141227800856816</v>
      </c>
      <c r="BE100" s="465">
        <f>IF(BE99&lt;0,BE99/BE102,BE99/BE103)</f>
        <v>-0.13676100484883091</v>
      </c>
    </row>
    <row r="101" spans="1:57" s="165" customFormat="1" ht="12" hidden="1" customHeight="1" outlineLevel="1">
      <c r="A101" s="466" t="s">
        <v>147</v>
      </c>
      <c r="B101" s="232" t="str">
        <f>'[2]VA Consensus'!C35</f>
        <v>-</v>
      </c>
      <c r="C101" s="232" t="str">
        <f>'[2]VA Consensus'!D35</f>
        <v>-</v>
      </c>
      <c r="D101" s="232" t="str">
        <f>'[2]VA Consensus'!E35</f>
        <v>-</v>
      </c>
      <c r="E101" s="232" t="str">
        <f>'[2]VA Consensus'!F35</f>
        <v>-</v>
      </c>
      <c r="F101" s="467" t="str">
        <f>'[2]VA Consensus'!G35</f>
        <v>-</v>
      </c>
      <c r="G101" s="232" t="str">
        <f>'[2]VA Consensus'!H35</f>
        <v>-</v>
      </c>
      <c r="H101" s="232">
        <f>'[2]VA Consensus'!I35</f>
        <v>-0.25184083280949998</v>
      </c>
      <c r="I101" s="232">
        <f>'[2]VA Consensus'!J35</f>
        <v>-0.22992843238518601</v>
      </c>
      <c r="J101" s="467">
        <f>'[2]VA Consensus'!K35</f>
        <v>-0.30233204263308699</v>
      </c>
      <c r="K101" s="232">
        <f>'[2]VA Consensus'!L35</f>
        <v>-0.26993957243956601</v>
      </c>
      <c r="L101" s="232">
        <f>'[2]VA Consensus'!M35</f>
        <v>-0.235200219957204</v>
      </c>
      <c r="M101" s="468">
        <f>'[2]VA Consensus'!N35</f>
        <v>-0.34773408471230999</v>
      </c>
      <c r="N101" s="467">
        <f>'[2]VA Consensus'!O35</f>
        <v>-0.31800802807018502</v>
      </c>
      <c r="O101" s="232">
        <f>'[2]VA Consensus'!P35</f>
        <v>-0.20713137264855799</v>
      </c>
      <c r="P101" s="232">
        <f>'[2]VA Consensus'!Q35</f>
        <v>-0.121254422147442</v>
      </c>
      <c r="Q101" s="468">
        <f>'[2]VA Consensus'!R35</f>
        <v>-7.2922271897239002E-2</v>
      </c>
      <c r="R101" s="467">
        <f>'[2]VA Consensus'!S35</f>
        <v>-0.10464830729207</v>
      </c>
      <c r="S101" s="232">
        <f>'[2]VA Consensus'!T35</f>
        <v>-0.139290097547386</v>
      </c>
      <c r="T101" s="232">
        <f>'[2]VA Consensus'!U35</f>
        <v>-0.17231683791910099</v>
      </c>
      <c r="U101" s="468">
        <f>'[2]VA Consensus'!V35</f>
        <v>-0.165855546554983</v>
      </c>
      <c r="V101" s="232">
        <f>'[2]VA Consensus'!W35</f>
        <v>-0.15420615062557999</v>
      </c>
      <c r="W101" s="232">
        <f>'[2]VA Consensus'!X35</f>
        <v>-0.22616574076832199</v>
      </c>
      <c r="X101" s="232">
        <f>'[2]VA Consensus'!Y35</f>
        <v>-0.228378406111203</v>
      </c>
      <c r="Y101" s="232">
        <f>'[2]VA Consensus'!Z35</f>
        <v>-0.20746990682927999</v>
      </c>
      <c r="Z101" s="467">
        <f>'[2]VA Consensus'!AA35</f>
        <v>-0.244444410486125</v>
      </c>
      <c r="AA101" s="232">
        <f>'[2]VA Consensus'!AB35</f>
        <v>-0.16205815102995799</v>
      </c>
      <c r="AB101" s="232">
        <f>'[2]VA Consensus'!AC35</f>
        <v>-0.139232994683269</v>
      </c>
      <c r="AC101" s="468">
        <f>'[2]VA Consensus'!AD35</f>
        <v>-0.23684876264163399</v>
      </c>
      <c r="AD101" s="467">
        <f>'[2]VA Consensus'!AE35</f>
        <v>-0.20689899577860099</v>
      </c>
      <c r="AE101" s="232">
        <f>'[2]VA Consensus'!AF35</f>
        <v>-0.144366526617839</v>
      </c>
      <c r="AF101" s="232">
        <f>'[2]VA Consensus'!AG35</f>
        <v>-8.4746652176586001E-2</v>
      </c>
      <c r="AG101" s="468">
        <f>'[2]VA Consensus'!AH35</f>
        <v>-3.6525601390932E-2</v>
      </c>
      <c r="AH101" s="467">
        <f>'[2]VA Consensus'!AI35</f>
        <v>-0.189513489689665</v>
      </c>
      <c r="AI101" s="232">
        <f>'[2]VA Consensus'!AJ35</f>
        <v>-0.13915476119981199</v>
      </c>
      <c r="AJ101" s="232">
        <f>'[2]VA Consensus'!AK35</f>
        <v>-5.7213293909689003E-2</v>
      </c>
      <c r="AK101" s="468">
        <f>'[2]VA Consensus'!AL35</f>
        <v>-1.946708105729E-2</v>
      </c>
      <c r="AL101" s="467">
        <f>'[2]VA Consensus'!AM35</f>
        <v>-5.7870224253872997E-2</v>
      </c>
      <c r="AM101" s="232">
        <f>'[2]VA Consensus'!AN35</f>
        <v>-2.7188851532990001E-3</v>
      </c>
      <c r="AN101" s="232">
        <f>'[2]VA Consensus'!AO35</f>
        <v>5.2351899099527997E-2</v>
      </c>
      <c r="AO101" s="468">
        <f>'[2]VA Consensus'!AP35</f>
        <v>9.3502048869111995E-2</v>
      </c>
      <c r="AP101" s="467">
        <f>'[2]VA Consensus'!AQ35</f>
        <v>-7.1844945799999998E-6</v>
      </c>
      <c r="AQ101" s="232">
        <f>'[2]VA Consensus'!AR35</f>
        <v>3.5819243058615002E-2</v>
      </c>
      <c r="AR101" s="232">
        <f>'[2]VA Consensus'!AS35</f>
        <v>8.8742496428135004E-2</v>
      </c>
      <c r="AS101" s="468">
        <f>'[2]VA Consensus'!AT35</f>
        <v>0.118787491524357</v>
      </c>
      <c r="AT101" s="468"/>
      <c r="AU101" s="469" t="str">
        <f>'[2]VA Consensus'!AV35</f>
        <v>-</v>
      </c>
      <c r="AV101" s="470">
        <f>'[2]VA Consensus'!AW35</f>
        <v>-0.86620999753788297</v>
      </c>
      <c r="AW101" s="471">
        <f>'[2]VA Consensus'!AX35</f>
        <v>-0.99003801132450797</v>
      </c>
      <c r="AX101" s="472">
        <f>'[2]VA Consensus'!AY35</f>
        <v>-0.46178916490904298</v>
      </c>
      <c r="AY101" s="472">
        <f>'[2]VA Consensus'!AZ35</f>
        <v>-0.405361313566939</v>
      </c>
      <c r="AZ101" s="471">
        <f>'[2]VA Consensus'!BA35</f>
        <v>-0.70694491856872799</v>
      </c>
      <c r="BA101" s="472">
        <f>'[2]VA Consensus'!BB35</f>
        <v>-0.607185209176068</v>
      </c>
      <c r="BB101" s="472">
        <f>'[2]VA Consensus'!BC35</f>
        <v>-0.34700437617211399</v>
      </c>
      <c r="BC101" s="472">
        <f>'[2]VA Consensus'!BD35</f>
        <v>-0.30972101525364298</v>
      </c>
      <c r="BD101" s="472">
        <f>'[2]VA Consensus'!BE35</f>
        <v>8.5629387365228002E-2</v>
      </c>
      <c r="BE101" s="472">
        <f>'[2]VA Consensus'!BF35</f>
        <v>0.244258018968604</v>
      </c>
    </row>
    <row r="102" spans="1:57" s="165" customFormat="1" ht="12" customHeight="1" collapsed="1">
      <c r="A102" s="473" t="s">
        <v>115</v>
      </c>
      <c r="B102" s="289">
        <f t="shared" ref="B102:AS103" si="190">B52</f>
        <v>0</v>
      </c>
      <c r="C102" s="70">
        <f t="shared" si="190"/>
        <v>22.06</v>
      </c>
      <c r="D102" s="70">
        <f t="shared" si="190"/>
        <v>22.678999999999998</v>
      </c>
      <c r="E102" s="449">
        <f t="shared" si="190"/>
        <v>22.827000000000002</v>
      </c>
      <c r="F102" s="289">
        <f t="shared" si="190"/>
        <v>23.495000000000001</v>
      </c>
      <c r="G102" s="70">
        <f t="shared" si="190"/>
        <v>23.75</v>
      </c>
      <c r="H102" s="70">
        <f t="shared" si="190"/>
        <v>74.260999999999996</v>
      </c>
      <c r="I102" s="449">
        <f t="shared" si="190"/>
        <v>92.186999999999998</v>
      </c>
      <c r="J102" s="70">
        <f t="shared" si="190"/>
        <v>93.738</v>
      </c>
      <c r="K102" s="70">
        <f t="shared" si="190"/>
        <v>95.82</v>
      </c>
      <c r="L102" s="70">
        <f t="shared" si="190"/>
        <v>96.709000000000003</v>
      </c>
      <c r="M102" s="70">
        <f t="shared" si="190"/>
        <v>97.738</v>
      </c>
      <c r="N102" s="289">
        <f t="shared" si="190"/>
        <v>98.855000000000004</v>
      </c>
      <c r="O102" s="70">
        <f t="shared" si="190"/>
        <v>100.209</v>
      </c>
      <c r="P102" s="131">
        <f t="shared" si="190"/>
        <v>101.736</v>
      </c>
      <c r="Q102" s="474">
        <f t="shared" si="190"/>
        <v>103.203</v>
      </c>
      <c r="R102" s="70">
        <f t="shared" si="190"/>
        <v>104.53100000000001</v>
      </c>
      <c r="S102" s="70">
        <f t="shared" si="190"/>
        <v>105.869</v>
      </c>
      <c r="T102" s="291">
        <f t="shared" si="190"/>
        <v>106.869</v>
      </c>
      <c r="U102" s="291">
        <f t="shared" si="190"/>
        <v>108.235</v>
      </c>
      <c r="V102" s="289">
        <f t="shared" si="190"/>
        <v>109.524</v>
      </c>
      <c r="W102" s="70">
        <f t="shared" si="190"/>
        <v>111.041</v>
      </c>
      <c r="X102" s="291">
        <f t="shared" si="190"/>
        <v>111.937</v>
      </c>
      <c r="Y102" s="474">
        <f t="shared" si="190"/>
        <v>112.742</v>
      </c>
      <c r="Z102" s="289">
        <f t="shared" si="190"/>
        <v>113.794</v>
      </c>
      <c r="AA102" s="70">
        <f t="shared" si="190"/>
        <v>115.131</v>
      </c>
      <c r="AB102" s="291">
        <f t="shared" si="190"/>
        <v>115.95399999999999</v>
      </c>
      <c r="AC102" s="474">
        <f t="shared" si="190"/>
        <v>116.717</v>
      </c>
      <c r="AD102" s="289">
        <f t="shared" si="190"/>
        <v>117.542</v>
      </c>
      <c r="AE102" s="70">
        <f t="shared" si="190"/>
        <v>118.681</v>
      </c>
      <c r="AF102" s="291">
        <f t="shared" si="190"/>
        <v>119.169</v>
      </c>
      <c r="AG102" s="474">
        <f t="shared" si="190"/>
        <v>119.748</v>
      </c>
      <c r="AH102" s="289">
        <f t="shared" si="190"/>
        <v>120.083</v>
      </c>
      <c r="AI102" s="70">
        <f t="shared" si="190"/>
        <v>120.979</v>
      </c>
      <c r="AJ102" s="291">
        <f t="shared" si="190"/>
        <v>120.483</v>
      </c>
      <c r="AK102" s="474">
        <f t="shared" si="190"/>
        <v>118.95</v>
      </c>
      <c r="AL102" s="289">
        <f t="shared" si="190"/>
        <v>119.15</v>
      </c>
      <c r="AM102" s="70">
        <f t="shared" si="190"/>
        <v>119.35000000000001</v>
      </c>
      <c r="AN102" s="291">
        <f t="shared" si="190"/>
        <v>119.55000000000001</v>
      </c>
      <c r="AO102" s="474">
        <f t="shared" si="190"/>
        <v>119.75000000000001</v>
      </c>
      <c r="AP102" s="289">
        <f t="shared" si="190"/>
        <v>119.95000000000002</v>
      </c>
      <c r="AQ102" s="70">
        <f t="shared" si="190"/>
        <v>120.15000000000002</v>
      </c>
      <c r="AR102" s="291">
        <f t="shared" si="190"/>
        <v>120.35000000000002</v>
      </c>
      <c r="AS102" s="474">
        <f t="shared" si="190"/>
        <v>120.55000000000003</v>
      </c>
      <c r="AT102" s="232"/>
      <c r="AU102" s="289"/>
      <c r="AV102" s="289">
        <f t="shared" ref="AV102:BE103" si="191">AV52</f>
        <v>53.668999999999997</v>
      </c>
      <c r="AW102" s="289">
        <f t="shared" si="191"/>
        <v>96.013999999999996</v>
      </c>
      <c r="AX102" s="72">
        <f t="shared" si="191"/>
        <v>101.009</v>
      </c>
      <c r="AY102" s="72">
        <f t="shared" si="191"/>
        <v>106.387</v>
      </c>
      <c r="AZ102" s="72">
        <f t="shared" si="191"/>
        <v>111.321</v>
      </c>
      <c r="BA102" s="72">
        <f t="shared" si="191"/>
        <v>115.399</v>
      </c>
      <c r="BB102" s="72">
        <f t="shared" si="191"/>
        <v>118.785</v>
      </c>
      <c r="BC102" s="72">
        <f t="shared" si="191"/>
        <v>120.12375</v>
      </c>
      <c r="BD102" s="72">
        <f t="shared" si="191"/>
        <v>119.45</v>
      </c>
      <c r="BE102" s="72">
        <f t="shared" si="191"/>
        <v>120.25000000000001</v>
      </c>
    </row>
    <row r="103" spans="1:57" s="151" customFormat="1" ht="12" customHeight="1">
      <c r="A103" s="475" t="s">
        <v>148</v>
      </c>
      <c r="B103" s="299">
        <f t="shared" si="190"/>
        <v>0</v>
      </c>
      <c r="C103" s="300">
        <f t="shared" si="190"/>
        <v>77.445999999999998</v>
      </c>
      <c r="D103" s="300">
        <f t="shared" si="190"/>
        <v>78.064999999999998</v>
      </c>
      <c r="E103" s="301">
        <f t="shared" si="190"/>
        <v>78.213000000000008</v>
      </c>
      <c r="F103" s="299">
        <f t="shared" si="190"/>
        <v>78.881</v>
      </c>
      <c r="G103" s="300">
        <f t="shared" si="190"/>
        <v>79.135999999999996</v>
      </c>
      <c r="H103" s="300">
        <f t="shared" si="190"/>
        <v>88.71</v>
      </c>
      <c r="I103" s="301">
        <f t="shared" si="190"/>
        <v>92.186999999999998</v>
      </c>
      <c r="J103" s="300">
        <f t="shared" si="190"/>
        <v>93.738</v>
      </c>
      <c r="K103" s="300">
        <f t="shared" si="190"/>
        <v>95.82</v>
      </c>
      <c r="L103" s="300">
        <f t="shared" si="190"/>
        <v>96.709000000000003</v>
      </c>
      <c r="M103" s="300">
        <f t="shared" si="190"/>
        <v>97.738</v>
      </c>
      <c r="N103" s="299">
        <f t="shared" si="190"/>
        <v>98.855000000000004</v>
      </c>
      <c r="O103" s="300">
        <f t="shared" si="190"/>
        <v>108.587</v>
      </c>
      <c r="P103" s="303">
        <f t="shared" si="190"/>
        <v>111.224</v>
      </c>
      <c r="Q103" s="476">
        <f t="shared" si="190"/>
        <v>112.691</v>
      </c>
      <c r="R103" s="303">
        <f t="shared" si="190"/>
        <v>113.934</v>
      </c>
      <c r="S103" s="303">
        <f t="shared" si="190"/>
        <v>113.869</v>
      </c>
      <c r="T103" s="303">
        <f t="shared" si="190"/>
        <v>114.983</v>
      </c>
      <c r="U103" s="303">
        <f t="shared" si="190"/>
        <v>116.46599999999999</v>
      </c>
      <c r="V103" s="302">
        <f t="shared" si="190"/>
        <v>117.155</v>
      </c>
      <c r="W103" s="303">
        <f t="shared" si="190"/>
        <v>118.057</v>
      </c>
      <c r="X103" s="303">
        <f t="shared" si="190"/>
        <v>117.334</v>
      </c>
      <c r="Y103" s="476">
        <f t="shared" si="190"/>
        <v>117.54600000000001</v>
      </c>
      <c r="Z103" s="302">
        <f t="shared" si="190"/>
        <v>119.264</v>
      </c>
      <c r="AA103" s="303">
        <f t="shared" si="190"/>
        <v>120.057</v>
      </c>
      <c r="AB103" s="303">
        <f t="shared" si="190"/>
        <v>122.5</v>
      </c>
      <c r="AC103" s="476">
        <f t="shared" si="190"/>
        <v>122.023</v>
      </c>
      <c r="AD103" s="302">
        <f t="shared" si="190"/>
        <v>123.26600000000001</v>
      </c>
      <c r="AE103" s="303">
        <f t="shared" si="190"/>
        <v>123.056</v>
      </c>
      <c r="AF103" s="303">
        <f t="shared" si="190"/>
        <v>123.288</v>
      </c>
      <c r="AG103" s="476">
        <f t="shared" si="190"/>
        <v>123.85299999999999</v>
      </c>
      <c r="AH103" s="302">
        <f t="shared" si="190"/>
        <v>124.152</v>
      </c>
      <c r="AI103" s="303">
        <f t="shared" si="190"/>
        <v>122.875</v>
      </c>
      <c r="AJ103" s="303">
        <f t="shared" si="190"/>
        <v>121.953</v>
      </c>
      <c r="AK103" s="476">
        <f t="shared" si="190"/>
        <v>118.95</v>
      </c>
      <c r="AL103" s="302">
        <f t="shared" si="190"/>
        <v>117.95</v>
      </c>
      <c r="AM103" s="303">
        <f t="shared" si="190"/>
        <v>117.95</v>
      </c>
      <c r="AN103" s="303">
        <f t="shared" si="190"/>
        <v>117.95</v>
      </c>
      <c r="AO103" s="476">
        <f t="shared" si="190"/>
        <v>117.95</v>
      </c>
      <c r="AP103" s="302">
        <f t="shared" si="190"/>
        <v>118.28</v>
      </c>
      <c r="AQ103" s="303">
        <f t="shared" si="190"/>
        <v>118.61</v>
      </c>
      <c r="AR103" s="303">
        <f t="shared" si="190"/>
        <v>118.94</v>
      </c>
      <c r="AS103" s="476">
        <f t="shared" si="190"/>
        <v>119.27</v>
      </c>
      <c r="AT103" s="477"/>
      <c r="AU103" s="308"/>
      <c r="AV103" s="308">
        <f t="shared" si="191"/>
        <v>84.774000000000001</v>
      </c>
      <c r="AW103" s="308">
        <f t="shared" si="191"/>
        <v>96.013999999999996</v>
      </c>
      <c r="AX103" s="72">
        <f t="shared" si="191"/>
        <v>109.962</v>
      </c>
      <c r="AY103" s="72">
        <f t="shared" si="191"/>
        <v>114.825</v>
      </c>
      <c r="AZ103" s="72">
        <f t="shared" si="191"/>
        <v>117.53400000000001</v>
      </c>
      <c r="BA103" s="72">
        <f t="shared" si="191"/>
        <v>120.96100000000001</v>
      </c>
      <c r="BB103" s="72">
        <f t="shared" si="191"/>
        <v>123.36575000000001</v>
      </c>
      <c r="BC103" s="72">
        <f t="shared" si="191"/>
        <v>121.9825</v>
      </c>
      <c r="BD103" s="72">
        <f t="shared" si="191"/>
        <v>117.95</v>
      </c>
      <c r="BE103" s="72">
        <f t="shared" si="191"/>
        <v>118.77499999999999</v>
      </c>
    </row>
    <row r="104" spans="1:57" s="483" customFormat="1" ht="12" customHeight="1">
      <c r="A104" s="478"/>
      <c r="B104" s="479"/>
      <c r="C104" s="479"/>
      <c r="D104" s="479"/>
      <c r="E104" s="479"/>
      <c r="F104" s="480"/>
      <c r="G104" s="480"/>
      <c r="H104" s="480"/>
      <c r="I104" s="480"/>
      <c r="J104" s="480"/>
      <c r="K104" s="480"/>
      <c r="L104" s="480"/>
      <c r="M104" s="480"/>
      <c r="N104" s="479"/>
      <c r="O104" s="479"/>
      <c r="P104" s="479"/>
      <c r="Q104" s="479"/>
      <c r="R104" s="479"/>
      <c r="S104" s="479"/>
      <c r="T104" s="479"/>
      <c r="U104" s="479"/>
      <c r="V104" s="479"/>
      <c r="W104" s="479"/>
      <c r="X104" s="479"/>
      <c r="Y104" s="479"/>
      <c r="Z104" s="479"/>
      <c r="AA104" s="479"/>
      <c r="AB104" s="479"/>
      <c r="AC104" s="479"/>
      <c r="AD104" s="479"/>
      <c r="AE104" s="479"/>
      <c r="AF104" s="479"/>
      <c r="AG104" s="479"/>
      <c r="AH104" s="479"/>
      <c r="AI104" s="479"/>
      <c r="AJ104" s="479"/>
      <c r="AK104" s="479"/>
      <c r="AL104" s="479"/>
      <c r="AM104" s="479"/>
      <c r="AN104" s="479"/>
      <c r="AO104" s="479"/>
      <c r="AP104" s="479"/>
      <c r="AQ104" s="479"/>
      <c r="AR104" s="479"/>
      <c r="AS104" s="479"/>
      <c r="AT104" s="481"/>
      <c r="AU104" s="482"/>
      <c r="AV104" s="482"/>
      <c r="AW104" s="482"/>
      <c r="AX104" s="482"/>
      <c r="AY104" s="482"/>
      <c r="AZ104" s="482"/>
      <c r="BA104" s="482"/>
      <c r="BB104" s="482"/>
      <c r="BC104" s="482"/>
      <c r="BD104" s="482"/>
      <c r="BE104" s="482"/>
    </row>
    <row r="105" spans="1:57" ht="12" customHeight="1">
      <c r="A105" s="484" t="s">
        <v>149</v>
      </c>
      <c r="B105" s="1722">
        <f>B3</f>
        <v>2017</v>
      </c>
      <c r="C105" s="1720"/>
      <c r="D105" s="1720"/>
      <c r="E105" s="1723"/>
      <c r="F105" s="1722">
        <f>F3</f>
        <v>2018</v>
      </c>
      <c r="G105" s="1720"/>
      <c r="H105" s="1720"/>
      <c r="I105" s="1723"/>
      <c r="J105" s="1722">
        <f>J3</f>
        <v>2019</v>
      </c>
      <c r="K105" s="1720"/>
      <c r="L105" s="1720"/>
      <c r="M105" s="1721"/>
      <c r="N105" s="1722">
        <f>N3</f>
        <v>2020</v>
      </c>
      <c r="O105" s="1720"/>
      <c r="P105" s="1720"/>
      <c r="Q105" s="1721"/>
      <c r="R105" s="1722">
        <f>R3</f>
        <v>2021</v>
      </c>
      <c r="S105" s="1720"/>
      <c r="T105" s="1720"/>
      <c r="U105" s="1723"/>
      <c r="V105" s="1722">
        <f>V3</f>
        <v>2022</v>
      </c>
      <c r="W105" s="1720"/>
      <c r="X105" s="1720"/>
      <c r="Y105" s="1723"/>
      <c r="Z105" s="1722">
        <f>Z3</f>
        <v>2023</v>
      </c>
      <c r="AA105" s="1720"/>
      <c r="AB105" s="1720"/>
      <c r="AC105" s="1723"/>
      <c r="AD105" s="1722">
        <f>AD3</f>
        <v>2024</v>
      </c>
      <c r="AE105" s="1720"/>
      <c r="AF105" s="1720"/>
      <c r="AG105" s="1723"/>
      <c r="AH105" s="1722">
        <f>AH3</f>
        <v>2025</v>
      </c>
      <c r="AI105" s="1720"/>
      <c r="AJ105" s="1720"/>
      <c r="AK105" s="1723"/>
      <c r="AL105" s="1722">
        <f>AL3</f>
        <v>2026</v>
      </c>
      <c r="AM105" s="1720"/>
      <c r="AN105" s="1720"/>
      <c r="AO105" s="1723"/>
      <c r="AP105" s="1722">
        <f>AP3</f>
        <v>2027</v>
      </c>
      <c r="AQ105" s="1720"/>
      <c r="AR105" s="1720"/>
      <c r="AS105" s="1723"/>
      <c r="AT105" s="393"/>
      <c r="AU105" s="42"/>
      <c r="AV105" s="42"/>
      <c r="AW105" s="42"/>
      <c r="AX105" s="42"/>
      <c r="AY105" s="42"/>
      <c r="AZ105" s="42"/>
      <c r="BA105" s="315"/>
      <c r="BB105" s="42"/>
      <c r="BC105" s="42"/>
      <c r="BD105" s="42"/>
      <c r="BE105" s="404"/>
    </row>
    <row r="106" spans="1:57" ht="12" customHeight="1">
      <c r="A106" s="485" t="s">
        <v>81</v>
      </c>
      <c r="B106" s="486"/>
      <c r="C106" s="486"/>
      <c r="D106" s="486"/>
      <c r="E106" s="486"/>
      <c r="F106" s="487"/>
      <c r="G106" s="486"/>
      <c r="H106" s="486"/>
      <c r="I106" s="488"/>
      <c r="J106" s="486"/>
      <c r="K106" s="486"/>
      <c r="L106" s="486"/>
      <c r="M106" s="486"/>
      <c r="N106" s="487"/>
      <c r="O106" s="486"/>
      <c r="P106" s="489"/>
      <c r="Q106" s="486"/>
      <c r="R106" s="487"/>
      <c r="S106" s="486"/>
      <c r="T106" s="486"/>
      <c r="U106" s="488"/>
      <c r="V106" s="487"/>
      <c r="W106" s="486"/>
      <c r="X106" s="486"/>
      <c r="Y106" s="488"/>
      <c r="Z106" s="487"/>
      <c r="AA106" s="486"/>
      <c r="AB106" s="486"/>
      <c r="AC106" s="488"/>
      <c r="AD106" s="487"/>
      <c r="AE106" s="486"/>
      <c r="AF106" s="486"/>
      <c r="AG106" s="488"/>
      <c r="AH106" s="487"/>
      <c r="AI106" s="486"/>
      <c r="AJ106" s="486"/>
      <c r="AK106" s="488"/>
      <c r="AL106" s="487"/>
      <c r="AM106" s="486"/>
      <c r="AN106" s="486"/>
      <c r="AO106" s="488"/>
      <c r="AP106" s="487"/>
      <c r="AQ106" s="486"/>
      <c r="AR106" s="486"/>
      <c r="AS106" s="488"/>
      <c r="AU106" s="61">
        <f t="shared" ref="AU106:AZ106" si="192">AU81</f>
        <v>2017</v>
      </c>
      <c r="AV106" s="61">
        <f t="shared" si="192"/>
        <v>2018</v>
      </c>
      <c r="AW106" s="61">
        <f t="shared" si="192"/>
        <v>2019</v>
      </c>
      <c r="AX106" s="61">
        <f t="shared" si="192"/>
        <v>2020</v>
      </c>
      <c r="AY106" s="61" t="str">
        <f t="shared" si="192"/>
        <v>CY21</v>
      </c>
      <c r="AZ106" s="61" t="str">
        <f t="shared" si="192"/>
        <v>CY22</v>
      </c>
      <c r="BA106" s="61" t="str">
        <f>BA81</f>
        <v>CY23</v>
      </c>
      <c r="BB106" s="61" t="str">
        <f t="shared" ref="BB106:BE106" si="193">BB81</f>
        <v>CY24</v>
      </c>
      <c r="BC106" s="61" t="str">
        <f t="shared" si="193"/>
        <v>CY25</v>
      </c>
      <c r="BD106" s="61" t="str">
        <f t="shared" si="193"/>
        <v>CY26E</v>
      </c>
      <c r="BE106" s="61" t="str">
        <f t="shared" si="193"/>
        <v>CY27E</v>
      </c>
    </row>
    <row r="107" spans="1:57" s="33" customFormat="1" ht="12" customHeight="1">
      <c r="A107" s="490" t="s">
        <v>82</v>
      </c>
      <c r="B107" s="289">
        <f>'Revenue Build'!B13</f>
        <v>27.702000000000002</v>
      </c>
      <c r="C107" s="70">
        <f>'Revenue Build'!C13</f>
        <v>30.843999999999987</v>
      </c>
      <c r="D107" s="70">
        <f>'Revenue Build'!D13</f>
        <v>34.932000000000002</v>
      </c>
      <c r="E107" s="449">
        <f>'Revenue Build'!E13</f>
        <v>39.395000000000003</v>
      </c>
      <c r="F107" s="289">
        <f>'Revenue Build'!F13</f>
        <v>44.332000000000001</v>
      </c>
      <c r="G107" s="70">
        <f>'Revenue Build'!G13</f>
        <v>48.725000000000001</v>
      </c>
      <c r="H107" s="70">
        <f>'Revenue Build'!H13</f>
        <v>53.511000000000003</v>
      </c>
      <c r="I107" s="449">
        <f>'Revenue Build'!I13</f>
        <v>59.259</v>
      </c>
      <c r="J107" s="289">
        <f>'Revenue Build'!J13</f>
        <v>64.736999999999995</v>
      </c>
      <c r="K107" s="70">
        <f>'Revenue Build'!K13</f>
        <v>69.37</v>
      </c>
      <c r="L107" s="70">
        <f>'Revenue Build'!L13</f>
        <v>75.503</v>
      </c>
      <c r="M107" s="449">
        <f>'Revenue Build'!M13</f>
        <v>80.938999999999993</v>
      </c>
      <c r="N107" s="289">
        <f>'Revenue Build'!N13</f>
        <v>86.39</v>
      </c>
      <c r="O107" s="70">
        <f>'Revenue Build'!O13</f>
        <v>92.01</v>
      </c>
      <c r="P107" s="70">
        <f>'Revenue Build'!P13</f>
        <v>96.792000000000002</v>
      </c>
      <c r="Q107" s="70">
        <f>'Revenue Build'!Q13</f>
        <v>102.16200000000001</v>
      </c>
      <c r="R107" s="289">
        <f>'Revenue Build'!R13</f>
        <v>107.402</v>
      </c>
      <c r="S107" s="70">
        <f>'Revenue Build'!S13</f>
        <v>114.167</v>
      </c>
      <c r="T107" s="70">
        <f>'Revenue Build'!T13</f>
        <v>122.15600000000001</v>
      </c>
      <c r="U107" s="449">
        <f>'Revenue Build'!U13</f>
        <v>132.298</v>
      </c>
      <c r="V107" s="289">
        <f>'Revenue Build'!V13</f>
        <v>142.68700000000001</v>
      </c>
      <c r="W107" s="70">
        <f>'Revenue Build'!W13</f>
        <v>146.80600000000001</v>
      </c>
      <c r="X107" s="70">
        <f>'Revenue Build'!X13</f>
        <v>156.76400000000001</v>
      </c>
      <c r="Y107" s="449">
        <f>'Revenue Build'!Y13</f>
        <v>166.25299999999999</v>
      </c>
      <c r="Z107" s="289">
        <f>'Revenue Build'!Z13</f>
        <v>171.09800000000001</v>
      </c>
      <c r="AA107" s="70">
        <f>'Revenue Build'!AA13</f>
        <v>176.767</v>
      </c>
      <c r="AB107" s="70">
        <f>'Revenue Build'!AB13</f>
        <v>183.268</v>
      </c>
      <c r="AC107" s="449">
        <f>'Revenue Build'!AC13</f>
        <v>193.88</v>
      </c>
      <c r="AD107" s="289">
        <f>'Revenue Build'!AD13</f>
        <v>197.63499999999999</v>
      </c>
      <c r="AE107" s="70">
        <f>'Revenue Build'!AE13</f>
        <v>202.53800000000001</v>
      </c>
      <c r="AF107" s="70">
        <f>'Revenue Build'!AF13</f>
        <v>208.554</v>
      </c>
      <c r="AG107" s="449">
        <f>'Revenue Build'!AG13</f>
        <v>215.93199999999999</v>
      </c>
      <c r="AH107" s="289">
        <f>'Revenue Build'!AH13</f>
        <v>220.44300000000001</v>
      </c>
      <c r="AI107" s="70">
        <f>'Revenue Build'!AI13</f>
        <v>228.03100000000001</v>
      </c>
      <c r="AJ107" s="70">
        <f>'Revenue Build'!AJ13</f>
        <v>232.21100000000001</v>
      </c>
      <c r="AK107" s="449">
        <f>'Revenue Build'!AK13</f>
        <v>238.88800000000001</v>
      </c>
      <c r="AL107" s="289">
        <f>'Revenue Build'!AL13</f>
        <v>241.385085</v>
      </c>
      <c r="AM107" s="70">
        <f>'Revenue Build'!AM13</f>
        <v>247.413635</v>
      </c>
      <c r="AN107" s="70">
        <f>'Revenue Build'!AN13</f>
        <v>249.626825</v>
      </c>
      <c r="AO107" s="449">
        <f>'Revenue Build'!AO13</f>
        <v>256.80459999999999</v>
      </c>
      <c r="AP107" s="289">
        <f>'Revenue Build'!AP13</f>
        <v>259.4648278665</v>
      </c>
      <c r="AQ107" s="70">
        <f>'Revenue Build'!AQ13</f>
        <v>265.92017489799997</v>
      </c>
      <c r="AR107" s="70">
        <f>'Revenue Build'!AR13</f>
        <v>268.27394882750002</v>
      </c>
      <c r="AS107" s="449">
        <f>'Revenue Build'!AS13</f>
        <v>275.96222316000001</v>
      </c>
      <c r="AU107" s="289">
        <f>+SUM(B107:E107)</f>
        <v>132.87299999999999</v>
      </c>
      <c r="AV107" s="289">
        <f>+SUM(F107:I107)</f>
        <v>205.827</v>
      </c>
      <c r="AW107" s="72">
        <f>SUM(J107:M107)</f>
        <v>290.54899999999998</v>
      </c>
      <c r="AX107" s="72">
        <f>+SUM(N107:Q107)</f>
        <v>377.35400000000004</v>
      </c>
      <c r="AY107" s="72">
        <f>+SUM(R107:U107)</f>
        <v>476.02300000000002</v>
      </c>
      <c r="AZ107" s="72">
        <f>+SUM(V107:Y107)</f>
        <v>612.51</v>
      </c>
      <c r="BA107" s="72">
        <f>+SUM(Z107:AC107)</f>
        <v>725.01300000000003</v>
      </c>
      <c r="BB107" s="72">
        <f>SUM(AD107:AG107)</f>
        <v>824.65899999999999</v>
      </c>
      <c r="BC107" s="72">
        <f t="shared" ref="BC107:BC110" si="194">SUM(AH107:AK107)</f>
        <v>919.57300000000009</v>
      </c>
      <c r="BD107" s="72">
        <f>SUM(AL107:AO107)</f>
        <v>995.23014499999999</v>
      </c>
      <c r="BE107" s="72">
        <f>SUM(AP107:AS107)</f>
        <v>1069.6211747520001</v>
      </c>
    </row>
    <row r="108" spans="1:57" s="33" customFormat="1" ht="12" customHeight="1">
      <c r="A108" s="490" t="s">
        <v>83</v>
      </c>
      <c r="B108" s="289">
        <f>'Revenue Build'!B18</f>
        <v>11.989000000000001</v>
      </c>
      <c r="C108" s="70">
        <f>'Revenue Build'!C18</f>
        <v>12.282999999999999</v>
      </c>
      <c r="D108" s="70">
        <f>'Revenue Build'!D18</f>
        <v>12.856999999999999</v>
      </c>
      <c r="E108" s="449">
        <f>'Revenue Build'!E18</f>
        <v>13.208</v>
      </c>
      <c r="F108" s="289">
        <f>'Revenue Build'!F18</f>
        <v>13.477</v>
      </c>
      <c r="G108" s="70">
        <f>'Revenue Build'!G18</f>
        <v>13.412000000000001</v>
      </c>
      <c r="H108" s="70">
        <f>'Revenue Build'!H18</f>
        <v>13.864000000000001</v>
      </c>
      <c r="I108" s="449">
        <f>'Revenue Build'!I18</f>
        <v>13.869</v>
      </c>
      <c r="J108" s="289">
        <f>'Revenue Build'!J18</f>
        <v>13.526999999999999</v>
      </c>
      <c r="K108" s="70">
        <f>'Revenue Build'!K18</f>
        <v>13.553000000000001</v>
      </c>
      <c r="L108" s="70">
        <f>'Revenue Build'!L18</f>
        <v>13.797000000000001</v>
      </c>
      <c r="M108" s="449">
        <f>'Revenue Build'!M18</f>
        <v>13.295999999999999</v>
      </c>
      <c r="N108" s="289">
        <f>'Revenue Build'!N18</f>
        <v>13.419</v>
      </c>
      <c r="O108" s="70">
        <f>'Revenue Build'!O18</f>
        <v>12.179</v>
      </c>
      <c r="P108" s="70">
        <f>'Revenue Build'!P18</f>
        <v>12.448</v>
      </c>
      <c r="Q108" s="70">
        <f>'Revenue Build'!Q18</f>
        <v>12.548</v>
      </c>
      <c r="R108" s="289">
        <f>'Revenue Build'!R18</f>
        <v>12.404999999999999</v>
      </c>
      <c r="S108" s="70">
        <f>'Revenue Build'!S18</f>
        <v>12.567</v>
      </c>
      <c r="T108" s="70">
        <f>'Revenue Build'!T18</f>
        <v>12.749000000000001</v>
      </c>
      <c r="U108" s="449">
        <f>'Revenue Build'!U18</f>
        <v>12.612</v>
      </c>
      <c r="V108" s="289">
        <f>'Revenue Build'!V18</f>
        <v>12.872999999999999</v>
      </c>
      <c r="W108" s="70">
        <f>'Revenue Build'!W18</f>
        <v>12.683</v>
      </c>
      <c r="X108" s="70">
        <f>'Revenue Build'!X18</f>
        <v>12.657999999999999</v>
      </c>
      <c r="Y108" s="449">
        <f>'Revenue Build'!Y18</f>
        <v>12.484999999999999</v>
      </c>
      <c r="Z108" s="289">
        <f>'Revenue Build'!Z18</f>
        <v>12.180999999999999</v>
      </c>
      <c r="AA108" s="70">
        <f>'Revenue Build'!AA18</f>
        <v>12.154</v>
      </c>
      <c r="AB108" s="70">
        <f>'Revenue Build'!AB18</f>
        <v>12.2</v>
      </c>
      <c r="AC108" s="449">
        <f>'Revenue Build'!AC18</f>
        <v>12.194000000000001</v>
      </c>
      <c r="AD108" s="289">
        <f>'Revenue Build'!AD18</f>
        <v>12.156000000000001</v>
      </c>
      <c r="AE108" s="70">
        <f>'Revenue Build'!AE18</f>
        <v>12.016</v>
      </c>
      <c r="AF108" s="70">
        <f>'Revenue Build'!AF18</f>
        <v>11.769</v>
      </c>
      <c r="AG108" s="449">
        <f>'Revenue Build'!AG18</f>
        <v>11.833</v>
      </c>
      <c r="AH108" s="289">
        <f>'Revenue Build'!AH18</f>
        <v>11.552</v>
      </c>
      <c r="AI108" s="70">
        <f>'Revenue Build'!AI18</f>
        <v>11.411</v>
      </c>
      <c r="AJ108" s="70">
        <f>'Revenue Build'!AJ18</f>
        <v>11.087999999999999</v>
      </c>
      <c r="AK108" s="449">
        <f>'Revenue Build'!AK18</f>
        <v>10.61</v>
      </c>
      <c r="AL108" s="289">
        <f>'Revenue Build'!AL18</f>
        <v>10.396800000000001</v>
      </c>
      <c r="AM108" s="70">
        <f>'Revenue Build'!AM18</f>
        <v>10.2699</v>
      </c>
      <c r="AN108" s="70">
        <f>'Revenue Build'!AN18</f>
        <v>9.9791999999999987</v>
      </c>
      <c r="AO108" s="449">
        <f>'Revenue Build'!AO18</f>
        <v>9.5489999999999995</v>
      </c>
      <c r="AP108" s="289">
        <f>'Revenue Build'!AP18</f>
        <v>9.3571200000000001</v>
      </c>
      <c r="AQ108" s="70">
        <f>'Revenue Build'!AQ18</f>
        <v>9.2429100000000002</v>
      </c>
      <c r="AR108" s="70">
        <f>'Revenue Build'!AR18</f>
        <v>8.9812799999999999</v>
      </c>
      <c r="AS108" s="449">
        <f>'Revenue Build'!AS18</f>
        <v>8.5940999999999992</v>
      </c>
      <c r="AU108" s="289">
        <f t="shared" ref="AU108:AU110" si="195">+SUM(B108:E108)</f>
        <v>50.336999999999996</v>
      </c>
      <c r="AV108" s="289">
        <f>+SUM(F108:I108)</f>
        <v>54.622</v>
      </c>
      <c r="AW108" s="72">
        <f>SUM(J108:M108)</f>
        <v>54.172999999999995</v>
      </c>
      <c r="AX108" s="72">
        <f>+SUM(N108:Q108)</f>
        <v>50.594000000000001</v>
      </c>
      <c r="AY108" s="72">
        <f>+SUM(R108:U108)</f>
        <v>50.333000000000006</v>
      </c>
      <c r="AZ108" s="72">
        <f>+SUM(V108:Y108)</f>
        <v>50.698999999999998</v>
      </c>
      <c r="BA108" s="72">
        <f>+SUM(Z108:AC108)</f>
        <v>48.728999999999999</v>
      </c>
      <c r="BB108" s="72">
        <f t="shared" ref="BB108:BB110" si="196">SUM(AD108:AG108)</f>
        <v>47.774000000000001</v>
      </c>
      <c r="BC108" s="72">
        <f t="shared" si="194"/>
        <v>44.661000000000001</v>
      </c>
      <c r="BD108" s="72">
        <f t="shared" ref="BD108:BD110" si="197">SUM(AL108:AO108)</f>
        <v>40.194899999999997</v>
      </c>
      <c r="BE108" s="72">
        <f>SUM(AP108:AS108)</f>
        <v>36.175409999999999</v>
      </c>
    </row>
    <row r="109" spans="1:57" s="33" customFormat="1" ht="12" customHeight="1">
      <c r="A109" s="490" t="s">
        <v>84</v>
      </c>
      <c r="B109" s="289">
        <f>'Revenue Build'!B23</f>
        <v>0.79</v>
      </c>
      <c r="C109" s="70">
        <f>'Revenue Build'!C23</f>
        <v>1.0220000000000005</v>
      </c>
      <c r="D109" s="70">
        <f>'Revenue Build'!D23</f>
        <v>1.1910000000000001</v>
      </c>
      <c r="E109" s="449">
        <f>'Revenue Build'!E23</f>
        <v>1.514</v>
      </c>
      <c r="F109" s="289">
        <f>'Revenue Build'!F23</f>
        <v>1.298</v>
      </c>
      <c r="G109" s="70">
        <f>'Revenue Build'!G23</f>
        <v>1.4550000000000001</v>
      </c>
      <c r="H109" s="70">
        <f>'Revenue Build'!H23</f>
        <v>2.0649999999999999</v>
      </c>
      <c r="I109" s="449">
        <f>'Revenue Build'!I23</f>
        <v>2.093</v>
      </c>
      <c r="J109" s="289">
        <f>'Revenue Build'!J23</f>
        <v>2.0369999999999999</v>
      </c>
      <c r="K109" s="70">
        <f>'Revenue Build'!K23</f>
        <v>2.4609999999999999</v>
      </c>
      <c r="L109" s="70">
        <f>'Revenue Build'!L23</f>
        <v>2.552</v>
      </c>
      <c r="M109" s="449">
        <f>'Revenue Build'!M23</f>
        <v>2.8140000000000001</v>
      </c>
      <c r="N109" s="289">
        <f>'Revenue Build'!N23</f>
        <v>2.839</v>
      </c>
      <c r="O109" s="70">
        <f>'Revenue Build'!O23</f>
        <v>3.02</v>
      </c>
      <c r="P109" s="70">
        <f>'Revenue Build'!P23</f>
        <v>3.0419999999999998</v>
      </c>
      <c r="Q109" s="70">
        <f>'Revenue Build'!Q23</f>
        <v>3.3719999999999999</v>
      </c>
      <c r="R109" s="289">
        <f>'Revenue Build'!R23</f>
        <v>3.3820000000000001</v>
      </c>
      <c r="S109" s="70">
        <f>'Revenue Build'!S23</f>
        <v>3.5249999999999999</v>
      </c>
      <c r="T109" s="70">
        <f>'Revenue Build'!T23</f>
        <v>3.7589999999999999</v>
      </c>
      <c r="U109" s="449">
        <f>'Revenue Build'!U23</f>
        <v>4.1079999999999997</v>
      </c>
      <c r="V109" s="289">
        <f>'Revenue Build'!V23</f>
        <v>3.8079999999999998</v>
      </c>
      <c r="W109" s="70">
        <f>'Revenue Build'!W23</f>
        <v>4.8520000000000003</v>
      </c>
      <c r="X109" s="70">
        <f>'Revenue Build'!X23</f>
        <v>5.4290000000000003</v>
      </c>
      <c r="Y109" s="449">
        <f>'Revenue Build'!Y23</f>
        <v>5.8929999999999998</v>
      </c>
      <c r="Z109" s="289">
        <f>'Revenue Build'!Z23</f>
        <v>5.56</v>
      </c>
      <c r="AA109" s="70">
        <f>'Revenue Build'!AA23</f>
        <v>6.1150000000000002</v>
      </c>
      <c r="AB109" s="70">
        <f>'Revenue Build'!AB23</f>
        <v>6.0609999999999999</v>
      </c>
      <c r="AC109" s="449">
        <f>'Revenue Build'!AC23</f>
        <v>7.2320000000000002</v>
      </c>
      <c r="AD109" s="289">
        <f>'Revenue Build'!AD23</f>
        <v>6.17</v>
      </c>
      <c r="AE109" s="70">
        <f>'Revenue Build'!AE23</f>
        <v>6.6870000000000003</v>
      </c>
      <c r="AF109" s="70">
        <f>'Revenue Build'!AF23</f>
        <v>6.7649999999999997</v>
      </c>
      <c r="AG109" s="449">
        <f>'Revenue Build'!AG23</f>
        <v>7.9660000000000002</v>
      </c>
      <c r="AH109" s="289">
        <f>'Revenue Build'!AH23</f>
        <v>7.1420000000000003</v>
      </c>
      <c r="AI109" s="70">
        <f>'Revenue Build'!AI23</f>
        <v>7.8529999999999998</v>
      </c>
      <c r="AJ109" s="70">
        <f>'Revenue Build'!AJ23</f>
        <v>9.141</v>
      </c>
      <c r="AK109" s="449">
        <f>'Revenue Build'!AK23</f>
        <v>11.035</v>
      </c>
      <c r="AL109" s="289">
        <f>'Revenue Build'!AL23</f>
        <v>6.7849000000000004</v>
      </c>
      <c r="AM109" s="70">
        <f>'Revenue Build'!AM23</f>
        <v>7.8529999999999998</v>
      </c>
      <c r="AN109" s="70">
        <f>'Revenue Build'!AN23</f>
        <v>9.141</v>
      </c>
      <c r="AO109" s="449">
        <f>'Revenue Build'!AO23</f>
        <v>11.035</v>
      </c>
      <c r="AP109" s="289">
        <f>'Revenue Build'!AP23</f>
        <v>6.7849000000000004</v>
      </c>
      <c r="AQ109" s="70">
        <f>'Revenue Build'!AQ23</f>
        <v>7.8529999999999998</v>
      </c>
      <c r="AR109" s="70">
        <f>'Revenue Build'!AR23</f>
        <v>9.141</v>
      </c>
      <c r="AS109" s="449">
        <f>'Revenue Build'!AS23</f>
        <v>11.035</v>
      </c>
      <c r="AU109" s="289">
        <f t="shared" si="195"/>
        <v>4.5170000000000003</v>
      </c>
      <c r="AV109" s="289">
        <f t="shared" ref="AV109" si="198">+SUM(F109:I109)</f>
        <v>6.9109999999999996</v>
      </c>
      <c r="AW109" s="72">
        <f t="shared" ref="AW109" si="199">SUM(J109:M109)</f>
        <v>9.863999999999999</v>
      </c>
      <c r="AX109" s="72">
        <f t="shared" ref="AX109" si="200">+SUM(N109:Q109)</f>
        <v>12.273</v>
      </c>
      <c r="AY109" s="72">
        <f t="shared" ref="AY109" si="201">+SUM(R109:U109)</f>
        <v>14.774000000000001</v>
      </c>
      <c r="AZ109" s="72">
        <f t="shared" ref="AZ109" si="202">+SUM(V109:Y109)</f>
        <v>19.981999999999999</v>
      </c>
      <c r="BA109" s="72">
        <f t="shared" ref="BA109" si="203">+SUM(Z109:AC109)</f>
        <v>24.968</v>
      </c>
      <c r="BB109" s="72">
        <f t="shared" si="196"/>
        <v>27.588000000000001</v>
      </c>
      <c r="BC109" s="72">
        <f t="shared" si="194"/>
        <v>35.171000000000006</v>
      </c>
      <c r="BD109" s="72">
        <f t="shared" si="197"/>
        <v>34.813900000000004</v>
      </c>
      <c r="BE109" s="72">
        <f>SUM(AP109:AS109)</f>
        <v>34.813900000000004</v>
      </c>
    </row>
    <row r="110" spans="1:57" s="33" customFormat="1" ht="12" customHeight="1">
      <c r="A110" s="491" t="s">
        <v>118</v>
      </c>
      <c r="B110" s="75">
        <f>+'Revenue Build'!B5</f>
        <v>40.481000000000002</v>
      </c>
      <c r="C110" s="75">
        <f>+'Revenue Build'!C5</f>
        <v>44.149000000000001</v>
      </c>
      <c r="D110" s="75">
        <f>+'Revenue Build'!D5</f>
        <v>48.980000000000004</v>
      </c>
      <c r="E110" s="75">
        <f>+'Revenue Build'!E5</f>
        <v>54.117000000000004</v>
      </c>
      <c r="F110" s="492">
        <f>+'Revenue Build'!F5</f>
        <v>59.106999999999999</v>
      </c>
      <c r="G110" s="75">
        <f>+'Revenue Build'!G5</f>
        <v>63.591999999999999</v>
      </c>
      <c r="H110" s="75">
        <f>+'Revenue Build'!H5</f>
        <v>69.44</v>
      </c>
      <c r="I110" s="493">
        <f>+'Revenue Build'!I5</f>
        <v>75.221000000000004</v>
      </c>
      <c r="J110" s="75">
        <f>+'Revenue Build'!J5</f>
        <v>80.301000000000002</v>
      </c>
      <c r="K110" s="75">
        <f>+'Revenue Build'!K5</f>
        <v>85.384</v>
      </c>
      <c r="L110" s="75">
        <f>+'Revenue Build'!L5</f>
        <v>91.852000000000004</v>
      </c>
      <c r="M110" s="75">
        <f>+'Revenue Build'!M5</f>
        <v>97.048999999999978</v>
      </c>
      <c r="N110" s="492">
        <f>+'Revenue Build'!N5</f>
        <v>102.648</v>
      </c>
      <c r="O110" s="75">
        <f>+'Revenue Build'!O5</f>
        <v>107.209</v>
      </c>
      <c r="P110" s="77">
        <f>+'Revenue Build'!P5</f>
        <v>112.28200000000001</v>
      </c>
      <c r="Q110" s="75">
        <f>+'Revenue Build'!Q5</f>
        <v>118.08200000000001</v>
      </c>
      <c r="R110" s="492">
        <f>+'Revenue Build'!R5</f>
        <v>123.18900000000001</v>
      </c>
      <c r="S110" s="75">
        <f>+'Revenue Build'!S5</f>
        <v>130.25900000000001</v>
      </c>
      <c r="T110" s="75">
        <f>+'Revenue Build'!T5</f>
        <v>138.66399999999999</v>
      </c>
      <c r="U110" s="493">
        <f>+'Revenue Build'!U5</f>
        <v>149.018</v>
      </c>
      <c r="V110" s="492">
        <f>+'Revenue Build'!V5</f>
        <v>159.36799999999999</v>
      </c>
      <c r="W110" s="75">
        <f>+'Revenue Build'!W5</f>
        <v>164.34100000000001</v>
      </c>
      <c r="X110" s="75">
        <f>+'Revenue Build'!X5</f>
        <v>174.851</v>
      </c>
      <c r="Y110" s="493">
        <f>+'Revenue Build'!Y5</f>
        <v>184.631</v>
      </c>
      <c r="Z110" s="492">
        <f>+'Revenue Build'!Z5</f>
        <v>188.83900000000003</v>
      </c>
      <c r="AA110" s="75">
        <f>+'Revenue Build'!AA5</f>
        <v>195.036</v>
      </c>
      <c r="AB110" s="75">
        <f>+'Revenue Build'!AB5</f>
        <v>201.529</v>
      </c>
      <c r="AC110" s="493">
        <f>+'Revenue Build'!AC5</f>
        <v>213.30599999999998</v>
      </c>
      <c r="AD110" s="492">
        <f>+'Revenue Build'!AD5</f>
        <v>215.96099999999998</v>
      </c>
      <c r="AE110" s="75">
        <f>+'Revenue Build'!AE5</f>
        <v>221.24100000000001</v>
      </c>
      <c r="AF110" s="75">
        <f>+'Revenue Build'!AF5</f>
        <v>227.08799999999999</v>
      </c>
      <c r="AG110" s="493">
        <f>+'Revenue Build'!AG5</f>
        <v>235.73099999999999</v>
      </c>
      <c r="AH110" s="492">
        <f>+'Revenue Build'!AH5</f>
        <v>239.137</v>
      </c>
      <c r="AI110" s="75">
        <f>+'Revenue Build'!AI5</f>
        <v>247.29500000000002</v>
      </c>
      <c r="AJ110" s="75">
        <f>+'Revenue Build'!AJ5</f>
        <v>252.44</v>
      </c>
      <c r="AK110" s="493">
        <f>+'Revenue Build'!AK5</f>
        <v>260.53300000000002</v>
      </c>
      <c r="AL110" s="492">
        <f>+'Revenue Build'!AL5</f>
        <v>258.56678500000004</v>
      </c>
      <c r="AM110" s="75">
        <f>+'Revenue Build'!AM5</f>
        <v>265.53653500000001</v>
      </c>
      <c r="AN110" s="75">
        <f>+'Revenue Build'!AN5</f>
        <v>268.74702500000001</v>
      </c>
      <c r="AO110" s="493">
        <f>+'Revenue Build'!AO5</f>
        <v>277.3886</v>
      </c>
      <c r="AP110" s="492">
        <f>+'Revenue Build'!AP5</f>
        <v>275.6068478665</v>
      </c>
      <c r="AQ110" s="75">
        <f>+'Revenue Build'!AQ5</f>
        <v>283.01608489799997</v>
      </c>
      <c r="AR110" s="75">
        <f>+'Revenue Build'!AR5</f>
        <v>286.39622882750007</v>
      </c>
      <c r="AS110" s="493">
        <f>+'Revenue Build'!AS5</f>
        <v>295.59132316000006</v>
      </c>
      <c r="AU110" s="79">
        <f t="shared" si="195"/>
        <v>187.72700000000003</v>
      </c>
      <c r="AV110" s="492">
        <f>+SUM(F110:I110)</f>
        <v>267.36</v>
      </c>
      <c r="AW110" s="79">
        <f>SUM(J110:M110)</f>
        <v>354.58600000000001</v>
      </c>
      <c r="AX110" s="79">
        <f>+SUM(N110:Q110)</f>
        <v>440.221</v>
      </c>
      <c r="AY110" s="79">
        <f>+SUM(R110:U110)</f>
        <v>541.13</v>
      </c>
      <c r="AZ110" s="79">
        <f>+SUM(V110:Y110)</f>
        <v>683.19100000000003</v>
      </c>
      <c r="BA110" s="79">
        <f>+SUM(Z110:AC110)</f>
        <v>798.71</v>
      </c>
      <c r="BB110" s="79">
        <f t="shared" si="196"/>
        <v>900.02099999999996</v>
      </c>
      <c r="BC110" s="79">
        <f t="shared" si="194"/>
        <v>999.40500000000009</v>
      </c>
      <c r="BD110" s="79">
        <f t="shared" si="197"/>
        <v>1070.2389450000001</v>
      </c>
      <c r="BE110" s="79">
        <f>SUM(AP110:AS110)</f>
        <v>1140.610484752</v>
      </c>
    </row>
    <row r="111" spans="1:57" s="33" customFormat="1" ht="12" customHeight="1">
      <c r="A111" s="491"/>
      <c r="B111" s="494"/>
      <c r="C111" s="494"/>
      <c r="D111" s="494"/>
      <c r="E111" s="494"/>
      <c r="F111" s="495"/>
      <c r="G111" s="494"/>
      <c r="H111" s="494"/>
      <c r="I111" s="496"/>
      <c r="J111" s="494"/>
      <c r="K111" s="494"/>
      <c r="L111" s="494"/>
      <c r="M111" s="494"/>
      <c r="N111" s="497"/>
      <c r="O111" s="498"/>
      <c r="P111" s="499"/>
      <c r="Q111" s="498"/>
      <c r="R111" s="495"/>
      <c r="S111" s="494"/>
      <c r="T111" s="498"/>
      <c r="U111" s="493"/>
      <c r="V111" s="497"/>
      <c r="W111" s="498"/>
      <c r="X111" s="498"/>
      <c r="Y111" s="500"/>
      <c r="Z111" s="497"/>
      <c r="AA111" s="498"/>
      <c r="AB111" s="498"/>
      <c r="AC111" s="500"/>
      <c r="AD111" s="497"/>
      <c r="AE111" s="498"/>
      <c r="AF111" s="499"/>
      <c r="AG111" s="501"/>
      <c r="AH111" s="497"/>
      <c r="AI111" s="498"/>
      <c r="AJ111" s="498"/>
      <c r="AK111" s="501"/>
      <c r="AL111" s="497"/>
      <c r="AM111" s="498"/>
      <c r="AN111" s="498"/>
      <c r="AO111" s="500"/>
      <c r="AP111" s="497"/>
      <c r="AQ111" s="498"/>
      <c r="AR111" s="498"/>
      <c r="AS111" s="500"/>
      <c r="AU111" s="502"/>
      <c r="AV111" s="497"/>
      <c r="AW111" s="502"/>
      <c r="AX111" s="502"/>
      <c r="AY111" s="502"/>
      <c r="AZ111" s="502"/>
      <c r="BA111" s="502"/>
      <c r="BB111" s="502"/>
      <c r="BC111" s="502"/>
      <c r="BD111" s="502"/>
      <c r="BE111" s="502"/>
    </row>
    <row r="112" spans="1:57" s="33" customFormat="1" ht="12" customHeight="1">
      <c r="A112" s="503" t="s">
        <v>134</v>
      </c>
      <c r="B112" s="131">
        <v>4.4379999999999997</v>
      </c>
      <c r="C112" s="131">
        <v>5.3479999999999999</v>
      </c>
      <c r="D112" s="131">
        <v>7.4240000000000004</v>
      </c>
      <c r="E112" s="131">
        <v>8.3780000000000001</v>
      </c>
      <c r="F112" s="451">
        <v>8.7279999999999998</v>
      </c>
      <c r="G112" s="131">
        <v>9.8789999999999996</v>
      </c>
      <c r="H112" s="131">
        <v>12.161</v>
      </c>
      <c r="I112" s="450">
        <v>12.398999999999999</v>
      </c>
      <c r="J112" s="131">
        <v>13.226000000000001</v>
      </c>
      <c r="K112" s="131">
        <v>13.917999999999999</v>
      </c>
      <c r="L112" s="131">
        <v>15.244999999999999</v>
      </c>
      <c r="M112" s="131">
        <v>18.428999999999998</v>
      </c>
      <c r="N112" s="451">
        <v>18.701000000000001</v>
      </c>
      <c r="O112" s="131">
        <v>19.141999999999999</v>
      </c>
      <c r="P112" s="131">
        <v>19.393999999999998</v>
      </c>
      <c r="Q112" s="131">
        <v>20.317</v>
      </c>
      <c r="R112" s="451">
        <v>22.073</v>
      </c>
      <c r="S112" s="131">
        <v>26.425000000000001</v>
      </c>
      <c r="T112" s="131">
        <v>27.062000000000001</v>
      </c>
      <c r="U112" s="131">
        <v>30.835999999999999</v>
      </c>
      <c r="V112" s="451">
        <v>34.93</v>
      </c>
      <c r="W112" s="131">
        <v>36.036999999999999</v>
      </c>
      <c r="X112" s="131">
        <v>38.582000000000001</v>
      </c>
      <c r="Y112" s="450">
        <v>45.24</v>
      </c>
      <c r="Z112" s="451">
        <v>45.506</v>
      </c>
      <c r="AA112" s="131">
        <v>43.514000000000003</v>
      </c>
      <c r="AB112" s="131">
        <v>45.753999999999998</v>
      </c>
      <c r="AC112" s="450">
        <v>48.802999999999997</v>
      </c>
      <c r="AD112" s="451">
        <v>48.932000000000002</v>
      </c>
      <c r="AE112" s="131">
        <v>48.798000000000002</v>
      </c>
      <c r="AF112" s="131">
        <v>50.499000000000002</v>
      </c>
      <c r="AG112" s="450">
        <v>51.439</v>
      </c>
      <c r="AH112" s="451">
        <v>52.46</v>
      </c>
      <c r="AI112" s="131">
        <v>54.433999999999997</v>
      </c>
      <c r="AJ112" s="131">
        <v>56.753</v>
      </c>
      <c r="AK112" s="450">
        <v>55.29</v>
      </c>
      <c r="AL112" s="451">
        <f t="shared" ref="AL112:AS112" si="204">AL16+AL142+AL151+AL160</f>
        <v>58.040320214970151</v>
      </c>
      <c r="AM112" s="131">
        <f t="shared" si="204"/>
        <v>58.461365909922179</v>
      </c>
      <c r="AN112" s="131">
        <f t="shared" si="204"/>
        <v>58.362659626621294</v>
      </c>
      <c r="AO112" s="450">
        <f t="shared" si="204"/>
        <v>58.634295502844822</v>
      </c>
      <c r="AP112" s="451">
        <f t="shared" si="204"/>
        <v>61.693951811430239</v>
      </c>
      <c r="AQ112" s="131">
        <f t="shared" si="204"/>
        <v>62.146294485391323</v>
      </c>
      <c r="AR112" s="131">
        <f t="shared" si="204"/>
        <v>62.036470377738453</v>
      </c>
      <c r="AS112" s="450">
        <f t="shared" si="204"/>
        <v>62.332524786789094</v>
      </c>
      <c r="AU112" s="72">
        <f t="shared" ref="AU112:AU113" si="205">+SUM(B112:E112)</f>
        <v>25.588000000000001</v>
      </c>
      <c r="AV112" s="289">
        <f>+SUM(F112:I112)</f>
        <v>43.167000000000002</v>
      </c>
      <c r="AW112" s="72">
        <f>SUM(J112:M112)</f>
        <v>60.817999999999998</v>
      </c>
      <c r="AX112" s="72">
        <f>+SUM(N112:Q112)</f>
        <v>77.554000000000002</v>
      </c>
      <c r="AY112" s="72">
        <f t="shared" ref="AY112:AY113" si="206">+SUM(R112:U112)</f>
        <v>106.396</v>
      </c>
      <c r="AZ112" s="72">
        <f t="shared" ref="AZ112:AZ113" si="207">+SUM(V112:Y112)</f>
        <v>154.78900000000002</v>
      </c>
      <c r="BA112" s="72">
        <f t="shared" ref="BA112:BA113" si="208">+SUM(Z112:AC112)</f>
        <v>183.577</v>
      </c>
      <c r="BB112" s="72">
        <f t="shared" ref="BB112:BB113" si="209">SUM(AD112:AG112)</f>
        <v>199.66800000000001</v>
      </c>
      <c r="BC112" s="72">
        <f t="shared" ref="BC112:BC113" si="210">SUM(AH112:AK112)</f>
        <v>218.93699999999998</v>
      </c>
      <c r="BD112" s="72">
        <f t="shared" ref="BD112:BD113" si="211">SUM(AL112:AO112)</f>
        <v>233.49864125435843</v>
      </c>
      <c r="BE112" s="72">
        <f>SUM(AP112:AS112)</f>
        <v>248.20924146134911</v>
      </c>
    </row>
    <row r="113" spans="1:57" s="45" customFormat="1" ht="12" customHeight="1">
      <c r="A113" s="504" t="s">
        <v>92</v>
      </c>
      <c r="B113" s="75">
        <f t="shared" ref="B113:AS113" si="212">B110-B112</f>
        <v>36.042999999999999</v>
      </c>
      <c r="C113" s="75">
        <f t="shared" si="212"/>
        <v>38.801000000000002</v>
      </c>
      <c r="D113" s="75">
        <f t="shared" si="212"/>
        <v>41.556000000000004</v>
      </c>
      <c r="E113" s="75">
        <f t="shared" si="212"/>
        <v>45.739000000000004</v>
      </c>
      <c r="F113" s="492">
        <f t="shared" si="212"/>
        <v>50.378999999999998</v>
      </c>
      <c r="G113" s="75">
        <f t="shared" si="212"/>
        <v>53.713000000000001</v>
      </c>
      <c r="H113" s="75">
        <f t="shared" si="212"/>
        <v>57.278999999999996</v>
      </c>
      <c r="I113" s="493">
        <f t="shared" si="212"/>
        <v>62.822000000000003</v>
      </c>
      <c r="J113" s="75">
        <f t="shared" si="212"/>
        <v>67.075000000000003</v>
      </c>
      <c r="K113" s="75">
        <f t="shared" si="212"/>
        <v>71.466000000000008</v>
      </c>
      <c r="L113" s="75">
        <f t="shared" si="212"/>
        <v>76.606999999999999</v>
      </c>
      <c r="M113" s="75">
        <f t="shared" si="212"/>
        <v>78.619999999999976</v>
      </c>
      <c r="N113" s="492">
        <f t="shared" si="212"/>
        <v>83.947000000000003</v>
      </c>
      <c r="O113" s="75">
        <f t="shared" si="212"/>
        <v>88.067000000000007</v>
      </c>
      <c r="P113" s="77">
        <f t="shared" si="212"/>
        <v>92.888000000000005</v>
      </c>
      <c r="Q113" s="75">
        <f t="shared" si="212"/>
        <v>97.765000000000015</v>
      </c>
      <c r="R113" s="492">
        <f t="shared" si="212"/>
        <v>101.11600000000001</v>
      </c>
      <c r="S113" s="75">
        <f t="shared" si="212"/>
        <v>103.83400000000002</v>
      </c>
      <c r="T113" s="75">
        <f t="shared" si="212"/>
        <v>111.60199999999999</v>
      </c>
      <c r="U113" s="75">
        <f t="shared" si="212"/>
        <v>118.182</v>
      </c>
      <c r="V113" s="492">
        <f t="shared" si="212"/>
        <v>124.43799999999999</v>
      </c>
      <c r="W113" s="75">
        <f t="shared" si="212"/>
        <v>128.304</v>
      </c>
      <c r="X113" s="75">
        <f t="shared" si="212"/>
        <v>136.26900000000001</v>
      </c>
      <c r="Y113" s="75">
        <f t="shared" si="212"/>
        <v>139.39099999999999</v>
      </c>
      <c r="Z113" s="492">
        <f t="shared" si="212"/>
        <v>143.33300000000003</v>
      </c>
      <c r="AA113" s="75">
        <f t="shared" si="212"/>
        <v>151.52199999999999</v>
      </c>
      <c r="AB113" s="75">
        <f t="shared" si="212"/>
        <v>155.77500000000001</v>
      </c>
      <c r="AC113" s="493">
        <f t="shared" si="212"/>
        <v>164.50299999999999</v>
      </c>
      <c r="AD113" s="492">
        <f t="shared" si="212"/>
        <v>167.029</v>
      </c>
      <c r="AE113" s="75">
        <f t="shared" si="212"/>
        <v>172.44300000000001</v>
      </c>
      <c r="AF113" s="77">
        <f t="shared" si="212"/>
        <v>176.589</v>
      </c>
      <c r="AG113" s="505">
        <f t="shared" si="212"/>
        <v>184.292</v>
      </c>
      <c r="AH113" s="492">
        <f t="shared" si="212"/>
        <v>186.67699999999999</v>
      </c>
      <c r="AI113" s="75">
        <f t="shared" si="212"/>
        <v>192.86100000000002</v>
      </c>
      <c r="AJ113" s="75">
        <f t="shared" si="212"/>
        <v>195.68700000000001</v>
      </c>
      <c r="AK113" s="505">
        <f t="shared" si="212"/>
        <v>205.24300000000002</v>
      </c>
      <c r="AL113" s="492">
        <f t="shared" si="212"/>
        <v>200.52646478502987</v>
      </c>
      <c r="AM113" s="75">
        <f t="shared" si="212"/>
        <v>207.07516909007785</v>
      </c>
      <c r="AN113" s="75">
        <f t="shared" si="212"/>
        <v>210.38436537337873</v>
      </c>
      <c r="AO113" s="493">
        <f t="shared" si="212"/>
        <v>218.75430449715518</v>
      </c>
      <c r="AP113" s="492">
        <f t="shared" si="212"/>
        <v>213.91289605506978</v>
      </c>
      <c r="AQ113" s="75">
        <f t="shared" si="212"/>
        <v>220.86979041260867</v>
      </c>
      <c r="AR113" s="75">
        <f t="shared" si="212"/>
        <v>224.35975844976161</v>
      </c>
      <c r="AS113" s="493">
        <f t="shared" si="212"/>
        <v>233.25879837321096</v>
      </c>
      <c r="AU113" s="79">
        <f t="shared" si="205"/>
        <v>162.13900000000001</v>
      </c>
      <c r="AV113" s="492">
        <f>+SUM(F113:I113)</f>
        <v>224.19299999999998</v>
      </c>
      <c r="AW113" s="79">
        <f>SUM(J113:M113)</f>
        <v>293.76799999999997</v>
      </c>
      <c r="AX113" s="79">
        <f>+SUM(N113:Q113)</f>
        <v>362.66700000000003</v>
      </c>
      <c r="AY113" s="79">
        <f t="shared" si="206"/>
        <v>434.73400000000004</v>
      </c>
      <c r="AZ113" s="79">
        <f t="shared" si="207"/>
        <v>528.40199999999993</v>
      </c>
      <c r="BA113" s="79">
        <f t="shared" si="208"/>
        <v>615.13300000000004</v>
      </c>
      <c r="BB113" s="79">
        <f t="shared" si="209"/>
        <v>700.35299999999995</v>
      </c>
      <c r="BC113" s="79">
        <f t="shared" si="210"/>
        <v>780.46800000000007</v>
      </c>
      <c r="BD113" s="79">
        <f t="shared" si="211"/>
        <v>836.74030374564165</v>
      </c>
      <c r="BE113" s="79">
        <f>SUM(AP113:AS113)</f>
        <v>892.40124329065111</v>
      </c>
    </row>
    <row r="114" spans="1:57" s="33" customFormat="1" ht="12" customHeight="1">
      <c r="A114" s="490"/>
      <c r="B114" s="506"/>
      <c r="C114" s="506"/>
      <c r="D114" s="506"/>
      <c r="E114" s="506"/>
      <c r="F114" s="507"/>
      <c r="G114" s="506"/>
      <c r="H114" s="506"/>
      <c r="I114" s="508"/>
      <c r="J114" s="506"/>
      <c r="K114" s="506"/>
      <c r="L114" s="506"/>
      <c r="M114" s="506"/>
      <c r="N114" s="507"/>
      <c r="O114" s="506"/>
      <c r="P114" s="509"/>
      <c r="Q114" s="70"/>
      <c r="R114" s="289"/>
      <c r="S114" s="70"/>
      <c r="T114" s="70"/>
      <c r="U114" s="70"/>
      <c r="V114" s="289"/>
      <c r="W114" s="70"/>
      <c r="X114" s="70"/>
      <c r="Y114" s="449"/>
      <c r="Z114" s="289"/>
      <c r="AA114" s="70"/>
      <c r="AB114" s="70"/>
      <c r="AC114" s="449"/>
      <c r="AD114" s="289"/>
      <c r="AE114" s="70"/>
      <c r="AF114" s="131"/>
      <c r="AG114" s="450"/>
      <c r="AH114" s="289"/>
      <c r="AI114" s="70"/>
      <c r="AJ114" s="70"/>
      <c r="AK114" s="450"/>
      <c r="AL114" s="289"/>
      <c r="AM114" s="70"/>
      <c r="AN114" s="70"/>
      <c r="AO114" s="449"/>
      <c r="AP114" s="289"/>
      <c r="AQ114" s="70"/>
      <c r="AR114" s="70"/>
      <c r="AS114" s="449"/>
      <c r="AU114" s="72"/>
      <c r="AV114" s="289"/>
      <c r="AW114" s="72"/>
      <c r="AX114" s="72"/>
      <c r="AY114" s="72"/>
      <c r="AZ114" s="72"/>
      <c r="BA114" s="72"/>
      <c r="BB114" s="72"/>
      <c r="BC114" s="72"/>
      <c r="BD114" s="72"/>
      <c r="BE114" s="72"/>
    </row>
    <row r="115" spans="1:57" s="33" customFormat="1" ht="12" customHeight="1">
      <c r="A115" s="510" t="s">
        <v>94</v>
      </c>
      <c r="B115" s="506"/>
      <c r="C115" s="506"/>
      <c r="D115" s="506"/>
      <c r="E115" s="506"/>
      <c r="F115" s="507"/>
      <c r="G115" s="506"/>
      <c r="H115" s="506"/>
      <c r="I115" s="508"/>
      <c r="J115" s="506"/>
      <c r="K115" s="506"/>
      <c r="L115" s="506"/>
      <c r="M115" s="506"/>
      <c r="N115" s="507"/>
      <c r="O115" s="506"/>
      <c r="P115" s="509"/>
      <c r="Q115" s="70"/>
      <c r="R115" s="289"/>
      <c r="S115" s="70"/>
      <c r="T115" s="70"/>
      <c r="U115" s="70"/>
      <c r="V115" s="289"/>
      <c r="W115" s="70"/>
      <c r="X115" s="70"/>
      <c r="Y115" s="449"/>
      <c r="Z115" s="289"/>
      <c r="AA115" s="70"/>
      <c r="AB115" s="70"/>
      <c r="AC115" s="449"/>
      <c r="AD115" s="289"/>
      <c r="AE115" s="70"/>
      <c r="AF115" s="131"/>
      <c r="AG115" s="450"/>
      <c r="AH115" s="289"/>
      <c r="AI115" s="70"/>
      <c r="AJ115" s="70"/>
      <c r="AK115" s="450"/>
      <c r="AL115" s="289"/>
      <c r="AM115" s="70"/>
      <c r="AN115" s="70"/>
      <c r="AO115" s="449"/>
      <c r="AP115" s="289"/>
      <c r="AQ115" s="70"/>
      <c r="AR115" s="70"/>
      <c r="AS115" s="449"/>
      <c r="AU115" s="72"/>
      <c r="AV115" s="289"/>
      <c r="AW115" s="72"/>
      <c r="AX115" s="72"/>
      <c r="AY115" s="72"/>
      <c r="AZ115" s="72"/>
      <c r="BA115" s="72"/>
      <c r="BB115" s="72"/>
      <c r="BC115" s="72"/>
      <c r="BD115" s="72"/>
      <c r="BE115" s="72"/>
    </row>
    <row r="116" spans="1:57" s="33" customFormat="1" ht="12" customHeight="1">
      <c r="A116" s="152" t="s">
        <v>95</v>
      </c>
      <c r="B116" s="131">
        <v>26.167999999999999</v>
      </c>
      <c r="C116" s="131">
        <v>27.773</v>
      </c>
      <c r="D116" s="131">
        <v>29.574000000000002</v>
      </c>
      <c r="E116" s="131">
        <v>32.783999999999999</v>
      </c>
      <c r="F116" s="451">
        <v>39.588000000000001</v>
      </c>
      <c r="G116" s="131">
        <v>41.826000000000001</v>
      </c>
      <c r="H116" s="131">
        <v>44.55</v>
      </c>
      <c r="I116" s="450">
        <v>47.38</v>
      </c>
      <c r="J116" s="131">
        <v>52.689</v>
      </c>
      <c r="K116" s="131">
        <v>56.015000000000001</v>
      </c>
      <c r="L116" s="131">
        <v>56.698999999999998</v>
      </c>
      <c r="M116" s="131">
        <v>62.631999999999998</v>
      </c>
      <c r="N116" s="451">
        <v>59.854999999999997</v>
      </c>
      <c r="O116" s="131">
        <v>55.442999999999998</v>
      </c>
      <c r="P116" s="131">
        <v>53.045000000000002</v>
      </c>
      <c r="Q116" s="131">
        <v>55.933999999999997</v>
      </c>
      <c r="R116" s="289">
        <v>58.634999999999998</v>
      </c>
      <c r="S116" s="70">
        <v>65.677999999999997</v>
      </c>
      <c r="T116" s="70">
        <v>68.36</v>
      </c>
      <c r="U116" s="70">
        <v>77.484999999999999</v>
      </c>
      <c r="V116" s="289">
        <v>81.569999999999993</v>
      </c>
      <c r="W116" s="70">
        <v>88.426000000000002</v>
      </c>
      <c r="X116" s="70">
        <v>88.123000000000005</v>
      </c>
      <c r="Y116" s="449">
        <v>91.311000000000007</v>
      </c>
      <c r="Z116" s="289">
        <v>97.191000000000003</v>
      </c>
      <c r="AA116" s="70">
        <v>97.8</v>
      </c>
      <c r="AB116" s="70">
        <v>94.759</v>
      </c>
      <c r="AC116" s="449">
        <v>103.7</v>
      </c>
      <c r="AD116" s="289">
        <v>99.825000000000003</v>
      </c>
      <c r="AE116" s="131">
        <v>101.129</v>
      </c>
      <c r="AF116" s="131">
        <v>99.082999999999998</v>
      </c>
      <c r="AG116" s="450">
        <v>95.347999999999999</v>
      </c>
      <c r="AH116" s="451">
        <v>103.182</v>
      </c>
      <c r="AI116" s="131">
        <v>107.09099999999999</v>
      </c>
      <c r="AJ116" s="70">
        <v>99.948999999999998</v>
      </c>
      <c r="AK116" s="450">
        <v>106.727</v>
      </c>
      <c r="AL116" s="289">
        <f t="shared" ref="AL116:AS118" si="213">AL21+AL143+AL152+AL161</f>
        <v>112.26284429680726</v>
      </c>
      <c r="AM116" s="70">
        <f t="shared" si="213"/>
        <v>110.18098172610364</v>
      </c>
      <c r="AN116" s="70">
        <f t="shared" si="213"/>
        <v>103.02939006091347</v>
      </c>
      <c r="AO116" s="449">
        <f t="shared" si="213"/>
        <v>110.46200482565115</v>
      </c>
      <c r="AP116" s="289">
        <f t="shared" si="213"/>
        <v>118.28315367840693</v>
      </c>
      <c r="AQ116" s="70">
        <f t="shared" si="213"/>
        <v>116.01881649044837</v>
      </c>
      <c r="AR116" s="70">
        <f t="shared" si="213"/>
        <v>108.36357388328331</v>
      </c>
      <c r="AS116" s="449">
        <f t="shared" si="213"/>
        <v>116.23275739811598</v>
      </c>
      <c r="AU116" s="72">
        <f t="shared" ref="AU116:AU121" si="214">+SUM(B116:E116)</f>
        <v>116.29900000000001</v>
      </c>
      <c r="AV116" s="289">
        <f t="shared" ref="AV116:AV121" si="215">+SUM(F116:I116)</f>
        <v>173.34399999999999</v>
      </c>
      <c r="AW116" s="72">
        <f t="shared" ref="AW116:AW121" si="216">SUM(J116:M116)</f>
        <v>228.03500000000003</v>
      </c>
      <c r="AX116" s="72">
        <f t="shared" ref="AX116:AX121" si="217">+SUM(N116:Q116)</f>
        <v>224.27700000000002</v>
      </c>
      <c r="AY116" s="72">
        <f t="shared" ref="AY116:AY121" si="218">+SUM(R116:U116)</f>
        <v>270.15800000000002</v>
      </c>
      <c r="AZ116" s="72">
        <f t="shared" ref="AZ116:AZ121" si="219">+SUM(V116:Y116)</f>
        <v>349.42999999999995</v>
      </c>
      <c r="BA116" s="72">
        <f t="shared" ref="BA116:BA121" si="220">+SUM(Z116:AC116)</f>
        <v>393.45</v>
      </c>
      <c r="BB116" s="72">
        <f t="shared" ref="BB116:BB121" si="221">SUM(AD116:AG116)</f>
        <v>395.38500000000005</v>
      </c>
      <c r="BC116" s="72">
        <f t="shared" ref="BC116:BC121" si="222">SUM(AH116:AK116)</f>
        <v>416.94899999999996</v>
      </c>
      <c r="BD116" s="72">
        <f t="shared" ref="BD116:BD131" si="223">SUM(AL116:AO116)</f>
        <v>435.9352209094755</v>
      </c>
      <c r="BE116" s="72">
        <f t="shared" ref="BE116:BE121" si="224">SUM(AP116:AS116)</f>
        <v>458.89830145025462</v>
      </c>
    </row>
    <row r="117" spans="1:57" s="33" customFormat="1" ht="12" customHeight="1">
      <c r="A117" s="152" t="s">
        <v>96</v>
      </c>
      <c r="B117" s="131">
        <v>12.458</v>
      </c>
      <c r="C117" s="131">
        <v>13.712999999999999</v>
      </c>
      <c r="D117" s="131">
        <v>15.869</v>
      </c>
      <c r="E117" s="131">
        <v>15.632999999999999</v>
      </c>
      <c r="F117" s="451">
        <v>17.184999999999999</v>
      </c>
      <c r="G117" s="131">
        <v>17.791</v>
      </c>
      <c r="H117" s="131">
        <v>20.553000000000001</v>
      </c>
      <c r="I117" s="450">
        <v>21.169</v>
      </c>
      <c r="J117" s="131">
        <v>21.934999999999999</v>
      </c>
      <c r="K117" s="131">
        <v>21.698</v>
      </c>
      <c r="L117" s="131">
        <v>20.763000000000002</v>
      </c>
      <c r="M117" s="131">
        <v>22.667999999999999</v>
      </c>
      <c r="N117" s="451">
        <v>26.831</v>
      </c>
      <c r="O117" s="131">
        <v>25.31</v>
      </c>
      <c r="P117" s="131">
        <v>25.128</v>
      </c>
      <c r="Q117" s="131">
        <v>24.417999999999999</v>
      </c>
      <c r="R117" s="289">
        <v>26.838000000000001</v>
      </c>
      <c r="S117" s="70">
        <v>28.201000000000001</v>
      </c>
      <c r="T117" s="70">
        <v>30.675000000000001</v>
      </c>
      <c r="U117" s="70">
        <v>30.718</v>
      </c>
      <c r="V117" s="289">
        <v>34.29</v>
      </c>
      <c r="W117" s="70">
        <v>36.228000000000002</v>
      </c>
      <c r="X117" s="70">
        <v>36.131</v>
      </c>
      <c r="Y117" s="449">
        <v>36.911000000000001</v>
      </c>
      <c r="Z117" s="289">
        <v>38.183</v>
      </c>
      <c r="AA117" s="70">
        <v>37.844999999999999</v>
      </c>
      <c r="AB117" s="70">
        <v>37.052</v>
      </c>
      <c r="AC117" s="449">
        <v>40.082999999999998</v>
      </c>
      <c r="AD117" s="289">
        <v>43.726999999999997</v>
      </c>
      <c r="AE117" s="131">
        <v>45.149000000000001</v>
      </c>
      <c r="AF117" s="131">
        <v>48.02</v>
      </c>
      <c r="AG117" s="450">
        <v>44.728000000000002</v>
      </c>
      <c r="AH117" s="451">
        <v>53.222999999999999</v>
      </c>
      <c r="AI117" s="131">
        <v>59.235999999999997</v>
      </c>
      <c r="AJ117" s="70">
        <v>56.265000000000001</v>
      </c>
      <c r="AK117" s="450">
        <v>54.945</v>
      </c>
      <c r="AL117" s="289">
        <f t="shared" si="213"/>
        <v>59.396422035905964</v>
      </c>
      <c r="AM117" s="70">
        <f t="shared" si="213"/>
        <v>61.754590923042279</v>
      </c>
      <c r="AN117" s="70">
        <f t="shared" si="213"/>
        <v>60.142016204286726</v>
      </c>
      <c r="AO117" s="449">
        <f t="shared" si="213"/>
        <v>59.307120602277429</v>
      </c>
      <c r="AP117" s="289">
        <f t="shared" si="213"/>
        <v>63.310500192872404</v>
      </c>
      <c r="AQ117" s="70">
        <f t="shared" si="213"/>
        <v>65.819464840562901</v>
      </c>
      <c r="AR117" s="70">
        <f t="shared" si="213"/>
        <v>64.091411014409587</v>
      </c>
      <c r="AS117" s="449">
        <f t="shared" si="213"/>
        <v>63.198694685881982</v>
      </c>
      <c r="AU117" s="72">
        <f t="shared" si="214"/>
        <v>57.673000000000002</v>
      </c>
      <c r="AV117" s="289">
        <f t="shared" si="215"/>
        <v>76.697999999999993</v>
      </c>
      <c r="AW117" s="72">
        <f t="shared" si="216"/>
        <v>87.063999999999993</v>
      </c>
      <c r="AX117" s="72">
        <f t="shared" si="217"/>
        <v>101.68700000000001</v>
      </c>
      <c r="AY117" s="72">
        <f t="shared" si="218"/>
        <v>116.432</v>
      </c>
      <c r="AZ117" s="72">
        <f t="shared" si="219"/>
        <v>143.56</v>
      </c>
      <c r="BA117" s="72">
        <f t="shared" si="220"/>
        <v>153.16299999999998</v>
      </c>
      <c r="BB117" s="72">
        <f t="shared" si="221"/>
        <v>181.62400000000002</v>
      </c>
      <c r="BC117" s="72">
        <f t="shared" si="222"/>
        <v>223.66899999999998</v>
      </c>
      <c r="BD117" s="72">
        <f t="shared" si="223"/>
        <v>240.60014976551238</v>
      </c>
      <c r="BE117" s="72">
        <f t="shared" si="224"/>
        <v>256.4200707337269</v>
      </c>
    </row>
    <row r="118" spans="1:57" s="33" customFormat="1" ht="12" customHeight="1">
      <c r="A118" s="152" t="s">
        <v>97</v>
      </c>
      <c r="B118" s="131">
        <v>6.1630000000000003</v>
      </c>
      <c r="C118" s="131">
        <v>6.5439999999999996</v>
      </c>
      <c r="D118" s="131">
        <v>7.2750000000000004</v>
      </c>
      <c r="E118" s="131">
        <v>8.9450000000000003</v>
      </c>
      <c r="F118" s="451">
        <v>9.0549999999999997</v>
      </c>
      <c r="G118" s="131">
        <v>10.541</v>
      </c>
      <c r="H118" s="131">
        <v>13.272</v>
      </c>
      <c r="I118" s="450">
        <v>13.864000000000001</v>
      </c>
      <c r="J118" s="131">
        <v>15.135999999999999</v>
      </c>
      <c r="K118" s="131">
        <v>15.987</v>
      </c>
      <c r="L118" s="131">
        <v>17.472000000000001</v>
      </c>
      <c r="M118" s="131">
        <v>20.873000000000001</v>
      </c>
      <c r="N118" s="451">
        <v>18.933</v>
      </c>
      <c r="O118" s="131">
        <v>17.879000000000001</v>
      </c>
      <c r="P118" s="131">
        <v>18.18</v>
      </c>
      <c r="Q118" s="131">
        <v>18.143999999999998</v>
      </c>
      <c r="R118" s="289">
        <v>21.445</v>
      </c>
      <c r="S118" s="70">
        <v>21.835999999999999</v>
      </c>
      <c r="T118" s="70">
        <v>23.785</v>
      </c>
      <c r="U118" s="70">
        <v>22.846</v>
      </c>
      <c r="V118" s="289">
        <v>26.126000000000001</v>
      </c>
      <c r="W118" s="70">
        <v>26.87</v>
      </c>
      <c r="X118" s="70">
        <v>24.972999999999999</v>
      </c>
      <c r="Y118" s="449">
        <v>25.257999999999999</v>
      </c>
      <c r="Z118" s="289">
        <v>27.114999999999998</v>
      </c>
      <c r="AA118" s="70">
        <v>26.622</v>
      </c>
      <c r="AB118" s="70">
        <v>31.876999999999999</v>
      </c>
      <c r="AC118" s="449">
        <v>30.567</v>
      </c>
      <c r="AD118" s="289">
        <v>31.018000000000001</v>
      </c>
      <c r="AE118" s="131">
        <v>30.302</v>
      </c>
      <c r="AF118" s="131">
        <v>31.568999999999999</v>
      </c>
      <c r="AG118" s="450">
        <v>31.241</v>
      </c>
      <c r="AH118" s="451">
        <v>47.982999999999997</v>
      </c>
      <c r="AI118" s="131">
        <v>33.981999999999999</v>
      </c>
      <c r="AJ118" s="70">
        <v>32.337000000000003</v>
      </c>
      <c r="AK118" s="450">
        <v>31.603000000000002</v>
      </c>
      <c r="AL118" s="289">
        <f t="shared" si="213"/>
        <v>36.264239631280844</v>
      </c>
      <c r="AM118" s="70">
        <f t="shared" si="213"/>
        <v>34.439531494027904</v>
      </c>
      <c r="AN118" s="70">
        <f t="shared" si="213"/>
        <v>34.850641729145877</v>
      </c>
      <c r="AO118" s="449">
        <f t="shared" si="213"/>
        <v>33.460716824322503</v>
      </c>
      <c r="AP118" s="289">
        <f t="shared" si="213"/>
        <v>38.074111933697935</v>
      </c>
      <c r="AQ118" s="70">
        <f t="shared" si="213"/>
        <v>36.111793749171113</v>
      </c>
      <c r="AR118" s="70">
        <f t="shared" si="213"/>
        <v>36.537868251512172</v>
      </c>
      <c r="AS118" s="449">
        <f t="shared" si="213"/>
        <v>35.036608005360144</v>
      </c>
      <c r="AU118" s="72">
        <f t="shared" si="214"/>
        <v>28.927</v>
      </c>
      <c r="AV118" s="289">
        <f t="shared" si="215"/>
        <v>46.731999999999999</v>
      </c>
      <c r="AW118" s="72">
        <f t="shared" si="216"/>
        <v>69.468000000000004</v>
      </c>
      <c r="AX118" s="72">
        <f t="shared" si="217"/>
        <v>73.135999999999996</v>
      </c>
      <c r="AY118" s="72">
        <f t="shared" si="218"/>
        <v>89.912000000000006</v>
      </c>
      <c r="AZ118" s="72">
        <f t="shared" si="219"/>
        <v>103.22699999999999</v>
      </c>
      <c r="BA118" s="72">
        <f t="shared" si="220"/>
        <v>116.18099999999998</v>
      </c>
      <c r="BB118" s="72">
        <f t="shared" si="221"/>
        <v>124.13</v>
      </c>
      <c r="BC118" s="72">
        <f t="shared" si="222"/>
        <v>145.905</v>
      </c>
      <c r="BD118" s="72">
        <f t="shared" si="223"/>
        <v>139.01512967877713</v>
      </c>
      <c r="BE118" s="72">
        <f t="shared" si="224"/>
        <v>145.76038193974136</v>
      </c>
    </row>
    <row r="119" spans="1:57" s="33" customFormat="1" ht="12" customHeight="1">
      <c r="A119" s="511" t="s">
        <v>150</v>
      </c>
      <c r="B119" s="131">
        <v>0</v>
      </c>
      <c r="C119" s="131">
        <v>0</v>
      </c>
      <c r="D119" s="131">
        <v>0</v>
      </c>
      <c r="E119" s="131">
        <v>0</v>
      </c>
      <c r="F119" s="451">
        <v>0</v>
      </c>
      <c r="G119" s="131">
        <v>0</v>
      </c>
      <c r="H119" s="131">
        <v>0</v>
      </c>
      <c r="I119" s="450">
        <v>0</v>
      </c>
      <c r="J119" s="131">
        <v>0</v>
      </c>
      <c r="K119" s="131">
        <v>0</v>
      </c>
      <c r="L119" s="131">
        <v>0</v>
      </c>
      <c r="M119" s="131">
        <v>0</v>
      </c>
      <c r="N119" s="451">
        <v>0</v>
      </c>
      <c r="O119" s="131">
        <v>0</v>
      </c>
      <c r="P119" s="131">
        <v>0</v>
      </c>
      <c r="Q119" s="131">
        <v>0</v>
      </c>
      <c r="R119" s="289">
        <v>0</v>
      </c>
      <c r="S119" s="70">
        <v>0</v>
      </c>
      <c r="T119" s="70">
        <v>0</v>
      </c>
      <c r="U119" s="70">
        <v>0</v>
      </c>
      <c r="V119" s="289">
        <v>0</v>
      </c>
      <c r="W119" s="70">
        <v>0</v>
      </c>
      <c r="X119" s="70">
        <v>0</v>
      </c>
      <c r="Y119" s="70">
        <v>0</v>
      </c>
      <c r="Z119" s="289">
        <v>0</v>
      </c>
      <c r="AA119" s="70">
        <v>0</v>
      </c>
      <c r="AB119" s="70">
        <v>0</v>
      </c>
      <c r="AC119" s="449">
        <v>4.4989999999999997</v>
      </c>
      <c r="AD119" s="289">
        <v>1.389</v>
      </c>
      <c r="AE119" s="131">
        <v>4.681</v>
      </c>
      <c r="AF119" s="131">
        <v>0</v>
      </c>
      <c r="AG119" s="450">
        <v>0</v>
      </c>
      <c r="AH119" s="451">
        <v>0</v>
      </c>
      <c r="AI119" s="131">
        <v>0</v>
      </c>
      <c r="AJ119" s="70">
        <f t="shared" ref="AJ119" si="225">AJ168</f>
        <v>0</v>
      </c>
      <c r="AK119" s="450">
        <v>3.113</v>
      </c>
      <c r="AL119" s="289">
        <f t="shared" ref="AL119:AS119" si="226">AL168</f>
        <v>0</v>
      </c>
      <c r="AM119" s="70">
        <f t="shared" si="226"/>
        <v>0</v>
      </c>
      <c r="AN119" s="70">
        <f t="shared" si="226"/>
        <v>0</v>
      </c>
      <c r="AO119" s="449">
        <f t="shared" si="226"/>
        <v>0</v>
      </c>
      <c r="AP119" s="289">
        <f t="shared" si="226"/>
        <v>0</v>
      </c>
      <c r="AQ119" s="70">
        <f t="shared" si="226"/>
        <v>0</v>
      </c>
      <c r="AR119" s="70">
        <f t="shared" si="226"/>
        <v>0</v>
      </c>
      <c r="AS119" s="449">
        <f t="shared" si="226"/>
        <v>0</v>
      </c>
      <c r="AU119" s="72">
        <f t="shared" si="214"/>
        <v>0</v>
      </c>
      <c r="AV119" s="289">
        <f t="shared" si="215"/>
        <v>0</v>
      </c>
      <c r="AW119" s="72">
        <f t="shared" si="216"/>
        <v>0</v>
      </c>
      <c r="AX119" s="72">
        <f t="shared" si="217"/>
        <v>0</v>
      </c>
      <c r="AY119" s="72">
        <f t="shared" si="218"/>
        <v>0</v>
      </c>
      <c r="AZ119" s="72">
        <f t="shared" si="219"/>
        <v>0</v>
      </c>
      <c r="BA119" s="72">
        <f t="shared" si="220"/>
        <v>4.4989999999999997</v>
      </c>
      <c r="BB119" s="72">
        <f t="shared" si="221"/>
        <v>6.07</v>
      </c>
      <c r="BC119" s="72">
        <f t="shared" si="222"/>
        <v>3.113</v>
      </c>
      <c r="BD119" s="72">
        <f t="shared" si="223"/>
        <v>0</v>
      </c>
      <c r="BE119" s="72">
        <f t="shared" si="224"/>
        <v>0</v>
      </c>
    </row>
    <row r="120" spans="1:57" s="45" customFormat="1" ht="12" customHeight="1">
      <c r="A120" s="491" t="s">
        <v>98</v>
      </c>
      <c r="B120" s="75">
        <f>SUM(B116:B118)</f>
        <v>44.789000000000001</v>
      </c>
      <c r="C120" s="75">
        <f t="shared" ref="C120:AA120" si="227">SUM(C116:C118)</f>
        <v>48.029999999999994</v>
      </c>
      <c r="D120" s="75">
        <f t="shared" si="227"/>
        <v>52.717999999999996</v>
      </c>
      <c r="E120" s="75">
        <f t="shared" si="227"/>
        <v>57.362000000000002</v>
      </c>
      <c r="F120" s="492">
        <f t="shared" si="227"/>
        <v>65.828000000000003</v>
      </c>
      <c r="G120" s="75">
        <f t="shared" si="227"/>
        <v>70.158000000000001</v>
      </c>
      <c r="H120" s="75">
        <f t="shared" si="227"/>
        <v>78.375</v>
      </c>
      <c r="I120" s="493">
        <f t="shared" si="227"/>
        <v>82.413000000000011</v>
      </c>
      <c r="J120" s="75">
        <f t="shared" si="227"/>
        <v>89.759999999999991</v>
      </c>
      <c r="K120" s="75">
        <f t="shared" si="227"/>
        <v>93.699999999999989</v>
      </c>
      <c r="L120" s="75">
        <f t="shared" si="227"/>
        <v>94.933999999999997</v>
      </c>
      <c r="M120" s="75">
        <f t="shared" si="227"/>
        <v>106.173</v>
      </c>
      <c r="N120" s="492">
        <f t="shared" si="227"/>
        <v>105.619</v>
      </c>
      <c r="O120" s="75">
        <f t="shared" si="227"/>
        <v>98.632000000000005</v>
      </c>
      <c r="P120" s="77">
        <f t="shared" si="227"/>
        <v>96.353000000000009</v>
      </c>
      <c r="Q120" s="75">
        <f t="shared" si="227"/>
        <v>98.496000000000009</v>
      </c>
      <c r="R120" s="492">
        <f t="shared" si="227"/>
        <v>106.91800000000001</v>
      </c>
      <c r="S120" s="75">
        <f t="shared" si="227"/>
        <v>115.71499999999999</v>
      </c>
      <c r="T120" s="75">
        <f t="shared" si="227"/>
        <v>122.82</v>
      </c>
      <c r="U120" s="75">
        <f t="shared" si="227"/>
        <v>131.04900000000001</v>
      </c>
      <c r="V120" s="492">
        <f t="shared" si="227"/>
        <v>141.98599999999999</v>
      </c>
      <c r="W120" s="75">
        <f t="shared" si="227"/>
        <v>151.524</v>
      </c>
      <c r="X120" s="75">
        <f t="shared" si="227"/>
        <v>149.227</v>
      </c>
      <c r="Y120" s="75">
        <f t="shared" si="227"/>
        <v>153.48000000000002</v>
      </c>
      <c r="Z120" s="492">
        <f t="shared" si="227"/>
        <v>162.489</v>
      </c>
      <c r="AA120" s="75">
        <f t="shared" si="227"/>
        <v>162.267</v>
      </c>
      <c r="AB120" s="75">
        <f>SUM(AB116:AB119)</f>
        <v>163.68800000000002</v>
      </c>
      <c r="AC120" s="493">
        <f>SUM(AC116:AC119)</f>
        <v>178.84900000000002</v>
      </c>
      <c r="AD120" s="492">
        <f>SUM(AD116:AD119)</f>
        <v>175.959</v>
      </c>
      <c r="AE120" s="75">
        <f t="shared" ref="AE120:AS120" si="228">SUM(AE116:AE119)</f>
        <v>181.26100000000002</v>
      </c>
      <c r="AF120" s="77">
        <f t="shared" si="228"/>
        <v>178.672</v>
      </c>
      <c r="AG120" s="75">
        <f t="shared" si="228"/>
        <v>171.31700000000001</v>
      </c>
      <c r="AH120" s="492">
        <f t="shared" si="228"/>
        <v>204.38800000000001</v>
      </c>
      <c r="AI120" s="75">
        <f t="shared" si="228"/>
        <v>200.309</v>
      </c>
      <c r="AJ120" s="75">
        <f t="shared" si="228"/>
        <v>188.55099999999999</v>
      </c>
      <c r="AK120" s="75">
        <f t="shared" si="228"/>
        <v>196.38800000000001</v>
      </c>
      <c r="AL120" s="492">
        <f t="shared" si="228"/>
        <v>207.92350596399407</v>
      </c>
      <c r="AM120" s="75">
        <f t="shared" si="228"/>
        <v>206.37510414317381</v>
      </c>
      <c r="AN120" s="75">
        <f t="shared" si="228"/>
        <v>198.02204799434608</v>
      </c>
      <c r="AO120" s="75">
        <f t="shared" si="228"/>
        <v>203.22984225225107</v>
      </c>
      <c r="AP120" s="492">
        <f t="shared" si="228"/>
        <v>219.66776580497728</v>
      </c>
      <c r="AQ120" s="75">
        <f t="shared" si="228"/>
        <v>217.95007508018239</v>
      </c>
      <c r="AR120" s="75">
        <f t="shared" si="228"/>
        <v>208.99285314920508</v>
      </c>
      <c r="AS120" s="75">
        <f t="shared" si="228"/>
        <v>214.46806008935809</v>
      </c>
      <c r="AT120" s="512"/>
      <c r="AU120" s="79">
        <f t="shared" si="214"/>
        <v>202.89899999999997</v>
      </c>
      <c r="AV120" s="492">
        <f t="shared" si="215"/>
        <v>296.774</v>
      </c>
      <c r="AW120" s="79">
        <f t="shared" si="216"/>
        <v>384.56700000000001</v>
      </c>
      <c r="AX120" s="79">
        <f t="shared" si="217"/>
        <v>399.1</v>
      </c>
      <c r="AY120" s="79">
        <f t="shared" si="218"/>
        <v>476.50199999999995</v>
      </c>
      <c r="AZ120" s="79">
        <f t="shared" si="219"/>
        <v>596.21699999999998</v>
      </c>
      <c r="BA120" s="79">
        <f t="shared" si="220"/>
        <v>667.29300000000001</v>
      </c>
      <c r="BB120" s="79">
        <f t="shared" si="221"/>
        <v>707.20900000000006</v>
      </c>
      <c r="BC120" s="79">
        <f t="shared" si="222"/>
        <v>789.63600000000008</v>
      </c>
      <c r="BD120" s="79">
        <f>SUM(AL120:AO120)</f>
        <v>815.55050035376496</v>
      </c>
      <c r="BE120" s="79">
        <f t="shared" si="224"/>
        <v>861.07875412372289</v>
      </c>
    </row>
    <row r="121" spans="1:57" s="33" customFormat="1" ht="12" customHeight="1">
      <c r="A121" s="490" t="s">
        <v>120</v>
      </c>
      <c r="B121" s="70">
        <f t="shared" ref="B121:AS121" si="229">+B113-B120</f>
        <v>-8.7460000000000022</v>
      </c>
      <c r="C121" s="70">
        <f t="shared" si="229"/>
        <v>-9.2289999999999921</v>
      </c>
      <c r="D121" s="70">
        <f t="shared" si="229"/>
        <v>-11.161999999999992</v>
      </c>
      <c r="E121" s="70">
        <f t="shared" si="229"/>
        <v>-11.622999999999998</v>
      </c>
      <c r="F121" s="289">
        <f t="shared" si="229"/>
        <v>-15.449000000000005</v>
      </c>
      <c r="G121" s="70">
        <f t="shared" si="229"/>
        <v>-16.445</v>
      </c>
      <c r="H121" s="70">
        <f t="shared" si="229"/>
        <v>-21.096000000000004</v>
      </c>
      <c r="I121" s="449">
        <f t="shared" si="229"/>
        <v>-19.591000000000008</v>
      </c>
      <c r="J121" s="70">
        <f t="shared" si="229"/>
        <v>-22.684999999999988</v>
      </c>
      <c r="K121" s="70">
        <f t="shared" si="229"/>
        <v>-22.23399999999998</v>
      </c>
      <c r="L121" s="70">
        <f t="shared" si="229"/>
        <v>-18.326999999999998</v>
      </c>
      <c r="M121" s="70">
        <f t="shared" si="229"/>
        <v>-27.553000000000026</v>
      </c>
      <c r="N121" s="289">
        <f t="shared" si="229"/>
        <v>-21.671999999999997</v>
      </c>
      <c r="O121" s="70">
        <f t="shared" si="229"/>
        <v>-10.564999999999998</v>
      </c>
      <c r="P121" s="131">
        <f t="shared" si="229"/>
        <v>-3.4650000000000034</v>
      </c>
      <c r="Q121" s="70">
        <f t="shared" si="229"/>
        <v>-0.73099999999999454</v>
      </c>
      <c r="R121" s="289">
        <f t="shared" si="229"/>
        <v>-5.8019999999999925</v>
      </c>
      <c r="S121" s="70">
        <f t="shared" si="229"/>
        <v>-11.880999999999972</v>
      </c>
      <c r="T121" s="70">
        <f t="shared" si="229"/>
        <v>-11.218000000000004</v>
      </c>
      <c r="U121" s="70">
        <f t="shared" si="229"/>
        <v>-12.867000000000004</v>
      </c>
      <c r="V121" s="289">
        <f t="shared" si="229"/>
        <v>-17.548000000000002</v>
      </c>
      <c r="W121" s="70">
        <f t="shared" si="229"/>
        <v>-23.22</v>
      </c>
      <c r="X121" s="70">
        <f t="shared" si="229"/>
        <v>-12.957999999999998</v>
      </c>
      <c r="Y121" s="70">
        <f t="shared" si="229"/>
        <v>-14.089000000000027</v>
      </c>
      <c r="Z121" s="289">
        <f t="shared" si="229"/>
        <v>-19.155999999999977</v>
      </c>
      <c r="AA121" s="70">
        <f t="shared" si="229"/>
        <v>-10.745000000000005</v>
      </c>
      <c r="AB121" s="70">
        <f t="shared" si="229"/>
        <v>-7.9130000000000109</v>
      </c>
      <c r="AC121" s="449">
        <f t="shared" si="229"/>
        <v>-14.346000000000032</v>
      </c>
      <c r="AD121" s="289">
        <f>+AD113-AD120</f>
        <v>-8.9300000000000068</v>
      </c>
      <c r="AE121" s="70">
        <f t="shared" si="229"/>
        <v>-8.8180000000000121</v>
      </c>
      <c r="AF121" s="131">
        <f t="shared" si="229"/>
        <v>-2.0829999999999984</v>
      </c>
      <c r="AG121" s="449">
        <f t="shared" si="229"/>
        <v>12.974999999999994</v>
      </c>
      <c r="AH121" s="289">
        <f t="shared" si="229"/>
        <v>-17.711000000000013</v>
      </c>
      <c r="AI121" s="70">
        <f t="shared" si="229"/>
        <v>-7.4479999999999791</v>
      </c>
      <c r="AJ121" s="70">
        <f t="shared" si="229"/>
        <v>7.1360000000000241</v>
      </c>
      <c r="AK121" s="449">
        <f t="shared" si="229"/>
        <v>8.8550000000000182</v>
      </c>
      <c r="AL121" s="289">
        <f t="shared" si="229"/>
        <v>-7.3970411789642014</v>
      </c>
      <c r="AM121" s="70">
        <f t="shared" si="229"/>
        <v>0.70006494690403542</v>
      </c>
      <c r="AN121" s="70">
        <f t="shared" si="229"/>
        <v>12.362317379032646</v>
      </c>
      <c r="AO121" s="449">
        <f t="shared" si="229"/>
        <v>15.5244622449041</v>
      </c>
      <c r="AP121" s="289">
        <f t="shared" si="229"/>
        <v>-5.754869749907499</v>
      </c>
      <c r="AQ121" s="70">
        <f t="shared" si="229"/>
        <v>2.9197153324262786</v>
      </c>
      <c r="AR121" s="70">
        <f t="shared" si="229"/>
        <v>15.366905300556539</v>
      </c>
      <c r="AS121" s="449">
        <f t="shared" si="229"/>
        <v>18.790738283852875</v>
      </c>
      <c r="AU121" s="72">
        <f t="shared" si="214"/>
        <v>-40.759999999999984</v>
      </c>
      <c r="AV121" s="289">
        <f t="shared" si="215"/>
        <v>-72.581000000000017</v>
      </c>
      <c r="AW121" s="72">
        <f t="shared" si="216"/>
        <v>-90.798999999999992</v>
      </c>
      <c r="AX121" s="72">
        <f t="shared" si="217"/>
        <v>-36.432999999999993</v>
      </c>
      <c r="AY121" s="72">
        <f t="shared" si="218"/>
        <v>-41.767999999999972</v>
      </c>
      <c r="AZ121" s="72">
        <f t="shared" si="219"/>
        <v>-67.815000000000026</v>
      </c>
      <c r="BA121" s="72">
        <f t="shared" si="220"/>
        <v>-52.160000000000025</v>
      </c>
      <c r="BB121" s="72">
        <f t="shared" si="221"/>
        <v>-6.856000000000023</v>
      </c>
      <c r="BC121" s="72">
        <f t="shared" si="222"/>
        <v>-9.1679999999999495</v>
      </c>
      <c r="BD121" s="72">
        <f t="shared" si="223"/>
        <v>21.18980339187658</v>
      </c>
      <c r="BE121" s="72">
        <f t="shared" si="224"/>
        <v>31.322489166928193</v>
      </c>
    </row>
    <row r="122" spans="1:57" s="45" customFormat="1" ht="12" customHeight="1">
      <c r="A122" s="491"/>
      <c r="B122" s="494"/>
      <c r="C122" s="494"/>
      <c r="D122" s="494"/>
      <c r="E122" s="494"/>
      <c r="F122" s="495"/>
      <c r="G122" s="494"/>
      <c r="H122" s="494"/>
      <c r="I122" s="496"/>
      <c r="J122" s="494"/>
      <c r="K122" s="494"/>
      <c r="L122" s="494"/>
      <c r="M122" s="494"/>
      <c r="N122" s="492"/>
      <c r="O122" s="75"/>
      <c r="P122" s="77"/>
      <c r="Q122" s="75"/>
      <c r="R122" s="492"/>
      <c r="S122" s="75"/>
      <c r="T122" s="75"/>
      <c r="U122" s="75"/>
      <c r="V122" s="492"/>
      <c r="W122" s="75"/>
      <c r="X122" s="75"/>
      <c r="Y122" s="493"/>
      <c r="Z122" s="492"/>
      <c r="AA122" s="75"/>
      <c r="AB122" s="75"/>
      <c r="AC122" s="493"/>
      <c r="AD122" s="492"/>
      <c r="AE122" s="75"/>
      <c r="AF122" s="75"/>
      <c r="AG122" s="493"/>
      <c r="AH122" s="492"/>
      <c r="AI122" s="75"/>
      <c r="AJ122" s="75"/>
      <c r="AK122" s="493"/>
      <c r="AL122" s="492"/>
      <c r="AM122" s="75"/>
      <c r="AN122" s="75"/>
      <c r="AO122" s="493"/>
      <c r="AP122" s="492"/>
      <c r="AQ122" s="75"/>
      <c r="AR122" s="75"/>
      <c r="AS122" s="493"/>
      <c r="AU122" s="79"/>
      <c r="AV122" s="492"/>
      <c r="AW122" s="79"/>
      <c r="AX122" s="79"/>
      <c r="AY122" s="79"/>
      <c r="AZ122" s="79"/>
      <c r="BA122" s="79"/>
      <c r="BB122" s="79"/>
      <c r="BC122" s="79"/>
      <c r="BD122" s="79"/>
      <c r="BE122" s="79"/>
    </row>
    <row r="123" spans="1:57" s="33" customFormat="1" ht="12" customHeight="1">
      <c r="A123" s="503" t="s">
        <v>103</v>
      </c>
      <c r="B123" s="70">
        <v>0</v>
      </c>
      <c r="C123" s="70">
        <v>0</v>
      </c>
      <c r="D123" s="70">
        <v>0</v>
      </c>
      <c r="E123" s="70">
        <v>0</v>
      </c>
      <c r="F123" s="289">
        <v>-2.5999999999999999E-2</v>
      </c>
      <c r="G123" s="70">
        <v>-2.3E-2</v>
      </c>
      <c r="H123" s="70">
        <v>0.89400000000000002</v>
      </c>
      <c r="I123" s="449">
        <v>1.5089999999999999</v>
      </c>
      <c r="J123" s="70">
        <v>1.556</v>
      </c>
      <c r="K123" s="70">
        <v>1.5940000000000001</v>
      </c>
      <c r="L123" s="70">
        <v>1.5269999999999999</v>
      </c>
      <c r="M123" s="70">
        <v>1.153</v>
      </c>
      <c r="N123" s="289">
        <v>0.80200000000000005</v>
      </c>
      <c r="O123" s="70">
        <v>0.44400000000000001</v>
      </c>
      <c r="P123" s="131">
        <v>0.28100000000000003</v>
      </c>
      <c r="Q123" s="70">
        <v>0.21299999999999999</v>
      </c>
      <c r="R123" s="289">
        <v>0.107</v>
      </c>
      <c r="S123" s="70">
        <v>0.10199999999999999</v>
      </c>
      <c r="T123" s="70">
        <v>0.115</v>
      </c>
      <c r="U123" s="70">
        <v>0.28199999999999997</v>
      </c>
      <c r="V123" s="289">
        <v>0.25</v>
      </c>
      <c r="W123" s="70">
        <v>0.69299999999999995</v>
      </c>
      <c r="X123" s="70">
        <v>1.8029999999999999</v>
      </c>
      <c r="Y123" s="449">
        <f>3.538</f>
        <v>3.5379999999999998</v>
      </c>
      <c r="Z123" s="289">
        <f>5.095</f>
        <v>5.0949999999999998</v>
      </c>
      <c r="AA123" s="70">
        <v>6.5659999999999998</v>
      </c>
      <c r="AB123" s="70">
        <v>7.6619999999999999</v>
      </c>
      <c r="AC123" s="449">
        <v>5.3769999999999998</v>
      </c>
      <c r="AD123" s="289">
        <v>5.6239999999999997</v>
      </c>
      <c r="AE123" s="131">
        <v>5.9740000000000002</v>
      </c>
      <c r="AF123" s="131">
        <v>5.9889999999999999</v>
      </c>
      <c r="AG123" s="450">
        <v>5.7380000000000004</v>
      </c>
      <c r="AH123" s="451">
        <v>4.9269999999999996</v>
      </c>
      <c r="AI123" s="131">
        <v>4.08</v>
      </c>
      <c r="AJ123" s="70">
        <v>3.59</v>
      </c>
      <c r="AK123" s="450">
        <v>3.395</v>
      </c>
      <c r="AL123" s="289">
        <f t="shared" ref="AL123:AS125" si="230">AL33</f>
        <v>2.895</v>
      </c>
      <c r="AM123" s="70">
        <f t="shared" si="230"/>
        <v>2.1950000000000003</v>
      </c>
      <c r="AN123" s="70">
        <f t="shared" si="230"/>
        <v>2.4950000000000001</v>
      </c>
      <c r="AO123" s="449">
        <f t="shared" si="230"/>
        <v>2.7949999999999999</v>
      </c>
      <c r="AP123" s="289">
        <f t="shared" si="230"/>
        <v>3.0949999999999998</v>
      </c>
      <c r="AQ123" s="70">
        <f t="shared" si="230"/>
        <v>3.3949999999999996</v>
      </c>
      <c r="AR123" s="70">
        <f t="shared" si="230"/>
        <v>3.6949999999999994</v>
      </c>
      <c r="AS123" s="449">
        <f t="shared" si="230"/>
        <v>3.9949999999999992</v>
      </c>
      <c r="AU123" s="72">
        <f t="shared" ref="AU123:AU126" si="231">+SUM(B123:E123)</f>
        <v>0</v>
      </c>
      <c r="AV123" s="289">
        <f t="shared" ref="AV123:AV126" si="232">+SUM(F123:I123)</f>
        <v>2.3540000000000001</v>
      </c>
      <c r="AW123" s="72">
        <f t="shared" ref="AW123:AW126" si="233">SUM(J123:M123)</f>
        <v>5.83</v>
      </c>
      <c r="AX123" s="72">
        <f t="shared" ref="AX123:AX126" si="234">+SUM(N123:Q123)</f>
        <v>1.7400000000000002</v>
      </c>
      <c r="AY123" s="72">
        <f t="shared" ref="AY123:AY126" si="235">+SUM(R123:U123)</f>
        <v>0.60599999999999998</v>
      </c>
      <c r="AZ123" s="72">
        <f t="shared" ref="AZ123:AZ126" si="236">+SUM(V123:Y123)</f>
        <v>6.2839999999999998</v>
      </c>
      <c r="BA123" s="72">
        <f t="shared" ref="BA123:BA126" si="237">+SUM(Z123:AC123)</f>
        <v>24.7</v>
      </c>
      <c r="BB123" s="72">
        <f t="shared" ref="BB123:BB126" si="238">SUM(AD123:AG123)</f>
        <v>23.324999999999999</v>
      </c>
      <c r="BC123" s="72">
        <f t="shared" ref="BC123:BC126" si="239">SUM(AH123:AK123)</f>
        <v>15.991999999999999</v>
      </c>
      <c r="BD123" s="72">
        <f t="shared" si="223"/>
        <v>10.379999999999999</v>
      </c>
      <c r="BE123" s="72">
        <f>SUM(AP123:AS123)</f>
        <v>14.179999999999998</v>
      </c>
    </row>
    <row r="124" spans="1:57" s="33" customFormat="1" ht="12" customHeight="1">
      <c r="A124" s="503" t="s">
        <v>104</v>
      </c>
      <c r="B124" s="131">
        <v>0</v>
      </c>
      <c r="C124" s="131">
        <v>0</v>
      </c>
      <c r="D124" s="131">
        <v>0</v>
      </c>
      <c r="E124" s="131">
        <v>0</v>
      </c>
      <c r="F124" s="451">
        <v>0</v>
      </c>
      <c r="G124" s="131">
        <v>0</v>
      </c>
      <c r="H124" s="131">
        <v>0</v>
      </c>
      <c r="I124" s="450">
        <v>0</v>
      </c>
      <c r="J124" s="131">
        <v>0</v>
      </c>
      <c r="K124" s="131">
        <v>0</v>
      </c>
      <c r="L124" s="131">
        <v>0</v>
      </c>
      <c r="M124" s="131">
        <v>0</v>
      </c>
      <c r="N124" s="451">
        <v>-6.8000000000000005E-2</v>
      </c>
      <c r="O124" s="131">
        <v>1.0999999999999999E-2</v>
      </c>
      <c r="P124" s="131">
        <v>-0.29299999999999998</v>
      </c>
      <c r="Q124" s="131">
        <v>-0.14599999999999999</v>
      </c>
      <c r="R124" s="451">
        <v>-0.13500000000000001</v>
      </c>
      <c r="S124" s="131">
        <v>-0.14399999999999999</v>
      </c>
      <c r="T124" s="131">
        <v>-3.5939999999999999</v>
      </c>
      <c r="U124" s="131">
        <v>-3.629</v>
      </c>
      <c r="V124" s="289">
        <v>-3.5760000000000001</v>
      </c>
      <c r="W124" s="70">
        <v>-3.5880000000000001</v>
      </c>
      <c r="X124" s="70">
        <v>-5.0819999999999999</v>
      </c>
      <c r="Y124" s="449">
        <v>-6.7549999999999999</v>
      </c>
      <c r="Z124" s="289">
        <v>-7.3390000000000004</v>
      </c>
      <c r="AA124" s="70">
        <v>-7.75</v>
      </c>
      <c r="AB124" s="70">
        <v>-8.1189999999999998</v>
      </c>
      <c r="AC124" s="449">
        <v>-8.1310000000000002</v>
      </c>
      <c r="AD124" s="289">
        <v>-8.1120000000000001</v>
      </c>
      <c r="AE124" s="131">
        <v>-8.0730000000000004</v>
      </c>
      <c r="AF124" s="131">
        <v>-8.1479999999999997</v>
      </c>
      <c r="AG124" s="450">
        <v>-7.5869999999999997</v>
      </c>
      <c r="AH124" s="451">
        <v>-7.0110000000000001</v>
      </c>
      <c r="AI124" s="131">
        <v>-7.1390000000000002</v>
      </c>
      <c r="AJ124" s="70">
        <v>-7.2130000000000001</v>
      </c>
      <c r="AK124" s="450">
        <v>-7.056</v>
      </c>
      <c r="AL124" s="289">
        <f t="shared" si="230"/>
        <v>-6.3559999999999999</v>
      </c>
      <c r="AM124" s="70">
        <f t="shared" si="230"/>
        <v>-6.3810000000000002</v>
      </c>
      <c r="AN124" s="70">
        <f t="shared" si="230"/>
        <v>-6.4060000000000006</v>
      </c>
      <c r="AO124" s="449">
        <f t="shared" si="230"/>
        <v>-6.4310000000000009</v>
      </c>
      <c r="AP124" s="289">
        <f t="shared" si="230"/>
        <v>-6.4560000000000013</v>
      </c>
      <c r="AQ124" s="70">
        <f t="shared" si="230"/>
        <v>-6.4810000000000016</v>
      </c>
      <c r="AR124" s="70">
        <f t="shared" si="230"/>
        <v>-6.506000000000002</v>
      </c>
      <c r="AS124" s="449">
        <f t="shared" si="230"/>
        <v>-6.5310000000000024</v>
      </c>
      <c r="AU124" s="72"/>
      <c r="AV124" s="289"/>
      <c r="AW124" s="72"/>
      <c r="AX124" s="72"/>
      <c r="AY124" s="72">
        <f t="shared" si="235"/>
        <v>-7.5019999999999998</v>
      </c>
      <c r="AZ124" s="72">
        <f t="shared" si="236"/>
        <v>-19.000999999999998</v>
      </c>
      <c r="BA124" s="72">
        <f t="shared" si="237"/>
        <v>-31.338999999999999</v>
      </c>
      <c r="BB124" s="72">
        <f t="shared" si="238"/>
        <v>-31.92</v>
      </c>
      <c r="BC124" s="72">
        <f t="shared" si="239"/>
        <v>-28.419</v>
      </c>
      <c r="BD124" s="72">
        <f t="shared" si="223"/>
        <v>-25.574000000000002</v>
      </c>
      <c r="BE124" s="72">
        <f>SUM(AP124:AS124)</f>
        <v>-25.974000000000007</v>
      </c>
    </row>
    <row r="125" spans="1:57" s="33" customFormat="1" ht="12" customHeight="1">
      <c r="A125" s="503" t="s">
        <v>151</v>
      </c>
      <c r="B125" s="70">
        <v>-2.9000000000000001E-2</v>
      </c>
      <c r="C125" s="70">
        <v>5.6000000000000001E-2</v>
      </c>
      <c r="D125" s="70">
        <v>-9.1999999999999998E-2</v>
      </c>
      <c r="E125" s="70">
        <v>-2.5999999999999999E-2</v>
      </c>
      <c r="F125" s="289">
        <v>1.7999999999999999E-2</v>
      </c>
      <c r="G125" s="70">
        <v>-0.438</v>
      </c>
      <c r="H125" s="70">
        <v>-0.185</v>
      </c>
      <c r="I125" s="449">
        <v>-0.32500000000000001</v>
      </c>
      <c r="J125" s="70">
        <v>-0.214</v>
      </c>
      <c r="K125" s="70">
        <v>-0.122</v>
      </c>
      <c r="L125" s="70">
        <v>-0.24</v>
      </c>
      <c r="M125" s="70">
        <v>-0.104</v>
      </c>
      <c r="N125" s="289">
        <v>-0.96</v>
      </c>
      <c r="O125" s="70">
        <v>-0.29799999999999999</v>
      </c>
      <c r="P125" s="131">
        <v>-0.56100000000000005</v>
      </c>
      <c r="Q125" s="70">
        <v>-6.6000000000000003E-2</v>
      </c>
      <c r="R125" s="289">
        <v>-6.6000000000000003E-2</v>
      </c>
      <c r="S125" s="70">
        <v>-0.47099999999999997</v>
      </c>
      <c r="T125" s="70">
        <v>-0.82299999999999995</v>
      </c>
      <c r="U125" s="70">
        <v>-0.60499999999999998</v>
      </c>
      <c r="V125" s="289">
        <v>-0.94399999999999995</v>
      </c>
      <c r="W125" s="70">
        <v>-1.863</v>
      </c>
      <c r="X125" s="70">
        <v>-2.073</v>
      </c>
      <c r="Y125" s="449">
        <v>0.123</v>
      </c>
      <c r="Z125" s="289">
        <v>-0.54700000000000004</v>
      </c>
      <c r="AA125" s="70">
        <v>-0.94399999999999995</v>
      </c>
      <c r="AB125" s="70">
        <v>-6.5019999999999998</v>
      </c>
      <c r="AC125" s="449">
        <v>-0.60899999999999999</v>
      </c>
      <c r="AD125" s="289">
        <v>-1.31</v>
      </c>
      <c r="AE125" s="131">
        <v>9.2999999999999999E-2</v>
      </c>
      <c r="AF125" s="131">
        <v>0.35899999999999999</v>
      </c>
      <c r="AG125" s="450">
        <v>-2.577</v>
      </c>
      <c r="AH125" s="451">
        <v>0.47399999999999998</v>
      </c>
      <c r="AI125" s="131">
        <v>2.5000000000000001E-2</v>
      </c>
      <c r="AJ125" s="70">
        <v>-0.70299999999999996</v>
      </c>
      <c r="AK125" s="450">
        <v>-1.1339999999999999</v>
      </c>
      <c r="AL125" s="289">
        <f t="shared" si="230"/>
        <v>-1.1339999999999999</v>
      </c>
      <c r="AM125" s="70">
        <f t="shared" si="230"/>
        <v>-1.1339999999999999</v>
      </c>
      <c r="AN125" s="70">
        <f t="shared" si="230"/>
        <v>-1.1339999999999999</v>
      </c>
      <c r="AO125" s="449">
        <f t="shared" si="230"/>
        <v>-1.1339999999999999</v>
      </c>
      <c r="AP125" s="289">
        <f t="shared" si="230"/>
        <v>-1.1339999999999999</v>
      </c>
      <c r="AQ125" s="70">
        <f t="shared" si="230"/>
        <v>-1.1339999999999999</v>
      </c>
      <c r="AR125" s="70">
        <f t="shared" si="230"/>
        <v>-1.1339999999999999</v>
      </c>
      <c r="AS125" s="449">
        <f t="shared" si="230"/>
        <v>-1.1339999999999999</v>
      </c>
      <c r="AU125" s="72">
        <f t="shared" si="231"/>
        <v>-9.0999999999999998E-2</v>
      </c>
      <c r="AV125" s="289">
        <f t="shared" si="232"/>
        <v>-0.92999999999999994</v>
      </c>
      <c r="AW125" s="72">
        <f t="shared" si="233"/>
        <v>-0.67999999999999994</v>
      </c>
      <c r="AX125" s="72">
        <f t="shared" si="234"/>
        <v>-1.885</v>
      </c>
      <c r="AY125" s="72">
        <f t="shared" si="235"/>
        <v>-1.9649999999999999</v>
      </c>
      <c r="AZ125" s="72">
        <f t="shared" si="236"/>
        <v>-4.7569999999999997</v>
      </c>
      <c r="BA125" s="72">
        <f t="shared" si="237"/>
        <v>-8.6020000000000003</v>
      </c>
      <c r="BB125" s="72">
        <f t="shared" si="238"/>
        <v>-3.4350000000000001</v>
      </c>
      <c r="BC125" s="72">
        <f t="shared" si="239"/>
        <v>-1.3379999999999999</v>
      </c>
      <c r="BD125" s="72">
        <f t="shared" si="223"/>
        <v>-4.5359999999999996</v>
      </c>
      <c r="BE125" s="72">
        <f>SUM(AP125:AS125)</f>
        <v>-4.5359999999999996</v>
      </c>
    </row>
    <row r="126" spans="1:57" s="45" customFormat="1" ht="12" customHeight="1">
      <c r="A126" s="491" t="s">
        <v>152</v>
      </c>
      <c r="B126" s="75">
        <f t="shared" ref="B126:O126" si="240">B121+SUM(B123:B125)</f>
        <v>-8.7750000000000021</v>
      </c>
      <c r="C126" s="75">
        <f t="shared" si="240"/>
        <v>-9.1729999999999929</v>
      </c>
      <c r="D126" s="75">
        <f t="shared" si="240"/>
        <v>-11.253999999999992</v>
      </c>
      <c r="E126" s="75">
        <f t="shared" si="240"/>
        <v>-11.648999999999997</v>
      </c>
      <c r="F126" s="492">
        <f t="shared" si="240"/>
        <v>-15.457000000000004</v>
      </c>
      <c r="G126" s="75">
        <f t="shared" si="240"/>
        <v>-16.905999999999999</v>
      </c>
      <c r="H126" s="75">
        <f t="shared" si="240"/>
        <v>-20.387000000000004</v>
      </c>
      <c r="I126" s="493">
        <f t="shared" si="240"/>
        <v>-18.407000000000007</v>
      </c>
      <c r="J126" s="75">
        <f t="shared" si="240"/>
        <v>-21.342999999999989</v>
      </c>
      <c r="K126" s="75">
        <f t="shared" si="240"/>
        <v>-20.761999999999979</v>
      </c>
      <c r="L126" s="75">
        <f t="shared" si="240"/>
        <v>-17.04</v>
      </c>
      <c r="M126" s="75">
        <f t="shared" si="240"/>
        <v>-26.504000000000026</v>
      </c>
      <c r="N126" s="492">
        <f t="shared" si="240"/>
        <v>-21.897999999999996</v>
      </c>
      <c r="O126" s="75">
        <f t="shared" si="240"/>
        <v>-10.407999999999998</v>
      </c>
      <c r="P126" s="77">
        <f t="shared" ref="P126:W126" si="241">P121+SUM(P123:P125)</f>
        <v>-4.0380000000000038</v>
      </c>
      <c r="Q126" s="75">
        <f t="shared" si="241"/>
        <v>-0.72999999999999454</v>
      </c>
      <c r="R126" s="492">
        <f t="shared" si="241"/>
        <v>-5.8959999999999928</v>
      </c>
      <c r="S126" s="75">
        <f t="shared" si="241"/>
        <v>-12.393999999999972</v>
      </c>
      <c r="T126" s="75">
        <f t="shared" si="241"/>
        <v>-15.520000000000003</v>
      </c>
      <c r="U126" s="75">
        <f t="shared" si="241"/>
        <v>-16.819000000000003</v>
      </c>
      <c r="V126" s="492">
        <f t="shared" si="241"/>
        <v>-21.818000000000001</v>
      </c>
      <c r="W126" s="75">
        <f t="shared" si="241"/>
        <v>-27.977999999999998</v>
      </c>
      <c r="X126" s="75">
        <f t="shared" ref="X126:AS126" si="242">X121+SUM(X123:X125)</f>
        <v>-18.309999999999999</v>
      </c>
      <c r="Y126" s="75">
        <f t="shared" si="242"/>
        <v>-17.183000000000028</v>
      </c>
      <c r="Z126" s="492">
        <f t="shared" si="242"/>
        <v>-21.946999999999978</v>
      </c>
      <c r="AA126" s="75">
        <f t="shared" si="242"/>
        <v>-12.873000000000005</v>
      </c>
      <c r="AB126" s="75">
        <f t="shared" si="242"/>
        <v>-14.872000000000011</v>
      </c>
      <c r="AC126" s="493">
        <f>AC121+SUM(AC123:AC125)</f>
        <v>-17.709000000000032</v>
      </c>
      <c r="AD126" s="492">
        <f t="shared" si="242"/>
        <v>-12.728000000000007</v>
      </c>
      <c r="AE126" s="75">
        <f>AE121+SUM(AE123:AE125)</f>
        <v>-10.824000000000012</v>
      </c>
      <c r="AF126" s="77">
        <f t="shared" si="242"/>
        <v>-3.8829999999999982</v>
      </c>
      <c r="AG126" s="493">
        <f t="shared" si="242"/>
        <v>8.5489999999999959</v>
      </c>
      <c r="AH126" s="513">
        <f t="shared" si="242"/>
        <v>-19.321000000000012</v>
      </c>
      <c r="AI126" s="75">
        <f t="shared" si="242"/>
        <v>-10.48199999999998</v>
      </c>
      <c r="AJ126" s="75">
        <f t="shared" si="242"/>
        <v>2.8100000000000236</v>
      </c>
      <c r="AK126" s="493">
        <f t="shared" si="242"/>
        <v>4.0600000000000183</v>
      </c>
      <c r="AL126" s="492">
        <f t="shared" si="242"/>
        <v>-11.9920411789642</v>
      </c>
      <c r="AM126" s="75">
        <f t="shared" si="242"/>
        <v>-4.6199350530959649</v>
      </c>
      <c r="AN126" s="75">
        <f t="shared" si="242"/>
        <v>7.3173173790326462</v>
      </c>
      <c r="AO126" s="493">
        <f t="shared" si="242"/>
        <v>10.754462244904099</v>
      </c>
      <c r="AP126" s="492">
        <f t="shared" si="242"/>
        <v>-10.2498697499075</v>
      </c>
      <c r="AQ126" s="75">
        <f t="shared" si="242"/>
        <v>-1.3002846675737239</v>
      </c>
      <c r="AR126" s="75">
        <f t="shared" si="242"/>
        <v>11.421905300556537</v>
      </c>
      <c r="AS126" s="493">
        <f t="shared" si="242"/>
        <v>15.120738283852871</v>
      </c>
      <c r="AU126" s="79">
        <f t="shared" si="231"/>
        <v>-40.850999999999985</v>
      </c>
      <c r="AV126" s="492">
        <f t="shared" si="232"/>
        <v>-71.157000000000011</v>
      </c>
      <c r="AW126" s="79">
        <f t="shared" si="233"/>
        <v>-85.649000000000001</v>
      </c>
      <c r="AX126" s="79">
        <f t="shared" si="234"/>
        <v>-37.073999999999998</v>
      </c>
      <c r="AY126" s="79">
        <f t="shared" si="235"/>
        <v>-50.628999999999969</v>
      </c>
      <c r="AZ126" s="79">
        <f t="shared" si="236"/>
        <v>-85.289000000000016</v>
      </c>
      <c r="BA126" s="79">
        <f t="shared" si="237"/>
        <v>-67.401000000000025</v>
      </c>
      <c r="BB126" s="79">
        <f t="shared" si="238"/>
        <v>-18.886000000000024</v>
      </c>
      <c r="BC126" s="79">
        <f t="shared" si="239"/>
        <v>-22.93299999999995</v>
      </c>
      <c r="BD126" s="79">
        <f t="shared" si="223"/>
        <v>1.45980339187658</v>
      </c>
      <c r="BE126" s="79">
        <f>SUM(AP126:AS126)</f>
        <v>14.992489166928184</v>
      </c>
    </row>
    <row r="127" spans="1:57" s="33" customFormat="1" ht="12" customHeight="1">
      <c r="A127" s="490"/>
      <c r="B127" s="132"/>
      <c r="C127" s="132"/>
      <c r="D127" s="132"/>
      <c r="E127" s="132"/>
      <c r="F127" s="514"/>
      <c r="G127" s="132"/>
      <c r="H127" s="132"/>
      <c r="I127" s="515"/>
      <c r="J127" s="132"/>
      <c r="K127" s="132"/>
      <c r="L127" s="132"/>
      <c r="M127" s="132"/>
      <c r="N127" s="514"/>
      <c r="O127" s="132"/>
      <c r="P127" s="455"/>
      <c r="Q127" s="132"/>
      <c r="R127" s="289"/>
      <c r="S127" s="70"/>
      <c r="T127" s="516"/>
      <c r="U127" s="70"/>
      <c r="V127" s="517"/>
      <c r="W127" s="516"/>
      <c r="X127" s="516"/>
      <c r="Y127" s="518"/>
      <c r="Z127" s="517"/>
      <c r="AA127" s="516"/>
      <c r="AB127" s="516"/>
      <c r="AC127" s="518"/>
      <c r="AD127" s="517"/>
      <c r="AE127" s="516"/>
      <c r="AF127" s="516"/>
      <c r="AG127" s="518"/>
      <c r="AH127" s="517"/>
      <c r="AI127" s="516"/>
      <c r="AJ127" s="516"/>
      <c r="AK127" s="518"/>
      <c r="AL127" s="517"/>
      <c r="AM127" s="516"/>
      <c r="AN127" s="516"/>
      <c r="AO127" s="518"/>
      <c r="AP127" s="517"/>
      <c r="AQ127" s="516"/>
      <c r="AR127" s="516"/>
      <c r="AS127" s="518"/>
      <c r="AU127" s="519"/>
      <c r="AV127" s="517"/>
      <c r="AW127" s="519"/>
      <c r="AX127" s="519"/>
      <c r="AY127" s="519"/>
      <c r="AZ127" s="519"/>
      <c r="BA127" s="519"/>
      <c r="BB127" s="519"/>
      <c r="BC127" s="519"/>
      <c r="BD127" s="519"/>
      <c r="BE127" s="519"/>
    </row>
    <row r="128" spans="1:57" s="33" customFormat="1" ht="12" customHeight="1">
      <c r="A128" s="503" t="s">
        <v>107</v>
      </c>
      <c r="B128" s="70">
        <v>5.0999999999999997E-2</v>
      </c>
      <c r="C128" s="70">
        <v>4.1000000000000002E-2</v>
      </c>
      <c r="D128" s="70">
        <v>5.8999999999999997E-2</v>
      </c>
      <c r="E128" s="70">
        <v>0.02</v>
      </c>
      <c r="F128" s="289">
        <v>0.43099999999999999</v>
      </c>
      <c r="G128" s="70">
        <v>0.24399999999999999</v>
      </c>
      <c r="H128" s="70">
        <v>0.48199999999999998</v>
      </c>
      <c r="I128" s="449">
        <v>1.2070000000000001</v>
      </c>
      <c r="J128" s="70">
        <v>9.7000000000000003E-2</v>
      </c>
      <c r="K128" s="70">
        <v>0.86599999999999999</v>
      </c>
      <c r="L128" s="70">
        <v>0.6</v>
      </c>
      <c r="M128" s="70">
        <v>11.801</v>
      </c>
      <c r="N128" s="289">
        <v>1.079</v>
      </c>
      <c r="O128" s="70">
        <v>1.552</v>
      </c>
      <c r="P128" s="131">
        <v>1.82</v>
      </c>
      <c r="Q128" s="70">
        <v>1.206</v>
      </c>
      <c r="R128" s="289">
        <v>1.8520000000000001</v>
      </c>
      <c r="S128" s="70">
        <v>-0.75600000000000001</v>
      </c>
      <c r="T128" s="70">
        <v>0.72599999999999998</v>
      </c>
      <c r="U128" s="70">
        <v>-5.774</v>
      </c>
      <c r="V128" s="289">
        <v>2.6880000000000002</v>
      </c>
      <c r="W128" s="70">
        <v>-0.47899999999999998</v>
      </c>
      <c r="X128" s="70">
        <v>0.42</v>
      </c>
      <c r="Y128" s="449">
        <v>4.3040000000000003</v>
      </c>
      <c r="Z128" s="289">
        <v>3.15</v>
      </c>
      <c r="AA128" s="70">
        <v>3.101</v>
      </c>
      <c r="AB128" s="70">
        <v>0.69299999999999995</v>
      </c>
      <c r="AC128" s="449">
        <v>3.9390000000000001</v>
      </c>
      <c r="AD128" s="289">
        <v>1.6579999999999999</v>
      </c>
      <c r="AE128" s="131">
        <v>3.7480000000000002</v>
      </c>
      <c r="AF128" s="131">
        <v>5.3280000000000003</v>
      </c>
      <c r="AG128" s="450">
        <v>6.681</v>
      </c>
      <c r="AH128" s="451">
        <v>3.6139999999999999</v>
      </c>
      <c r="AI128" s="70">
        <v>4.2240000000000002</v>
      </c>
      <c r="AJ128" s="70">
        <v>0.55000000000000004</v>
      </c>
      <c r="AK128" s="450">
        <v>4.7969999999999997</v>
      </c>
      <c r="AL128" s="289">
        <f t="shared" ref="AL128:AS128" si="243">AL37+AL169+AL170+AL171</f>
        <v>4.9720000000000004</v>
      </c>
      <c r="AM128" s="70">
        <f t="shared" si="243"/>
        <v>7.0720000000000001</v>
      </c>
      <c r="AN128" s="70">
        <f t="shared" si="243"/>
        <v>7.2470000000000008</v>
      </c>
      <c r="AO128" s="449">
        <f t="shared" si="243"/>
        <v>7.4220000000000006</v>
      </c>
      <c r="AP128" s="289">
        <f t="shared" si="243"/>
        <v>7.5970000000000004</v>
      </c>
      <c r="AQ128" s="70">
        <f t="shared" si="243"/>
        <v>7.7720000000000011</v>
      </c>
      <c r="AR128" s="70">
        <f t="shared" si="243"/>
        <v>7.9470000000000018</v>
      </c>
      <c r="AS128" s="449">
        <f t="shared" si="243"/>
        <v>8.1219999999999999</v>
      </c>
      <c r="AU128" s="72">
        <f t="shared" ref="AU128:AU131" si="244">+SUM(B128:E128)</f>
        <v>0.17099999999999999</v>
      </c>
      <c r="AV128" s="289">
        <f t="shared" ref="AV128:AV131" si="245">+SUM(F128:I128)</f>
        <v>2.3639999999999999</v>
      </c>
      <c r="AW128" s="72">
        <f t="shared" ref="AW128:AW131" si="246">SUM(J128:M128)</f>
        <v>13.364000000000001</v>
      </c>
      <c r="AX128" s="72">
        <f t="shared" ref="AX128:AX131" si="247">+SUM(N128:Q128)</f>
        <v>5.657</v>
      </c>
      <c r="AY128" s="72">
        <f t="shared" ref="AY128:AY131" si="248">+SUM(R128:U128)</f>
        <v>-3.952</v>
      </c>
      <c r="AZ128" s="72">
        <f t="shared" ref="AZ128:AZ131" si="249">+SUM(V128:Y128)</f>
        <v>6.9329999999999998</v>
      </c>
      <c r="BA128" s="72">
        <f t="shared" ref="BA128:BA131" si="250">+SUM(Z128:AC128)</f>
        <v>10.882999999999999</v>
      </c>
      <c r="BB128" s="72">
        <f t="shared" ref="BB128:BB131" si="251">SUM(AD128:AG128)</f>
        <v>17.415000000000003</v>
      </c>
      <c r="BC128" s="72">
        <f t="shared" ref="BC128:BC131" si="252">SUM(AH128:AK128)</f>
        <v>13.184999999999999</v>
      </c>
      <c r="BD128" s="72">
        <f t="shared" si="223"/>
        <v>26.713000000000001</v>
      </c>
      <c r="BE128" s="72">
        <f>SUM(AP128:AS128)</f>
        <v>31.438000000000002</v>
      </c>
    </row>
    <row r="129" spans="1:57" s="45" customFormat="1" ht="12" customHeight="1">
      <c r="A129" s="491" t="s">
        <v>153</v>
      </c>
      <c r="B129" s="75">
        <f t="shared" ref="B129:H129" si="253">+B126-B128</f>
        <v>-8.8260000000000023</v>
      </c>
      <c r="C129" s="75">
        <f t="shared" si="253"/>
        <v>-9.2139999999999933</v>
      </c>
      <c r="D129" s="75">
        <f t="shared" si="253"/>
        <v>-11.312999999999992</v>
      </c>
      <c r="E129" s="75">
        <f t="shared" si="253"/>
        <v>-11.668999999999997</v>
      </c>
      <c r="F129" s="492">
        <f t="shared" si="253"/>
        <v>-15.888000000000003</v>
      </c>
      <c r="G129" s="75">
        <f t="shared" si="253"/>
        <v>-17.149999999999999</v>
      </c>
      <c r="H129" s="75">
        <f t="shared" si="253"/>
        <v>-20.869000000000003</v>
      </c>
      <c r="I129" s="493">
        <f>+I126-I128</f>
        <v>-19.614000000000008</v>
      </c>
      <c r="J129" s="75">
        <f t="shared" ref="J129:AS129" si="254">+J126-J128</f>
        <v>-21.439999999999991</v>
      </c>
      <c r="K129" s="75">
        <f t="shared" si="254"/>
        <v>-21.627999999999979</v>
      </c>
      <c r="L129" s="75">
        <f t="shared" si="254"/>
        <v>-17.64</v>
      </c>
      <c r="M129" s="75">
        <f t="shared" si="254"/>
        <v>-38.305000000000028</v>
      </c>
      <c r="N129" s="492">
        <f t="shared" si="254"/>
        <v>-22.976999999999997</v>
      </c>
      <c r="O129" s="75">
        <f t="shared" si="254"/>
        <v>-11.959999999999997</v>
      </c>
      <c r="P129" s="77">
        <f t="shared" si="254"/>
        <v>-5.8580000000000041</v>
      </c>
      <c r="Q129" s="75">
        <f t="shared" si="254"/>
        <v>-1.9359999999999946</v>
      </c>
      <c r="R129" s="492">
        <f t="shared" si="254"/>
        <v>-7.7479999999999931</v>
      </c>
      <c r="S129" s="75">
        <f t="shared" si="254"/>
        <v>-11.637999999999971</v>
      </c>
      <c r="T129" s="75">
        <f t="shared" si="254"/>
        <v>-16.246000000000002</v>
      </c>
      <c r="U129" s="75">
        <f t="shared" si="254"/>
        <v>-11.045000000000002</v>
      </c>
      <c r="V129" s="492">
        <f t="shared" si="254"/>
        <v>-24.506</v>
      </c>
      <c r="W129" s="75">
        <f t="shared" si="254"/>
        <v>-27.498999999999999</v>
      </c>
      <c r="X129" s="75">
        <f t="shared" si="254"/>
        <v>-18.73</v>
      </c>
      <c r="Y129" s="75">
        <f t="shared" si="254"/>
        <v>-21.48700000000003</v>
      </c>
      <c r="Z129" s="492">
        <f t="shared" si="254"/>
        <v>-25.096999999999976</v>
      </c>
      <c r="AA129" s="75">
        <f t="shared" si="254"/>
        <v>-15.974000000000004</v>
      </c>
      <c r="AB129" s="75">
        <f t="shared" si="254"/>
        <v>-15.56500000000001</v>
      </c>
      <c r="AC129" s="493">
        <f t="shared" si="254"/>
        <v>-21.648000000000032</v>
      </c>
      <c r="AD129" s="492">
        <f t="shared" si="254"/>
        <v>-14.386000000000006</v>
      </c>
      <c r="AE129" s="75">
        <f t="shared" si="254"/>
        <v>-14.572000000000013</v>
      </c>
      <c r="AF129" s="75">
        <f t="shared" si="254"/>
        <v>-9.2109999999999985</v>
      </c>
      <c r="AG129" s="493">
        <f t="shared" si="254"/>
        <v>1.8679999999999959</v>
      </c>
      <c r="AH129" s="492">
        <f t="shared" si="254"/>
        <v>-22.935000000000013</v>
      </c>
      <c r="AI129" s="75">
        <f t="shared" si="254"/>
        <v>-14.70599999999998</v>
      </c>
      <c r="AJ129" s="75">
        <f t="shared" si="254"/>
        <v>2.2600000000000238</v>
      </c>
      <c r="AK129" s="493">
        <f t="shared" si="254"/>
        <v>-0.73699999999998145</v>
      </c>
      <c r="AL129" s="492">
        <f t="shared" si="254"/>
        <v>-16.964041178964202</v>
      </c>
      <c r="AM129" s="75">
        <f t="shared" si="254"/>
        <v>-11.691935053095964</v>
      </c>
      <c r="AN129" s="75">
        <f t="shared" si="254"/>
        <v>7.0317379032645455E-2</v>
      </c>
      <c r="AO129" s="493">
        <f t="shared" si="254"/>
        <v>3.3324622449040984</v>
      </c>
      <c r="AP129" s="492">
        <f t="shared" si="254"/>
        <v>-17.846869749907501</v>
      </c>
      <c r="AQ129" s="75">
        <f t="shared" si="254"/>
        <v>-9.0722846675737259</v>
      </c>
      <c r="AR129" s="75">
        <f t="shared" si="254"/>
        <v>3.4749053005565349</v>
      </c>
      <c r="AS129" s="493">
        <f t="shared" si="254"/>
        <v>6.9987382838528713</v>
      </c>
      <c r="AU129" s="79">
        <f t="shared" si="244"/>
        <v>-41.021999999999984</v>
      </c>
      <c r="AV129" s="492">
        <f t="shared" si="245"/>
        <v>-73.521000000000015</v>
      </c>
      <c r="AW129" s="79">
        <f t="shared" si="246"/>
        <v>-99.013000000000005</v>
      </c>
      <c r="AX129" s="79">
        <f t="shared" si="247"/>
        <v>-42.730999999999995</v>
      </c>
      <c r="AY129" s="79">
        <f t="shared" si="248"/>
        <v>-46.676999999999964</v>
      </c>
      <c r="AZ129" s="79">
        <f t="shared" si="249"/>
        <v>-92.222000000000037</v>
      </c>
      <c r="BA129" s="79">
        <f t="shared" si="250"/>
        <v>-78.28400000000002</v>
      </c>
      <c r="BB129" s="79">
        <f t="shared" si="251"/>
        <v>-36.301000000000023</v>
      </c>
      <c r="BC129" s="79">
        <f t="shared" si="252"/>
        <v>-36.117999999999945</v>
      </c>
      <c r="BD129" s="79">
        <f t="shared" si="223"/>
        <v>-25.253196608123424</v>
      </c>
      <c r="BE129" s="79">
        <f>SUM(AP129:AS129)</f>
        <v>-16.445510833071822</v>
      </c>
    </row>
    <row r="130" spans="1:57" s="45" customFormat="1" ht="12" customHeight="1">
      <c r="A130" s="396" t="s">
        <v>154</v>
      </c>
      <c r="B130" s="70">
        <v>-0.18699999999999994</v>
      </c>
      <c r="C130" s="70">
        <v>-0.191</v>
      </c>
      <c r="D130" s="70">
        <v>-0.192</v>
      </c>
      <c r="E130" s="70">
        <v>-0.193</v>
      </c>
      <c r="F130" s="289">
        <v>-0.188</v>
      </c>
      <c r="G130" s="70">
        <v>-0.191</v>
      </c>
      <c r="H130" s="70">
        <v>-5.5E-2</v>
      </c>
      <c r="I130" s="449">
        <v>0</v>
      </c>
      <c r="J130" s="70">
        <v>0</v>
      </c>
      <c r="K130" s="70">
        <v>0</v>
      </c>
      <c r="L130" s="70">
        <v>0</v>
      </c>
      <c r="M130" s="70">
        <v>0</v>
      </c>
      <c r="N130" s="289">
        <v>0</v>
      </c>
      <c r="O130" s="70">
        <v>0</v>
      </c>
      <c r="P130" s="131">
        <v>0</v>
      </c>
      <c r="Q130" s="70">
        <v>0</v>
      </c>
      <c r="R130" s="289">
        <v>0</v>
      </c>
      <c r="S130" s="75">
        <v>0</v>
      </c>
      <c r="T130" s="75">
        <v>0</v>
      </c>
      <c r="U130" s="75">
        <v>0</v>
      </c>
      <c r="V130" s="492">
        <v>0</v>
      </c>
      <c r="W130" s="75">
        <v>0</v>
      </c>
      <c r="X130" s="75">
        <v>0</v>
      </c>
      <c r="Y130" s="75">
        <v>0</v>
      </c>
      <c r="Z130" s="492">
        <v>0</v>
      </c>
      <c r="AA130" s="75">
        <v>0</v>
      </c>
      <c r="AB130" s="70">
        <v>0</v>
      </c>
      <c r="AC130" s="493">
        <v>0</v>
      </c>
      <c r="AD130" s="492">
        <v>0</v>
      </c>
      <c r="AE130" s="77">
        <v>0</v>
      </c>
      <c r="AF130" s="75">
        <v>0</v>
      </c>
      <c r="AG130" s="493">
        <v>0</v>
      </c>
      <c r="AH130" s="492">
        <v>0</v>
      </c>
      <c r="AI130" s="75">
        <v>0</v>
      </c>
      <c r="AJ130" s="75">
        <v>0</v>
      </c>
      <c r="AK130" s="493">
        <v>0</v>
      </c>
      <c r="AL130" s="492">
        <v>0</v>
      </c>
      <c r="AM130" s="75">
        <v>0</v>
      </c>
      <c r="AN130" s="75">
        <v>0</v>
      </c>
      <c r="AO130" s="493">
        <v>0</v>
      </c>
      <c r="AP130" s="492">
        <v>0</v>
      </c>
      <c r="AQ130" s="75">
        <v>0</v>
      </c>
      <c r="AR130" s="75">
        <v>0</v>
      </c>
      <c r="AS130" s="493">
        <v>0</v>
      </c>
      <c r="AU130" s="79">
        <f t="shared" si="244"/>
        <v>-0.7629999999999999</v>
      </c>
      <c r="AV130" s="289">
        <f t="shared" si="245"/>
        <v>-0.434</v>
      </c>
      <c r="AW130" s="72">
        <f t="shared" si="246"/>
        <v>0</v>
      </c>
      <c r="AX130" s="72">
        <f t="shared" si="247"/>
        <v>0</v>
      </c>
      <c r="AY130" s="79">
        <f t="shared" si="248"/>
        <v>0</v>
      </c>
      <c r="AZ130" s="79">
        <f t="shared" si="249"/>
        <v>0</v>
      </c>
      <c r="BA130" s="79">
        <f t="shared" si="250"/>
        <v>0</v>
      </c>
      <c r="BB130" s="79">
        <f t="shared" si="251"/>
        <v>0</v>
      </c>
      <c r="BC130" s="79">
        <f t="shared" si="252"/>
        <v>0</v>
      </c>
      <c r="BD130" s="79">
        <f t="shared" si="223"/>
        <v>0</v>
      </c>
      <c r="BE130" s="79">
        <f>SUM(AP130:AS130)</f>
        <v>0</v>
      </c>
    </row>
    <row r="131" spans="1:57" s="45" customFormat="1" ht="12" customHeight="1">
      <c r="A131" s="520" t="s">
        <v>155</v>
      </c>
      <c r="B131" s="75">
        <f>B129+B130</f>
        <v>-9.0130000000000017</v>
      </c>
      <c r="C131" s="75">
        <f t="shared" ref="C131:AS131" si="255">C129+C130</f>
        <v>-9.404999999999994</v>
      </c>
      <c r="D131" s="75">
        <f t="shared" si="255"/>
        <v>-11.504999999999992</v>
      </c>
      <c r="E131" s="75">
        <f t="shared" si="255"/>
        <v>-11.861999999999997</v>
      </c>
      <c r="F131" s="492">
        <f t="shared" si="255"/>
        <v>-16.076000000000004</v>
      </c>
      <c r="G131" s="75">
        <f t="shared" si="255"/>
        <v>-17.340999999999998</v>
      </c>
      <c r="H131" s="75">
        <f t="shared" si="255"/>
        <v>-20.924000000000003</v>
      </c>
      <c r="I131" s="493">
        <f t="shared" si="255"/>
        <v>-19.614000000000008</v>
      </c>
      <c r="J131" s="75">
        <f t="shared" si="255"/>
        <v>-21.439999999999991</v>
      </c>
      <c r="K131" s="75">
        <f t="shared" si="255"/>
        <v>-21.627999999999979</v>
      </c>
      <c r="L131" s="75">
        <f t="shared" si="255"/>
        <v>-17.64</v>
      </c>
      <c r="M131" s="75">
        <f t="shared" si="255"/>
        <v>-38.305000000000028</v>
      </c>
      <c r="N131" s="492">
        <f t="shared" si="255"/>
        <v>-22.976999999999997</v>
      </c>
      <c r="O131" s="75">
        <f t="shared" si="255"/>
        <v>-11.959999999999997</v>
      </c>
      <c r="P131" s="77">
        <f t="shared" si="255"/>
        <v>-5.8580000000000041</v>
      </c>
      <c r="Q131" s="75">
        <f t="shared" si="255"/>
        <v>-1.9359999999999946</v>
      </c>
      <c r="R131" s="492">
        <f t="shared" si="255"/>
        <v>-7.7479999999999931</v>
      </c>
      <c r="S131" s="75">
        <f t="shared" si="255"/>
        <v>-11.637999999999971</v>
      </c>
      <c r="T131" s="75">
        <f t="shared" si="255"/>
        <v>-16.246000000000002</v>
      </c>
      <c r="U131" s="75">
        <f t="shared" si="255"/>
        <v>-11.045000000000002</v>
      </c>
      <c r="V131" s="492">
        <f t="shared" si="255"/>
        <v>-24.506</v>
      </c>
      <c r="W131" s="75">
        <f t="shared" si="255"/>
        <v>-27.498999999999999</v>
      </c>
      <c r="X131" s="75">
        <f t="shared" si="255"/>
        <v>-18.73</v>
      </c>
      <c r="Y131" s="75">
        <f t="shared" si="255"/>
        <v>-21.48700000000003</v>
      </c>
      <c r="Z131" s="492">
        <f t="shared" si="255"/>
        <v>-25.096999999999976</v>
      </c>
      <c r="AA131" s="75">
        <f t="shared" si="255"/>
        <v>-15.974000000000004</v>
      </c>
      <c r="AB131" s="75">
        <f t="shared" si="255"/>
        <v>-15.56500000000001</v>
      </c>
      <c r="AC131" s="493">
        <f t="shared" si="255"/>
        <v>-21.648000000000032</v>
      </c>
      <c r="AD131" s="492">
        <f t="shared" si="255"/>
        <v>-14.386000000000006</v>
      </c>
      <c r="AE131" s="75">
        <f t="shared" si="255"/>
        <v>-14.572000000000013</v>
      </c>
      <c r="AF131" s="75">
        <f>AF129+AF130</f>
        <v>-9.2109999999999985</v>
      </c>
      <c r="AG131" s="493">
        <f t="shared" si="255"/>
        <v>1.8679999999999959</v>
      </c>
      <c r="AH131" s="492">
        <f t="shared" si="255"/>
        <v>-22.935000000000013</v>
      </c>
      <c r="AI131" s="75">
        <f t="shared" si="255"/>
        <v>-14.70599999999998</v>
      </c>
      <c r="AJ131" s="75">
        <f t="shared" si="255"/>
        <v>2.2600000000000238</v>
      </c>
      <c r="AK131" s="493">
        <f t="shared" si="255"/>
        <v>-0.73699999999998145</v>
      </c>
      <c r="AL131" s="492">
        <f t="shared" si="255"/>
        <v>-16.964041178964202</v>
      </c>
      <c r="AM131" s="75">
        <f t="shared" si="255"/>
        <v>-11.691935053095964</v>
      </c>
      <c r="AN131" s="75">
        <f t="shared" si="255"/>
        <v>7.0317379032645455E-2</v>
      </c>
      <c r="AO131" s="493">
        <f t="shared" si="255"/>
        <v>3.3324622449040984</v>
      </c>
      <c r="AP131" s="492">
        <f t="shared" si="255"/>
        <v>-17.846869749907501</v>
      </c>
      <c r="AQ131" s="75">
        <f t="shared" si="255"/>
        <v>-9.0722846675737259</v>
      </c>
      <c r="AR131" s="75">
        <f t="shared" si="255"/>
        <v>3.4749053005565349</v>
      </c>
      <c r="AS131" s="493">
        <f t="shared" si="255"/>
        <v>6.9987382838528713</v>
      </c>
      <c r="AU131" s="79">
        <f t="shared" si="244"/>
        <v>-41.784999999999982</v>
      </c>
      <c r="AV131" s="492">
        <f t="shared" si="245"/>
        <v>-73.955000000000013</v>
      </c>
      <c r="AW131" s="79">
        <f t="shared" si="246"/>
        <v>-99.013000000000005</v>
      </c>
      <c r="AX131" s="79">
        <f t="shared" si="247"/>
        <v>-42.730999999999995</v>
      </c>
      <c r="AY131" s="79">
        <f t="shared" si="248"/>
        <v>-46.676999999999964</v>
      </c>
      <c r="AZ131" s="79">
        <f t="shared" si="249"/>
        <v>-92.222000000000037</v>
      </c>
      <c r="BA131" s="79">
        <f t="shared" si="250"/>
        <v>-78.28400000000002</v>
      </c>
      <c r="BB131" s="79">
        <f t="shared" si="251"/>
        <v>-36.301000000000023</v>
      </c>
      <c r="BC131" s="79">
        <f t="shared" si="252"/>
        <v>-36.117999999999945</v>
      </c>
      <c r="BD131" s="79">
        <f t="shared" si="223"/>
        <v>-25.253196608123424</v>
      </c>
      <c r="BE131" s="79">
        <f>SUM(AP131:AS131)</f>
        <v>-16.445510833071822</v>
      </c>
    </row>
    <row r="132" spans="1:57" s="33" customFormat="1" ht="12" customHeight="1">
      <c r="A132" s="521"/>
      <c r="B132" s="498"/>
      <c r="C132" s="498"/>
      <c r="D132" s="498"/>
      <c r="E132" s="498"/>
      <c r="F132" s="497"/>
      <c r="G132" s="498"/>
      <c r="H132" s="498"/>
      <c r="I132" s="500"/>
      <c r="J132" s="498"/>
      <c r="K132" s="498"/>
      <c r="L132" s="498"/>
      <c r="M132" s="498"/>
      <c r="N132" s="497"/>
      <c r="O132" s="498"/>
      <c r="P132" s="499"/>
      <c r="Q132" s="498"/>
      <c r="R132" s="497"/>
      <c r="S132" s="498"/>
      <c r="T132" s="498"/>
      <c r="U132" s="75"/>
      <c r="V132" s="497"/>
      <c r="W132" s="498"/>
      <c r="X132" s="498"/>
      <c r="Y132" s="75"/>
      <c r="Z132" s="492"/>
      <c r="AA132" s="75"/>
      <c r="AB132" s="75"/>
      <c r="AC132" s="493"/>
      <c r="AD132" s="492"/>
      <c r="AE132" s="75"/>
      <c r="AF132" s="75"/>
      <c r="AG132" s="493"/>
      <c r="AH132" s="492"/>
      <c r="AI132" s="75"/>
      <c r="AJ132" s="75"/>
      <c r="AK132" s="493"/>
      <c r="AL132" s="492"/>
      <c r="AM132" s="75"/>
      <c r="AN132" s="75"/>
      <c r="AO132" s="493"/>
      <c r="AP132" s="492"/>
      <c r="AQ132" s="75"/>
      <c r="AR132" s="75"/>
      <c r="AS132" s="493"/>
      <c r="AU132" s="502"/>
      <c r="AV132" s="497"/>
      <c r="AW132" s="502"/>
      <c r="AX132" s="502"/>
      <c r="AY132" s="502"/>
      <c r="AZ132" s="502"/>
      <c r="BA132" s="502"/>
      <c r="BB132" s="502"/>
      <c r="BC132" s="502"/>
      <c r="BD132" s="502"/>
      <c r="BE132" s="502"/>
    </row>
    <row r="133" spans="1:57" s="33" customFormat="1" ht="12" customHeight="1">
      <c r="A133" s="288" t="s">
        <v>156</v>
      </c>
      <c r="B133" s="522">
        <v>-0.4267174525803914</v>
      </c>
      <c r="C133" s="522">
        <f t="shared" ref="C133:AS133" si="256">IF(C131&lt;0,C131/C136,C131/C137)</f>
        <v>-0.4263372620126924</v>
      </c>
      <c r="D133" s="522">
        <f t="shared" si="256"/>
        <v>-0.50729749988976558</v>
      </c>
      <c r="E133" s="522">
        <f t="shared" si="256"/>
        <v>-0.51964778551715052</v>
      </c>
      <c r="F133" s="523">
        <f t="shared" si="256"/>
        <v>-0.6842306873802938</v>
      </c>
      <c r="G133" s="522">
        <f t="shared" si="256"/>
        <v>-0.73014736842105254</v>
      </c>
      <c r="H133" s="522">
        <f t="shared" si="256"/>
        <v>-0.2817629711423224</v>
      </c>
      <c r="I133" s="524">
        <f t="shared" si="256"/>
        <v>-0.21276318786813769</v>
      </c>
      <c r="J133" s="522">
        <f t="shared" si="256"/>
        <v>-0.22872260982739115</v>
      </c>
      <c r="K133" s="522">
        <f t="shared" si="256"/>
        <v>-0.22571488207054874</v>
      </c>
      <c r="L133" s="522">
        <f t="shared" si="256"/>
        <v>-0.18240287873931071</v>
      </c>
      <c r="M133" s="522">
        <f t="shared" si="256"/>
        <v>-0.39191512001473355</v>
      </c>
      <c r="N133" s="523">
        <f t="shared" si="256"/>
        <v>-0.23243133882959888</v>
      </c>
      <c r="O133" s="522">
        <f t="shared" si="256"/>
        <v>-0.11935055733516947</v>
      </c>
      <c r="P133" s="525">
        <f t="shared" si="256"/>
        <v>-5.7580404183376621E-2</v>
      </c>
      <c r="Q133" s="522">
        <f t="shared" si="256"/>
        <v>-1.8759144598509681E-2</v>
      </c>
      <c r="R133" s="523">
        <f t="shared" si="256"/>
        <v>-7.4121552458122394E-2</v>
      </c>
      <c r="S133" s="522">
        <f t="shared" si="256"/>
        <v>-0.10992830762546138</v>
      </c>
      <c r="T133" s="522">
        <f t="shared" si="256"/>
        <v>-0.1520178910628901</v>
      </c>
      <c r="U133" s="522">
        <f t="shared" si="256"/>
        <v>-0.10204647295237217</v>
      </c>
      <c r="V133" s="523">
        <f t="shared" si="256"/>
        <v>-0.22375004565209453</v>
      </c>
      <c r="W133" s="522">
        <f t="shared" si="256"/>
        <v>-0.24764726542448284</v>
      </c>
      <c r="X133" s="522">
        <f t="shared" si="256"/>
        <v>-0.1673262638805757</v>
      </c>
      <c r="Y133" s="522">
        <f t="shared" si="256"/>
        <v>-0.19058558478650395</v>
      </c>
      <c r="Z133" s="523">
        <f t="shared" si="256"/>
        <v>-0.22054765629119266</v>
      </c>
      <c r="AA133" s="522">
        <f t="shared" si="256"/>
        <v>-0.13874629769566846</v>
      </c>
      <c r="AB133" s="522">
        <f t="shared" si="256"/>
        <v>-0.13423426531210661</v>
      </c>
      <c r="AC133" s="524">
        <f t="shared" si="256"/>
        <v>-0.18547426681631665</v>
      </c>
      <c r="AD133" s="523">
        <f t="shared" si="256"/>
        <v>-0.12239029453301804</v>
      </c>
      <c r="AE133" s="522">
        <f t="shared" si="256"/>
        <v>-0.12278292228747663</v>
      </c>
      <c r="AF133" s="522">
        <f t="shared" si="256"/>
        <v>-7.7293591454153335E-2</v>
      </c>
      <c r="AG133" s="524">
        <f t="shared" si="256"/>
        <v>1.5082396066304377E-2</v>
      </c>
      <c r="AH133" s="523">
        <f t="shared" si="256"/>
        <v>-0.19099289657986571</v>
      </c>
      <c r="AI133" s="522">
        <f t="shared" si="256"/>
        <v>-0.12155828697542533</v>
      </c>
      <c r="AJ133" s="522">
        <f t="shared" si="256"/>
        <v>1.8531729436750417E-2</v>
      </c>
      <c r="AK133" s="524">
        <f t="shared" si="256"/>
        <v>-6.1958806221099746E-3</v>
      </c>
      <c r="AL133" s="523">
        <f t="shared" si="256"/>
        <v>-0.14237550297074444</v>
      </c>
      <c r="AM133" s="522">
        <f t="shared" si="256"/>
        <v>-9.7963427340561071E-2</v>
      </c>
      <c r="AN133" s="522">
        <f t="shared" si="256"/>
        <v>5.9616260307456936E-4</v>
      </c>
      <c r="AO133" s="524">
        <f t="shared" si="256"/>
        <v>2.8253177150522241E-2</v>
      </c>
      <c r="AP133" s="523">
        <f t="shared" si="256"/>
        <v>-0.14878590871119216</v>
      </c>
      <c r="AQ133" s="522">
        <f t="shared" si="256"/>
        <v>-7.5507987245723884E-2</v>
      </c>
      <c r="AR133" s="522">
        <f t="shared" si="256"/>
        <v>2.9215615441033588E-2</v>
      </c>
      <c r="AS133" s="524">
        <f t="shared" si="256"/>
        <v>5.8679787740864187E-2</v>
      </c>
      <c r="AU133" s="526">
        <f t="shared" ref="AU133:BE133" si="257">IF(AU131&lt;0,AU131/AU136,AU131/AU137)</f>
        <v>-1.8812750438971675</v>
      </c>
      <c r="AV133" s="526">
        <f t="shared" si="257"/>
        <v>-1.3779835659319164</v>
      </c>
      <c r="AW133" s="526">
        <f t="shared" si="257"/>
        <v>-1.0312350282250506</v>
      </c>
      <c r="AX133" s="526">
        <f t="shared" si="257"/>
        <v>-0.42304151115247152</v>
      </c>
      <c r="AY133" s="526">
        <f t="shared" si="257"/>
        <v>-0.43874721535525923</v>
      </c>
      <c r="AZ133" s="526">
        <f t="shared" si="257"/>
        <v>-0.82843308989319209</v>
      </c>
      <c r="BA133" s="526">
        <f t="shared" si="257"/>
        <v>-0.67837676236362554</v>
      </c>
      <c r="BB133" s="526">
        <f t="shared" si="257"/>
        <v>-0.30560255924569624</v>
      </c>
      <c r="BC133" s="526">
        <f t="shared" si="257"/>
        <v>-0.30067326402980216</v>
      </c>
      <c r="BD133" s="526">
        <f t="shared" si="257"/>
        <v>-0.21141227800856779</v>
      </c>
      <c r="BE133" s="526">
        <f t="shared" si="257"/>
        <v>-0.13676100484883011</v>
      </c>
    </row>
    <row r="134" spans="1:57" s="33" customFormat="1" ht="12" customHeight="1">
      <c r="A134" s="521" t="s">
        <v>157</v>
      </c>
      <c r="B134" s="258"/>
      <c r="C134" s="258"/>
      <c r="D134" s="258"/>
      <c r="E134" s="258"/>
      <c r="F134" s="463"/>
      <c r="G134" s="461"/>
      <c r="H134" s="461"/>
      <c r="I134" s="462"/>
      <c r="J134" s="461"/>
      <c r="K134" s="461"/>
      <c r="L134" s="461"/>
      <c r="M134" s="461"/>
      <c r="N134" s="463"/>
      <c r="O134" s="461"/>
      <c r="P134" s="461"/>
      <c r="Q134" s="461"/>
      <c r="R134" s="527"/>
      <c r="S134" s="256"/>
      <c r="T134" s="256"/>
      <c r="U134" s="75"/>
      <c r="V134" s="528"/>
      <c r="W134" s="256"/>
      <c r="X134" s="256"/>
      <c r="Y134" s="75"/>
      <c r="Z134" s="492"/>
      <c r="AA134" s="75"/>
      <c r="AB134" s="75"/>
      <c r="AC134" s="493"/>
      <c r="AD134" s="492"/>
      <c r="AE134" s="75"/>
      <c r="AF134" s="75"/>
      <c r="AG134" s="493"/>
      <c r="AH134" s="492"/>
      <c r="AI134" s="75"/>
      <c r="AJ134" s="75"/>
      <c r="AK134" s="493"/>
      <c r="AL134" s="492"/>
      <c r="AM134" s="75"/>
      <c r="AN134" s="75"/>
      <c r="AO134" s="493"/>
      <c r="AP134" s="492"/>
      <c r="AQ134" s="75"/>
      <c r="AR134" s="75"/>
      <c r="AS134" s="493"/>
      <c r="AU134" s="464"/>
      <c r="AV134" s="528"/>
      <c r="AW134" s="528"/>
      <c r="AX134" s="464"/>
      <c r="AY134" s="464"/>
      <c r="AZ134" s="464"/>
      <c r="BA134" s="464"/>
      <c r="BB134" s="464"/>
      <c r="BC134" s="464"/>
      <c r="BD134" s="464"/>
      <c r="BE134" s="464"/>
    </row>
    <row r="135" spans="1:57" s="33" customFormat="1" ht="12" customHeight="1">
      <c r="A135" s="521"/>
      <c r="B135" s="256"/>
      <c r="C135" s="256"/>
      <c r="D135" s="256"/>
      <c r="E135" s="256"/>
      <c r="F135" s="528"/>
      <c r="G135" s="256"/>
      <c r="H135" s="256"/>
      <c r="I135" s="529"/>
      <c r="J135" s="256"/>
      <c r="K135" s="256"/>
      <c r="L135" s="256"/>
      <c r="M135" s="256"/>
      <c r="N135" s="528"/>
      <c r="O135" s="256"/>
      <c r="P135" s="258"/>
      <c r="Q135" s="256"/>
      <c r="R135" s="528"/>
      <c r="S135" s="256"/>
      <c r="T135" s="256"/>
      <c r="U135" s="75"/>
      <c r="V135" s="528"/>
      <c r="W135" s="256"/>
      <c r="X135" s="256"/>
      <c r="Y135" s="75"/>
      <c r="Z135" s="492"/>
      <c r="AA135" s="75"/>
      <c r="AB135" s="75"/>
      <c r="AC135" s="493"/>
      <c r="AD135" s="492"/>
      <c r="AE135" s="75"/>
      <c r="AF135" s="75"/>
      <c r="AG135" s="493"/>
      <c r="AH135" s="492"/>
      <c r="AI135" s="75"/>
      <c r="AJ135" s="75"/>
      <c r="AK135" s="493"/>
      <c r="AL135" s="492"/>
      <c r="AM135" s="75"/>
      <c r="AN135" s="75"/>
      <c r="AO135" s="493"/>
      <c r="AP135" s="492"/>
      <c r="AQ135" s="75"/>
      <c r="AR135" s="75"/>
      <c r="AS135" s="493"/>
      <c r="AU135" s="464"/>
      <c r="AV135" s="528"/>
      <c r="AW135" s="530"/>
      <c r="AX135" s="530"/>
      <c r="AY135" s="464"/>
      <c r="AZ135" s="464"/>
      <c r="BA135" s="464"/>
      <c r="BB135" s="464"/>
      <c r="BC135" s="464"/>
      <c r="BD135" s="464"/>
      <c r="BE135" s="464"/>
    </row>
    <row r="136" spans="1:57" s="33" customFormat="1" ht="12" customHeight="1">
      <c r="A136" s="288" t="s">
        <v>115</v>
      </c>
      <c r="B136" s="531"/>
      <c r="C136" s="531">
        <v>22.06</v>
      </c>
      <c r="D136" s="531">
        <v>22.678999999999998</v>
      </c>
      <c r="E136" s="531">
        <v>22.827000000000002</v>
      </c>
      <c r="F136" s="532">
        <v>23.495000000000001</v>
      </c>
      <c r="G136" s="531">
        <v>23.75</v>
      </c>
      <c r="H136" s="531">
        <v>74.260999999999996</v>
      </c>
      <c r="I136" s="533">
        <v>92.186999999999998</v>
      </c>
      <c r="J136" s="531">
        <v>93.738</v>
      </c>
      <c r="K136" s="531">
        <v>95.82</v>
      </c>
      <c r="L136" s="531">
        <v>96.709000000000003</v>
      </c>
      <c r="M136" s="531">
        <v>97.738</v>
      </c>
      <c r="N136" s="532">
        <v>98.855000000000004</v>
      </c>
      <c r="O136" s="531">
        <v>100.209</v>
      </c>
      <c r="P136" s="531">
        <v>101.736</v>
      </c>
      <c r="Q136" s="531">
        <v>103.203</v>
      </c>
      <c r="R136" s="532">
        <v>104.53100000000001</v>
      </c>
      <c r="S136" s="531">
        <v>105.869</v>
      </c>
      <c r="T136" s="531">
        <v>106.869</v>
      </c>
      <c r="U136" s="131">
        <v>108.235</v>
      </c>
      <c r="V136" s="532">
        <v>109.524</v>
      </c>
      <c r="W136" s="531">
        <v>111.041</v>
      </c>
      <c r="X136" s="531">
        <v>111.937</v>
      </c>
      <c r="Y136" s="131">
        <v>112.742</v>
      </c>
      <c r="Z136" s="451">
        <v>113.794</v>
      </c>
      <c r="AA136" s="131">
        <v>115.131</v>
      </c>
      <c r="AB136" s="131">
        <v>115.95399999999999</v>
      </c>
      <c r="AC136" s="450">
        <v>116.717</v>
      </c>
      <c r="AD136" s="451">
        <v>117.542</v>
      </c>
      <c r="AE136" s="131">
        <v>118.681</v>
      </c>
      <c r="AF136" s="131">
        <v>119.169</v>
      </c>
      <c r="AG136" s="450">
        <v>119.748</v>
      </c>
      <c r="AH136" s="451">
        <v>120.083</v>
      </c>
      <c r="AI136" s="131">
        <v>120.979</v>
      </c>
      <c r="AJ136" s="131">
        <v>120.483</v>
      </c>
      <c r="AK136" s="450">
        <f>+AK137</f>
        <v>118.95</v>
      </c>
      <c r="AL136" s="451">
        <f t="shared" ref="AL136:AS137" si="258">AL52</f>
        <v>119.15</v>
      </c>
      <c r="AM136" s="131">
        <f t="shared" si="258"/>
        <v>119.35000000000001</v>
      </c>
      <c r="AN136" s="131">
        <f t="shared" si="258"/>
        <v>119.55000000000001</v>
      </c>
      <c r="AO136" s="450">
        <f t="shared" si="258"/>
        <v>119.75000000000001</v>
      </c>
      <c r="AP136" s="451">
        <f t="shared" si="258"/>
        <v>119.95000000000002</v>
      </c>
      <c r="AQ136" s="131">
        <f t="shared" si="258"/>
        <v>120.15000000000002</v>
      </c>
      <c r="AR136" s="131">
        <f t="shared" si="258"/>
        <v>120.35000000000002</v>
      </c>
      <c r="AS136" s="450">
        <f t="shared" si="258"/>
        <v>120.55000000000003</v>
      </c>
      <c r="AU136" s="534">
        <v>22.210999999999999</v>
      </c>
      <c r="AV136" s="532">
        <v>53.668999999999997</v>
      </c>
      <c r="AW136" s="532">
        <v>96.013999999999996</v>
      </c>
      <c r="AX136" s="534">
        <v>101.009</v>
      </c>
      <c r="AY136" s="534">
        <v>106.387</v>
      </c>
      <c r="AZ136" s="534">
        <v>111.321</v>
      </c>
      <c r="BA136" s="535">
        <f t="shared" ref="BA136:BE137" si="259">BA52</f>
        <v>115.399</v>
      </c>
      <c r="BB136" s="535">
        <f t="shared" si="259"/>
        <v>118.785</v>
      </c>
      <c r="BC136" s="535">
        <f t="shared" si="259"/>
        <v>120.12375</v>
      </c>
      <c r="BD136" s="535">
        <f t="shared" si="259"/>
        <v>119.45</v>
      </c>
      <c r="BE136" s="535">
        <f t="shared" si="259"/>
        <v>120.25000000000001</v>
      </c>
    </row>
    <row r="137" spans="1:57" s="45" customFormat="1" ht="12" customHeight="1">
      <c r="A137" s="536" t="s">
        <v>148</v>
      </c>
      <c r="B137" s="537"/>
      <c r="C137" s="537">
        <v>77.445999999999998</v>
      </c>
      <c r="D137" s="537">
        <v>78.064999999999998</v>
      </c>
      <c r="E137" s="537">
        <v>78.213000000000008</v>
      </c>
      <c r="F137" s="538">
        <v>78.881</v>
      </c>
      <c r="G137" s="537">
        <v>79.135999999999996</v>
      </c>
      <c r="H137" s="537">
        <v>88.71</v>
      </c>
      <c r="I137" s="539">
        <v>92.186999999999998</v>
      </c>
      <c r="J137" s="537">
        <v>93.738</v>
      </c>
      <c r="K137" s="537">
        <v>95.82</v>
      </c>
      <c r="L137" s="537">
        <v>96.709000000000003</v>
      </c>
      <c r="M137" s="537">
        <v>97.738</v>
      </c>
      <c r="N137" s="538">
        <v>98.855000000000004</v>
      </c>
      <c r="O137" s="537">
        <v>108.587</v>
      </c>
      <c r="P137" s="537">
        <v>111.224</v>
      </c>
      <c r="Q137" s="537">
        <v>112.691</v>
      </c>
      <c r="R137" s="538">
        <v>113.934</v>
      </c>
      <c r="S137" s="537">
        <v>113.869</v>
      </c>
      <c r="T137" s="537">
        <v>114.983</v>
      </c>
      <c r="U137" s="540">
        <v>116.46599999999999</v>
      </c>
      <c r="V137" s="538">
        <v>117.155</v>
      </c>
      <c r="W137" s="541">
        <v>118.057</v>
      </c>
      <c r="X137" s="541">
        <v>117.334</v>
      </c>
      <c r="Y137" s="540">
        <v>117.54600000000001</v>
      </c>
      <c r="Z137" s="542">
        <v>119.264</v>
      </c>
      <c r="AA137" s="540">
        <v>120.057</v>
      </c>
      <c r="AB137" s="540">
        <v>122.5</v>
      </c>
      <c r="AC137" s="543">
        <v>122.023</v>
      </c>
      <c r="AD137" s="542">
        <v>123.26600000000001</v>
      </c>
      <c r="AE137" s="540">
        <v>123.056</v>
      </c>
      <c r="AF137" s="540">
        <v>123.288</v>
      </c>
      <c r="AG137" s="543">
        <v>123.85299999999999</v>
      </c>
      <c r="AH137" s="542">
        <v>124.152</v>
      </c>
      <c r="AI137" s="540">
        <v>122.875</v>
      </c>
      <c r="AJ137" s="540">
        <v>121.953</v>
      </c>
      <c r="AK137" s="543">
        <v>118.95</v>
      </c>
      <c r="AL137" s="542">
        <f t="shared" si="258"/>
        <v>117.95</v>
      </c>
      <c r="AM137" s="540">
        <f t="shared" si="258"/>
        <v>117.95</v>
      </c>
      <c r="AN137" s="540">
        <f t="shared" si="258"/>
        <v>117.95</v>
      </c>
      <c r="AO137" s="543">
        <f t="shared" si="258"/>
        <v>117.95</v>
      </c>
      <c r="AP137" s="542">
        <f t="shared" si="258"/>
        <v>118.28</v>
      </c>
      <c r="AQ137" s="540">
        <f t="shared" si="258"/>
        <v>118.61</v>
      </c>
      <c r="AR137" s="540">
        <f t="shared" si="258"/>
        <v>118.94</v>
      </c>
      <c r="AS137" s="543">
        <f t="shared" si="258"/>
        <v>119.27</v>
      </c>
      <c r="AU137" s="544">
        <v>22.210999999999999</v>
      </c>
      <c r="AV137" s="538">
        <v>84.774000000000001</v>
      </c>
      <c r="AW137" s="538">
        <v>96.013999999999996</v>
      </c>
      <c r="AX137" s="544">
        <v>109.962</v>
      </c>
      <c r="AY137" s="544">
        <v>114.825</v>
      </c>
      <c r="AZ137" s="544">
        <v>117.53400000000001</v>
      </c>
      <c r="BA137" s="545">
        <f t="shared" si="259"/>
        <v>120.96100000000001</v>
      </c>
      <c r="BB137" s="545">
        <f t="shared" si="259"/>
        <v>123.36575000000001</v>
      </c>
      <c r="BC137" s="545">
        <f t="shared" si="259"/>
        <v>121.9825</v>
      </c>
      <c r="BD137" s="545">
        <f t="shared" si="259"/>
        <v>117.95</v>
      </c>
      <c r="BE137" s="545">
        <f t="shared" si="259"/>
        <v>118.77499999999999</v>
      </c>
    </row>
    <row r="138" spans="1:57" ht="12" customHeight="1">
      <c r="A138" s="288"/>
      <c r="B138" s="546"/>
      <c r="C138" s="546"/>
      <c r="D138" s="546"/>
      <c r="E138" s="546"/>
      <c r="F138" s="546"/>
      <c r="G138" s="546"/>
      <c r="H138" s="546"/>
      <c r="I138" s="546"/>
      <c r="J138" s="546"/>
      <c r="K138" s="546"/>
      <c r="L138" s="546"/>
      <c r="M138" s="546"/>
      <c r="N138" s="546"/>
      <c r="O138" s="546"/>
      <c r="P138" s="546"/>
      <c r="Q138" s="546"/>
      <c r="R138" s="546"/>
      <c r="S138" s="546"/>
      <c r="T138" s="546"/>
      <c r="U138" s="546"/>
      <c r="V138" s="546"/>
      <c r="W138" s="546"/>
      <c r="X138" s="546"/>
      <c r="Y138" s="546"/>
      <c r="Z138" s="546"/>
      <c r="AA138" s="546"/>
      <c r="AB138" s="546"/>
      <c r="AC138" s="546"/>
      <c r="AD138" s="546"/>
      <c r="AE138" s="546"/>
      <c r="AF138" s="546"/>
      <c r="AG138" s="546"/>
      <c r="AH138" s="546"/>
      <c r="AI138" s="546"/>
      <c r="AJ138" s="546"/>
      <c r="AK138" s="546"/>
      <c r="AL138" s="546"/>
      <c r="AM138" s="546"/>
      <c r="AN138" s="546"/>
      <c r="AO138" s="546"/>
      <c r="AP138" s="546"/>
      <c r="AQ138" s="546"/>
      <c r="AR138" s="546"/>
      <c r="AS138" s="546"/>
    </row>
    <row r="139" spans="1:57" ht="12" customHeight="1">
      <c r="A139" s="521" t="s">
        <v>158</v>
      </c>
      <c r="B139" s="547"/>
      <c r="C139" s="547"/>
      <c r="D139" s="547"/>
      <c r="E139" s="547"/>
      <c r="F139" s="547"/>
      <c r="G139" s="547"/>
      <c r="H139" s="548"/>
      <c r="I139" s="547"/>
      <c r="J139" s="547"/>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row>
    <row r="140" spans="1:57" ht="12" customHeight="1">
      <c r="A140" s="549" t="s">
        <v>159</v>
      </c>
      <c r="B140" s="550">
        <f t="shared" ref="B140:BD140" si="260">B$4</f>
        <v>42825</v>
      </c>
      <c r="C140" s="551">
        <f t="shared" si="260"/>
        <v>42916</v>
      </c>
      <c r="D140" s="551">
        <f t="shared" si="260"/>
        <v>43008</v>
      </c>
      <c r="E140" s="552">
        <f t="shared" si="260"/>
        <v>43100</v>
      </c>
      <c r="F140" s="551">
        <f t="shared" si="260"/>
        <v>43190</v>
      </c>
      <c r="G140" s="551">
        <f t="shared" si="260"/>
        <v>43281</v>
      </c>
      <c r="H140" s="551">
        <f t="shared" si="260"/>
        <v>43373</v>
      </c>
      <c r="I140" s="551">
        <f t="shared" si="260"/>
        <v>43465</v>
      </c>
      <c r="J140" s="550">
        <f t="shared" si="260"/>
        <v>43555</v>
      </c>
      <c r="K140" s="551">
        <f t="shared" si="260"/>
        <v>43646</v>
      </c>
      <c r="L140" s="551">
        <f t="shared" si="260"/>
        <v>43738</v>
      </c>
      <c r="M140" s="552">
        <f t="shared" si="260"/>
        <v>43830</v>
      </c>
      <c r="N140" s="550">
        <f t="shared" si="260"/>
        <v>43921</v>
      </c>
      <c r="O140" s="551">
        <f t="shared" si="260"/>
        <v>44012</v>
      </c>
      <c r="P140" s="551">
        <f t="shared" si="260"/>
        <v>44104</v>
      </c>
      <c r="Q140" s="552">
        <f t="shared" si="260"/>
        <v>44196</v>
      </c>
      <c r="R140" s="550">
        <f t="shared" si="260"/>
        <v>44286</v>
      </c>
      <c r="S140" s="551">
        <f t="shared" si="260"/>
        <v>44377</v>
      </c>
      <c r="T140" s="551">
        <f t="shared" si="260"/>
        <v>44469</v>
      </c>
      <c r="U140" s="552">
        <f t="shared" si="260"/>
        <v>44561</v>
      </c>
      <c r="V140" s="551">
        <f t="shared" si="260"/>
        <v>44651</v>
      </c>
      <c r="W140" s="551">
        <f t="shared" si="260"/>
        <v>44742</v>
      </c>
      <c r="X140" s="551">
        <f t="shared" si="260"/>
        <v>44834</v>
      </c>
      <c r="Y140" s="551">
        <f t="shared" si="260"/>
        <v>44926</v>
      </c>
      <c r="Z140" s="550">
        <f t="shared" si="260"/>
        <v>45016</v>
      </c>
      <c r="AA140" s="551">
        <f t="shared" si="260"/>
        <v>45107</v>
      </c>
      <c r="AB140" s="551">
        <f t="shared" si="260"/>
        <v>45199</v>
      </c>
      <c r="AC140" s="552">
        <f t="shared" si="260"/>
        <v>45291</v>
      </c>
      <c r="AD140" s="550">
        <f t="shared" si="260"/>
        <v>45382</v>
      </c>
      <c r="AE140" s="551">
        <f t="shared" si="260"/>
        <v>45473</v>
      </c>
      <c r="AF140" s="553" t="str">
        <f t="shared" si="260"/>
        <v>Sep-24</v>
      </c>
      <c r="AG140" s="552" t="str">
        <f t="shared" si="260"/>
        <v>Dec-24</v>
      </c>
      <c r="AH140" s="550" t="str">
        <f t="shared" si="260"/>
        <v>Mar-25</v>
      </c>
      <c r="AI140" s="551" t="str">
        <f t="shared" si="260"/>
        <v>Jun-25</v>
      </c>
      <c r="AJ140" s="551" t="str">
        <f t="shared" si="260"/>
        <v>Sep-25</v>
      </c>
      <c r="AK140" s="552" t="str">
        <f t="shared" si="260"/>
        <v>Dec-25</v>
      </c>
      <c r="AL140" s="550" t="str">
        <f t="shared" si="260"/>
        <v>Mar-26E</v>
      </c>
      <c r="AM140" s="551" t="str">
        <f t="shared" si="260"/>
        <v>Jun-26E</v>
      </c>
      <c r="AN140" s="551" t="str">
        <f t="shared" si="260"/>
        <v>Sep-26E</v>
      </c>
      <c r="AO140" s="552" t="str">
        <f t="shared" si="260"/>
        <v>Dec-26E</v>
      </c>
      <c r="AP140" s="550" t="str">
        <f t="shared" si="260"/>
        <v>Mar-27E</v>
      </c>
      <c r="AQ140" s="551" t="str">
        <f t="shared" si="260"/>
        <v>Jun-27E</v>
      </c>
      <c r="AR140" s="551" t="str">
        <f t="shared" si="260"/>
        <v>Sep-27E</v>
      </c>
      <c r="AS140" s="552" t="str">
        <f t="shared" si="260"/>
        <v>Dec-27E</v>
      </c>
      <c r="AT140" s="288"/>
      <c r="AU140" s="554">
        <f t="shared" si="260"/>
        <v>2017</v>
      </c>
      <c r="AV140" s="555">
        <f t="shared" si="260"/>
        <v>2018</v>
      </c>
      <c r="AW140" s="555">
        <f t="shared" si="260"/>
        <v>2019</v>
      </c>
      <c r="AX140" s="555">
        <f t="shared" si="260"/>
        <v>2020</v>
      </c>
      <c r="AY140" s="554" t="str">
        <f>AY4</f>
        <v>CY21</v>
      </c>
      <c r="AZ140" s="556" t="str">
        <f t="shared" si="260"/>
        <v>CY22</v>
      </c>
      <c r="BA140" s="556" t="str">
        <f t="shared" si="260"/>
        <v>CY23</v>
      </c>
      <c r="BB140" s="552" t="str">
        <f t="shared" si="260"/>
        <v>CY24</v>
      </c>
      <c r="BC140" s="552" t="str">
        <f t="shared" si="260"/>
        <v>CY25</v>
      </c>
      <c r="BD140" s="552" t="str">
        <f t="shared" si="260"/>
        <v>CY26E</v>
      </c>
      <c r="BE140" s="552" t="str">
        <f>BE$4</f>
        <v>CY27E</v>
      </c>
    </row>
    <row r="141" spans="1:57" s="33" customFormat="1" ht="12" customHeight="1">
      <c r="A141" s="557" t="s">
        <v>133</v>
      </c>
      <c r="B141" s="558"/>
      <c r="C141" s="559"/>
      <c r="D141" s="559"/>
      <c r="E141" s="560"/>
      <c r="F141" s="559"/>
      <c r="G141" s="559"/>
      <c r="H141" s="559"/>
      <c r="I141" s="559"/>
      <c r="J141" s="558"/>
      <c r="K141" s="559"/>
      <c r="L141" s="559"/>
      <c r="M141" s="560"/>
      <c r="N141" s="558"/>
      <c r="O141" s="559"/>
      <c r="P141" s="288"/>
      <c r="Q141" s="560"/>
      <c r="R141" s="558"/>
      <c r="S141" s="559"/>
      <c r="T141" s="559"/>
      <c r="U141" s="560"/>
      <c r="V141" s="559"/>
      <c r="W141" s="559"/>
      <c r="X141" s="559"/>
      <c r="Y141" s="559"/>
      <c r="Z141" s="558"/>
      <c r="AA141" s="559"/>
      <c r="AB141" s="559"/>
      <c r="AC141" s="560"/>
      <c r="AD141" s="558"/>
      <c r="AE141" s="559"/>
      <c r="AF141" s="288"/>
      <c r="AG141" s="560"/>
      <c r="AH141" s="558"/>
      <c r="AI141" s="559"/>
      <c r="AJ141" s="559"/>
      <c r="AK141" s="560"/>
      <c r="AL141" s="558"/>
      <c r="AM141" s="559"/>
      <c r="AN141" s="559"/>
      <c r="AO141" s="560"/>
      <c r="AP141" s="558"/>
      <c r="AQ141" s="559"/>
      <c r="AR141" s="559"/>
      <c r="AS141" s="560"/>
      <c r="AU141" s="139"/>
      <c r="AV141" s="139"/>
      <c r="AW141" s="139"/>
      <c r="AX141" s="139"/>
      <c r="AY141" s="139"/>
      <c r="AZ141" s="139"/>
      <c r="BA141" s="139"/>
      <c r="BB141" s="139"/>
      <c r="BC141" s="139"/>
      <c r="BD141" s="139"/>
      <c r="BE141" s="139"/>
    </row>
    <row r="142" spans="1:57" s="45" customFormat="1" ht="12" customHeight="1">
      <c r="A142" s="490" t="s">
        <v>134</v>
      </c>
      <c r="B142" s="420">
        <v>5.3999999999999999E-2</v>
      </c>
      <c r="C142" s="421">
        <v>0.05</v>
      </c>
      <c r="D142" s="421">
        <v>6.3E-2</v>
      </c>
      <c r="E142" s="422">
        <v>0.114</v>
      </c>
      <c r="F142" s="420">
        <v>7.6999999999999999E-2</v>
      </c>
      <c r="G142" s="421">
        <v>0.114</v>
      </c>
      <c r="H142" s="421">
        <v>0.69199999999999995</v>
      </c>
      <c r="I142" s="422">
        <v>0.82399999999999995</v>
      </c>
      <c r="J142" s="420">
        <v>0.65200000000000002</v>
      </c>
      <c r="K142" s="421">
        <v>0.74199999999999999</v>
      </c>
      <c r="L142" s="421">
        <v>0.69399999999999995</v>
      </c>
      <c r="M142" s="422">
        <v>0.72899999999999998</v>
      </c>
      <c r="N142" s="420">
        <v>0.747</v>
      </c>
      <c r="O142" s="421">
        <v>0.83</v>
      </c>
      <c r="P142" s="423">
        <v>0.82599999999999996</v>
      </c>
      <c r="Q142" s="422">
        <v>0.755</v>
      </c>
      <c r="R142" s="289">
        <v>0.93700000000000006</v>
      </c>
      <c r="S142" s="70">
        <v>1.202</v>
      </c>
      <c r="T142" s="421">
        <v>1.1970000000000001</v>
      </c>
      <c r="U142" s="422">
        <v>1.1100000000000001</v>
      </c>
      <c r="V142" s="421">
        <v>1.5129999999999999</v>
      </c>
      <c r="W142" s="421">
        <v>2.1139999999999999</v>
      </c>
      <c r="X142" s="421">
        <v>2.3410000000000002</v>
      </c>
      <c r="Y142" s="421">
        <v>2.4009999999999998</v>
      </c>
      <c r="Z142" s="420">
        <v>2.625</v>
      </c>
      <c r="AA142" s="421">
        <v>2.9060000000000001</v>
      </c>
      <c r="AB142" s="421">
        <v>3.0110000000000001</v>
      </c>
      <c r="AC142" s="422">
        <v>2.7050000000000001</v>
      </c>
      <c r="AD142" s="420">
        <v>2.9820000000000002</v>
      </c>
      <c r="AE142" s="423">
        <v>3.2879999999999998</v>
      </c>
      <c r="AF142" s="423">
        <v>3.2160000000000002</v>
      </c>
      <c r="AG142" s="424">
        <v>3.1909999999999998</v>
      </c>
      <c r="AH142" s="429">
        <v>3.3149999999999999</v>
      </c>
      <c r="AI142" s="423">
        <v>3.46</v>
      </c>
      <c r="AJ142" s="423">
        <v>3.4950000000000001</v>
      </c>
      <c r="AK142" s="424">
        <v>3.444</v>
      </c>
      <c r="AL142" s="420">
        <f t="shared" ref="AL142:AS145" si="261">(AK142/AK$147)*AL$147</f>
        <v>4.2021896000943784</v>
      </c>
      <c r="AM142" s="421">
        <f t="shared" si="261"/>
        <v>3.698966535823109</v>
      </c>
      <c r="AN142" s="421">
        <f t="shared" si="261"/>
        <v>3.7436891766212756</v>
      </c>
      <c r="AO142" s="422">
        <f t="shared" si="261"/>
        <v>3.8640677028448156</v>
      </c>
      <c r="AP142" s="420">
        <f t="shared" si="261"/>
        <v>4.4791222113830269</v>
      </c>
      <c r="AQ142" s="421">
        <f t="shared" si="261"/>
        <v>3.9424594703601663</v>
      </c>
      <c r="AR142" s="421">
        <f t="shared" si="261"/>
        <v>3.9895454176159237</v>
      </c>
      <c r="AS142" s="422">
        <f t="shared" si="261"/>
        <v>4.1176345569490636</v>
      </c>
      <c r="AU142" s="561">
        <f>SUM(B142:E142)</f>
        <v>0.28100000000000003</v>
      </c>
      <c r="AV142" s="561">
        <f t="shared" ref="AV142:AV147" si="262">+SUM(F142:I142)</f>
        <v>1.7069999999999999</v>
      </c>
      <c r="AW142" s="561">
        <f t="shared" ref="AW142:AW147" si="263">SUM(J142:M142)</f>
        <v>2.8170000000000002</v>
      </c>
      <c r="AX142" s="561">
        <f t="shared" ref="AX142:AX147" si="264">+SUM(N142:Q142)</f>
        <v>3.1579999999999999</v>
      </c>
      <c r="AY142" s="72">
        <f t="shared" ref="AY142:AY147" si="265">SUM(R142:U142)</f>
        <v>4.4460000000000006</v>
      </c>
      <c r="AZ142" s="72">
        <f t="shared" ref="AZ142:AZ147" si="266">SUM(V142:Y142)</f>
        <v>8.3689999999999998</v>
      </c>
      <c r="BA142" s="72">
        <f t="shared" ref="BA142:BA146" si="267">SUM(Z142:AC142)</f>
        <v>11.247000000000002</v>
      </c>
      <c r="BB142" s="72">
        <f>SUM(AD142:AG142)</f>
        <v>12.677</v>
      </c>
      <c r="BC142" s="72">
        <f t="shared" ref="BC142:BC147" si="268">SUM(AH142:AK142)</f>
        <v>13.713999999999999</v>
      </c>
      <c r="BD142" s="72">
        <f t="shared" ref="BD142:BD147" si="269">SUM(AL142:AO142)</f>
        <v>15.508913015383579</v>
      </c>
      <c r="BE142" s="72">
        <f t="shared" ref="BE142:BE147" si="270">SUM(AP142:AS142)</f>
        <v>16.528761656308181</v>
      </c>
    </row>
    <row r="143" spans="1:57" s="33" customFormat="1" ht="12" customHeight="1">
      <c r="A143" s="152" t="s">
        <v>95</v>
      </c>
      <c r="B143" s="429">
        <v>0.27</v>
      </c>
      <c r="C143" s="423">
        <v>0.35799999999999998</v>
      </c>
      <c r="D143" s="423">
        <v>0.40899999999999997</v>
      </c>
      <c r="E143" s="424">
        <v>0.54200000000000004</v>
      </c>
      <c r="F143" s="420">
        <v>0.60199999999999998</v>
      </c>
      <c r="G143" s="421">
        <v>0.67500000000000004</v>
      </c>
      <c r="H143" s="421">
        <v>2.7069999999999999</v>
      </c>
      <c r="I143" s="422">
        <v>2.927</v>
      </c>
      <c r="J143" s="420">
        <v>3.3660000000000001</v>
      </c>
      <c r="K143" s="421">
        <v>4.2149999999999999</v>
      </c>
      <c r="L143" s="421">
        <v>3.5209999999999999</v>
      </c>
      <c r="M143" s="422">
        <v>4.93</v>
      </c>
      <c r="N143" s="420">
        <v>4.4960000000000004</v>
      </c>
      <c r="O143" s="421">
        <v>5.375</v>
      </c>
      <c r="P143" s="423">
        <v>4.806</v>
      </c>
      <c r="Q143" s="422">
        <v>5.165</v>
      </c>
      <c r="R143" s="289">
        <v>6.2960000000000003</v>
      </c>
      <c r="S143" s="70">
        <v>7.577</v>
      </c>
      <c r="T143" s="421">
        <v>7.6289999999999996</v>
      </c>
      <c r="U143" s="422">
        <v>7.9080000000000004</v>
      </c>
      <c r="V143" s="421">
        <v>10.065</v>
      </c>
      <c r="W143" s="421">
        <v>12.766</v>
      </c>
      <c r="X143" s="421">
        <v>13.589</v>
      </c>
      <c r="Y143" s="421">
        <v>12.962999999999999</v>
      </c>
      <c r="Z143" s="420">
        <v>14.394</v>
      </c>
      <c r="AA143" s="421">
        <v>16.422999999999998</v>
      </c>
      <c r="AB143" s="421">
        <v>15.805</v>
      </c>
      <c r="AC143" s="422">
        <v>14.7</v>
      </c>
      <c r="AD143" s="420">
        <v>15.3</v>
      </c>
      <c r="AE143" s="423">
        <v>16.276</v>
      </c>
      <c r="AF143" s="423">
        <v>15.941000000000001</v>
      </c>
      <c r="AG143" s="424">
        <v>15.21</v>
      </c>
      <c r="AH143" s="429">
        <v>16.63</v>
      </c>
      <c r="AI143" s="423">
        <v>17.818000000000001</v>
      </c>
      <c r="AJ143" s="423">
        <v>17.050999999999998</v>
      </c>
      <c r="AK143" s="424">
        <v>17.302</v>
      </c>
      <c r="AL143" s="420">
        <f t="shared" si="261"/>
        <v>21.111000133807472</v>
      </c>
      <c r="AM143" s="421">
        <f t="shared" si="261"/>
        <v>18.582903310920855</v>
      </c>
      <c r="AN143" s="421">
        <f t="shared" si="261"/>
        <v>18.807581339692597</v>
      </c>
      <c r="AO143" s="422">
        <f t="shared" si="261"/>
        <v>19.412340126196572</v>
      </c>
      <c r="AP143" s="420">
        <f t="shared" si="261"/>
        <v>22.502256823852825</v>
      </c>
      <c r="AQ143" s="421">
        <f t="shared" si="261"/>
        <v>19.806165434428454</v>
      </c>
      <c r="AR143" s="421">
        <f t="shared" si="261"/>
        <v>20.042716264689521</v>
      </c>
      <c r="AS143" s="422">
        <f t="shared" si="261"/>
        <v>20.686211702767913</v>
      </c>
      <c r="AU143" s="561">
        <f t="shared" ref="AU143:AU147" si="271">SUM(B143:E143)</f>
        <v>1.579</v>
      </c>
      <c r="AV143" s="561">
        <f t="shared" si="262"/>
        <v>6.9109999999999996</v>
      </c>
      <c r="AW143" s="561">
        <f t="shared" si="263"/>
        <v>16.032</v>
      </c>
      <c r="AX143" s="561">
        <f t="shared" si="264"/>
        <v>19.841999999999999</v>
      </c>
      <c r="AY143" s="72">
        <f t="shared" si="265"/>
        <v>29.410000000000004</v>
      </c>
      <c r="AZ143" s="72">
        <f t="shared" si="266"/>
        <v>49.383000000000003</v>
      </c>
      <c r="BA143" s="72">
        <f t="shared" si="267"/>
        <v>61.322000000000003</v>
      </c>
      <c r="BB143" s="72">
        <f t="shared" ref="BB143:BB147" si="272">SUM(AD143:AG143)</f>
        <v>62.727000000000004</v>
      </c>
      <c r="BC143" s="72">
        <f t="shared" si="268"/>
        <v>68.800999999999988</v>
      </c>
      <c r="BD143" s="72">
        <f t="shared" si="269"/>
        <v>77.913824910617492</v>
      </c>
      <c r="BE143" s="72">
        <f t="shared" si="270"/>
        <v>83.03735022573872</v>
      </c>
    </row>
    <row r="144" spans="1:57" s="33" customFormat="1" ht="12" customHeight="1">
      <c r="A144" s="152" t="s">
        <v>96</v>
      </c>
      <c r="B144" s="429">
        <v>0.39400000000000002</v>
      </c>
      <c r="C144" s="423">
        <v>0.45200000000000001</v>
      </c>
      <c r="D144" s="423">
        <v>0.51</v>
      </c>
      <c r="E144" s="424">
        <v>0.42599999999999999</v>
      </c>
      <c r="F144" s="420">
        <v>0.52700000000000002</v>
      </c>
      <c r="G144" s="421">
        <v>0.64</v>
      </c>
      <c r="H144" s="421">
        <v>2.427</v>
      </c>
      <c r="I144" s="422">
        <v>2.21</v>
      </c>
      <c r="J144" s="420">
        <v>2.0299999999999998</v>
      </c>
      <c r="K144" s="421">
        <v>2.4409999999999998</v>
      </c>
      <c r="L144" s="421">
        <v>2.1240000000000001</v>
      </c>
      <c r="M144" s="422">
        <v>2.3159999999999998</v>
      </c>
      <c r="N144" s="420">
        <v>2.948</v>
      </c>
      <c r="O144" s="421">
        <v>3.8929999999999998</v>
      </c>
      <c r="P144" s="423">
        <v>3.9529999999999998</v>
      </c>
      <c r="Q144" s="422">
        <v>4</v>
      </c>
      <c r="R144" s="289">
        <v>4.1559999999999997</v>
      </c>
      <c r="S144" s="70">
        <v>5.1760000000000002</v>
      </c>
      <c r="T144" s="421">
        <v>5.5869999999999997</v>
      </c>
      <c r="U144" s="422">
        <v>5.6740000000000004</v>
      </c>
      <c r="V144" s="421">
        <v>6.4630000000000001</v>
      </c>
      <c r="W144" s="421">
        <v>8.077</v>
      </c>
      <c r="X144" s="421">
        <v>8.7539999999999996</v>
      </c>
      <c r="Y144" s="421">
        <v>8.2050000000000001</v>
      </c>
      <c r="Z144" s="420">
        <v>8.8650000000000002</v>
      </c>
      <c r="AA144" s="421">
        <v>9.7639999999999993</v>
      </c>
      <c r="AB144" s="421">
        <v>9.2420000000000009</v>
      </c>
      <c r="AC144" s="422">
        <v>9.3539999999999992</v>
      </c>
      <c r="AD144" s="420">
        <v>11.161</v>
      </c>
      <c r="AE144" s="423">
        <v>11.798999999999999</v>
      </c>
      <c r="AF144" s="423">
        <v>12.435</v>
      </c>
      <c r="AG144" s="424">
        <v>12.260999999999999</v>
      </c>
      <c r="AH144" s="429">
        <v>12.967000000000001</v>
      </c>
      <c r="AI144" s="423">
        <v>15.3</v>
      </c>
      <c r="AJ144" s="423">
        <v>14.173999999999999</v>
      </c>
      <c r="AK144" s="424">
        <v>14.101000000000001</v>
      </c>
      <c r="AL144" s="420">
        <f t="shared" si="261"/>
        <v>17.205306489817314</v>
      </c>
      <c r="AM144" s="421">
        <f t="shared" si="261"/>
        <v>15.144926574228124</v>
      </c>
      <c r="AN144" s="421">
        <f t="shared" si="261"/>
        <v>15.328037479540246</v>
      </c>
      <c r="AO144" s="422">
        <f t="shared" si="261"/>
        <v>15.820911346636105</v>
      </c>
      <c r="AP144" s="420">
        <f t="shared" si="261"/>
        <v>18.339170238882712</v>
      </c>
      <c r="AQ144" s="421">
        <f t="shared" si="261"/>
        <v>16.141876013806243</v>
      </c>
      <c r="AR144" s="421">
        <f t="shared" si="261"/>
        <v>16.334663163124894</v>
      </c>
      <c r="AS144" s="422">
        <f t="shared" si="261"/>
        <v>16.859107110202885</v>
      </c>
      <c r="AU144" s="561">
        <f t="shared" si="271"/>
        <v>1.782</v>
      </c>
      <c r="AV144" s="561">
        <f t="shared" si="262"/>
        <v>5.8040000000000003</v>
      </c>
      <c r="AW144" s="561">
        <f t="shared" si="263"/>
        <v>8.9110000000000014</v>
      </c>
      <c r="AX144" s="561">
        <f t="shared" si="264"/>
        <v>14.793999999999999</v>
      </c>
      <c r="AY144" s="72">
        <f t="shared" si="265"/>
        <v>20.593</v>
      </c>
      <c r="AZ144" s="72">
        <f t="shared" si="266"/>
        <v>31.498999999999995</v>
      </c>
      <c r="BA144" s="72">
        <f t="shared" si="267"/>
        <v>37.224999999999994</v>
      </c>
      <c r="BB144" s="72">
        <f t="shared" si="272"/>
        <v>47.656000000000006</v>
      </c>
      <c r="BC144" s="72">
        <f t="shared" si="268"/>
        <v>56.542000000000002</v>
      </c>
      <c r="BD144" s="72">
        <f t="shared" si="269"/>
        <v>63.499181890221791</v>
      </c>
      <c r="BE144" s="72">
        <f t="shared" si="270"/>
        <v>67.674816526016741</v>
      </c>
    </row>
    <row r="145" spans="1:57" s="33" customFormat="1" ht="12" customHeight="1">
      <c r="A145" s="152" t="s">
        <v>97</v>
      </c>
      <c r="B145" s="429">
        <v>0.90800000000000003</v>
      </c>
      <c r="C145" s="423">
        <v>0.98899999999999999</v>
      </c>
      <c r="D145" s="423">
        <v>1.046</v>
      </c>
      <c r="E145" s="424">
        <v>1.175</v>
      </c>
      <c r="F145" s="420">
        <v>1.1930000000000001</v>
      </c>
      <c r="G145" s="421">
        <v>1.595</v>
      </c>
      <c r="H145" s="421">
        <v>2.9569999999999999</v>
      </c>
      <c r="I145" s="422">
        <v>2.7080000000000002</v>
      </c>
      <c r="J145" s="420">
        <v>3.2709999999999999</v>
      </c>
      <c r="K145" s="421">
        <v>3.9750000000000001</v>
      </c>
      <c r="L145" s="421">
        <v>4.16</v>
      </c>
      <c r="M145" s="422">
        <v>4.2770000000000001</v>
      </c>
      <c r="N145" s="420">
        <v>4.8440000000000003</v>
      </c>
      <c r="O145" s="421">
        <v>5.5679999999999996</v>
      </c>
      <c r="P145" s="423">
        <v>5.7149999999999999</v>
      </c>
      <c r="Q145" s="422">
        <v>5.6520000000000001</v>
      </c>
      <c r="R145" s="289">
        <v>5.5629999999999997</v>
      </c>
      <c r="S145" s="70">
        <v>6.5140000000000002</v>
      </c>
      <c r="T145" s="421">
        <v>6.4989999999999997</v>
      </c>
      <c r="U145" s="422">
        <v>6.38</v>
      </c>
      <c r="V145" s="421">
        <v>7.3570000000000002</v>
      </c>
      <c r="W145" s="421">
        <v>8.9559999999999995</v>
      </c>
      <c r="X145" s="421">
        <v>7.9589999999999996</v>
      </c>
      <c r="Y145" s="421">
        <v>7.11</v>
      </c>
      <c r="Z145" s="420">
        <v>8.2330000000000005</v>
      </c>
      <c r="AA145" s="421">
        <v>8.7669999999999995</v>
      </c>
      <c r="AB145" s="421">
        <v>8.7769999999999992</v>
      </c>
      <c r="AC145" s="422">
        <v>9.7560000000000002</v>
      </c>
      <c r="AD145" s="420">
        <v>10.276</v>
      </c>
      <c r="AE145" s="423">
        <v>10.035</v>
      </c>
      <c r="AF145" s="423">
        <v>10.092000000000001</v>
      </c>
      <c r="AG145" s="424">
        <v>10.052</v>
      </c>
      <c r="AH145" s="429">
        <v>22.991</v>
      </c>
      <c r="AI145" s="423">
        <v>9.9480000000000004</v>
      </c>
      <c r="AJ145" s="423">
        <v>10.162000000000001</v>
      </c>
      <c r="AK145" s="424">
        <v>9.6549999999999994</v>
      </c>
      <c r="AL145" s="420">
        <f t="shared" si="261"/>
        <v>11.780528626280843</v>
      </c>
      <c r="AM145" s="421">
        <f t="shared" si="261"/>
        <v>10.369779879027908</v>
      </c>
      <c r="AN145" s="421">
        <f t="shared" si="261"/>
        <v>10.49515650414588</v>
      </c>
      <c r="AO145" s="422">
        <f t="shared" si="261"/>
        <v>10.832628824322502</v>
      </c>
      <c r="AP145" s="420">
        <f t="shared" si="261"/>
        <v>12.556888777846437</v>
      </c>
      <c r="AQ145" s="421">
        <f t="shared" si="261"/>
        <v>11.052394363045124</v>
      </c>
      <c r="AR145" s="421">
        <f t="shared" si="261"/>
        <v>11.184396343519671</v>
      </c>
      <c r="AS145" s="422">
        <f t="shared" si="261"/>
        <v>11.543484798880142</v>
      </c>
      <c r="AU145" s="561">
        <f t="shared" si="271"/>
        <v>4.1180000000000003</v>
      </c>
      <c r="AV145" s="561">
        <f t="shared" si="262"/>
        <v>8.4529999999999994</v>
      </c>
      <c r="AW145" s="561">
        <f t="shared" si="263"/>
        <v>15.683</v>
      </c>
      <c r="AX145" s="561">
        <f t="shared" si="264"/>
        <v>21.779</v>
      </c>
      <c r="AY145" s="72">
        <f t="shared" si="265"/>
        <v>24.956</v>
      </c>
      <c r="AZ145" s="72">
        <f t="shared" si="266"/>
        <v>31.381999999999998</v>
      </c>
      <c r="BA145" s="72">
        <f t="shared" si="267"/>
        <v>35.533000000000001</v>
      </c>
      <c r="BB145" s="72">
        <f t="shared" si="272"/>
        <v>40.454999999999998</v>
      </c>
      <c r="BC145" s="72">
        <f t="shared" si="268"/>
        <v>52.756</v>
      </c>
      <c r="BD145" s="72">
        <f t="shared" si="269"/>
        <v>43.478093833777137</v>
      </c>
      <c r="BE145" s="72">
        <f t="shared" si="270"/>
        <v>46.337164283291379</v>
      </c>
    </row>
    <row r="146" spans="1:57" s="45" customFormat="1" ht="12" customHeight="1">
      <c r="A146" s="562" t="s">
        <v>160</v>
      </c>
      <c r="B146" s="563">
        <f t="shared" ref="B146:S146" si="273">+SUM(B143:B145)</f>
        <v>1.5720000000000001</v>
      </c>
      <c r="C146" s="564">
        <f t="shared" si="273"/>
        <v>1.7989999999999999</v>
      </c>
      <c r="D146" s="564">
        <f t="shared" si="273"/>
        <v>1.9650000000000001</v>
      </c>
      <c r="E146" s="565">
        <f t="shared" si="273"/>
        <v>2.1429999999999998</v>
      </c>
      <c r="F146" s="566">
        <f t="shared" si="273"/>
        <v>2.3220000000000001</v>
      </c>
      <c r="G146" s="567">
        <f t="shared" si="273"/>
        <v>2.91</v>
      </c>
      <c r="H146" s="567">
        <f t="shared" si="273"/>
        <v>8.0910000000000011</v>
      </c>
      <c r="I146" s="568">
        <f t="shared" si="273"/>
        <v>7.8450000000000006</v>
      </c>
      <c r="J146" s="566">
        <f t="shared" si="273"/>
        <v>8.6669999999999998</v>
      </c>
      <c r="K146" s="567">
        <f t="shared" si="273"/>
        <v>10.631</v>
      </c>
      <c r="L146" s="567">
        <f t="shared" si="273"/>
        <v>9.8049999999999997</v>
      </c>
      <c r="M146" s="568">
        <f t="shared" si="273"/>
        <v>11.523</v>
      </c>
      <c r="N146" s="566">
        <f t="shared" si="273"/>
        <v>12.288</v>
      </c>
      <c r="O146" s="567">
        <f t="shared" si="273"/>
        <v>14.836</v>
      </c>
      <c r="P146" s="564">
        <f t="shared" si="273"/>
        <v>14.474</v>
      </c>
      <c r="Q146" s="568">
        <f t="shared" si="273"/>
        <v>14.817</v>
      </c>
      <c r="R146" s="569">
        <f t="shared" si="273"/>
        <v>16.015000000000001</v>
      </c>
      <c r="S146" s="570">
        <f t="shared" si="273"/>
        <v>19.266999999999999</v>
      </c>
      <c r="T146" s="570">
        <f>+SUM(T143:T145)</f>
        <v>19.715</v>
      </c>
      <c r="U146" s="571">
        <f t="shared" ref="U146:AA146" si="274">+SUM(U143:U145)</f>
        <v>19.962</v>
      </c>
      <c r="V146" s="570">
        <f t="shared" si="274"/>
        <v>23.884999999999998</v>
      </c>
      <c r="W146" s="570">
        <f t="shared" si="274"/>
        <v>29.798999999999999</v>
      </c>
      <c r="X146" s="570">
        <f t="shared" si="274"/>
        <v>30.302</v>
      </c>
      <c r="Y146" s="570">
        <f t="shared" si="274"/>
        <v>28.277999999999999</v>
      </c>
      <c r="Z146" s="569">
        <f t="shared" si="274"/>
        <v>31.492000000000001</v>
      </c>
      <c r="AA146" s="570">
        <f t="shared" si="274"/>
        <v>34.953999999999994</v>
      </c>
      <c r="AB146" s="570">
        <f>+SUM(AB143:AB145)</f>
        <v>33.823999999999998</v>
      </c>
      <c r="AC146" s="570">
        <f t="shared" ref="AC146:AS146" si="275">+SUM(AC143:AC145)</f>
        <v>33.81</v>
      </c>
      <c r="AD146" s="569">
        <f t="shared" si="275"/>
        <v>36.736999999999995</v>
      </c>
      <c r="AE146" s="570">
        <f t="shared" si="275"/>
        <v>38.11</v>
      </c>
      <c r="AF146" s="540">
        <f t="shared" si="275"/>
        <v>38.468000000000004</v>
      </c>
      <c r="AG146" s="543">
        <f t="shared" si="275"/>
        <v>37.522999999999996</v>
      </c>
      <c r="AH146" s="572">
        <f t="shared" si="275"/>
        <v>52.588000000000001</v>
      </c>
      <c r="AI146" s="570">
        <f t="shared" si="275"/>
        <v>43.066000000000003</v>
      </c>
      <c r="AJ146" s="540">
        <f t="shared" si="275"/>
        <v>41.387</v>
      </c>
      <c r="AK146" s="543">
        <f t="shared" si="275"/>
        <v>41.058</v>
      </c>
      <c r="AL146" s="569">
        <f t="shared" si="275"/>
        <v>50.096835249905624</v>
      </c>
      <c r="AM146" s="570">
        <f t="shared" si="275"/>
        <v>44.097609764176887</v>
      </c>
      <c r="AN146" s="570">
        <f t="shared" si="275"/>
        <v>44.630775323378728</v>
      </c>
      <c r="AO146" s="571">
        <f t="shared" si="275"/>
        <v>46.065880297155175</v>
      </c>
      <c r="AP146" s="569">
        <f t="shared" si="275"/>
        <v>53.398315840581972</v>
      </c>
      <c r="AQ146" s="570">
        <f t="shared" si="275"/>
        <v>47.000435811279822</v>
      </c>
      <c r="AR146" s="570">
        <f t="shared" si="275"/>
        <v>47.561775771334091</v>
      </c>
      <c r="AS146" s="571">
        <f t="shared" si="275"/>
        <v>49.088803611850942</v>
      </c>
      <c r="AU146" s="573">
        <f t="shared" si="271"/>
        <v>7.4790000000000001</v>
      </c>
      <c r="AV146" s="573">
        <f t="shared" si="262"/>
        <v>21.167999999999999</v>
      </c>
      <c r="AW146" s="573">
        <f t="shared" si="263"/>
        <v>40.626000000000005</v>
      </c>
      <c r="AX146" s="573">
        <f t="shared" si="264"/>
        <v>56.414999999999999</v>
      </c>
      <c r="AY146" s="574">
        <f t="shared" si="265"/>
        <v>74.959000000000003</v>
      </c>
      <c r="AZ146" s="574">
        <f t="shared" si="266"/>
        <v>112.26399999999998</v>
      </c>
      <c r="BA146" s="574">
        <f t="shared" si="267"/>
        <v>134.07999999999998</v>
      </c>
      <c r="BB146" s="574">
        <f t="shared" si="272"/>
        <v>150.83799999999999</v>
      </c>
      <c r="BC146" s="574">
        <f t="shared" si="268"/>
        <v>178.09899999999999</v>
      </c>
      <c r="BD146" s="574">
        <f t="shared" si="269"/>
        <v>184.89110063461641</v>
      </c>
      <c r="BE146" s="574">
        <f t="shared" si="270"/>
        <v>197.04933103504683</v>
      </c>
    </row>
    <row r="147" spans="1:57" s="33" customFormat="1" ht="12" customHeight="1">
      <c r="A147" s="575" t="s">
        <v>161</v>
      </c>
      <c r="B147" s="576">
        <f>+B146+B142</f>
        <v>1.6260000000000001</v>
      </c>
      <c r="C147" s="577">
        <f t="shared" ref="C147:AK147" si="276">+C146+C142</f>
        <v>1.849</v>
      </c>
      <c r="D147" s="577">
        <f t="shared" si="276"/>
        <v>2.028</v>
      </c>
      <c r="E147" s="578">
        <f t="shared" si="276"/>
        <v>2.2569999999999997</v>
      </c>
      <c r="F147" s="413">
        <f t="shared" si="276"/>
        <v>2.399</v>
      </c>
      <c r="G147" s="414">
        <f t="shared" si="276"/>
        <v>3.024</v>
      </c>
      <c r="H147" s="414">
        <f t="shared" si="276"/>
        <v>8.7830000000000013</v>
      </c>
      <c r="I147" s="415">
        <f t="shared" si="276"/>
        <v>8.6690000000000005</v>
      </c>
      <c r="J147" s="413">
        <f t="shared" si="276"/>
        <v>9.3189999999999991</v>
      </c>
      <c r="K147" s="414">
        <f t="shared" si="276"/>
        <v>11.373000000000001</v>
      </c>
      <c r="L147" s="414">
        <f t="shared" si="276"/>
        <v>10.498999999999999</v>
      </c>
      <c r="M147" s="415">
        <f t="shared" si="276"/>
        <v>12.251999999999999</v>
      </c>
      <c r="N147" s="579">
        <f t="shared" si="276"/>
        <v>13.035</v>
      </c>
      <c r="O147" s="580">
        <f t="shared" si="276"/>
        <v>15.666</v>
      </c>
      <c r="P147" s="581">
        <f t="shared" si="276"/>
        <v>15.3</v>
      </c>
      <c r="Q147" s="582">
        <f t="shared" si="276"/>
        <v>15.572000000000001</v>
      </c>
      <c r="R147" s="492">
        <f t="shared" si="276"/>
        <v>16.952000000000002</v>
      </c>
      <c r="S147" s="75">
        <f t="shared" si="276"/>
        <v>20.469000000000001</v>
      </c>
      <c r="T147" s="75">
        <f t="shared" si="276"/>
        <v>20.911999999999999</v>
      </c>
      <c r="U147" s="493">
        <f t="shared" si="276"/>
        <v>21.071999999999999</v>
      </c>
      <c r="V147" s="414">
        <f t="shared" si="276"/>
        <v>25.397999999999996</v>
      </c>
      <c r="W147" s="75">
        <f t="shared" si="276"/>
        <v>31.913</v>
      </c>
      <c r="X147" s="414">
        <f t="shared" si="276"/>
        <v>32.643000000000001</v>
      </c>
      <c r="Y147" s="493">
        <f t="shared" si="276"/>
        <v>30.678999999999998</v>
      </c>
      <c r="Z147" s="414">
        <f t="shared" si="276"/>
        <v>34.117000000000004</v>
      </c>
      <c r="AA147" s="414">
        <f t="shared" si="276"/>
        <v>37.859999999999992</v>
      </c>
      <c r="AB147" s="414">
        <f t="shared" si="276"/>
        <v>36.835000000000001</v>
      </c>
      <c r="AC147" s="493">
        <f t="shared" si="276"/>
        <v>36.515000000000001</v>
      </c>
      <c r="AD147" s="413">
        <f t="shared" si="276"/>
        <v>39.718999999999994</v>
      </c>
      <c r="AE147" s="414">
        <f t="shared" si="276"/>
        <v>41.397999999999996</v>
      </c>
      <c r="AF147" s="414">
        <f t="shared" si="276"/>
        <v>41.684000000000005</v>
      </c>
      <c r="AG147" s="415">
        <f t="shared" si="276"/>
        <v>40.713999999999999</v>
      </c>
      <c r="AH147" s="583">
        <f t="shared" si="276"/>
        <v>55.902999999999999</v>
      </c>
      <c r="AI147" s="414">
        <f t="shared" si="276"/>
        <v>46.526000000000003</v>
      </c>
      <c r="AJ147" s="414">
        <f t="shared" si="276"/>
        <v>44.881999999999998</v>
      </c>
      <c r="AK147" s="415">
        <f t="shared" si="276"/>
        <v>44.502000000000002</v>
      </c>
      <c r="AL147" s="413">
        <f t="shared" ref="AL147:AS147" si="277">AL$9*AL148</f>
        <v>54.299024850000009</v>
      </c>
      <c r="AM147" s="414">
        <f t="shared" si="277"/>
        <v>47.796576299999998</v>
      </c>
      <c r="AN147" s="414">
        <f t="shared" si="277"/>
        <v>48.374464500000002</v>
      </c>
      <c r="AO147" s="415">
        <f t="shared" si="277"/>
        <v>49.929947999999996</v>
      </c>
      <c r="AP147" s="413">
        <f t="shared" si="277"/>
        <v>57.877438051965001</v>
      </c>
      <c r="AQ147" s="414">
        <f t="shared" si="277"/>
        <v>50.942895281639991</v>
      </c>
      <c r="AR147" s="414">
        <f t="shared" si="277"/>
        <v>51.551321188950013</v>
      </c>
      <c r="AS147" s="415">
        <f t="shared" si="277"/>
        <v>53.206438168800005</v>
      </c>
      <c r="AU147" s="584">
        <f t="shared" si="271"/>
        <v>7.76</v>
      </c>
      <c r="AV147" s="584">
        <f t="shared" si="262"/>
        <v>22.875</v>
      </c>
      <c r="AW147" s="584">
        <f t="shared" si="263"/>
        <v>43.442999999999998</v>
      </c>
      <c r="AX147" s="584">
        <f t="shared" si="264"/>
        <v>59.573000000000008</v>
      </c>
      <c r="AY147" s="79">
        <f t="shared" si="265"/>
        <v>79.405000000000001</v>
      </c>
      <c r="AZ147" s="79">
        <f t="shared" si="266"/>
        <v>120.633</v>
      </c>
      <c r="BA147" s="79">
        <f>SUM(Z147:AC147)</f>
        <v>145.327</v>
      </c>
      <c r="BB147" s="79">
        <f t="shared" si="272"/>
        <v>163.51499999999999</v>
      </c>
      <c r="BC147" s="79">
        <f t="shared" si="268"/>
        <v>191.81300000000002</v>
      </c>
      <c r="BD147" s="79">
        <f t="shared" si="269"/>
        <v>200.40001365000001</v>
      </c>
      <c r="BE147" s="79">
        <f t="shared" si="270"/>
        <v>213.57809269135498</v>
      </c>
    </row>
    <row r="148" spans="1:57" s="33" customFormat="1" ht="12" customHeight="1">
      <c r="A148" s="490" t="s">
        <v>162</v>
      </c>
      <c r="B148" s="333">
        <f t="shared" ref="B148:AK148" si="278">B147/B$110</f>
        <v>4.0166991922136311E-2</v>
      </c>
      <c r="C148" s="397">
        <f t="shared" si="278"/>
        <v>4.1880903304718109E-2</v>
      </c>
      <c r="D148" s="397">
        <f t="shared" si="278"/>
        <v>4.1404654961208653E-2</v>
      </c>
      <c r="E148" s="585">
        <f t="shared" si="278"/>
        <v>4.1705933440508519E-2</v>
      </c>
      <c r="F148" s="586">
        <f t="shared" si="278"/>
        <v>4.0587409274705194E-2</v>
      </c>
      <c r="G148" s="397">
        <f t="shared" si="278"/>
        <v>4.7553151339791169E-2</v>
      </c>
      <c r="H148" s="397">
        <f t="shared" si="278"/>
        <v>0.12648329493087559</v>
      </c>
      <c r="I148" s="585">
        <f t="shared" si="278"/>
        <v>0.1152470719612874</v>
      </c>
      <c r="J148" s="586">
        <f t="shared" si="278"/>
        <v>0.11605085864435062</v>
      </c>
      <c r="K148" s="397">
        <f t="shared" si="278"/>
        <v>0.13319825728473719</v>
      </c>
      <c r="L148" s="397">
        <f t="shared" si="278"/>
        <v>0.11430344467186342</v>
      </c>
      <c r="M148" s="585">
        <f t="shared" si="278"/>
        <v>0.12624550484806646</v>
      </c>
      <c r="N148" s="586">
        <f t="shared" si="278"/>
        <v>0.12698737432779986</v>
      </c>
      <c r="O148" s="397">
        <f t="shared" si="278"/>
        <v>0.14612579167793749</v>
      </c>
      <c r="P148" s="337">
        <f t="shared" si="278"/>
        <v>0.13626404944692827</v>
      </c>
      <c r="Q148" s="585">
        <f t="shared" si="278"/>
        <v>0.1318744601209329</v>
      </c>
      <c r="R148" s="586">
        <f t="shared" si="278"/>
        <v>0.13760968917679339</v>
      </c>
      <c r="S148" s="397">
        <f t="shared" si="278"/>
        <v>0.15714077338226148</v>
      </c>
      <c r="T148" s="397">
        <f t="shared" si="278"/>
        <v>0.15081059251139445</v>
      </c>
      <c r="U148" s="585">
        <f t="shared" si="278"/>
        <v>0.14140573621978553</v>
      </c>
      <c r="V148" s="397">
        <f t="shared" si="278"/>
        <v>0.15936699964861201</v>
      </c>
      <c r="W148" s="397">
        <f t="shared" si="278"/>
        <v>0.19418769509738895</v>
      </c>
      <c r="X148" s="397">
        <f t="shared" si="278"/>
        <v>0.18669038209675667</v>
      </c>
      <c r="Y148" s="585">
        <f t="shared" si="278"/>
        <v>0.1661638619733414</v>
      </c>
      <c r="Z148" s="397">
        <f t="shared" si="278"/>
        <v>0.18066712914175567</v>
      </c>
      <c r="AA148" s="397">
        <f t="shared" si="278"/>
        <v>0.19411800898295695</v>
      </c>
      <c r="AB148" s="397">
        <f t="shared" si="278"/>
        <v>0.18277766475296361</v>
      </c>
      <c r="AC148" s="585">
        <f t="shared" si="278"/>
        <v>0.17118599570569981</v>
      </c>
      <c r="AD148" s="587">
        <f t="shared" si="278"/>
        <v>0.18391746657961389</v>
      </c>
      <c r="AE148" s="588">
        <f t="shared" si="278"/>
        <v>0.18711721606754622</v>
      </c>
      <c r="AF148" s="588">
        <f t="shared" si="278"/>
        <v>0.18355879658986826</v>
      </c>
      <c r="AG148" s="588">
        <f t="shared" si="278"/>
        <v>0.17271381362654889</v>
      </c>
      <c r="AH148" s="589">
        <f t="shared" si="278"/>
        <v>0.23376976377557634</v>
      </c>
      <c r="AI148" s="588">
        <f t="shared" si="278"/>
        <v>0.18813967124284761</v>
      </c>
      <c r="AJ148" s="588">
        <f t="shared" si="278"/>
        <v>0.17779274282997939</v>
      </c>
      <c r="AK148" s="588">
        <f t="shared" si="278"/>
        <v>0.17081137514249634</v>
      </c>
      <c r="AL148" s="590">
        <v>0.21</v>
      </c>
      <c r="AM148" s="591">
        <v>0.18</v>
      </c>
      <c r="AN148" s="591">
        <v>0.18</v>
      </c>
      <c r="AO148" s="591">
        <v>0.18</v>
      </c>
      <c r="AP148" s="590">
        <v>0.21</v>
      </c>
      <c r="AQ148" s="591">
        <v>0.18</v>
      </c>
      <c r="AR148" s="591">
        <v>0.18</v>
      </c>
      <c r="AS148" s="591">
        <v>0.18</v>
      </c>
      <c r="AT148" s="592"/>
      <c r="AU148" s="593">
        <f t="shared" ref="AU148:BD148" si="279">AU147/AU$110</f>
        <v>4.1336621796544973E-2</v>
      </c>
      <c r="AV148" s="593">
        <f t="shared" si="279"/>
        <v>8.5558797127468583E-2</v>
      </c>
      <c r="AW148" s="593">
        <f t="shared" si="279"/>
        <v>0.12251752748275453</v>
      </c>
      <c r="AX148" s="593">
        <f t="shared" si="279"/>
        <v>0.13532521165505509</v>
      </c>
      <c r="AY148" s="593">
        <f t="shared" si="279"/>
        <v>0.14673923086873764</v>
      </c>
      <c r="AZ148" s="593">
        <f t="shared" si="279"/>
        <v>0.17657287639913288</v>
      </c>
      <c r="BA148" s="593">
        <f t="shared" si="279"/>
        <v>0.18195214783838939</v>
      </c>
      <c r="BB148" s="593">
        <f t="shared" si="279"/>
        <v>0.18167909415446973</v>
      </c>
      <c r="BC148" s="593">
        <f t="shared" si="279"/>
        <v>0.19192719668202582</v>
      </c>
      <c r="BD148" s="593">
        <f t="shared" si="279"/>
        <v>0.18724791747323305</v>
      </c>
      <c r="BE148" s="593">
        <f>BE147/BE$110</f>
        <v>0.18724892989020062</v>
      </c>
    </row>
    <row r="149" spans="1:57" s="33" customFormat="1" ht="12" customHeight="1">
      <c r="A149" s="557"/>
      <c r="B149" s="420"/>
      <c r="C149" s="421"/>
      <c r="D149" s="421"/>
      <c r="E149" s="422"/>
      <c r="F149" s="420"/>
      <c r="G149" s="421"/>
      <c r="H149" s="421"/>
      <c r="I149" s="422"/>
      <c r="J149" s="420"/>
      <c r="K149" s="421"/>
      <c r="L149" s="421"/>
      <c r="M149" s="422"/>
      <c r="N149" s="420"/>
      <c r="O149" s="421"/>
      <c r="P149" s="423"/>
      <c r="Q149" s="422"/>
      <c r="R149" s="420"/>
      <c r="S149" s="559"/>
      <c r="T149" s="559"/>
      <c r="U149" s="560"/>
      <c r="V149" s="559"/>
      <c r="W149" s="559"/>
      <c r="X149" s="559"/>
      <c r="Y149" s="559"/>
      <c r="Z149" s="558"/>
      <c r="AA149" s="559"/>
      <c r="AB149" s="559"/>
      <c r="AC149" s="560"/>
      <c r="AD149" s="558"/>
      <c r="AE149" s="559"/>
      <c r="AF149" s="559"/>
      <c r="AG149" s="560"/>
      <c r="AH149" s="558"/>
      <c r="AI149" s="559"/>
      <c r="AJ149" s="559"/>
      <c r="AK149" s="560"/>
      <c r="AL149" s="558"/>
      <c r="AM149" s="559"/>
      <c r="AN149" s="559"/>
      <c r="AO149" s="560"/>
      <c r="AP149" s="558"/>
      <c r="AQ149" s="559"/>
      <c r="AR149" s="559"/>
      <c r="AS149" s="560"/>
      <c r="AU149" s="139"/>
      <c r="AV149" s="561"/>
      <c r="AW149" s="561"/>
      <c r="AX149" s="561"/>
      <c r="AY149" s="139"/>
      <c r="AZ149" s="139"/>
      <c r="BA149" s="139"/>
      <c r="BB149" s="139"/>
      <c r="BC149" s="139"/>
      <c r="BD149" s="139"/>
      <c r="BE149" s="139"/>
    </row>
    <row r="150" spans="1:57" s="33" customFormat="1" ht="12" customHeight="1">
      <c r="A150" s="557" t="s">
        <v>136</v>
      </c>
      <c r="B150" s="420"/>
      <c r="C150" s="421"/>
      <c r="D150" s="421"/>
      <c r="E150" s="422"/>
      <c r="F150" s="420"/>
      <c r="G150" s="421"/>
      <c r="H150" s="421"/>
      <c r="I150" s="422"/>
      <c r="J150" s="420"/>
      <c r="K150" s="421"/>
      <c r="L150" s="421"/>
      <c r="M150" s="422"/>
      <c r="N150" s="420"/>
      <c r="O150" s="421"/>
      <c r="P150" s="423"/>
      <c r="Q150" s="422"/>
      <c r="R150" s="289"/>
      <c r="S150" s="70"/>
      <c r="T150" s="559"/>
      <c r="U150" s="560"/>
      <c r="V150" s="559"/>
      <c r="W150" s="559"/>
      <c r="X150" s="559"/>
      <c r="Y150" s="559"/>
      <c r="Z150" s="558"/>
      <c r="AA150" s="559"/>
      <c r="AB150" s="559"/>
      <c r="AC150" s="559"/>
      <c r="AD150" s="558"/>
      <c r="AE150" s="559"/>
      <c r="AF150" s="559"/>
      <c r="AG150" s="594"/>
      <c r="AH150" s="558"/>
      <c r="AI150" s="559"/>
      <c r="AJ150" s="559"/>
      <c r="AK150" s="594"/>
      <c r="AL150" s="558"/>
      <c r="AM150" s="559"/>
      <c r="AN150" s="559"/>
      <c r="AO150" s="560"/>
      <c r="AP150" s="558"/>
      <c r="AQ150" s="559"/>
      <c r="AR150" s="559"/>
      <c r="AS150" s="560"/>
      <c r="AU150" s="139"/>
      <c r="AV150" s="561"/>
      <c r="AW150" s="561"/>
      <c r="AX150" s="561"/>
      <c r="AY150" s="139"/>
      <c r="AZ150" s="139"/>
      <c r="BA150" s="139"/>
      <c r="BB150" s="139"/>
      <c r="BC150" s="139"/>
      <c r="BD150" s="139"/>
      <c r="BE150" s="139"/>
    </row>
    <row r="151" spans="1:57" s="45" customFormat="1" ht="12" customHeight="1">
      <c r="A151" s="490" t="s">
        <v>134</v>
      </c>
      <c r="B151" s="420">
        <v>0.15100000000000002</v>
      </c>
      <c r="C151" s="421">
        <v>0.151</v>
      </c>
      <c r="D151" s="421">
        <v>0.151</v>
      </c>
      <c r="E151" s="422">
        <v>0.15</v>
      </c>
      <c r="F151" s="420">
        <v>0.151</v>
      </c>
      <c r="G151" s="421">
        <v>0.151</v>
      </c>
      <c r="H151" s="421">
        <v>0.151</v>
      </c>
      <c r="I151" s="422">
        <v>0.15</v>
      </c>
      <c r="J151" s="420">
        <v>0.151</v>
      </c>
      <c r="K151" s="421">
        <v>0.151</v>
      </c>
      <c r="L151" s="421">
        <v>0.125</v>
      </c>
      <c r="M151" s="422">
        <v>0.193</v>
      </c>
      <c r="N151" s="420">
        <v>0.57899999999999996</v>
      </c>
      <c r="O151" s="421">
        <v>0.57799999999999996</v>
      </c>
      <c r="P151" s="421">
        <v>0.57899999999999996</v>
      </c>
      <c r="Q151" s="422">
        <v>0.57799999999999996</v>
      </c>
      <c r="R151" s="420">
        <v>0.57899999999999996</v>
      </c>
      <c r="S151" s="421">
        <v>1.4039999999999999</v>
      </c>
      <c r="T151" s="421">
        <v>1.7210000000000001</v>
      </c>
      <c r="U151" s="422">
        <v>2.7429999999999999</v>
      </c>
      <c r="V151" s="421">
        <v>2.427</v>
      </c>
      <c r="W151" s="421">
        <v>2.7850000000000001</v>
      </c>
      <c r="X151" s="421">
        <v>3.08</v>
      </c>
      <c r="Y151" s="422">
        <v>3.08</v>
      </c>
      <c r="Z151" s="421">
        <v>3.08</v>
      </c>
      <c r="AA151" s="421">
        <v>3.073</v>
      </c>
      <c r="AB151" s="421">
        <v>3.0550000000000002</v>
      </c>
      <c r="AC151" s="422">
        <v>4.6509999999999998</v>
      </c>
      <c r="AD151" s="420">
        <v>4.6689999999999996</v>
      </c>
      <c r="AE151" s="423">
        <v>4.76</v>
      </c>
      <c r="AF151" s="423">
        <v>5.0140000000000002</v>
      </c>
      <c r="AG151" s="423">
        <v>5.0140000000000002</v>
      </c>
      <c r="AH151" s="429">
        <v>5.8639999999999999</v>
      </c>
      <c r="AI151" s="423">
        <v>6.5369999999999999</v>
      </c>
      <c r="AJ151" s="423">
        <v>6.782</v>
      </c>
      <c r="AK151" s="423">
        <v>6.782</v>
      </c>
      <c r="AL151" s="595">
        <f t="shared" ref="AL151:AS154" si="280">AK151</f>
        <v>6.782</v>
      </c>
      <c r="AM151" s="596">
        <f t="shared" si="280"/>
        <v>6.782</v>
      </c>
      <c r="AN151" s="596">
        <f t="shared" si="280"/>
        <v>6.782</v>
      </c>
      <c r="AO151" s="596">
        <f t="shared" si="280"/>
        <v>6.782</v>
      </c>
      <c r="AP151" s="595">
        <f t="shared" si="280"/>
        <v>6.782</v>
      </c>
      <c r="AQ151" s="596">
        <f t="shared" si="280"/>
        <v>6.782</v>
      </c>
      <c r="AR151" s="596">
        <f t="shared" si="280"/>
        <v>6.782</v>
      </c>
      <c r="AS151" s="596">
        <f t="shared" si="280"/>
        <v>6.782</v>
      </c>
      <c r="AT151" s="512"/>
      <c r="AU151" s="561">
        <f t="shared" ref="AU151:AU156" si="281">SUM(B151:E151)</f>
        <v>0.60300000000000009</v>
      </c>
      <c r="AV151" s="561"/>
      <c r="AW151" s="561"/>
      <c r="AX151" s="561">
        <f>+SUM(N151:Q151)</f>
        <v>2.3140000000000001</v>
      </c>
      <c r="AY151" s="561">
        <f>SUM(R151:U151)</f>
        <v>6.4469999999999992</v>
      </c>
      <c r="AZ151" s="561">
        <f>SUM(V151:Y151)</f>
        <v>11.372</v>
      </c>
      <c r="BA151" s="561">
        <f>SUM(Z151:AC151)</f>
        <v>13.859</v>
      </c>
      <c r="BB151" s="561">
        <f t="shared" ref="BB151:BB156" si="282">SUM(AD151:AG151)</f>
        <v>19.456999999999997</v>
      </c>
      <c r="BC151" s="561">
        <f t="shared" ref="BC151:BC156" si="283">SUM(AH151:AK151)</f>
        <v>25.965</v>
      </c>
      <c r="BD151" s="561">
        <f t="shared" ref="BD151:BD156" si="284">SUM(AL151:AO151)</f>
        <v>27.128</v>
      </c>
      <c r="BE151" s="561">
        <f t="shared" ref="BE151:BE156" si="285">SUM(AP151:AS151)</f>
        <v>27.128</v>
      </c>
    </row>
    <row r="152" spans="1:57" s="33" customFormat="1" ht="12" customHeight="1">
      <c r="A152" s="152" t="s">
        <v>95</v>
      </c>
      <c r="B152" s="420">
        <v>0</v>
      </c>
      <c r="C152" s="421">
        <v>0</v>
      </c>
      <c r="D152" s="421">
        <v>0</v>
      </c>
      <c r="E152" s="422">
        <v>0</v>
      </c>
      <c r="F152" s="420">
        <f t="shared" ref="F152:S154" si="286">E152</f>
        <v>0</v>
      </c>
      <c r="G152" s="421">
        <f t="shared" si="286"/>
        <v>0</v>
      </c>
      <c r="H152" s="421">
        <f t="shared" si="286"/>
        <v>0</v>
      </c>
      <c r="I152" s="422">
        <f t="shared" si="286"/>
        <v>0</v>
      </c>
      <c r="J152" s="420">
        <f t="shared" si="286"/>
        <v>0</v>
      </c>
      <c r="K152" s="421">
        <f t="shared" si="286"/>
        <v>0</v>
      </c>
      <c r="L152" s="421">
        <f t="shared" si="286"/>
        <v>0</v>
      </c>
      <c r="M152" s="422">
        <f t="shared" si="286"/>
        <v>0</v>
      </c>
      <c r="N152" s="420">
        <f t="shared" si="286"/>
        <v>0</v>
      </c>
      <c r="O152" s="421">
        <f t="shared" si="286"/>
        <v>0</v>
      </c>
      <c r="P152" s="421">
        <f t="shared" si="286"/>
        <v>0</v>
      </c>
      <c r="Q152" s="422">
        <f t="shared" si="286"/>
        <v>0</v>
      </c>
      <c r="R152" s="289">
        <f t="shared" si="286"/>
        <v>0</v>
      </c>
      <c r="S152" s="70">
        <f t="shared" si="286"/>
        <v>0</v>
      </c>
      <c r="T152" s="421">
        <v>0</v>
      </c>
      <c r="U152" s="422">
        <v>0</v>
      </c>
      <c r="V152" s="421">
        <v>0</v>
      </c>
      <c r="W152" s="421">
        <v>0</v>
      </c>
      <c r="X152" s="421">
        <v>0</v>
      </c>
      <c r="Y152" s="422">
        <v>0</v>
      </c>
      <c r="Z152" s="421">
        <v>0</v>
      </c>
      <c r="AA152" s="421">
        <v>0</v>
      </c>
      <c r="AB152" s="421">
        <v>0</v>
      </c>
      <c r="AC152" s="422">
        <v>0</v>
      </c>
      <c r="AD152" s="420">
        <v>0</v>
      </c>
      <c r="AE152" s="423">
        <v>0</v>
      </c>
      <c r="AF152" s="423">
        <v>0</v>
      </c>
      <c r="AG152" s="424">
        <v>0</v>
      </c>
      <c r="AH152" s="429">
        <v>0</v>
      </c>
      <c r="AI152" s="596">
        <f t="shared" ref="AI152:AI154" si="287">AH152</f>
        <v>0</v>
      </c>
      <c r="AJ152" s="423">
        <v>0</v>
      </c>
      <c r="AK152" s="424">
        <v>0</v>
      </c>
      <c r="AL152" s="595">
        <f t="shared" si="280"/>
        <v>0</v>
      </c>
      <c r="AM152" s="596">
        <f t="shared" si="280"/>
        <v>0</v>
      </c>
      <c r="AN152" s="596">
        <f t="shared" si="280"/>
        <v>0</v>
      </c>
      <c r="AO152" s="597">
        <f t="shared" si="280"/>
        <v>0</v>
      </c>
      <c r="AP152" s="595">
        <f t="shared" si="280"/>
        <v>0</v>
      </c>
      <c r="AQ152" s="596">
        <f t="shared" si="280"/>
        <v>0</v>
      </c>
      <c r="AR152" s="596">
        <f t="shared" si="280"/>
        <v>0</v>
      </c>
      <c r="AS152" s="597">
        <f t="shared" si="280"/>
        <v>0</v>
      </c>
      <c r="AU152" s="561">
        <f t="shared" si="281"/>
        <v>0</v>
      </c>
      <c r="AV152" s="561">
        <f t="shared" ref="AV152:AV156" si="288">+SUM(F152:I152)</f>
        <v>0</v>
      </c>
      <c r="AW152" s="561">
        <f t="shared" ref="AW152:AW156" si="289">SUM(J152:M152)</f>
        <v>0</v>
      </c>
      <c r="AX152" s="561">
        <f>+SUM(N152:Q152)</f>
        <v>0</v>
      </c>
      <c r="AY152" s="561">
        <f>SUM(R152:U152)</f>
        <v>0</v>
      </c>
      <c r="AZ152" s="561">
        <f>SUM(V152:Y152)</f>
        <v>0</v>
      </c>
      <c r="BA152" s="561">
        <f>SUM(Z152:AC152)</f>
        <v>0</v>
      </c>
      <c r="BB152" s="561">
        <f t="shared" si="282"/>
        <v>0</v>
      </c>
      <c r="BC152" s="561">
        <f t="shared" si="283"/>
        <v>0</v>
      </c>
      <c r="BD152" s="561">
        <f t="shared" si="284"/>
        <v>0</v>
      </c>
      <c r="BE152" s="561">
        <f t="shared" si="285"/>
        <v>0</v>
      </c>
    </row>
    <row r="153" spans="1:57" s="33" customFormat="1" ht="12" customHeight="1">
      <c r="A153" s="152" t="s">
        <v>96</v>
      </c>
      <c r="B153" s="420">
        <v>0</v>
      </c>
      <c r="C153" s="421">
        <v>0</v>
      </c>
      <c r="D153" s="421">
        <v>0</v>
      </c>
      <c r="E153" s="422">
        <v>0</v>
      </c>
      <c r="F153" s="420">
        <f t="shared" si="286"/>
        <v>0</v>
      </c>
      <c r="G153" s="421">
        <f t="shared" si="286"/>
        <v>0</v>
      </c>
      <c r="H153" s="421">
        <f t="shared" si="286"/>
        <v>0</v>
      </c>
      <c r="I153" s="422">
        <f t="shared" si="286"/>
        <v>0</v>
      </c>
      <c r="J153" s="420">
        <f t="shared" si="286"/>
        <v>0</v>
      </c>
      <c r="K153" s="421">
        <f t="shared" si="286"/>
        <v>0</v>
      </c>
      <c r="L153" s="421">
        <f t="shared" si="286"/>
        <v>0</v>
      </c>
      <c r="M153" s="422">
        <f t="shared" si="286"/>
        <v>0</v>
      </c>
      <c r="N153" s="420">
        <f t="shared" si="286"/>
        <v>0</v>
      </c>
      <c r="O153" s="421">
        <f t="shared" si="286"/>
        <v>0</v>
      </c>
      <c r="P153" s="421">
        <f t="shared" si="286"/>
        <v>0</v>
      </c>
      <c r="Q153" s="422">
        <f t="shared" si="286"/>
        <v>0</v>
      </c>
      <c r="R153" s="289">
        <f t="shared" si="286"/>
        <v>0</v>
      </c>
      <c r="S153" s="70">
        <f t="shared" si="286"/>
        <v>0</v>
      </c>
      <c r="T153" s="421">
        <v>0</v>
      </c>
      <c r="U153" s="422">
        <v>0</v>
      </c>
      <c r="V153" s="421">
        <v>0</v>
      </c>
      <c r="W153" s="421">
        <v>0</v>
      </c>
      <c r="X153" s="421">
        <v>0</v>
      </c>
      <c r="Y153" s="422">
        <v>0</v>
      </c>
      <c r="Z153" s="421">
        <v>0</v>
      </c>
      <c r="AA153" s="421">
        <v>0</v>
      </c>
      <c r="AB153" s="421">
        <v>0</v>
      </c>
      <c r="AC153" s="422">
        <v>0</v>
      </c>
      <c r="AD153" s="420">
        <v>0</v>
      </c>
      <c r="AE153" s="423">
        <v>0</v>
      </c>
      <c r="AF153" s="423">
        <v>0</v>
      </c>
      <c r="AG153" s="424">
        <v>0</v>
      </c>
      <c r="AH153" s="429">
        <v>0</v>
      </c>
      <c r="AI153" s="596">
        <f t="shared" si="287"/>
        <v>0</v>
      </c>
      <c r="AJ153" s="423">
        <v>0</v>
      </c>
      <c r="AK153" s="424">
        <v>0</v>
      </c>
      <c r="AL153" s="595">
        <f t="shared" si="280"/>
        <v>0</v>
      </c>
      <c r="AM153" s="596">
        <f t="shared" si="280"/>
        <v>0</v>
      </c>
      <c r="AN153" s="596">
        <f t="shared" si="280"/>
        <v>0</v>
      </c>
      <c r="AO153" s="597">
        <f t="shared" si="280"/>
        <v>0</v>
      </c>
      <c r="AP153" s="595">
        <f t="shared" si="280"/>
        <v>0</v>
      </c>
      <c r="AQ153" s="596">
        <f t="shared" si="280"/>
        <v>0</v>
      </c>
      <c r="AR153" s="596">
        <f t="shared" si="280"/>
        <v>0</v>
      </c>
      <c r="AS153" s="597">
        <f t="shared" si="280"/>
        <v>0</v>
      </c>
      <c r="AU153" s="561">
        <f t="shared" si="281"/>
        <v>0</v>
      </c>
      <c r="AV153" s="561">
        <f t="shared" si="288"/>
        <v>0</v>
      </c>
      <c r="AW153" s="561">
        <f t="shared" si="289"/>
        <v>0</v>
      </c>
      <c r="AX153" s="561">
        <f t="shared" ref="AX153:AX155" si="290">+SUM(N153:Q153)</f>
        <v>0</v>
      </c>
      <c r="AY153" s="561">
        <f t="shared" ref="AY153:AY156" si="291">SUM(R153:U153)</f>
        <v>0</v>
      </c>
      <c r="AZ153" s="561">
        <f t="shared" ref="AZ153:AZ156" si="292">SUM(V153:Y153)</f>
        <v>0</v>
      </c>
      <c r="BA153" s="561">
        <f t="shared" ref="BA153:BA156" si="293">SUM(Z153:AC153)</f>
        <v>0</v>
      </c>
      <c r="BB153" s="561">
        <f t="shared" si="282"/>
        <v>0</v>
      </c>
      <c r="BC153" s="561">
        <f t="shared" si="283"/>
        <v>0</v>
      </c>
      <c r="BD153" s="561">
        <f t="shared" si="284"/>
        <v>0</v>
      </c>
      <c r="BE153" s="561">
        <f t="shared" si="285"/>
        <v>0</v>
      </c>
    </row>
    <row r="154" spans="1:57" s="33" customFormat="1" ht="12" customHeight="1">
      <c r="A154" s="152" t="s">
        <v>97</v>
      </c>
      <c r="B154" s="420">
        <v>0</v>
      </c>
      <c r="C154" s="421">
        <v>0</v>
      </c>
      <c r="D154" s="421">
        <v>0</v>
      </c>
      <c r="E154" s="422">
        <v>0</v>
      </c>
      <c r="F154" s="420">
        <f t="shared" si="286"/>
        <v>0</v>
      </c>
      <c r="G154" s="421">
        <f t="shared" si="286"/>
        <v>0</v>
      </c>
      <c r="H154" s="421">
        <f t="shared" si="286"/>
        <v>0</v>
      </c>
      <c r="I154" s="422">
        <f t="shared" si="286"/>
        <v>0</v>
      </c>
      <c r="J154" s="420">
        <f t="shared" si="286"/>
        <v>0</v>
      </c>
      <c r="K154" s="421">
        <f t="shared" si="286"/>
        <v>0</v>
      </c>
      <c r="L154" s="421">
        <f t="shared" si="286"/>
        <v>0</v>
      </c>
      <c r="M154" s="422">
        <f t="shared" si="286"/>
        <v>0</v>
      </c>
      <c r="N154" s="420">
        <f t="shared" si="286"/>
        <v>0</v>
      </c>
      <c r="O154" s="421">
        <f t="shared" si="286"/>
        <v>0</v>
      </c>
      <c r="P154" s="421">
        <f t="shared" si="286"/>
        <v>0</v>
      </c>
      <c r="Q154" s="422">
        <f t="shared" si="286"/>
        <v>0</v>
      </c>
      <c r="R154" s="289">
        <f t="shared" si="286"/>
        <v>0</v>
      </c>
      <c r="S154" s="70">
        <f t="shared" si="286"/>
        <v>0</v>
      </c>
      <c r="T154" s="421">
        <v>0</v>
      </c>
      <c r="U154" s="422">
        <v>0</v>
      </c>
      <c r="V154" s="421">
        <v>0</v>
      </c>
      <c r="W154" s="421">
        <v>0</v>
      </c>
      <c r="X154" s="421">
        <v>0</v>
      </c>
      <c r="Y154" s="422">
        <v>0</v>
      </c>
      <c r="Z154" s="421">
        <v>0</v>
      </c>
      <c r="AA154" s="421">
        <v>0</v>
      </c>
      <c r="AB154" s="421">
        <v>0</v>
      </c>
      <c r="AC154" s="422">
        <v>0</v>
      </c>
      <c r="AD154" s="420">
        <v>0</v>
      </c>
      <c r="AE154" s="423">
        <v>0</v>
      </c>
      <c r="AF154" s="423">
        <v>0</v>
      </c>
      <c r="AG154" s="424">
        <v>0</v>
      </c>
      <c r="AH154" s="429">
        <v>0</v>
      </c>
      <c r="AI154" s="596">
        <f t="shared" si="287"/>
        <v>0</v>
      </c>
      <c r="AJ154" s="423">
        <v>0</v>
      </c>
      <c r="AK154" s="424">
        <v>0</v>
      </c>
      <c r="AL154" s="595">
        <f t="shared" si="280"/>
        <v>0</v>
      </c>
      <c r="AM154" s="596">
        <f t="shared" si="280"/>
        <v>0</v>
      </c>
      <c r="AN154" s="596">
        <f t="shared" si="280"/>
        <v>0</v>
      </c>
      <c r="AO154" s="597">
        <f t="shared" si="280"/>
        <v>0</v>
      </c>
      <c r="AP154" s="595">
        <f t="shared" si="280"/>
        <v>0</v>
      </c>
      <c r="AQ154" s="596">
        <f t="shared" si="280"/>
        <v>0</v>
      </c>
      <c r="AR154" s="596">
        <f t="shared" si="280"/>
        <v>0</v>
      </c>
      <c r="AS154" s="597">
        <f t="shared" si="280"/>
        <v>0</v>
      </c>
      <c r="AU154" s="561">
        <f t="shared" si="281"/>
        <v>0</v>
      </c>
      <c r="AV154" s="561">
        <f t="shared" si="288"/>
        <v>0</v>
      </c>
      <c r="AW154" s="561">
        <f t="shared" si="289"/>
        <v>0</v>
      </c>
      <c r="AX154" s="561">
        <f t="shared" si="290"/>
        <v>0</v>
      </c>
      <c r="AY154" s="561">
        <f t="shared" si="291"/>
        <v>0</v>
      </c>
      <c r="AZ154" s="561">
        <f t="shared" si="292"/>
        <v>0</v>
      </c>
      <c r="BA154" s="561">
        <f t="shared" si="293"/>
        <v>0</v>
      </c>
      <c r="BB154" s="561">
        <f t="shared" si="282"/>
        <v>0</v>
      </c>
      <c r="BC154" s="561">
        <f t="shared" si="283"/>
        <v>0</v>
      </c>
      <c r="BD154" s="561">
        <f t="shared" si="284"/>
        <v>0</v>
      </c>
      <c r="BE154" s="561">
        <f t="shared" si="285"/>
        <v>0</v>
      </c>
    </row>
    <row r="155" spans="1:57" s="45" customFormat="1" ht="12" customHeight="1">
      <c r="A155" s="562" t="s">
        <v>163</v>
      </c>
      <c r="B155" s="566">
        <f>+SUM(B152:B154)</f>
        <v>0</v>
      </c>
      <c r="C155" s="567">
        <f t="shared" ref="C155:E155" si="294">+SUM(C152:C154)</f>
        <v>0</v>
      </c>
      <c r="D155" s="567">
        <f t="shared" si="294"/>
        <v>0</v>
      </c>
      <c r="E155" s="568">
        <f t="shared" si="294"/>
        <v>0</v>
      </c>
      <c r="F155" s="566">
        <f>+SUM(F152:F154)</f>
        <v>0</v>
      </c>
      <c r="G155" s="567">
        <f t="shared" ref="G155:I155" si="295">+SUM(G152:G154)</f>
        <v>0</v>
      </c>
      <c r="H155" s="567">
        <f t="shared" si="295"/>
        <v>0</v>
      </c>
      <c r="I155" s="568">
        <f t="shared" si="295"/>
        <v>0</v>
      </c>
      <c r="J155" s="566">
        <f>+SUM(J152:J154)</f>
        <v>0</v>
      </c>
      <c r="K155" s="567">
        <f t="shared" ref="K155:M155" si="296">+SUM(K152:K154)</f>
        <v>0</v>
      </c>
      <c r="L155" s="567">
        <f t="shared" si="296"/>
        <v>0</v>
      </c>
      <c r="M155" s="568">
        <f t="shared" si="296"/>
        <v>0</v>
      </c>
      <c r="N155" s="566">
        <f>+SUM(N152:N154)</f>
        <v>0</v>
      </c>
      <c r="O155" s="567">
        <f t="shared" ref="O155:S155" si="297">+SUM(O152:O154)</f>
        <v>0</v>
      </c>
      <c r="P155" s="567">
        <f t="shared" si="297"/>
        <v>0</v>
      </c>
      <c r="Q155" s="568">
        <f t="shared" si="297"/>
        <v>0</v>
      </c>
      <c r="R155" s="569">
        <f t="shared" si="297"/>
        <v>0</v>
      </c>
      <c r="S155" s="570">
        <f t="shared" si="297"/>
        <v>0</v>
      </c>
      <c r="T155" s="570">
        <v>0</v>
      </c>
      <c r="U155" s="571">
        <f t="shared" ref="U155:AS155" si="298">+SUM(U152:U154)</f>
        <v>0</v>
      </c>
      <c r="V155" s="570">
        <f t="shared" si="298"/>
        <v>0</v>
      </c>
      <c r="W155" s="300">
        <f t="shared" si="298"/>
        <v>0</v>
      </c>
      <c r="X155" s="300">
        <f t="shared" si="298"/>
        <v>0</v>
      </c>
      <c r="Y155" s="571">
        <f t="shared" si="298"/>
        <v>0</v>
      </c>
      <c r="Z155" s="570">
        <f>+SUM(Z152:Z154)</f>
        <v>0</v>
      </c>
      <c r="AA155" s="570">
        <f t="shared" si="298"/>
        <v>0</v>
      </c>
      <c r="AB155" s="570">
        <f t="shared" si="298"/>
        <v>0</v>
      </c>
      <c r="AC155" s="571">
        <f t="shared" si="298"/>
        <v>0</v>
      </c>
      <c r="AD155" s="569">
        <f t="shared" si="298"/>
        <v>0</v>
      </c>
      <c r="AE155" s="540">
        <f t="shared" si="298"/>
        <v>0</v>
      </c>
      <c r="AF155" s="540">
        <f t="shared" si="298"/>
        <v>0</v>
      </c>
      <c r="AG155" s="543">
        <f t="shared" si="298"/>
        <v>0</v>
      </c>
      <c r="AH155" s="569">
        <f t="shared" si="298"/>
        <v>0</v>
      </c>
      <c r="AI155" s="570">
        <f t="shared" si="298"/>
        <v>0</v>
      </c>
      <c r="AJ155" s="540">
        <f t="shared" si="298"/>
        <v>0</v>
      </c>
      <c r="AK155" s="543">
        <f t="shared" si="298"/>
        <v>0</v>
      </c>
      <c r="AL155" s="569">
        <f t="shared" si="298"/>
        <v>0</v>
      </c>
      <c r="AM155" s="570">
        <f t="shared" si="298"/>
        <v>0</v>
      </c>
      <c r="AN155" s="570">
        <f t="shared" si="298"/>
        <v>0</v>
      </c>
      <c r="AO155" s="571">
        <f t="shared" si="298"/>
        <v>0</v>
      </c>
      <c r="AP155" s="569">
        <f t="shared" si="298"/>
        <v>0</v>
      </c>
      <c r="AQ155" s="570">
        <f t="shared" si="298"/>
        <v>0</v>
      </c>
      <c r="AR155" s="570">
        <f t="shared" si="298"/>
        <v>0</v>
      </c>
      <c r="AS155" s="571">
        <f t="shared" si="298"/>
        <v>0</v>
      </c>
      <c r="AU155" s="573">
        <f t="shared" si="281"/>
        <v>0</v>
      </c>
      <c r="AV155" s="573">
        <f t="shared" si="288"/>
        <v>0</v>
      </c>
      <c r="AW155" s="573">
        <f t="shared" si="289"/>
        <v>0</v>
      </c>
      <c r="AX155" s="573">
        <f t="shared" si="290"/>
        <v>0</v>
      </c>
      <c r="AY155" s="573">
        <f t="shared" si="291"/>
        <v>0</v>
      </c>
      <c r="AZ155" s="573">
        <f t="shared" si="292"/>
        <v>0</v>
      </c>
      <c r="BA155" s="573">
        <f t="shared" si="293"/>
        <v>0</v>
      </c>
      <c r="BB155" s="573">
        <f t="shared" si="282"/>
        <v>0</v>
      </c>
      <c r="BC155" s="573">
        <f t="shared" si="283"/>
        <v>0</v>
      </c>
      <c r="BD155" s="573">
        <f t="shared" si="284"/>
        <v>0</v>
      </c>
      <c r="BE155" s="573">
        <f t="shared" si="285"/>
        <v>0</v>
      </c>
    </row>
    <row r="156" spans="1:57" s="45" customFormat="1" ht="12" customHeight="1">
      <c r="A156" s="575" t="s">
        <v>164</v>
      </c>
      <c r="B156" s="413">
        <f>+B155+B151</f>
        <v>0.15100000000000002</v>
      </c>
      <c r="C156" s="414">
        <f t="shared" ref="C156:Y156" si="299">+C155+C151</f>
        <v>0.151</v>
      </c>
      <c r="D156" s="414">
        <f t="shared" si="299"/>
        <v>0.151</v>
      </c>
      <c r="E156" s="415">
        <f t="shared" si="299"/>
        <v>0.15</v>
      </c>
      <c r="F156" s="413">
        <f t="shared" si="299"/>
        <v>0.151</v>
      </c>
      <c r="G156" s="414">
        <f t="shared" si="299"/>
        <v>0.151</v>
      </c>
      <c r="H156" s="414">
        <f t="shared" si="299"/>
        <v>0.151</v>
      </c>
      <c r="I156" s="415">
        <f t="shared" si="299"/>
        <v>0.15</v>
      </c>
      <c r="J156" s="413">
        <f t="shared" si="299"/>
        <v>0.151</v>
      </c>
      <c r="K156" s="414">
        <f t="shared" si="299"/>
        <v>0.151</v>
      </c>
      <c r="L156" s="414">
        <f t="shared" si="299"/>
        <v>0.125</v>
      </c>
      <c r="M156" s="415">
        <f t="shared" si="299"/>
        <v>0.193</v>
      </c>
      <c r="N156" s="413">
        <f t="shared" si="299"/>
        <v>0.57899999999999996</v>
      </c>
      <c r="O156" s="414">
        <f t="shared" si="299"/>
        <v>0.57799999999999996</v>
      </c>
      <c r="P156" s="416">
        <f t="shared" si="299"/>
        <v>0.57899999999999996</v>
      </c>
      <c r="Q156" s="414">
        <f t="shared" si="299"/>
        <v>0.57799999999999996</v>
      </c>
      <c r="R156" s="492">
        <f t="shared" si="299"/>
        <v>0.57899999999999996</v>
      </c>
      <c r="S156" s="598">
        <f t="shared" si="299"/>
        <v>1.4039999999999999</v>
      </c>
      <c r="T156" s="598">
        <f t="shared" si="299"/>
        <v>1.7210000000000001</v>
      </c>
      <c r="U156" s="599">
        <f t="shared" si="299"/>
        <v>2.7429999999999999</v>
      </c>
      <c r="V156" s="598">
        <f t="shared" si="299"/>
        <v>2.427</v>
      </c>
      <c r="W156" s="598">
        <f t="shared" si="299"/>
        <v>2.7850000000000001</v>
      </c>
      <c r="X156" s="598">
        <f t="shared" si="299"/>
        <v>3.08</v>
      </c>
      <c r="Y156" s="599">
        <f t="shared" si="299"/>
        <v>3.08</v>
      </c>
      <c r="Z156" s="598">
        <f>Z151+Z155</f>
        <v>3.08</v>
      </c>
      <c r="AA156" s="75">
        <f t="shared" ref="AA156:AS156" si="300">AA151+AA155</f>
        <v>3.073</v>
      </c>
      <c r="AB156" s="75">
        <f t="shared" si="300"/>
        <v>3.0550000000000002</v>
      </c>
      <c r="AC156" s="75">
        <f>AC151+AC155</f>
        <v>4.6509999999999998</v>
      </c>
      <c r="AD156" s="600">
        <f t="shared" si="300"/>
        <v>4.6689999999999996</v>
      </c>
      <c r="AE156" s="77">
        <f t="shared" si="300"/>
        <v>4.76</v>
      </c>
      <c r="AF156" s="75">
        <f t="shared" si="300"/>
        <v>5.0140000000000002</v>
      </c>
      <c r="AG156" s="75">
        <f t="shared" si="300"/>
        <v>5.0140000000000002</v>
      </c>
      <c r="AH156" s="600">
        <f t="shared" si="300"/>
        <v>5.8639999999999999</v>
      </c>
      <c r="AI156" s="75">
        <f t="shared" si="300"/>
        <v>6.5369999999999999</v>
      </c>
      <c r="AJ156" s="75">
        <f t="shared" si="300"/>
        <v>6.782</v>
      </c>
      <c r="AK156" s="75">
        <f t="shared" si="300"/>
        <v>6.782</v>
      </c>
      <c r="AL156" s="600">
        <f t="shared" si="300"/>
        <v>6.782</v>
      </c>
      <c r="AM156" s="75">
        <f t="shared" si="300"/>
        <v>6.782</v>
      </c>
      <c r="AN156" s="75">
        <f t="shared" si="300"/>
        <v>6.782</v>
      </c>
      <c r="AO156" s="75">
        <f t="shared" si="300"/>
        <v>6.782</v>
      </c>
      <c r="AP156" s="600">
        <f t="shared" si="300"/>
        <v>6.782</v>
      </c>
      <c r="AQ156" s="75">
        <f t="shared" si="300"/>
        <v>6.782</v>
      </c>
      <c r="AR156" s="75">
        <f t="shared" si="300"/>
        <v>6.782</v>
      </c>
      <c r="AS156" s="75">
        <f t="shared" si="300"/>
        <v>6.782</v>
      </c>
      <c r="AT156" s="512"/>
      <c r="AU156" s="584">
        <f t="shared" si="281"/>
        <v>0.60300000000000009</v>
      </c>
      <c r="AV156" s="584">
        <f t="shared" si="288"/>
        <v>0.60299999999999998</v>
      </c>
      <c r="AW156" s="584">
        <f t="shared" si="289"/>
        <v>0.62</v>
      </c>
      <c r="AX156" s="584">
        <f>+SUM(N156:Q156)</f>
        <v>2.3140000000000001</v>
      </c>
      <c r="AY156" s="584">
        <f t="shared" si="291"/>
        <v>6.4469999999999992</v>
      </c>
      <c r="AZ156" s="584">
        <f t="shared" si="292"/>
        <v>11.372</v>
      </c>
      <c r="BA156" s="584">
        <f t="shared" si="293"/>
        <v>13.859</v>
      </c>
      <c r="BB156" s="584">
        <f t="shared" si="282"/>
        <v>19.456999999999997</v>
      </c>
      <c r="BC156" s="584">
        <f t="shared" si="283"/>
        <v>25.965</v>
      </c>
      <c r="BD156" s="584">
        <f t="shared" si="284"/>
        <v>27.128</v>
      </c>
      <c r="BE156" s="584">
        <f t="shared" si="285"/>
        <v>27.128</v>
      </c>
    </row>
    <row r="157" spans="1:57" s="45" customFormat="1" ht="12" customHeight="1">
      <c r="A157" s="490" t="s">
        <v>162</v>
      </c>
      <c r="B157" s="414"/>
      <c r="C157" s="414"/>
      <c r="D157" s="414"/>
      <c r="E157" s="415"/>
      <c r="F157" s="414"/>
      <c r="G157" s="414"/>
      <c r="H157" s="414"/>
      <c r="I157" s="414"/>
      <c r="J157" s="601">
        <f t="shared" ref="J157:Y157" si="301">J156/J110</f>
        <v>1.8804249013088254E-3</v>
      </c>
      <c r="K157" s="602">
        <f t="shared" si="301"/>
        <v>1.7684812142790217E-3</v>
      </c>
      <c r="L157" s="602">
        <f t="shared" si="301"/>
        <v>1.3608849017985455E-3</v>
      </c>
      <c r="M157" s="602">
        <f t="shared" si="301"/>
        <v>1.9886861276262511E-3</v>
      </c>
      <c r="N157" s="601">
        <f t="shared" si="301"/>
        <v>5.6406359597848954E-3</v>
      </c>
      <c r="O157" s="602">
        <f t="shared" si="301"/>
        <v>5.3913384137525763E-3</v>
      </c>
      <c r="P157" s="602">
        <f t="shared" si="301"/>
        <v>5.1566591261288531E-3</v>
      </c>
      <c r="Q157" s="602">
        <f t="shared" si="301"/>
        <v>4.8949035416066796E-3</v>
      </c>
      <c r="R157" s="601">
        <f t="shared" si="301"/>
        <v>4.700094976012468E-3</v>
      </c>
      <c r="S157" s="602">
        <f t="shared" si="301"/>
        <v>1.0778525860017348E-2</v>
      </c>
      <c r="T157" s="602">
        <f t="shared" si="301"/>
        <v>1.2411296371084062E-2</v>
      </c>
      <c r="U157" s="585">
        <f t="shared" si="301"/>
        <v>1.8407172287911527E-2</v>
      </c>
      <c r="V157" s="397">
        <f t="shared" si="301"/>
        <v>1.5228904171477336E-2</v>
      </c>
      <c r="W157" s="397">
        <f t="shared" si="301"/>
        <v>1.6946471057131211E-2</v>
      </c>
      <c r="X157" s="397">
        <f t="shared" si="301"/>
        <v>1.7614997912508364E-2</v>
      </c>
      <c r="Y157" s="585">
        <f t="shared" si="301"/>
        <v>1.6681922320737039E-2</v>
      </c>
      <c r="Z157" s="397">
        <f t="shared" ref="Z157:AS157" si="302">Z156/Z9</f>
        <v>1.631019016198984E-2</v>
      </c>
      <c r="AA157" s="397">
        <f t="shared" si="302"/>
        <v>1.5756065546873397E-2</v>
      </c>
      <c r="AB157" s="397">
        <f t="shared" si="302"/>
        <v>1.515910861464107E-2</v>
      </c>
      <c r="AC157" s="397">
        <f t="shared" si="302"/>
        <v>2.1804356183135965E-2</v>
      </c>
      <c r="AD157" s="586">
        <f t="shared" si="302"/>
        <v>2.1619644287626007E-2</v>
      </c>
      <c r="AE157" s="337">
        <f t="shared" si="302"/>
        <v>2.1514999480204841E-2</v>
      </c>
      <c r="AF157" s="397">
        <f t="shared" si="302"/>
        <v>2.2079546255196224E-2</v>
      </c>
      <c r="AG157" s="397">
        <f t="shared" si="302"/>
        <v>2.1270006914661205E-2</v>
      </c>
      <c r="AH157" s="586">
        <f t="shared" si="302"/>
        <v>2.4521508591309582E-2</v>
      </c>
      <c r="AI157" s="397">
        <f t="shared" si="302"/>
        <v>2.6434016053701045E-2</v>
      </c>
      <c r="AJ157" s="397">
        <f t="shared" si="302"/>
        <v>2.686578989066709E-2</v>
      </c>
      <c r="AK157" s="397">
        <f t="shared" si="302"/>
        <v>2.603125131941059E-2</v>
      </c>
      <c r="AL157" s="586">
        <f t="shared" si="302"/>
        <v>2.6229200320528404E-2</v>
      </c>
      <c r="AM157" s="397">
        <f t="shared" si="302"/>
        <v>2.5540741502859482E-2</v>
      </c>
      <c r="AN157" s="397">
        <f t="shared" si="302"/>
        <v>2.5235628189744612E-2</v>
      </c>
      <c r="AO157" s="397">
        <f t="shared" si="302"/>
        <v>2.4449454663962398E-2</v>
      </c>
      <c r="AP157" s="586">
        <f t="shared" si="302"/>
        <v>2.4607516295404617E-2</v>
      </c>
      <c r="AQ157" s="397">
        <f t="shared" si="302"/>
        <v>2.3963302306454621E-2</v>
      </c>
      <c r="AR157" s="397">
        <f t="shared" si="302"/>
        <v>2.3680479410519338E-2</v>
      </c>
      <c r="AS157" s="397">
        <f t="shared" si="302"/>
        <v>2.294383991890379E-2</v>
      </c>
      <c r="AT157" s="512"/>
      <c r="AU157" s="584"/>
      <c r="AV157" s="584"/>
      <c r="AW157" s="584"/>
      <c r="AX157" s="584"/>
      <c r="AY157" s="584"/>
      <c r="AZ157" s="584"/>
      <c r="BA157" s="584"/>
      <c r="BB157" s="584"/>
      <c r="BC157" s="584"/>
      <c r="BD157" s="584"/>
      <c r="BE157" s="584"/>
    </row>
    <row r="158" spans="1:57" s="33" customFormat="1" ht="12" customHeight="1">
      <c r="A158" s="491"/>
      <c r="B158" s="414"/>
      <c r="C158" s="414"/>
      <c r="D158" s="414"/>
      <c r="E158" s="415"/>
      <c r="F158" s="414"/>
      <c r="G158" s="414"/>
      <c r="H158" s="414"/>
      <c r="I158" s="414"/>
      <c r="J158" s="413"/>
      <c r="K158" s="414"/>
      <c r="L158" s="414"/>
      <c r="M158" s="415"/>
      <c r="N158" s="413"/>
      <c r="O158" s="414"/>
      <c r="P158" s="416"/>
      <c r="Q158" s="415"/>
      <c r="R158" s="413"/>
      <c r="S158" s="603"/>
      <c r="T158" s="603"/>
      <c r="U158" s="604"/>
      <c r="V158" s="603"/>
      <c r="W158" s="603"/>
      <c r="X158" s="603"/>
      <c r="Y158" s="603"/>
      <c r="Z158" s="605"/>
      <c r="AA158" s="603"/>
      <c r="AB158" s="603"/>
      <c r="AC158" s="604"/>
      <c r="AD158" s="605"/>
      <c r="AE158" s="521"/>
      <c r="AF158" s="603"/>
      <c r="AG158" s="604"/>
      <c r="AH158" s="605"/>
      <c r="AI158" s="603"/>
      <c r="AJ158" s="603"/>
      <c r="AK158" s="604"/>
      <c r="AL158" s="605"/>
      <c r="AM158" s="603"/>
      <c r="AN158" s="603"/>
      <c r="AO158" s="604"/>
      <c r="AP158" s="605"/>
      <c r="AQ158" s="603"/>
      <c r="AR158" s="603"/>
      <c r="AS158" s="604"/>
      <c r="AU158" s="63"/>
      <c r="AV158" s="584"/>
      <c r="AW158" s="584"/>
      <c r="AX158" s="584"/>
      <c r="AY158" s="63"/>
      <c r="AZ158" s="63"/>
      <c r="BA158" s="63"/>
      <c r="BB158" s="63"/>
      <c r="BC158" s="63"/>
      <c r="BD158" s="63"/>
      <c r="BE158" s="63"/>
    </row>
    <row r="159" spans="1:57" s="33" customFormat="1" ht="12" customHeight="1">
      <c r="A159" s="557" t="s">
        <v>165</v>
      </c>
      <c r="B159" s="421"/>
      <c r="C159" s="421"/>
      <c r="D159" s="421"/>
      <c r="E159" s="422"/>
      <c r="F159" s="421"/>
      <c r="G159" s="421"/>
      <c r="H159" s="421"/>
      <c r="I159" s="421"/>
      <c r="J159" s="420"/>
      <c r="K159" s="421"/>
      <c r="L159" s="421"/>
      <c r="M159" s="422"/>
      <c r="N159" s="420"/>
      <c r="O159" s="421"/>
      <c r="P159" s="423"/>
      <c r="Q159" s="422"/>
      <c r="R159" s="420"/>
      <c r="S159" s="559"/>
      <c r="T159" s="559"/>
      <c r="U159" s="560"/>
      <c r="V159" s="559"/>
      <c r="W159" s="559"/>
      <c r="X159" s="559"/>
      <c r="Y159" s="559"/>
      <c r="Z159" s="558"/>
      <c r="AA159" s="559"/>
      <c r="AB159" s="559"/>
      <c r="AC159" s="560"/>
      <c r="AD159" s="558"/>
      <c r="AE159" s="288"/>
      <c r="AF159" s="288"/>
      <c r="AG159" s="560"/>
      <c r="AH159" s="558"/>
      <c r="AI159" s="559"/>
      <c r="AJ159" s="559"/>
      <c r="AK159" s="560"/>
      <c r="AL159" s="558"/>
      <c r="AM159" s="559"/>
      <c r="AN159" s="559"/>
      <c r="AO159" s="560"/>
      <c r="AP159" s="558"/>
      <c r="AQ159" s="559"/>
      <c r="AR159" s="559"/>
      <c r="AS159" s="560"/>
      <c r="AU159" s="139"/>
      <c r="AV159" s="561"/>
      <c r="AW159" s="561"/>
      <c r="AX159" s="561"/>
      <c r="AY159" s="139"/>
      <c r="AZ159" s="139"/>
      <c r="BA159" s="139"/>
      <c r="BB159" s="139"/>
      <c r="BC159" s="139"/>
      <c r="BD159" s="139"/>
      <c r="BE159" s="139"/>
    </row>
    <row r="160" spans="1:57" s="33" customFormat="1" ht="12" customHeight="1">
      <c r="A160" s="490" t="s">
        <v>134</v>
      </c>
      <c r="B160" s="420">
        <v>0</v>
      </c>
      <c r="C160" s="421">
        <v>0</v>
      </c>
      <c r="D160" s="421">
        <v>0</v>
      </c>
      <c r="E160" s="422">
        <v>0</v>
      </c>
      <c r="F160" s="420">
        <v>0</v>
      </c>
      <c r="G160" s="421">
        <v>0</v>
      </c>
      <c r="H160" s="421">
        <v>0</v>
      </c>
      <c r="I160" s="422">
        <v>0</v>
      </c>
      <c r="J160" s="420">
        <v>0</v>
      </c>
      <c r="K160" s="421">
        <v>0</v>
      </c>
      <c r="L160" s="421">
        <v>0</v>
      </c>
      <c r="M160" s="422">
        <v>0</v>
      </c>
      <c r="N160" s="420">
        <v>0</v>
      </c>
      <c r="O160" s="421">
        <v>0</v>
      </c>
      <c r="P160" s="423">
        <v>0</v>
      </c>
      <c r="Q160" s="422">
        <v>0</v>
      </c>
      <c r="R160" s="420">
        <v>0</v>
      </c>
      <c r="S160" s="431">
        <v>0</v>
      </c>
      <c r="T160" s="431">
        <v>0</v>
      </c>
      <c r="U160" s="422">
        <v>0</v>
      </c>
      <c r="V160" s="431">
        <v>0</v>
      </c>
      <c r="W160" s="431">
        <v>0</v>
      </c>
      <c r="X160" s="431">
        <v>0</v>
      </c>
      <c r="Y160" s="422">
        <v>0</v>
      </c>
      <c r="Z160" s="431">
        <f t="shared" ref="Z160:Z162" si="303">Y160</f>
        <v>0</v>
      </c>
      <c r="AA160" s="431">
        <v>0</v>
      </c>
      <c r="AB160" s="431">
        <v>0</v>
      </c>
      <c r="AC160" s="432">
        <v>0</v>
      </c>
      <c r="AD160" s="430">
        <v>0</v>
      </c>
      <c r="AE160" s="431">
        <v>0</v>
      </c>
      <c r="AF160" s="606">
        <v>0</v>
      </c>
      <c r="AG160" s="607">
        <v>0</v>
      </c>
      <c r="AH160" s="430">
        <v>0</v>
      </c>
      <c r="AI160" s="608">
        <f t="shared" ref="AI160" si="304">AH160</f>
        <v>0</v>
      </c>
      <c r="AJ160" s="606">
        <v>0</v>
      </c>
      <c r="AK160" s="607">
        <v>0</v>
      </c>
      <c r="AL160" s="609">
        <f t="shared" ref="AL160:AS163" si="305">AK160</f>
        <v>0</v>
      </c>
      <c r="AM160" s="608">
        <f t="shared" si="305"/>
        <v>0</v>
      </c>
      <c r="AN160" s="608">
        <f t="shared" si="305"/>
        <v>0</v>
      </c>
      <c r="AO160" s="610">
        <f t="shared" si="305"/>
        <v>0</v>
      </c>
      <c r="AP160" s="609">
        <f t="shared" si="305"/>
        <v>0</v>
      </c>
      <c r="AQ160" s="608">
        <f t="shared" si="305"/>
        <v>0</v>
      </c>
      <c r="AR160" s="608">
        <f t="shared" si="305"/>
        <v>0</v>
      </c>
      <c r="AS160" s="610">
        <f t="shared" si="305"/>
        <v>0</v>
      </c>
      <c r="AU160" s="611">
        <f t="shared" ref="AU160:AU165" si="306">SUM(B160:E160)</f>
        <v>0</v>
      </c>
      <c r="AV160" s="561">
        <f t="shared" ref="AV160:AV165" si="307">+SUM(F160:I160)</f>
        <v>0</v>
      </c>
      <c r="AW160" s="561">
        <f t="shared" ref="AW160:AW165" si="308">SUM(J160:M160)</f>
        <v>0</v>
      </c>
      <c r="AX160" s="561">
        <f t="shared" ref="AX160:AX165" si="309">+SUM(N160:Q160)</f>
        <v>0</v>
      </c>
      <c r="AY160" s="561">
        <f t="shared" ref="AY160:AY165" si="310">SUM(R160:U160)</f>
        <v>0</v>
      </c>
      <c r="AZ160" s="561">
        <f t="shared" ref="AZ160:AZ165" si="311">SUM(V160:Y160)</f>
        <v>0</v>
      </c>
      <c r="BA160" s="561">
        <f t="shared" ref="BA160:BA165" si="312">SUM(Z160:AC160)</f>
        <v>0</v>
      </c>
      <c r="BB160" s="561">
        <f t="shared" ref="BB160:BB165" si="313">SUM(AD160:AG160)</f>
        <v>0</v>
      </c>
      <c r="BC160" s="561">
        <f t="shared" ref="BC160:BC165" si="314">SUM(AH160:AK160)</f>
        <v>0</v>
      </c>
      <c r="BD160" s="561">
        <f t="shared" ref="BD160:BD165" si="315">SUM(AL160:AO160)</f>
        <v>0</v>
      </c>
      <c r="BE160" s="561">
        <f t="shared" ref="BE160:BE165" si="316">SUM(AP160:AS160)</f>
        <v>0</v>
      </c>
    </row>
    <row r="161" spans="1:57" s="33" customFormat="1" ht="12" customHeight="1">
      <c r="A161" s="152" t="s">
        <v>95</v>
      </c>
      <c r="B161" s="420">
        <v>0</v>
      </c>
      <c r="C161" s="421">
        <v>0</v>
      </c>
      <c r="D161" s="421">
        <v>0</v>
      </c>
      <c r="E161" s="422">
        <v>0</v>
      </c>
      <c r="F161" s="420">
        <v>0</v>
      </c>
      <c r="G161" s="421">
        <v>0</v>
      </c>
      <c r="H161" s="421">
        <v>0</v>
      </c>
      <c r="I161" s="422">
        <v>0</v>
      </c>
      <c r="J161" s="420">
        <v>0</v>
      </c>
      <c r="K161" s="421">
        <v>0</v>
      </c>
      <c r="L161" s="421">
        <v>0</v>
      </c>
      <c r="M161" s="422">
        <v>0</v>
      </c>
      <c r="N161" s="420">
        <v>0</v>
      </c>
      <c r="O161" s="421">
        <v>0</v>
      </c>
      <c r="P161" s="423">
        <v>0</v>
      </c>
      <c r="Q161" s="422">
        <v>0</v>
      </c>
      <c r="R161" s="420">
        <v>0</v>
      </c>
      <c r="S161" s="431">
        <v>0</v>
      </c>
      <c r="T161" s="431">
        <v>0</v>
      </c>
      <c r="U161" s="422">
        <v>0.11899999999999999</v>
      </c>
      <c r="V161" s="421">
        <v>0</v>
      </c>
      <c r="W161" s="421">
        <v>0</v>
      </c>
      <c r="X161" s="421">
        <v>0</v>
      </c>
      <c r="Y161" s="422">
        <v>0</v>
      </c>
      <c r="Z161" s="421">
        <f t="shared" si="303"/>
        <v>0</v>
      </c>
      <c r="AA161" s="421">
        <v>0</v>
      </c>
      <c r="AB161" s="421">
        <v>0</v>
      </c>
      <c r="AC161" s="422">
        <v>0</v>
      </c>
      <c r="AD161" s="420">
        <v>0</v>
      </c>
      <c r="AE161" s="421">
        <v>0</v>
      </c>
      <c r="AF161" s="423">
        <v>0</v>
      </c>
      <c r="AG161" s="424">
        <v>0</v>
      </c>
      <c r="AH161" s="420">
        <v>1.054</v>
      </c>
      <c r="AI161" s="421">
        <v>0.25800000000000001</v>
      </c>
      <c r="AJ161" s="423">
        <v>0</v>
      </c>
      <c r="AK161" s="424">
        <v>0</v>
      </c>
      <c r="AL161" s="595">
        <f t="shared" si="305"/>
        <v>0</v>
      </c>
      <c r="AM161" s="596">
        <f t="shared" si="305"/>
        <v>0</v>
      </c>
      <c r="AN161" s="596">
        <f t="shared" si="305"/>
        <v>0</v>
      </c>
      <c r="AO161" s="597">
        <f t="shared" si="305"/>
        <v>0</v>
      </c>
      <c r="AP161" s="595">
        <f t="shared" si="305"/>
        <v>0</v>
      </c>
      <c r="AQ161" s="596">
        <f t="shared" si="305"/>
        <v>0</v>
      </c>
      <c r="AR161" s="596">
        <f t="shared" si="305"/>
        <v>0</v>
      </c>
      <c r="AS161" s="597">
        <f t="shared" si="305"/>
        <v>0</v>
      </c>
      <c r="AU161" s="611">
        <f t="shared" si="306"/>
        <v>0</v>
      </c>
      <c r="AV161" s="561">
        <f t="shared" si="307"/>
        <v>0</v>
      </c>
      <c r="AW161" s="561">
        <f t="shared" si="308"/>
        <v>0</v>
      </c>
      <c r="AX161" s="561">
        <f t="shared" si="309"/>
        <v>0</v>
      </c>
      <c r="AY161" s="561">
        <f t="shared" si="310"/>
        <v>0.11899999999999999</v>
      </c>
      <c r="AZ161" s="561">
        <f t="shared" si="311"/>
        <v>0</v>
      </c>
      <c r="BA161" s="561">
        <f t="shared" si="312"/>
        <v>0</v>
      </c>
      <c r="BB161" s="561">
        <f t="shared" si="313"/>
        <v>0</v>
      </c>
      <c r="BC161" s="561">
        <f t="shared" si="314"/>
        <v>1.3120000000000001</v>
      </c>
      <c r="BD161" s="561">
        <f t="shared" si="315"/>
        <v>0</v>
      </c>
      <c r="BE161" s="561">
        <f t="shared" si="316"/>
        <v>0</v>
      </c>
    </row>
    <row r="162" spans="1:57" s="33" customFormat="1" ht="12" customHeight="1">
      <c r="A162" s="152" t="s">
        <v>96</v>
      </c>
      <c r="B162" s="420">
        <v>0</v>
      </c>
      <c r="C162" s="421">
        <v>0</v>
      </c>
      <c r="D162" s="421">
        <v>0</v>
      </c>
      <c r="E162" s="422">
        <v>0</v>
      </c>
      <c r="F162" s="420">
        <v>0</v>
      </c>
      <c r="G162" s="421">
        <v>0</v>
      </c>
      <c r="H162" s="421">
        <v>0</v>
      </c>
      <c r="I162" s="422">
        <v>0</v>
      </c>
      <c r="J162" s="420">
        <v>0</v>
      </c>
      <c r="K162" s="421">
        <v>0</v>
      </c>
      <c r="L162" s="421">
        <v>0</v>
      </c>
      <c r="M162" s="422">
        <v>0</v>
      </c>
      <c r="N162" s="420">
        <v>0</v>
      </c>
      <c r="O162" s="421">
        <v>0</v>
      </c>
      <c r="P162" s="423">
        <v>0</v>
      </c>
      <c r="Q162" s="422">
        <v>0</v>
      </c>
      <c r="R162" s="420">
        <v>0</v>
      </c>
      <c r="S162" s="431">
        <v>0</v>
      </c>
      <c r="T162" s="431">
        <v>0</v>
      </c>
      <c r="U162" s="422">
        <v>0.13900000000000001</v>
      </c>
      <c r="V162" s="421">
        <v>0</v>
      </c>
      <c r="W162" s="421">
        <v>0</v>
      </c>
      <c r="X162" s="421">
        <v>0</v>
      </c>
      <c r="Y162" s="422">
        <v>0</v>
      </c>
      <c r="Z162" s="421">
        <f t="shared" si="303"/>
        <v>0</v>
      </c>
      <c r="AA162" s="421">
        <v>0</v>
      </c>
      <c r="AB162" s="421">
        <v>0</v>
      </c>
      <c r="AC162" s="422">
        <v>0</v>
      </c>
      <c r="AD162" s="420">
        <v>0</v>
      </c>
      <c r="AE162" s="421">
        <v>0</v>
      </c>
      <c r="AF162" s="423">
        <v>0</v>
      </c>
      <c r="AG162" s="424">
        <v>0</v>
      </c>
      <c r="AH162" s="420">
        <v>1.2390000000000001</v>
      </c>
      <c r="AI162" s="421">
        <v>0.53200000000000003</v>
      </c>
      <c r="AJ162" s="423">
        <v>0</v>
      </c>
      <c r="AK162" s="424">
        <v>4.0000000000000001E-3</v>
      </c>
      <c r="AL162" s="595">
        <f t="shared" si="305"/>
        <v>4.0000000000000001E-3</v>
      </c>
      <c r="AM162" s="596">
        <f t="shared" si="305"/>
        <v>4.0000000000000001E-3</v>
      </c>
      <c r="AN162" s="596">
        <f t="shared" si="305"/>
        <v>4.0000000000000001E-3</v>
      </c>
      <c r="AO162" s="597">
        <f t="shared" si="305"/>
        <v>4.0000000000000001E-3</v>
      </c>
      <c r="AP162" s="595">
        <f t="shared" si="305"/>
        <v>4.0000000000000001E-3</v>
      </c>
      <c r="AQ162" s="596">
        <f t="shared" si="305"/>
        <v>4.0000000000000001E-3</v>
      </c>
      <c r="AR162" s="596">
        <f t="shared" si="305"/>
        <v>4.0000000000000001E-3</v>
      </c>
      <c r="AS162" s="597">
        <f t="shared" si="305"/>
        <v>4.0000000000000001E-3</v>
      </c>
      <c r="AU162" s="611">
        <f t="shared" si="306"/>
        <v>0</v>
      </c>
      <c r="AV162" s="561">
        <f t="shared" si="307"/>
        <v>0</v>
      </c>
      <c r="AW162" s="561">
        <f t="shared" si="308"/>
        <v>0</v>
      </c>
      <c r="AX162" s="561">
        <f t="shared" si="309"/>
        <v>0</v>
      </c>
      <c r="AY162" s="561">
        <f t="shared" si="310"/>
        <v>0.13900000000000001</v>
      </c>
      <c r="AZ162" s="561">
        <f t="shared" si="311"/>
        <v>0</v>
      </c>
      <c r="BA162" s="561">
        <f t="shared" si="312"/>
        <v>0</v>
      </c>
      <c r="BB162" s="561">
        <f t="shared" si="313"/>
        <v>0</v>
      </c>
      <c r="BC162" s="561">
        <f t="shared" si="314"/>
        <v>1.7750000000000001</v>
      </c>
      <c r="BD162" s="561">
        <f t="shared" si="315"/>
        <v>1.6E-2</v>
      </c>
      <c r="BE162" s="561">
        <f t="shared" si="316"/>
        <v>1.6E-2</v>
      </c>
    </row>
    <row r="163" spans="1:57" s="33" customFormat="1" ht="12" customHeight="1">
      <c r="A163" s="152" t="s">
        <v>97</v>
      </c>
      <c r="B163" s="420">
        <v>0</v>
      </c>
      <c r="C163" s="421">
        <v>0</v>
      </c>
      <c r="D163" s="421">
        <v>0</v>
      </c>
      <c r="E163" s="422">
        <v>0</v>
      </c>
      <c r="F163" s="420">
        <v>0</v>
      </c>
      <c r="G163" s="421">
        <v>0</v>
      </c>
      <c r="H163" s="421">
        <v>0</v>
      </c>
      <c r="I163" s="422">
        <v>0</v>
      </c>
      <c r="J163" s="420">
        <v>0</v>
      </c>
      <c r="K163" s="421">
        <v>0</v>
      </c>
      <c r="L163" s="421">
        <v>0</v>
      </c>
      <c r="M163" s="422">
        <v>3.97</v>
      </c>
      <c r="N163" s="420">
        <v>0.33900000000000002</v>
      </c>
      <c r="O163" s="421"/>
      <c r="P163" s="423">
        <v>0</v>
      </c>
      <c r="Q163" s="422">
        <v>0</v>
      </c>
      <c r="R163" s="420">
        <v>2.1579999999999999</v>
      </c>
      <c r="S163" s="421">
        <v>1.542</v>
      </c>
      <c r="T163" s="421">
        <v>2.27</v>
      </c>
      <c r="U163" s="422">
        <v>0.67300000000000004</v>
      </c>
      <c r="V163" s="421">
        <f>1.341+0.838</f>
        <v>2.1789999999999998</v>
      </c>
      <c r="W163" s="421">
        <v>0.71299999999999997</v>
      </c>
      <c r="X163" s="421">
        <v>0.32200000000000001</v>
      </c>
      <c r="Y163" s="422">
        <v>0.26600000000000001</v>
      </c>
      <c r="Z163" s="421">
        <v>0.1</v>
      </c>
      <c r="AA163" s="421">
        <v>0.03</v>
      </c>
      <c r="AB163" s="421">
        <v>4.5979999999999999</v>
      </c>
      <c r="AC163" s="421">
        <v>4.7439999999999998</v>
      </c>
      <c r="AD163" s="420">
        <v>0.161</v>
      </c>
      <c r="AE163" s="421">
        <v>0.76300000000000001</v>
      </c>
      <c r="AF163" s="423">
        <v>0.36</v>
      </c>
      <c r="AG163" s="423">
        <v>0.64800000000000002</v>
      </c>
      <c r="AH163" s="420">
        <v>2.3279999999999998</v>
      </c>
      <c r="AI163" s="421">
        <v>1.2909999999999999</v>
      </c>
      <c r="AJ163" s="423">
        <v>0.113</v>
      </c>
      <c r="AK163" s="423">
        <v>0.437</v>
      </c>
      <c r="AL163" s="595">
        <f>AK163</f>
        <v>0.437</v>
      </c>
      <c r="AM163" s="596">
        <f>AL163</f>
        <v>0.437</v>
      </c>
      <c r="AN163" s="596">
        <f t="shared" si="305"/>
        <v>0.437</v>
      </c>
      <c r="AO163" s="596">
        <f t="shared" si="305"/>
        <v>0.437</v>
      </c>
      <c r="AP163" s="595">
        <f>AO163</f>
        <v>0.437</v>
      </c>
      <c r="AQ163" s="596">
        <f>AP163</f>
        <v>0.437</v>
      </c>
      <c r="AR163" s="596">
        <f t="shared" si="305"/>
        <v>0.437</v>
      </c>
      <c r="AS163" s="596">
        <f t="shared" si="305"/>
        <v>0.437</v>
      </c>
      <c r="AT163" s="592"/>
      <c r="AU163" s="611">
        <f t="shared" si="306"/>
        <v>0</v>
      </c>
      <c r="AV163" s="561">
        <f t="shared" si="307"/>
        <v>0</v>
      </c>
      <c r="AW163" s="561">
        <f t="shared" si="308"/>
        <v>3.97</v>
      </c>
      <c r="AX163" s="561">
        <f t="shared" si="309"/>
        <v>0.33900000000000002</v>
      </c>
      <c r="AY163" s="561">
        <f t="shared" si="310"/>
        <v>6.6430000000000007</v>
      </c>
      <c r="AZ163" s="561">
        <f t="shared" si="311"/>
        <v>3.48</v>
      </c>
      <c r="BA163" s="561">
        <f t="shared" si="312"/>
        <v>9.4719999999999995</v>
      </c>
      <c r="BB163" s="561">
        <f t="shared" si="313"/>
        <v>1.9319999999999999</v>
      </c>
      <c r="BC163" s="561">
        <f t="shared" si="314"/>
        <v>4.1689999999999996</v>
      </c>
      <c r="BD163" s="561">
        <f t="shared" si="315"/>
        <v>1.748</v>
      </c>
      <c r="BE163" s="561">
        <f t="shared" si="316"/>
        <v>1.748</v>
      </c>
    </row>
    <row r="164" spans="1:57" s="45" customFormat="1" ht="12" customHeight="1">
      <c r="A164" s="562" t="s">
        <v>166</v>
      </c>
      <c r="B164" s="566">
        <f>+SUM(B161:B163)</f>
        <v>0</v>
      </c>
      <c r="C164" s="567">
        <f>+SUM(C161:C163)</f>
        <v>0</v>
      </c>
      <c r="D164" s="567">
        <f t="shared" ref="D164:E164" si="317">+SUM(D161:D163)</f>
        <v>0</v>
      </c>
      <c r="E164" s="568">
        <f t="shared" si="317"/>
        <v>0</v>
      </c>
      <c r="F164" s="566">
        <f>+SUM(F161:F163)</f>
        <v>0</v>
      </c>
      <c r="G164" s="567">
        <f>+SUM(G161:G163)</f>
        <v>0</v>
      </c>
      <c r="H164" s="567">
        <f t="shared" ref="H164:I164" si="318">+SUM(H161:H163)</f>
        <v>0</v>
      </c>
      <c r="I164" s="568">
        <f t="shared" si="318"/>
        <v>0</v>
      </c>
      <c r="J164" s="566">
        <f>+SUM(J161:J163)</f>
        <v>0</v>
      </c>
      <c r="K164" s="567">
        <f>+SUM(K161:K163)</f>
        <v>0</v>
      </c>
      <c r="L164" s="567">
        <f t="shared" ref="L164:M164" si="319">+SUM(L161:L163)</f>
        <v>0</v>
      </c>
      <c r="M164" s="568">
        <f t="shared" si="319"/>
        <v>3.97</v>
      </c>
      <c r="N164" s="566">
        <f>+SUM(N161:N163)</f>
        <v>0.33900000000000002</v>
      </c>
      <c r="O164" s="567">
        <f>+SUM(O161:O163)</f>
        <v>0</v>
      </c>
      <c r="P164" s="564">
        <f t="shared" ref="P164:Q164" si="320">+SUM(P161:P163)</f>
        <v>0</v>
      </c>
      <c r="Q164" s="568">
        <f t="shared" si="320"/>
        <v>0</v>
      </c>
      <c r="R164" s="566">
        <f>+SUM(R161:R163)</f>
        <v>2.1579999999999999</v>
      </c>
      <c r="S164" s="567">
        <f>+SUM(S161:S163)</f>
        <v>1.542</v>
      </c>
      <c r="T164" s="612">
        <f t="shared" ref="T164:AS164" si="321">+SUM(T161:T163)</f>
        <v>2.27</v>
      </c>
      <c r="U164" s="568">
        <f t="shared" si="321"/>
        <v>0.93100000000000005</v>
      </c>
      <c r="V164" s="567">
        <f t="shared" si="321"/>
        <v>2.1789999999999998</v>
      </c>
      <c r="W164" s="567">
        <f t="shared" si="321"/>
        <v>0.71299999999999997</v>
      </c>
      <c r="X164" s="567">
        <f t="shared" si="321"/>
        <v>0.32200000000000001</v>
      </c>
      <c r="Y164" s="568">
        <f t="shared" si="321"/>
        <v>0.26600000000000001</v>
      </c>
      <c r="Z164" s="567">
        <f t="shared" si="321"/>
        <v>0.1</v>
      </c>
      <c r="AA164" s="567">
        <f t="shared" si="321"/>
        <v>0.03</v>
      </c>
      <c r="AB164" s="567">
        <f t="shared" si="321"/>
        <v>4.5979999999999999</v>
      </c>
      <c r="AC164" s="568">
        <f t="shared" si="321"/>
        <v>4.7439999999999998</v>
      </c>
      <c r="AD164" s="567">
        <f t="shared" si="321"/>
        <v>0.161</v>
      </c>
      <c r="AE164" s="567">
        <f t="shared" si="321"/>
        <v>0.76300000000000001</v>
      </c>
      <c r="AF164" s="567">
        <f t="shared" si="321"/>
        <v>0.36</v>
      </c>
      <c r="AG164" s="568">
        <f t="shared" si="321"/>
        <v>0.64800000000000002</v>
      </c>
      <c r="AH164" s="567">
        <f t="shared" si="321"/>
        <v>4.6210000000000004</v>
      </c>
      <c r="AI164" s="567">
        <f t="shared" si="321"/>
        <v>2.081</v>
      </c>
      <c r="AJ164" s="567">
        <f t="shared" si="321"/>
        <v>0.113</v>
      </c>
      <c r="AK164" s="568">
        <f t="shared" si="321"/>
        <v>0.441</v>
      </c>
      <c r="AL164" s="566">
        <f t="shared" si="321"/>
        <v>0.441</v>
      </c>
      <c r="AM164" s="567">
        <f t="shared" si="321"/>
        <v>0.441</v>
      </c>
      <c r="AN164" s="567">
        <f t="shared" si="321"/>
        <v>0.441</v>
      </c>
      <c r="AO164" s="568">
        <f t="shared" si="321"/>
        <v>0.441</v>
      </c>
      <c r="AP164" s="566">
        <f t="shared" si="321"/>
        <v>0.441</v>
      </c>
      <c r="AQ164" s="567">
        <f t="shared" si="321"/>
        <v>0.441</v>
      </c>
      <c r="AR164" s="567">
        <f t="shared" si="321"/>
        <v>0.441</v>
      </c>
      <c r="AS164" s="568">
        <f t="shared" si="321"/>
        <v>0.441</v>
      </c>
      <c r="AU164" s="613">
        <f t="shared" si="306"/>
        <v>0</v>
      </c>
      <c r="AV164" s="573">
        <f t="shared" si="307"/>
        <v>0</v>
      </c>
      <c r="AW164" s="573">
        <f t="shared" si="308"/>
        <v>3.97</v>
      </c>
      <c r="AX164" s="573">
        <f t="shared" si="309"/>
        <v>0.33900000000000002</v>
      </c>
      <c r="AY164" s="573">
        <f t="shared" si="310"/>
        <v>6.9010000000000007</v>
      </c>
      <c r="AZ164" s="573">
        <f t="shared" si="311"/>
        <v>3.48</v>
      </c>
      <c r="BA164" s="573">
        <f t="shared" si="312"/>
        <v>9.4719999999999995</v>
      </c>
      <c r="BB164" s="573">
        <f t="shared" si="313"/>
        <v>1.9319999999999999</v>
      </c>
      <c r="BC164" s="573">
        <f t="shared" si="314"/>
        <v>7.2560000000000002</v>
      </c>
      <c r="BD164" s="573">
        <f t="shared" si="315"/>
        <v>1.764</v>
      </c>
      <c r="BE164" s="573">
        <f t="shared" si="316"/>
        <v>1.764</v>
      </c>
    </row>
    <row r="165" spans="1:57" s="45" customFormat="1" ht="12" customHeight="1">
      <c r="A165" s="575" t="s">
        <v>167</v>
      </c>
      <c r="B165" s="413">
        <f>+B164+B160</f>
        <v>0</v>
      </c>
      <c r="C165" s="414">
        <f t="shared" ref="C165:AS165" si="322">+C164+C160</f>
        <v>0</v>
      </c>
      <c r="D165" s="414">
        <f t="shared" si="322"/>
        <v>0</v>
      </c>
      <c r="E165" s="414">
        <f t="shared" si="322"/>
        <v>0</v>
      </c>
      <c r="F165" s="579">
        <f t="shared" si="322"/>
        <v>0</v>
      </c>
      <c r="G165" s="580">
        <f t="shared" si="322"/>
        <v>0</v>
      </c>
      <c r="H165" s="580">
        <f t="shared" si="322"/>
        <v>0</v>
      </c>
      <c r="I165" s="582">
        <f t="shared" si="322"/>
        <v>0</v>
      </c>
      <c r="J165" s="579">
        <f t="shared" si="322"/>
        <v>0</v>
      </c>
      <c r="K165" s="580">
        <f t="shared" si="322"/>
        <v>0</v>
      </c>
      <c r="L165" s="580">
        <f t="shared" si="322"/>
        <v>0</v>
      </c>
      <c r="M165" s="582">
        <f t="shared" si="322"/>
        <v>3.97</v>
      </c>
      <c r="N165" s="579">
        <f t="shared" si="322"/>
        <v>0.33900000000000002</v>
      </c>
      <c r="O165" s="580">
        <f t="shared" si="322"/>
        <v>0</v>
      </c>
      <c r="P165" s="614">
        <f t="shared" si="322"/>
        <v>0</v>
      </c>
      <c r="Q165" s="582">
        <f t="shared" si="322"/>
        <v>0</v>
      </c>
      <c r="R165" s="413">
        <f t="shared" si="322"/>
        <v>2.1579999999999999</v>
      </c>
      <c r="S165" s="414">
        <f t="shared" si="322"/>
        <v>1.542</v>
      </c>
      <c r="T165" s="414">
        <f t="shared" si="322"/>
        <v>2.27</v>
      </c>
      <c r="U165" s="415">
        <f t="shared" si="322"/>
        <v>0.93100000000000005</v>
      </c>
      <c r="V165" s="414">
        <f t="shared" si="322"/>
        <v>2.1789999999999998</v>
      </c>
      <c r="W165" s="75">
        <f t="shared" si="322"/>
        <v>0.71299999999999997</v>
      </c>
      <c r="X165" s="414">
        <f t="shared" si="322"/>
        <v>0.32200000000000001</v>
      </c>
      <c r="Y165" s="415">
        <f t="shared" si="322"/>
        <v>0.26600000000000001</v>
      </c>
      <c r="Z165" s="414">
        <f t="shared" si="322"/>
        <v>0.1</v>
      </c>
      <c r="AA165" s="414">
        <f t="shared" si="322"/>
        <v>0.03</v>
      </c>
      <c r="AB165" s="414">
        <f t="shared" si="322"/>
        <v>4.5979999999999999</v>
      </c>
      <c r="AC165" s="415">
        <f t="shared" si="322"/>
        <v>4.7439999999999998</v>
      </c>
      <c r="AD165" s="414">
        <f t="shared" si="322"/>
        <v>0.161</v>
      </c>
      <c r="AE165" s="414">
        <f t="shared" si="322"/>
        <v>0.76300000000000001</v>
      </c>
      <c r="AF165" s="414">
        <f t="shared" si="322"/>
        <v>0.36</v>
      </c>
      <c r="AG165" s="415">
        <f t="shared" si="322"/>
        <v>0.64800000000000002</v>
      </c>
      <c r="AH165" s="414">
        <f t="shared" si="322"/>
        <v>4.6210000000000004</v>
      </c>
      <c r="AI165" s="414">
        <f t="shared" si="322"/>
        <v>2.081</v>
      </c>
      <c r="AJ165" s="414">
        <f t="shared" si="322"/>
        <v>0.113</v>
      </c>
      <c r="AK165" s="415">
        <f t="shared" si="322"/>
        <v>0.441</v>
      </c>
      <c r="AL165" s="413">
        <f t="shared" si="322"/>
        <v>0.441</v>
      </c>
      <c r="AM165" s="414">
        <f t="shared" si="322"/>
        <v>0.441</v>
      </c>
      <c r="AN165" s="414">
        <f t="shared" si="322"/>
        <v>0.441</v>
      </c>
      <c r="AO165" s="415">
        <f t="shared" si="322"/>
        <v>0.441</v>
      </c>
      <c r="AP165" s="413">
        <f t="shared" si="322"/>
        <v>0.441</v>
      </c>
      <c r="AQ165" s="414">
        <f t="shared" si="322"/>
        <v>0.441</v>
      </c>
      <c r="AR165" s="414">
        <f t="shared" si="322"/>
        <v>0.441</v>
      </c>
      <c r="AS165" s="415">
        <f t="shared" si="322"/>
        <v>0.441</v>
      </c>
      <c r="AU165" s="615">
        <f t="shared" si="306"/>
        <v>0</v>
      </c>
      <c r="AV165" s="584">
        <f t="shared" si="307"/>
        <v>0</v>
      </c>
      <c r="AW165" s="584">
        <f t="shared" si="308"/>
        <v>3.97</v>
      </c>
      <c r="AX165" s="584">
        <f t="shared" si="309"/>
        <v>0.33900000000000002</v>
      </c>
      <c r="AY165" s="584">
        <f t="shared" si="310"/>
        <v>6.9010000000000007</v>
      </c>
      <c r="AZ165" s="584">
        <f t="shared" si="311"/>
        <v>3.48</v>
      </c>
      <c r="BA165" s="584">
        <f t="shared" si="312"/>
        <v>9.4719999999999995</v>
      </c>
      <c r="BB165" s="584">
        <f t="shared" si="313"/>
        <v>1.9319999999999999</v>
      </c>
      <c r="BC165" s="584">
        <f t="shared" si="314"/>
        <v>7.2560000000000002</v>
      </c>
      <c r="BD165" s="584">
        <f t="shared" si="315"/>
        <v>1.764</v>
      </c>
      <c r="BE165" s="584">
        <f t="shared" si="316"/>
        <v>1.764</v>
      </c>
    </row>
    <row r="166" spans="1:57" s="45" customFormat="1" ht="12" customHeight="1">
      <c r="A166" s="491"/>
      <c r="B166" s="414"/>
      <c r="C166" s="414"/>
      <c r="D166" s="414"/>
      <c r="E166" s="414"/>
      <c r="F166" s="413"/>
      <c r="G166" s="414"/>
      <c r="H166" s="414"/>
      <c r="I166" s="415"/>
      <c r="J166" s="413"/>
      <c r="K166" s="414"/>
      <c r="L166" s="414"/>
      <c r="M166" s="415"/>
      <c r="N166" s="413"/>
      <c r="O166" s="414"/>
      <c r="P166" s="416"/>
      <c r="Q166" s="415"/>
      <c r="R166" s="413"/>
      <c r="S166" s="577"/>
      <c r="T166" s="577"/>
      <c r="U166" s="578"/>
      <c r="V166" s="577"/>
      <c r="W166" s="577"/>
      <c r="X166" s="577"/>
      <c r="Y166" s="577"/>
      <c r="Z166" s="576"/>
      <c r="AA166" s="577"/>
      <c r="AB166" s="577"/>
      <c r="AC166" s="578"/>
      <c r="AD166" s="576"/>
      <c r="AE166" s="616"/>
      <c r="AF166" s="577"/>
      <c r="AG166" s="578"/>
      <c r="AH166" s="576"/>
      <c r="AI166" s="577"/>
      <c r="AJ166" s="577"/>
      <c r="AK166" s="578"/>
      <c r="AL166" s="576"/>
      <c r="AM166" s="577"/>
      <c r="AN166" s="577"/>
      <c r="AO166" s="578"/>
      <c r="AP166" s="576"/>
      <c r="AQ166" s="577"/>
      <c r="AR166" s="577"/>
      <c r="AS166" s="578"/>
      <c r="AU166" s="615"/>
      <c r="AV166" s="615"/>
      <c r="AW166" s="615"/>
      <c r="AX166" s="615"/>
      <c r="AY166" s="615"/>
      <c r="AZ166" s="615"/>
      <c r="BA166" s="615"/>
      <c r="BB166" s="615"/>
      <c r="BC166" s="615"/>
      <c r="BD166" s="615"/>
      <c r="BE166" s="615"/>
    </row>
    <row r="167" spans="1:57" s="45" customFormat="1" ht="12" customHeight="1">
      <c r="A167" s="491" t="s">
        <v>138</v>
      </c>
      <c r="B167" s="414"/>
      <c r="C167" s="414"/>
      <c r="D167" s="414"/>
      <c r="E167" s="414"/>
      <c r="F167" s="413"/>
      <c r="G167" s="617"/>
      <c r="H167" s="617"/>
      <c r="I167" s="618"/>
      <c r="J167" s="619"/>
      <c r="K167" s="617"/>
      <c r="L167" s="617"/>
      <c r="M167" s="618"/>
      <c r="N167" s="619"/>
      <c r="O167" s="617"/>
      <c r="P167" s="617"/>
      <c r="Q167" s="618"/>
      <c r="R167" s="413"/>
      <c r="S167" s="577"/>
      <c r="T167" s="577"/>
      <c r="U167" s="578"/>
      <c r="V167" s="577"/>
      <c r="W167" s="577"/>
      <c r="X167" s="577"/>
      <c r="Y167" s="577"/>
      <c r="Z167" s="576"/>
      <c r="AA167" s="577"/>
      <c r="AB167" s="577"/>
      <c r="AC167" s="578"/>
      <c r="AD167" s="576"/>
      <c r="AE167" s="616"/>
      <c r="AF167" s="577"/>
      <c r="AG167" s="578"/>
      <c r="AH167" s="576"/>
      <c r="AI167" s="577"/>
      <c r="AJ167" s="577"/>
      <c r="AK167" s="578"/>
      <c r="AL167" s="576"/>
      <c r="AM167" s="577"/>
      <c r="AN167" s="577"/>
      <c r="AO167" s="578"/>
      <c r="AP167" s="576"/>
      <c r="AQ167" s="577"/>
      <c r="AR167" s="577"/>
      <c r="AS167" s="578"/>
      <c r="AU167" s="615"/>
      <c r="AV167" s="615"/>
      <c r="AW167" s="615"/>
      <c r="AX167" s="615"/>
      <c r="AY167" s="615"/>
      <c r="AZ167" s="615"/>
      <c r="BA167" s="615"/>
      <c r="BB167" s="615"/>
      <c r="BC167" s="615"/>
      <c r="BD167" s="615"/>
      <c r="BE167" s="615"/>
    </row>
    <row r="168" spans="1:57" s="45" customFormat="1" ht="12" customHeight="1">
      <c r="A168" s="490" t="s">
        <v>150</v>
      </c>
      <c r="B168" s="414">
        <v>0</v>
      </c>
      <c r="C168" s="414">
        <v>0</v>
      </c>
      <c r="D168" s="414">
        <v>0</v>
      </c>
      <c r="E168" s="414">
        <v>0</v>
      </c>
      <c r="F168" s="413">
        <v>0</v>
      </c>
      <c r="G168" s="617">
        <v>0</v>
      </c>
      <c r="H168" s="617">
        <v>0</v>
      </c>
      <c r="I168" s="618">
        <v>0</v>
      </c>
      <c r="J168" s="619">
        <v>0</v>
      </c>
      <c r="K168" s="617">
        <v>0</v>
      </c>
      <c r="L168" s="617">
        <v>0</v>
      </c>
      <c r="M168" s="618">
        <v>0</v>
      </c>
      <c r="N168" s="619">
        <v>0</v>
      </c>
      <c r="O168" s="617">
        <v>0</v>
      </c>
      <c r="P168" s="617">
        <v>0</v>
      </c>
      <c r="Q168" s="618">
        <v>0</v>
      </c>
      <c r="R168" s="413">
        <v>0</v>
      </c>
      <c r="S168" s="577">
        <v>0</v>
      </c>
      <c r="T168" s="577">
        <v>0</v>
      </c>
      <c r="U168" s="578">
        <v>0</v>
      </c>
      <c r="V168" s="577">
        <v>0</v>
      </c>
      <c r="W168" s="577">
        <v>0</v>
      </c>
      <c r="X168" s="577">
        <v>0</v>
      </c>
      <c r="Y168" s="577">
        <v>0</v>
      </c>
      <c r="Z168" s="420">
        <v>0</v>
      </c>
      <c r="AA168" s="421">
        <v>0</v>
      </c>
      <c r="AB168" s="421">
        <v>0</v>
      </c>
      <c r="AC168" s="421">
        <f>AC119</f>
        <v>4.4989999999999997</v>
      </c>
      <c r="AD168" s="420">
        <v>1.389</v>
      </c>
      <c r="AE168" s="423">
        <f>AE119</f>
        <v>4.681</v>
      </c>
      <c r="AF168" s="423">
        <v>0</v>
      </c>
      <c r="AG168" s="423">
        <v>0</v>
      </c>
      <c r="AH168" s="420">
        <v>0</v>
      </c>
      <c r="AI168" s="596">
        <v>0</v>
      </c>
      <c r="AJ168" s="423">
        <v>0</v>
      </c>
      <c r="AK168" s="423">
        <v>3.113</v>
      </c>
      <c r="AL168" s="595">
        <v>0</v>
      </c>
      <c r="AM168" s="596">
        <v>0</v>
      </c>
      <c r="AN168" s="596">
        <v>0</v>
      </c>
      <c r="AO168" s="597">
        <v>0</v>
      </c>
      <c r="AP168" s="595">
        <v>0</v>
      </c>
      <c r="AQ168" s="596">
        <v>0</v>
      </c>
      <c r="AR168" s="596">
        <v>0</v>
      </c>
      <c r="AS168" s="597">
        <v>0</v>
      </c>
      <c r="AU168" s="561">
        <f t="shared" ref="AU168" si="323">SUM(B168:E168)</f>
        <v>0</v>
      </c>
      <c r="AV168" s="561">
        <f t="shared" ref="AV168" si="324">+SUM(F168:I168)</f>
        <v>0</v>
      </c>
      <c r="AW168" s="561">
        <f t="shared" ref="AW168" si="325">SUM(J168:M168)</f>
        <v>0</v>
      </c>
      <c r="AX168" s="561">
        <f t="shared" ref="AX168:AX173" si="326">+SUM(N168:Q168)</f>
        <v>0</v>
      </c>
      <c r="AY168" s="561">
        <f t="shared" ref="AY168:AY173" si="327">SUM(R168:U168)</f>
        <v>0</v>
      </c>
      <c r="AZ168" s="561">
        <f t="shared" ref="AZ168:AZ173" si="328">SUM(V168:Y168)</f>
        <v>0</v>
      </c>
      <c r="BA168" s="561">
        <f t="shared" ref="BA168:BA173" si="329">SUM(Z168:AC168)</f>
        <v>4.4989999999999997</v>
      </c>
      <c r="BB168" s="561">
        <f t="shared" ref="BB168:BB173" si="330">SUM(AD168:AG168)</f>
        <v>6.07</v>
      </c>
      <c r="BC168" s="561">
        <f t="shared" ref="BC168:BC173" si="331">SUM(AH168:AK168)</f>
        <v>3.113</v>
      </c>
      <c r="BD168" s="561">
        <f t="shared" ref="BD168:BD173" si="332">SUM(AL168:AO168)</f>
        <v>0</v>
      </c>
      <c r="BE168" s="561">
        <f t="shared" ref="BE168:BE173" si="333">SUM(AP168:AS168)</f>
        <v>0</v>
      </c>
    </row>
    <row r="169" spans="1:57" s="45" customFormat="1" ht="12" customHeight="1">
      <c r="A169" s="490" t="s">
        <v>168</v>
      </c>
      <c r="B169" s="429">
        <v>-0.01</v>
      </c>
      <c r="C169" s="423">
        <v>-1.2E-2</v>
      </c>
      <c r="D169" s="423">
        <v>-1.2999999999999999E-2</v>
      </c>
      <c r="E169" s="424">
        <v>-1.9E-2</v>
      </c>
      <c r="F169" s="429">
        <v>-2.3E-2</v>
      </c>
      <c r="G169" s="423">
        <v>-2.5000000000000001E-2</v>
      </c>
      <c r="H169" s="423">
        <v>-0.09</v>
      </c>
      <c r="I169" s="424">
        <v>-0.08</v>
      </c>
      <c r="J169" s="429">
        <v>-0.64900000000000002</v>
      </c>
      <c r="K169" s="423">
        <v>0.121</v>
      </c>
      <c r="L169" s="423">
        <v>0.27300000000000002</v>
      </c>
      <c r="M169" s="424">
        <v>0.16</v>
      </c>
      <c r="N169" s="429">
        <v>0.19800000000000001</v>
      </c>
      <c r="O169" s="423">
        <v>0.437</v>
      </c>
      <c r="P169" s="423">
        <v>0.497</v>
      </c>
      <c r="Q169" s="424">
        <v>0.16700000000000001</v>
      </c>
      <c r="R169" s="420">
        <v>-4.0000000000000001E-3</v>
      </c>
      <c r="S169" s="421">
        <v>-0.48</v>
      </c>
      <c r="T169" s="421">
        <v>-1.4999999999999999E-2</v>
      </c>
      <c r="U169" s="422">
        <v>1.1160000000000001</v>
      </c>
      <c r="V169" s="421">
        <v>1.0660000000000001</v>
      </c>
      <c r="W169" s="70">
        <v>0.188</v>
      </c>
      <c r="X169" s="70">
        <v>0.318</v>
      </c>
      <c r="Y169" s="422">
        <v>0.53100000000000003</v>
      </c>
      <c r="Z169" s="421">
        <v>0.91700000000000004</v>
      </c>
      <c r="AA169" s="421">
        <v>1.3360000000000001</v>
      </c>
      <c r="AB169" s="421">
        <v>-1.2070000000000001</v>
      </c>
      <c r="AC169" s="421">
        <v>0.97099999999999997</v>
      </c>
      <c r="AD169" s="420">
        <v>-1.077</v>
      </c>
      <c r="AE169" s="423">
        <v>1.175</v>
      </c>
      <c r="AF169" s="423">
        <v>1.528</v>
      </c>
      <c r="AG169" s="423">
        <v>1.2190000000000001</v>
      </c>
      <c r="AH169" s="420">
        <v>0.85499999999999998</v>
      </c>
      <c r="AI169" s="421">
        <f>AH169+0.175+0.027</f>
        <v>1.0569999999999999</v>
      </c>
      <c r="AJ169" s="423">
        <v>-2.552</v>
      </c>
      <c r="AK169" s="423">
        <v>3.363</v>
      </c>
      <c r="AL169" s="595">
        <f>AK169+0.1</f>
        <v>3.4630000000000001</v>
      </c>
      <c r="AM169" s="596">
        <f t="shared" ref="AM169:AO169" si="334">AL169+0.1</f>
        <v>3.5630000000000002</v>
      </c>
      <c r="AN169" s="596">
        <f t="shared" si="334"/>
        <v>3.6630000000000003</v>
      </c>
      <c r="AO169" s="596">
        <f t="shared" si="334"/>
        <v>3.7630000000000003</v>
      </c>
      <c r="AP169" s="595">
        <f>AO169+0.1</f>
        <v>3.8630000000000004</v>
      </c>
      <c r="AQ169" s="596">
        <f t="shared" ref="AQ169:AS169" si="335">AP169+0.1</f>
        <v>3.9630000000000005</v>
      </c>
      <c r="AR169" s="596">
        <f t="shared" si="335"/>
        <v>4.0630000000000006</v>
      </c>
      <c r="AS169" s="596">
        <f t="shared" si="335"/>
        <v>4.1630000000000003</v>
      </c>
      <c r="AT169" s="512"/>
      <c r="AU169" s="561">
        <f t="shared" ref="AU169:AU173" si="336">SUM(B169:E169)</f>
        <v>-5.3999999999999992E-2</v>
      </c>
      <c r="AV169" s="561">
        <f t="shared" ref="AV169:AV171" si="337">+SUM(F169:I169)</f>
        <v>-0.21800000000000003</v>
      </c>
      <c r="AW169" s="561">
        <f t="shared" ref="AW169:AW171" si="338">SUM(J169:M169)</f>
        <v>-9.5000000000000001E-2</v>
      </c>
      <c r="AX169" s="561">
        <f t="shared" si="326"/>
        <v>1.2990000000000002</v>
      </c>
      <c r="AY169" s="561">
        <f t="shared" si="327"/>
        <v>0.6170000000000001</v>
      </c>
      <c r="AZ169" s="561">
        <f t="shared" si="328"/>
        <v>2.1030000000000002</v>
      </c>
      <c r="BA169" s="561">
        <f t="shared" si="329"/>
        <v>2.0169999999999999</v>
      </c>
      <c r="BB169" s="561">
        <f t="shared" si="330"/>
        <v>2.8450000000000002</v>
      </c>
      <c r="BC169" s="561">
        <f t="shared" si="331"/>
        <v>2.7229999999999999</v>
      </c>
      <c r="BD169" s="561">
        <f t="shared" si="332"/>
        <v>14.452</v>
      </c>
      <c r="BE169" s="561">
        <f t="shared" si="333"/>
        <v>16.052</v>
      </c>
    </row>
    <row r="170" spans="1:57" s="45" customFormat="1" ht="12" customHeight="1">
      <c r="A170" s="490" t="s">
        <v>169</v>
      </c>
      <c r="B170" s="429">
        <v>0</v>
      </c>
      <c r="C170" s="423">
        <v>0</v>
      </c>
      <c r="D170" s="423">
        <v>0</v>
      </c>
      <c r="E170" s="424">
        <v>0</v>
      </c>
      <c r="F170" s="429">
        <v>0</v>
      </c>
      <c r="G170" s="423">
        <v>0</v>
      </c>
      <c r="H170" s="423">
        <v>0</v>
      </c>
      <c r="I170" s="424">
        <v>0</v>
      </c>
      <c r="J170" s="429">
        <v>0</v>
      </c>
      <c r="K170" s="423">
        <v>0</v>
      </c>
      <c r="L170" s="423">
        <v>0</v>
      </c>
      <c r="M170" s="424">
        <v>10.582000000000001</v>
      </c>
      <c r="N170" s="429">
        <v>0</v>
      </c>
      <c r="O170" s="423">
        <v>0</v>
      </c>
      <c r="P170" s="423">
        <v>0</v>
      </c>
      <c r="Q170" s="424">
        <v>0</v>
      </c>
      <c r="R170" s="420">
        <v>0</v>
      </c>
      <c r="S170" s="421">
        <v>-1.137</v>
      </c>
      <c r="T170" s="421">
        <v>-0.54600000000000004</v>
      </c>
      <c r="U170" s="422">
        <v>-8.8770000000000007</v>
      </c>
      <c r="V170" s="421">
        <v>-0.442</v>
      </c>
      <c r="W170" s="70">
        <v>-2.907</v>
      </c>
      <c r="X170" s="70">
        <v>-0.95799999999999996</v>
      </c>
      <c r="Y170" s="422">
        <v>0.60399999999999998</v>
      </c>
      <c r="Z170" s="421">
        <v>-5.3999999999999999E-2</v>
      </c>
      <c r="AA170" s="421">
        <v>-5.8999999999999997E-2</v>
      </c>
      <c r="AB170" s="421">
        <v>-4.8000000000000001E-2</v>
      </c>
      <c r="AC170" s="421">
        <v>0.42599999999999999</v>
      </c>
      <c r="AD170" s="420">
        <v>-3.5000000000000003E-2</v>
      </c>
      <c r="AE170" s="423">
        <v>-4.2999999999999997E-2</v>
      </c>
      <c r="AF170" s="423">
        <v>-5.1999999999999998E-2</v>
      </c>
      <c r="AG170" s="423">
        <v>-3.1E-2</v>
      </c>
      <c r="AH170" s="420">
        <v>-5.8000000000000003E-2</v>
      </c>
      <c r="AI170" s="421">
        <f t="shared" ref="AI170" si="339">AH170</f>
        <v>-5.8000000000000003E-2</v>
      </c>
      <c r="AJ170" s="423">
        <v>-4.7E-2</v>
      </c>
      <c r="AK170" s="423">
        <v>-0.159</v>
      </c>
      <c r="AL170" s="595">
        <f>AK170</f>
        <v>-0.159</v>
      </c>
      <c r="AM170" s="596">
        <f t="shared" ref="AM170:AO170" si="340">AL170</f>
        <v>-0.159</v>
      </c>
      <c r="AN170" s="596">
        <f t="shared" si="340"/>
        <v>-0.159</v>
      </c>
      <c r="AO170" s="596">
        <f t="shared" si="340"/>
        <v>-0.159</v>
      </c>
      <c r="AP170" s="595">
        <f>AO170</f>
        <v>-0.159</v>
      </c>
      <c r="AQ170" s="596">
        <f t="shared" ref="AQ170:AS170" si="341">AP170</f>
        <v>-0.159</v>
      </c>
      <c r="AR170" s="596">
        <f t="shared" si="341"/>
        <v>-0.159</v>
      </c>
      <c r="AS170" s="596">
        <f t="shared" si="341"/>
        <v>-0.159</v>
      </c>
      <c r="AT170" s="512"/>
      <c r="AU170" s="561">
        <f t="shared" si="336"/>
        <v>0</v>
      </c>
      <c r="AV170" s="561">
        <f t="shared" si="337"/>
        <v>0</v>
      </c>
      <c r="AW170" s="561">
        <f t="shared" si="338"/>
        <v>10.582000000000001</v>
      </c>
      <c r="AX170" s="561">
        <f t="shared" si="326"/>
        <v>0</v>
      </c>
      <c r="AY170" s="561">
        <f t="shared" si="327"/>
        <v>-10.56</v>
      </c>
      <c r="AZ170" s="561">
        <f t="shared" si="328"/>
        <v>-3.7030000000000003</v>
      </c>
      <c r="BA170" s="561">
        <f>SUM(Z170:AC170)</f>
        <v>0.26500000000000001</v>
      </c>
      <c r="BB170" s="561">
        <f t="shared" si="330"/>
        <v>-0.161</v>
      </c>
      <c r="BC170" s="561">
        <f t="shared" si="331"/>
        <v>-0.32200000000000001</v>
      </c>
      <c r="BD170" s="561">
        <f t="shared" si="332"/>
        <v>-0.63600000000000001</v>
      </c>
      <c r="BE170" s="561">
        <f t="shared" si="333"/>
        <v>-0.63600000000000001</v>
      </c>
    </row>
    <row r="171" spans="1:57" s="45" customFormat="1" ht="12" customHeight="1">
      <c r="A171" s="490" t="s">
        <v>170</v>
      </c>
      <c r="B171" s="429">
        <v>0</v>
      </c>
      <c r="C171" s="423">
        <v>0</v>
      </c>
      <c r="D171" s="423">
        <v>0</v>
      </c>
      <c r="E171" s="424">
        <v>0</v>
      </c>
      <c r="F171" s="429">
        <v>0</v>
      </c>
      <c r="G171" s="423">
        <v>0</v>
      </c>
      <c r="H171" s="423">
        <v>0</v>
      </c>
      <c r="I171" s="424">
        <v>0</v>
      </c>
      <c r="J171" s="429">
        <v>0</v>
      </c>
      <c r="K171" s="423">
        <v>0</v>
      </c>
      <c r="L171" s="423">
        <v>0</v>
      </c>
      <c r="M171" s="424">
        <v>0</v>
      </c>
      <c r="N171" s="429">
        <v>0</v>
      </c>
      <c r="O171" s="423">
        <v>0</v>
      </c>
      <c r="P171" s="423">
        <v>0</v>
      </c>
      <c r="Q171" s="424">
        <v>0</v>
      </c>
      <c r="R171" s="420">
        <v>2.8079999999999998</v>
      </c>
      <c r="S171" s="431">
        <v>0</v>
      </c>
      <c r="T171" s="431">
        <v>0</v>
      </c>
      <c r="U171" s="432">
        <v>0</v>
      </c>
      <c r="V171" s="421">
        <v>0.84299999999999997</v>
      </c>
      <c r="W171" s="70">
        <v>0.77</v>
      </c>
      <c r="X171" s="70">
        <v>0.50800000000000001</v>
      </c>
      <c r="Y171" s="432">
        <v>0.53100000000000003</v>
      </c>
      <c r="Z171" s="421">
        <v>0</v>
      </c>
      <c r="AA171" s="431">
        <v>0</v>
      </c>
      <c r="AB171" s="431">
        <v>0</v>
      </c>
      <c r="AC171" s="431">
        <v>0</v>
      </c>
      <c r="AD171" s="430">
        <v>0</v>
      </c>
      <c r="AE171" s="606">
        <v>0</v>
      </c>
      <c r="AF171" s="606">
        <v>0</v>
      </c>
      <c r="AG171" s="423">
        <v>1.232</v>
      </c>
      <c r="AH171" s="430">
        <v>0</v>
      </c>
      <c r="AI171" s="431">
        <v>0</v>
      </c>
      <c r="AJ171" s="606">
        <v>0</v>
      </c>
      <c r="AK171" s="423">
        <v>0</v>
      </c>
      <c r="AL171" s="609">
        <v>0</v>
      </c>
      <c r="AM171" s="608">
        <v>0</v>
      </c>
      <c r="AN171" s="608">
        <v>0</v>
      </c>
      <c r="AO171" s="608">
        <v>0</v>
      </c>
      <c r="AP171" s="609">
        <v>0</v>
      </c>
      <c r="AQ171" s="608">
        <v>0</v>
      </c>
      <c r="AR171" s="608">
        <v>0</v>
      </c>
      <c r="AS171" s="608">
        <v>0</v>
      </c>
      <c r="AT171" s="512"/>
      <c r="AU171" s="561">
        <f t="shared" si="336"/>
        <v>0</v>
      </c>
      <c r="AV171" s="561">
        <f t="shared" si="337"/>
        <v>0</v>
      </c>
      <c r="AW171" s="561">
        <f t="shared" si="338"/>
        <v>0</v>
      </c>
      <c r="AX171" s="561">
        <f t="shared" si="326"/>
        <v>0</v>
      </c>
      <c r="AY171" s="561">
        <f t="shared" si="327"/>
        <v>2.8079999999999998</v>
      </c>
      <c r="AZ171" s="561">
        <f t="shared" si="328"/>
        <v>2.6520000000000001</v>
      </c>
      <c r="BA171" s="561">
        <f t="shared" si="329"/>
        <v>0</v>
      </c>
      <c r="BB171" s="561">
        <f t="shared" si="330"/>
        <v>1.232</v>
      </c>
      <c r="BC171" s="561">
        <f t="shared" si="331"/>
        <v>0</v>
      </c>
      <c r="BD171" s="561">
        <f t="shared" si="332"/>
        <v>0</v>
      </c>
      <c r="BE171" s="561">
        <f t="shared" si="333"/>
        <v>0</v>
      </c>
    </row>
    <row r="172" spans="1:57" s="45" customFormat="1" ht="12" customHeight="1">
      <c r="A172" s="620" t="s">
        <v>142</v>
      </c>
      <c r="B172" s="621">
        <f t="shared" ref="B172:X172" si="342">-B130</f>
        <v>0.18699999999999994</v>
      </c>
      <c r="C172" s="622">
        <f t="shared" si="342"/>
        <v>0.191</v>
      </c>
      <c r="D172" s="622">
        <f t="shared" si="342"/>
        <v>0.192</v>
      </c>
      <c r="E172" s="622">
        <f t="shared" si="342"/>
        <v>0.193</v>
      </c>
      <c r="F172" s="621">
        <f t="shared" si="342"/>
        <v>0.188</v>
      </c>
      <c r="G172" s="622">
        <f t="shared" si="342"/>
        <v>0.191</v>
      </c>
      <c r="H172" s="622">
        <f t="shared" si="342"/>
        <v>5.5E-2</v>
      </c>
      <c r="I172" s="623">
        <f t="shared" si="342"/>
        <v>0</v>
      </c>
      <c r="J172" s="621">
        <f t="shared" si="342"/>
        <v>0</v>
      </c>
      <c r="K172" s="622">
        <f t="shared" si="342"/>
        <v>0</v>
      </c>
      <c r="L172" s="622">
        <f t="shared" si="342"/>
        <v>0</v>
      </c>
      <c r="M172" s="623">
        <f t="shared" si="342"/>
        <v>0</v>
      </c>
      <c r="N172" s="621">
        <f t="shared" si="342"/>
        <v>0</v>
      </c>
      <c r="O172" s="622">
        <f t="shared" si="342"/>
        <v>0</v>
      </c>
      <c r="P172" s="622">
        <f t="shared" si="342"/>
        <v>0</v>
      </c>
      <c r="Q172" s="623">
        <f t="shared" si="342"/>
        <v>0</v>
      </c>
      <c r="R172" s="624">
        <f t="shared" si="342"/>
        <v>0</v>
      </c>
      <c r="S172" s="625">
        <f t="shared" si="342"/>
        <v>0</v>
      </c>
      <c r="T172" s="625">
        <f t="shared" si="342"/>
        <v>0</v>
      </c>
      <c r="U172" s="626">
        <f t="shared" si="342"/>
        <v>0</v>
      </c>
      <c r="V172" s="612">
        <f t="shared" si="342"/>
        <v>0</v>
      </c>
      <c r="W172" s="625">
        <f t="shared" si="342"/>
        <v>0</v>
      </c>
      <c r="X172" s="625">
        <f t="shared" si="342"/>
        <v>0</v>
      </c>
      <c r="Y172" s="626">
        <v>0</v>
      </c>
      <c r="Z172" s="612">
        <f>-Z130</f>
        <v>0</v>
      </c>
      <c r="AA172" s="625">
        <f>-AA130</f>
        <v>0</v>
      </c>
      <c r="AB172" s="625">
        <v>0</v>
      </c>
      <c r="AC172" s="625">
        <v>0</v>
      </c>
      <c r="AD172" s="627">
        <v>0</v>
      </c>
      <c r="AE172" s="628">
        <v>0</v>
      </c>
      <c r="AF172" s="628">
        <v>0</v>
      </c>
      <c r="AG172" s="628">
        <v>0</v>
      </c>
      <c r="AH172" s="627">
        <v>0</v>
      </c>
      <c r="AI172" s="629">
        <f t="shared" ref="AI172:AS172" si="343">-AI130</f>
        <v>0</v>
      </c>
      <c r="AJ172" s="628">
        <v>0</v>
      </c>
      <c r="AK172" s="628">
        <v>0</v>
      </c>
      <c r="AL172" s="630">
        <f t="shared" si="343"/>
        <v>0</v>
      </c>
      <c r="AM172" s="629">
        <f t="shared" si="343"/>
        <v>0</v>
      </c>
      <c r="AN172" s="629">
        <f t="shared" si="343"/>
        <v>0</v>
      </c>
      <c r="AO172" s="629">
        <f t="shared" si="343"/>
        <v>0</v>
      </c>
      <c r="AP172" s="630">
        <f t="shared" si="343"/>
        <v>0</v>
      </c>
      <c r="AQ172" s="629">
        <f t="shared" si="343"/>
        <v>0</v>
      </c>
      <c r="AR172" s="629">
        <f t="shared" si="343"/>
        <v>0</v>
      </c>
      <c r="AS172" s="629">
        <f t="shared" si="343"/>
        <v>0</v>
      </c>
      <c r="AT172" s="512"/>
      <c r="AU172" s="631">
        <f t="shared" si="336"/>
        <v>0.7629999999999999</v>
      </c>
      <c r="AV172" s="631">
        <f t="shared" ref="AV172:AV173" si="344">+SUM(F172:I172)</f>
        <v>0.434</v>
      </c>
      <c r="AW172" s="631">
        <f t="shared" ref="AW172:AW173" si="345">SUM(J172:M172)</f>
        <v>0</v>
      </c>
      <c r="AX172" s="631">
        <f t="shared" si="326"/>
        <v>0</v>
      </c>
      <c r="AY172" s="631">
        <f t="shared" si="327"/>
        <v>0</v>
      </c>
      <c r="AZ172" s="631">
        <f t="shared" si="328"/>
        <v>0</v>
      </c>
      <c r="BA172" s="631">
        <f t="shared" si="329"/>
        <v>0</v>
      </c>
      <c r="BB172" s="631">
        <f t="shared" si="330"/>
        <v>0</v>
      </c>
      <c r="BC172" s="631">
        <f t="shared" si="331"/>
        <v>0</v>
      </c>
      <c r="BD172" s="631">
        <f t="shared" si="332"/>
        <v>0</v>
      </c>
      <c r="BE172" s="631">
        <f t="shared" si="333"/>
        <v>0</v>
      </c>
    </row>
    <row r="173" spans="1:57" s="45" customFormat="1" ht="12" customHeight="1">
      <c r="A173" s="575" t="s">
        <v>171</v>
      </c>
      <c r="B173" s="413">
        <f>SUM(B168:B172)</f>
        <v>0.17699999999999994</v>
      </c>
      <c r="C173" s="414">
        <f t="shared" ref="C173:AS173" si="346">SUM(C168:C172)</f>
        <v>0.17899999999999999</v>
      </c>
      <c r="D173" s="414">
        <f t="shared" si="346"/>
        <v>0.17899999999999999</v>
      </c>
      <c r="E173" s="414">
        <f t="shared" si="346"/>
        <v>0.17400000000000002</v>
      </c>
      <c r="F173" s="413">
        <f t="shared" si="346"/>
        <v>0.16500000000000001</v>
      </c>
      <c r="G173" s="414">
        <f t="shared" si="346"/>
        <v>0.16600000000000001</v>
      </c>
      <c r="H173" s="414">
        <f t="shared" si="346"/>
        <v>-3.4999999999999996E-2</v>
      </c>
      <c r="I173" s="415">
        <f t="shared" si="346"/>
        <v>-0.08</v>
      </c>
      <c r="J173" s="413">
        <f t="shared" si="346"/>
        <v>-0.64900000000000002</v>
      </c>
      <c r="K173" s="414">
        <f t="shared" si="346"/>
        <v>0.121</v>
      </c>
      <c r="L173" s="414">
        <f t="shared" si="346"/>
        <v>0.27300000000000002</v>
      </c>
      <c r="M173" s="415">
        <f t="shared" si="346"/>
        <v>10.742000000000001</v>
      </c>
      <c r="N173" s="413">
        <f t="shared" si="346"/>
        <v>0.19800000000000001</v>
      </c>
      <c r="O173" s="414">
        <f t="shared" si="346"/>
        <v>0.437</v>
      </c>
      <c r="P173" s="416">
        <f t="shared" si="346"/>
        <v>0.497</v>
      </c>
      <c r="Q173" s="415">
        <f t="shared" si="346"/>
        <v>0.16700000000000001</v>
      </c>
      <c r="R173" s="413">
        <f t="shared" si="346"/>
        <v>2.8039999999999998</v>
      </c>
      <c r="S173" s="414">
        <f t="shared" si="346"/>
        <v>-1.617</v>
      </c>
      <c r="T173" s="414">
        <f t="shared" si="346"/>
        <v>-0.56100000000000005</v>
      </c>
      <c r="U173" s="415">
        <f t="shared" si="346"/>
        <v>-7.761000000000001</v>
      </c>
      <c r="V173" s="414">
        <f t="shared" si="346"/>
        <v>1.4670000000000001</v>
      </c>
      <c r="W173" s="414">
        <f t="shared" si="346"/>
        <v>-1.9489999999999998</v>
      </c>
      <c r="X173" s="414">
        <f t="shared" si="346"/>
        <v>-0.1319999999999999</v>
      </c>
      <c r="Y173" s="415">
        <f t="shared" si="346"/>
        <v>1.6659999999999999</v>
      </c>
      <c r="Z173" s="414">
        <f t="shared" si="346"/>
        <v>0.86299999999999999</v>
      </c>
      <c r="AA173" s="414">
        <f t="shared" si="346"/>
        <v>1.2770000000000001</v>
      </c>
      <c r="AB173" s="414">
        <f t="shared" si="346"/>
        <v>-1.2550000000000001</v>
      </c>
      <c r="AC173" s="414">
        <f t="shared" si="346"/>
        <v>5.8959999999999999</v>
      </c>
      <c r="AD173" s="413">
        <f t="shared" si="346"/>
        <v>0.27700000000000002</v>
      </c>
      <c r="AE173" s="414">
        <f t="shared" si="346"/>
        <v>5.8129999999999997</v>
      </c>
      <c r="AF173" s="414">
        <f t="shared" si="346"/>
        <v>1.476</v>
      </c>
      <c r="AG173" s="414">
        <f t="shared" si="346"/>
        <v>2.42</v>
      </c>
      <c r="AH173" s="413">
        <f t="shared" si="346"/>
        <v>0.79699999999999993</v>
      </c>
      <c r="AI173" s="414">
        <f t="shared" si="346"/>
        <v>0.99899999999999989</v>
      </c>
      <c r="AJ173" s="414">
        <f t="shared" si="346"/>
        <v>-2.5990000000000002</v>
      </c>
      <c r="AK173" s="414">
        <f t="shared" si="346"/>
        <v>6.3170000000000002</v>
      </c>
      <c r="AL173" s="413">
        <f t="shared" si="346"/>
        <v>3.3040000000000003</v>
      </c>
      <c r="AM173" s="414">
        <f t="shared" si="346"/>
        <v>3.4040000000000004</v>
      </c>
      <c r="AN173" s="414">
        <f t="shared" si="346"/>
        <v>3.5040000000000004</v>
      </c>
      <c r="AO173" s="414">
        <f t="shared" si="346"/>
        <v>3.6040000000000005</v>
      </c>
      <c r="AP173" s="413">
        <f t="shared" si="346"/>
        <v>3.7040000000000006</v>
      </c>
      <c r="AQ173" s="414">
        <f t="shared" si="346"/>
        <v>3.8040000000000007</v>
      </c>
      <c r="AR173" s="414">
        <f t="shared" si="346"/>
        <v>3.9040000000000008</v>
      </c>
      <c r="AS173" s="414">
        <f t="shared" si="346"/>
        <v>4.0040000000000004</v>
      </c>
      <c r="AT173" s="512"/>
      <c r="AU173" s="584">
        <f t="shared" si="336"/>
        <v>0.70899999999999996</v>
      </c>
      <c r="AV173" s="584">
        <f t="shared" si="344"/>
        <v>0.21600000000000003</v>
      </c>
      <c r="AW173" s="584">
        <f t="shared" si="345"/>
        <v>10.487</v>
      </c>
      <c r="AX173" s="584">
        <f t="shared" si="326"/>
        <v>1.2990000000000002</v>
      </c>
      <c r="AY173" s="584">
        <f t="shared" si="327"/>
        <v>-7.1350000000000016</v>
      </c>
      <c r="AZ173" s="584">
        <f t="shared" si="328"/>
        <v>1.0520000000000003</v>
      </c>
      <c r="BA173" s="584">
        <f t="shared" si="329"/>
        <v>6.7809999999999997</v>
      </c>
      <c r="BB173" s="584">
        <f t="shared" si="330"/>
        <v>9.9860000000000007</v>
      </c>
      <c r="BC173" s="584">
        <f t="shared" si="331"/>
        <v>5.5139999999999993</v>
      </c>
      <c r="BD173" s="584">
        <f t="shared" si="332"/>
        <v>13.816000000000001</v>
      </c>
      <c r="BE173" s="584">
        <f t="shared" si="333"/>
        <v>15.416000000000004</v>
      </c>
    </row>
    <row r="174" spans="1:57" s="45" customFormat="1" ht="12" customHeight="1">
      <c r="A174" s="490"/>
      <c r="B174" s="423"/>
      <c r="C174" s="423"/>
      <c r="D174" s="423"/>
      <c r="E174" s="423"/>
      <c r="F174" s="429"/>
      <c r="G174" s="423"/>
      <c r="H174" s="423"/>
      <c r="I174" s="424"/>
      <c r="J174" s="429"/>
      <c r="K174" s="423"/>
      <c r="L174" s="423"/>
      <c r="M174" s="424"/>
      <c r="N174" s="429"/>
      <c r="O174" s="423"/>
      <c r="P174" s="423"/>
      <c r="Q174" s="424"/>
      <c r="R174" s="420"/>
      <c r="S174" s="431"/>
      <c r="T174" s="577"/>
      <c r="U174" s="578"/>
      <c r="V174" s="577"/>
      <c r="W174" s="577"/>
      <c r="X174" s="577"/>
      <c r="Y174" s="577"/>
      <c r="Z174" s="576"/>
      <c r="AA174" s="577"/>
      <c r="AB174" s="577"/>
      <c r="AC174" s="577"/>
      <c r="AD174" s="576"/>
      <c r="AE174" s="577"/>
      <c r="AF174" s="577"/>
      <c r="AG174" s="577"/>
      <c r="AH174" s="576"/>
      <c r="AI174" s="577"/>
      <c r="AJ174" s="577"/>
      <c r="AK174" s="577"/>
      <c r="AL174" s="576"/>
      <c r="AM174" s="577"/>
      <c r="AN174" s="577"/>
      <c r="AO174" s="577"/>
      <c r="AP174" s="576"/>
      <c r="AQ174" s="577"/>
      <c r="AR174" s="577"/>
      <c r="AS174" s="577"/>
      <c r="AT174" s="512"/>
      <c r="AU174" s="615"/>
      <c r="AV174" s="615"/>
      <c r="AW174" s="615"/>
      <c r="AX174" s="615"/>
      <c r="AY174" s="615"/>
      <c r="AZ174" s="615"/>
      <c r="BA174" s="615"/>
      <c r="BB174" s="615"/>
      <c r="BC174" s="615"/>
      <c r="BD174" s="615"/>
      <c r="BE174" s="615"/>
    </row>
    <row r="175" spans="1:57" s="45" customFormat="1" ht="12" customHeight="1">
      <c r="A175" s="490" t="s">
        <v>172</v>
      </c>
      <c r="B175" s="333">
        <f>B169/B147</f>
        <v>-6.1500615006150061E-3</v>
      </c>
      <c r="C175" s="337">
        <f t="shared" ref="C175:X175" si="347">C169/C147</f>
        <v>-6.4899945916711737E-3</v>
      </c>
      <c r="D175" s="337">
        <f t="shared" si="347"/>
        <v>-6.41025641025641E-3</v>
      </c>
      <c r="E175" s="337">
        <f t="shared" si="347"/>
        <v>-8.4182543198936654E-3</v>
      </c>
      <c r="F175" s="632">
        <f t="shared" si="347"/>
        <v>-9.5873280533555639E-3</v>
      </c>
      <c r="G175" s="337">
        <f t="shared" si="347"/>
        <v>-8.2671957671957667E-3</v>
      </c>
      <c r="H175" s="337">
        <f t="shared" si="347"/>
        <v>-1.0247068199931684E-2</v>
      </c>
      <c r="I175" s="633">
        <f t="shared" si="347"/>
        <v>-9.2282846925827652E-3</v>
      </c>
      <c r="J175" s="632">
        <f t="shared" si="347"/>
        <v>-6.9642665522051728E-2</v>
      </c>
      <c r="K175" s="337">
        <f t="shared" si="347"/>
        <v>1.0639233271784048E-2</v>
      </c>
      <c r="L175" s="337">
        <f t="shared" si="347"/>
        <v>2.6002476426326322E-2</v>
      </c>
      <c r="M175" s="633">
        <f t="shared" si="347"/>
        <v>1.3059092393078682E-2</v>
      </c>
      <c r="N175" s="632">
        <f t="shared" si="347"/>
        <v>1.518987341772152E-2</v>
      </c>
      <c r="O175" s="337">
        <f t="shared" si="347"/>
        <v>2.789480403421422E-2</v>
      </c>
      <c r="P175" s="337">
        <f t="shared" si="347"/>
        <v>3.2483660130718954E-2</v>
      </c>
      <c r="Q175" s="633">
        <f t="shared" si="347"/>
        <v>1.0724377087079373E-2</v>
      </c>
      <c r="R175" s="586">
        <f t="shared" si="347"/>
        <v>-2.3596035865974514E-4</v>
      </c>
      <c r="S175" s="397">
        <f t="shared" si="347"/>
        <v>-2.3450095266012015E-2</v>
      </c>
      <c r="T175" s="397">
        <f t="shared" si="347"/>
        <v>-7.1729150726855399E-4</v>
      </c>
      <c r="U175" s="585">
        <f t="shared" si="347"/>
        <v>5.29612756264237E-2</v>
      </c>
      <c r="V175" s="397">
        <f t="shared" si="347"/>
        <v>4.1971808803842832E-2</v>
      </c>
      <c r="W175" s="397">
        <f t="shared" si="347"/>
        <v>5.8910162002945507E-3</v>
      </c>
      <c r="X175" s="397">
        <f t="shared" si="347"/>
        <v>9.7417516772355488E-3</v>
      </c>
      <c r="Y175" s="337">
        <f>Y169/Y147</f>
        <v>1.7308256462075036E-2</v>
      </c>
      <c r="Z175" s="586">
        <f t="shared" ref="Z175:AS175" si="348">Z169/Z147</f>
        <v>2.6878095963888966E-2</v>
      </c>
      <c r="AA175" s="397">
        <f t="shared" si="348"/>
        <v>3.5287902799788703E-2</v>
      </c>
      <c r="AB175" s="337">
        <f t="shared" si="348"/>
        <v>-3.2767748065698384E-2</v>
      </c>
      <c r="AC175" s="337">
        <f t="shared" si="348"/>
        <v>2.6591811584280433E-2</v>
      </c>
      <c r="AD175" s="632">
        <f t="shared" si="348"/>
        <v>-2.7115486291195652E-2</v>
      </c>
      <c r="AE175" s="337">
        <f t="shared" si="348"/>
        <v>2.8383013672158078E-2</v>
      </c>
      <c r="AF175" s="337">
        <f t="shared" si="348"/>
        <v>3.6656750791670661E-2</v>
      </c>
      <c r="AG175" s="337">
        <f t="shared" si="348"/>
        <v>2.9940560986392889E-2</v>
      </c>
      <c r="AH175" s="632">
        <f t="shared" si="348"/>
        <v>1.5294349140475467E-2</v>
      </c>
      <c r="AI175" s="337">
        <f t="shared" si="348"/>
        <v>2.2718479989683186E-2</v>
      </c>
      <c r="AJ175" s="337">
        <f t="shared" si="348"/>
        <v>-5.6860211220533849E-2</v>
      </c>
      <c r="AK175" s="337">
        <f t="shared" si="348"/>
        <v>7.5569637319671021E-2</v>
      </c>
      <c r="AL175" s="632">
        <f t="shared" si="348"/>
        <v>6.3776467617355365E-2</v>
      </c>
      <c r="AM175" s="337">
        <f t="shared" si="348"/>
        <v>7.4545088284911326E-2</v>
      </c>
      <c r="AN175" s="337">
        <f t="shared" si="348"/>
        <v>7.5721768454925217E-2</v>
      </c>
      <c r="AO175" s="337">
        <f t="shared" si="348"/>
        <v>7.5365590206502936E-2</v>
      </c>
      <c r="AP175" s="632">
        <f t="shared" si="348"/>
        <v>6.6744488526455217E-2</v>
      </c>
      <c r="AQ175" s="337">
        <f t="shared" si="348"/>
        <v>7.7792987188701868E-2</v>
      </c>
      <c r="AR175" s="337">
        <f t="shared" si="348"/>
        <v>7.8814662869802488E-2</v>
      </c>
      <c r="AS175" s="337">
        <f t="shared" si="348"/>
        <v>7.8242410942688564E-2</v>
      </c>
      <c r="AT175" s="512"/>
      <c r="AU175" s="615"/>
      <c r="AV175" s="615"/>
      <c r="AW175" s="615"/>
      <c r="AX175" s="615"/>
      <c r="AY175" s="634">
        <f t="shared" ref="AY175:BE175" si="349">AY169/AY9</f>
        <v>1.1402066046975775E-3</v>
      </c>
      <c r="AZ175" s="634">
        <f t="shared" si="349"/>
        <v>3.0782021425926282E-3</v>
      </c>
      <c r="BA175" s="634">
        <f t="shared" si="349"/>
        <v>2.5253220818569943E-3</v>
      </c>
      <c r="BB175" s="634">
        <f t="shared" si="349"/>
        <v>3.1610373535728613E-3</v>
      </c>
      <c r="BC175" s="634">
        <f t="shared" si="349"/>
        <v>2.7246211495840023E-3</v>
      </c>
      <c r="BD175" s="634">
        <f t="shared" si="349"/>
        <v>1.35035265419163E-2</v>
      </c>
      <c r="BE175" s="634">
        <f t="shared" si="349"/>
        <v>1.407316539220674E-2</v>
      </c>
    </row>
    <row r="176" spans="1:57" s="45" customFormat="1" ht="12" customHeight="1">
      <c r="A176" s="490" t="s">
        <v>173</v>
      </c>
      <c r="B176" s="333"/>
      <c r="C176" s="337"/>
      <c r="D176" s="337"/>
      <c r="E176" s="337"/>
      <c r="F176" s="632"/>
      <c r="G176" s="337"/>
      <c r="H176" s="337"/>
      <c r="I176" s="633"/>
      <c r="J176" s="632"/>
      <c r="K176" s="337"/>
      <c r="L176" s="337"/>
      <c r="M176" s="633">
        <f t="shared" ref="M176:X176" si="350">M170/M165</f>
        <v>2.6654911838790931</v>
      </c>
      <c r="N176" s="632">
        <f t="shared" si="350"/>
        <v>0</v>
      </c>
      <c r="O176" s="337"/>
      <c r="P176" s="337"/>
      <c r="Q176" s="633"/>
      <c r="R176" s="586"/>
      <c r="S176" s="635">
        <f t="shared" si="350"/>
        <v>-0.73735408560311277</v>
      </c>
      <c r="T176" s="635">
        <f t="shared" si="350"/>
        <v>-0.24052863436123351</v>
      </c>
      <c r="U176" s="636">
        <f t="shared" si="350"/>
        <v>-9.5349087003222337</v>
      </c>
      <c r="V176" s="635">
        <f t="shared" si="350"/>
        <v>-0.20284534189995412</v>
      </c>
      <c r="W176" s="635">
        <f t="shared" si="350"/>
        <v>-4.0771388499298737</v>
      </c>
      <c r="X176" s="635">
        <f t="shared" si="350"/>
        <v>-2.9751552795031055</v>
      </c>
      <c r="Y176" s="337">
        <f>Y170/Y165</f>
        <v>2.2706766917293231</v>
      </c>
      <c r="Z176" s="637">
        <f t="shared" ref="Z176:AK176" si="351">Z170/Z165</f>
        <v>-0.53999999999999992</v>
      </c>
      <c r="AA176" s="635">
        <f t="shared" si="351"/>
        <v>-1.9666666666666666</v>
      </c>
      <c r="AB176" s="635">
        <f t="shared" si="351"/>
        <v>-1.0439321444106133E-2</v>
      </c>
      <c r="AC176" s="585">
        <f t="shared" si="351"/>
        <v>8.9797639123102874E-2</v>
      </c>
      <c r="AD176" s="586">
        <f>AD170/AD165</f>
        <v>-0.21739130434782611</v>
      </c>
      <c r="AE176" s="635">
        <f t="shared" si="351"/>
        <v>-5.6356487549148092E-2</v>
      </c>
      <c r="AF176" s="635">
        <f t="shared" si="351"/>
        <v>-0.14444444444444443</v>
      </c>
      <c r="AG176" s="635">
        <f t="shared" si="351"/>
        <v>-4.7839506172839504E-2</v>
      </c>
      <c r="AH176" s="586">
        <f>AH170/AH165</f>
        <v>-1.2551395801774508E-2</v>
      </c>
      <c r="AI176" s="635">
        <f t="shared" si="351"/>
        <v>-2.7871215761653054E-2</v>
      </c>
      <c r="AJ176" s="635">
        <f t="shared" si="351"/>
        <v>-0.41592920353982299</v>
      </c>
      <c r="AK176" s="635">
        <f t="shared" si="351"/>
        <v>-0.36054421768707484</v>
      </c>
      <c r="AL176" s="586"/>
      <c r="AM176" s="397"/>
      <c r="AN176" s="397"/>
      <c r="AO176" s="397"/>
      <c r="AP176" s="586"/>
      <c r="AQ176" s="397"/>
      <c r="AR176" s="397"/>
      <c r="AS176" s="397"/>
      <c r="AT176" s="512"/>
      <c r="AU176" s="615"/>
      <c r="AV176" s="615"/>
      <c r="AW176" s="615"/>
      <c r="AX176" s="615"/>
      <c r="AY176" s="615"/>
      <c r="AZ176" s="615"/>
      <c r="BA176" s="615"/>
      <c r="BB176" s="615"/>
      <c r="BC176" s="615"/>
      <c r="BD176" s="615"/>
      <c r="BE176" s="615"/>
    </row>
    <row r="177" spans="1:57" s="33" customFormat="1" ht="12" customHeight="1">
      <c r="A177" s="638"/>
      <c r="B177" s="639"/>
      <c r="C177" s="639"/>
      <c r="D177" s="639"/>
      <c r="E177" s="639"/>
      <c r="F177" s="640"/>
      <c r="G177" s="639"/>
      <c r="H177" s="639"/>
      <c r="I177" s="641"/>
      <c r="J177" s="640"/>
      <c r="K177" s="639"/>
      <c r="L177" s="639"/>
      <c r="M177" s="641"/>
      <c r="N177" s="640"/>
      <c r="O177" s="639"/>
      <c r="P177" s="536"/>
      <c r="Q177" s="641"/>
      <c r="R177" s="640"/>
      <c r="S177" s="639"/>
      <c r="T177" s="639"/>
      <c r="U177" s="641"/>
      <c r="V177" s="639"/>
      <c r="W177" s="639"/>
      <c r="X177" s="639"/>
      <c r="Y177" s="639"/>
      <c r="Z177" s="640"/>
      <c r="AA177" s="639"/>
      <c r="AB177" s="639"/>
      <c r="AC177" s="641"/>
      <c r="AD177" s="640"/>
      <c r="AE177" s="639"/>
      <c r="AF177" s="639"/>
      <c r="AG177" s="639"/>
      <c r="AH177" s="640"/>
      <c r="AI177" s="639"/>
      <c r="AJ177" s="639"/>
      <c r="AK177" s="639"/>
      <c r="AL177" s="640"/>
      <c r="AM177" s="639"/>
      <c r="AN177" s="639"/>
      <c r="AO177" s="639"/>
      <c r="AP177" s="640"/>
      <c r="AQ177" s="639"/>
      <c r="AR177" s="639"/>
      <c r="AS177" s="639"/>
      <c r="AT177" s="592"/>
      <c r="AU177" s="642"/>
      <c r="AV177" s="642"/>
      <c r="AW177" s="642"/>
      <c r="AX177" s="642"/>
      <c r="AY177" s="642"/>
      <c r="AZ177" s="642"/>
      <c r="BA177" s="642"/>
      <c r="BB177" s="642"/>
      <c r="BC177" s="642"/>
      <c r="BD177" s="642"/>
      <c r="BE177" s="642"/>
    </row>
    <row r="178" spans="1:57" ht="12" customHeight="1">
      <c r="A178" s="643" t="s">
        <v>130</v>
      </c>
    </row>
    <row r="179" spans="1:57" ht="12" customHeight="1">
      <c r="T179" s="644"/>
      <c r="U179" s="644"/>
      <c r="V179" s="644"/>
      <c r="W179" s="644"/>
      <c r="X179" s="644"/>
      <c r="Y179" s="644"/>
      <c r="Z179" s="644"/>
      <c r="AA179" s="644"/>
      <c r="AB179" s="644"/>
      <c r="AC179" s="644"/>
      <c r="AD179" s="644"/>
      <c r="AE179" s="644"/>
      <c r="AF179" s="644"/>
      <c r="AG179" s="644"/>
      <c r="AH179" s="644"/>
      <c r="AI179" s="644"/>
      <c r="AJ179" s="644"/>
      <c r="AK179" s="644"/>
      <c r="AL179" s="644"/>
      <c r="AM179" s="644"/>
      <c r="AN179" s="644"/>
      <c r="AO179" s="644"/>
      <c r="AP179" s="644"/>
      <c r="AQ179" s="644"/>
      <c r="AR179" s="644"/>
      <c r="AS179" s="644"/>
      <c r="AT179" s="644"/>
      <c r="AU179" s="644"/>
      <c r="AV179" s="644"/>
      <c r="AW179" s="644"/>
      <c r="AX179" s="644"/>
      <c r="AY179" s="644"/>
      <c r="AZ179" s="644"/>
      <c r="BA179" s="644"/>
      <c r="BB179" s="644"/>
      <c r="BC179" s="644"/>
      <c r="BD179" s="644"/>
      <c r="BE179" s="644"/>
    </row>
    <row r="180" spans="1:57" ht="12" customHeight="1">
      <c r="T180" s="645"/>
      <c r="U180" s="645"/>
      <c r="V180" s="645"/>
      <c r="W180" s="645"/>
      <c r="X180" s="645"/>
      <c r="Y180" s="645"/>
      <c r="Z180" s="645"/>
      <c r="AA180" s="645"/>
      <c r="AB180" s="645"/>
      <c r="AC180" s="645"/>
      <c r="AD180" s="645"/>
      <c r="AE180" s="645"/>
      <c r="AF180" s="645"/>
      <c r="AG180" s="645"/>
      <c r="AH180" s="645"/>
      <c r="AI180" s="645"/>
      <c r="AJ180" s="645"/>
      <c r="AK180" s="645"/>
      <c r="AL180" s="645"/>
      <c r="AM180" s="645"/>
      <c r="AN180" s="645"/>
      <c r="AO180" s="645"/>
      <c r="AP180" s="645"/>
      <c r="AQ180" s="645"/>
      <c r="AR180" s="645"/>
      <c r="AS180" s="645"/>
      <c r="AT180" s="645"/>
      <c r="AU180" s="645"/>
      <c r="AV180" s="645"/>
      <c r="AW180" s="645"/>
      <c r="AX180" s="645"/>
      <c r="AY180" s="645"/>
      <c r="AZ180" s="645"/>
      <c r="BA180" s="645"/>
      <c r="BB180" s="645"/>
      <c r="BC180" s="645"/>
      <c r="BD180" s="645"/>
      <c r="BE180" s="645"/>
    </row>
    <row r="181" spans="1:57" ht="12" customHeight="1"/>
    <row r="182" spans="1:57" ht="12" customHeight="1"/>
    <row r="183" spans="1:57" ht="12" customHeight="1"/>
    <row r="184" spans="1:57" ht="12" customHeight="1"/>
    <row r="185" spans="1:57" ht="12" customHeight="1"/>
    <row r="186" spans="1:57" ht="12" customHeight="1"/>
    <row r="187" spans="1:57" ht="12" customHeight="1"/>
    <row r="188" spans="1:57" ht="12" customHeight="1"/>
    <row r="189" spans="1:57" ht="12" customHeight="1"/>
    <row r="190" spans="1:57" ht="12" customHeight="1"/>
    <row r="191" spans="1:57" ht="12" customHeight="1"/>
    <row r="192" spans="1:57" ht="12" customHeight="1"/>
    <row r="193" ht="12" customHeight="1"/>
    <row r="194" ht="12" customHeight="1"/>
    <row r="195" ht="12" customHeight="1"/>
    <row r="196" ht="12" customHeight="1"/>
    <row r="197" ht="12" customHeight="1"/>
    <row r="198" ht="12" customHeight="1"/>
    <row r="199" ht="12" customHeight="1"/>
    <row r="200" ht="12" customHeight="1"/>
  </sheetData>
  <mergeCells count="44">
    <mergeCell ref="V105:Y105"/>
    <mergeCell ref="Z105:AC105"/>
    <mergeCell ref="AD105:AG105"/>
    <mergeCell ref="AH105:AK105"/>
    <mergeCell ref="AL105:AO105"/>
    <mergeCell ref="AP105:AS105"/>
    <mergeCell ref="Z80:AC80"/>
    <mergeCell ref="AD80:AG80"/>
    <mergeCell ref="AH80:AK80"/>
    <mergeCell ref="AL80:AO80"/>
    <mergeCell ref="AP80:AS80"/>
    <mergeCell ref="B105:E105"/>
    <mergeCell ref="F105:I105"/>
    <mergeCell ref="J105:M105"/>
    <mergeCell ref="N105:Q105"/>
    <mergeCell ref="R105:U105"/>
    <mergeCell ref="B80:E80"/>
    <mergeCell ref="F80:I80"/>
    <mergeCell ref="J80:M80"/>
    <mergeCell ref="N80:Q80"/>
    <mergeCell ref="R80:U80"/>
    <mergeCell ref="V80:Y80"/>
    <mergeCell ref="V55:Y55"/>
    <mergeCell ref="Z55:AC55"/>
    <mergeCell ref="AD55:AG55"/>
    <mergeCell ref="AH55:AK55"/>
    <mergeCell ref="AL55:AO55"/>
    <mergeCell ref="AP55:AS55"/>
    <mergeCell ref="Z3:AC3"/>
    <mergeCell ref="AD3:AG3"/>
    <mergeCell ref="AH3:AK3"/>
    <mergeCell ref="AL3:AO3"/>
    <mergeCell ref="AP3:AS3"/>
    <mergeCell ref="B55:E55"/>
    <mergeCell ref="F55:I55"/>
    <mergeCell ref="J55:M55"/>
    <mergeCell ref="N55:Q55"/>
    <mergeCell ref="R55:U55"/>
    <mergeCell ref="V3:Y3"/>
    <mergeCell ref="B3:E3"/>
    <mergeCell ref="F3:I3"/>
    <mergeCell ref="J3:M3"/>
    <mergeCell ref="N3:Q3"/>
    <mergeCell ref="R3:U3"/>
  </mergeCells>
  <pageMargins left="0.7" right="0.7" top="0.75" bottom="0.75" header="0.3" footer="0.3"/>
  <pageSetup scale="54"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FC0C1-EE63-4084-B994-53FB1A5862E5}">
  <sheetPr>
    <tabColor rgb="FF008000"/>
    <pageSetUpPr fitToPage="1"/>
  </sheetPr>
  <dimension ref="A1:BH1912"/>
  <sheetViews>
    <sheetView showGridLines="0" zoomScaleNormal="100" workbookViewId="0">
      <pane xSplit="1" ySplit="4" topLeftCell="D56" activePane="bottomRight" state="frozen"/>
      <selection activeCell="N24" sqref="N24"/>
      <selection pane="topRight" activeCell="N24" sqref="N24"/>
      <selection pane="bottomLeft" activeCell="N24" sqref="N24"/>
      <selection pane="bottomRight" activeCell="N24" sqref="N24"/>
    </sheetView>
  </sheetViews>
  <sheetFormatPr defaultColWidth="9.1328125" defaultRowHeight="12.75" customHeight="1" outlineLevelRow="1" outlineLevelCol="1"/>
  <cols>
    <col min="1" max="1" width="42.86328125" style="1217" customWidth="1"/>
    <col min="2" max="16" width="7.86328125" style="1217" hidden="1" customWidth="1" outlineLevel="1"/>
    <col min="17" max="17" width="8.1328125" style="1217" hidden="1" customWidth="1" outlineLevel="1"/>
    <col min="18" max="18" width="7.86328125" style="1217" hidden="1" customWidth="1" outlineLevel="1" collapsed="1"/>
    <col min="19" max="20" width="7.86328125" style="1217" hidden="1" customWidth="1" outlineLevel="1"/>
    <col min="21" max="21" width="8.59765625" style="1217" hidden="1" customWidth="1" outlineLevel="1"/>
    <col min="22" max="22" width="7.86328125" style="1217" hidden="1" customWidth="1" outlineLevel="1"/>
    <col min="23" max="23" width="8.1328125" style="1217" hidden="1" customWidth="1" outlineLevel="1"/>
    <col min="24" max="25" width="7.86328125" style="1217" hidden="1" customWidth="1" outlineLevel="1"/>
    <col min="26" max="26" width="7.86328125" style="1217" hidden="1" customWidth="1" outlineLevel="1" collapsed="1"/>
    <col min="27" max="29" width="7.86328125" style="1217" hidden="1" customWidth="1" outlineLevel="1"/>
    <col min="30" max="30" width="8.59765625" style="1217" bestFit="1" customWidth="1" collapsed="1"/>
    <col min="31" max="31" width="8.59765625" style="1217" bestFit="1" customWidth="1"/>
    <col min="32" max="45" width="7.86328125" style="1217" customWidth="1"/>
    <col min="46" max="46" width="2.59765625" style="1217" customWidth="1"/>
    <col min="47" max="47" width="9.1328125" style="1218" hidden="1" customWidth="1" outlineLevel="1" collapsed="1"/>
    <col min="48" max="48" width="9.1328125" style="1218" hidden="1" customWidth="1" outlineLevel="1"/>
    <col min="49" max="49" width="8.86328125" style="1218" hidden="1" customWidth="1" outlineLevel="1"/>
    <col min="50" max="50" width="9.1328125" style="1218" hidden="1" customWidth="1" outlineLevel="1"/>
    <col min="51" max="51" width="9.1328125" style="1218" hidden="1" customWidth="1" outlineLevel="1" collapsed="1"/>
    <col min="52" max="52" width="9.1328125" style="1218" hidden="1" customWidth="1" outlineLevel="1"/>
    <col min="53" max="53" width="9.1328125" style="1218" hidden="1" customWidth="1" outlineLevel="1" collapsed="1"/>
    <col min="54" max="54" width="9.1328125" style="1218" customWidth="1" collapsed="1"/>
    <col min="55" max="55" width="9.1328125" style="1218" customWidth="1"/>
    <col min="56" max="59" width="9.1328125" style="1218"/>
    <col min="61" max="16384" width="9.1328125" style="1218"/>
  </cols>
  <sheetData>
    <row r="1" spans="1:57" s="33" customFormat="1" ht="15.75">
      <c r="A1" s="28" t="str">
        <f>+'Income Statement'!A1</f>
        <v>Tenable Holdings, Inc. (TENB)</v>
      </c>
      <c r="Z1" s="646"/>
      <c r="AA1" s="646"/>
      <c r="AB1" s="646"/>
      <c r="AC1" s="646"/>
      <c r="AD1" s="647"/>
      <c r="AE1" s="647"/>
      <c r="AF1" s="647"/>
      <c r="AG1" s="647"/>
      <c r="AH1" s="647"/>
      <c r="AI1" s="647"/>
      <c r="AJ1" s="647"/>
      <c r="AK1" s="647"/>
    </row>
    <row r="2" spans="1:57" s="39" customFormat="1" ht="15.75">
      <c r="A2" s="28" t="s">
        <v>174</v>
      </c>
      <c r="B2" s="35"/>
      <c r="C2" s="35"/>
      <c r="D2" s="35"/>
      <c r="E2" s="35"/>
      <c r="F2" s="35"/>
      <c r="G2" s="35"/>
      <c r="H2" s="35"/>
      <c r="I2" s="35"/>
      <c r="J2" s="35"/>
      <c r="K2" s="35"/>
      <c r="L2" s="35"/>
      <c r="M2" s="35"/>
      <c r="N2" s="35"/>
      <c r="O2" s="35"/>
      <c r="P2" s="648"/>
      <c r="Q2" s="35"/>
      <c r="R2" s="35" t="str">
        <f>'Income Statement'!R2</f>
        <v>2021/1F</v>
      </c>
      <c r="S2" s="35" t="str">
        <f>'Income Statement'!S2</f>
        <v>2021/2F</v>
      </c>
      <c r="T2" s="35" t="str">
        <f>'Income Statement'!T2</f>
        <v>2021/3F</v>
      </c>
      <c r="U2" s="35" t="str">
        <f>'Income Statement'!U2</f>
        <v>2021/4F</v>
      </c>
      <c r="V2" s="35" t="str">
        <f>'Income Statement'!V2</f>
        <v>2022/1F</v>
      </c>
      <c r="W2" s="35" t="str">
        <f>'Income Statement'!W2</f>
        <v>2022/2F</v>
      </c>
      <c r="X2" s="35" t="str">
        <f>'Income Statement'!X2</f>
        <v>2022/3F</v>
      </c>
      <c r="Y2" s="35" t="str">
        <f>'Income Statement'!Y2</f>
        <v>2022/4F</v>
      </c>
      <c r="Z2" s="35" t="str">
        <f>'Income Statement'!Z2</f>
        <v>2023/1F</v>
      </c>
      <c r="AA2" s="35" t="str">
        <f>'Income Statement'!AA2</f>
        <v>2023/2F</v>
      </c>
      <c r="AB2" s="35" t="str">
        <f>'Income Statement'!AB2</f>
        <v>2023/3F</v>
      </c>
      <c r="AC2" s="35" t="str">
        <f>'Income Statement'!AC2</f>
        <v>2023/4F</v>
      </c>
      <c r="AD2" s="35" t="str">
        <f>'Income Statement'!AD2</f>
        <v>2024/1F</v>
      </c>
      <c r="AE2" s="35" t="str">
        <f>'Income Statement'!AE2</f>
        <v>2024/2F</v>
      </c>
      <c r="AF2" s="35" t="str">
        <f>'Income Statement'!AF2</f>
        <v>2024/3F</v>
      </c>
      <c r="AG2" s="35" t="str">
        <f>'Income Statement'!AG2</f>
        <v>2024/4F</v>
      </c>
      <c r="AH2" s="35" t="str">
        <f>'Income Statement'!AH2</f>
        <v>2025/1F</v>
      </c>
      <c r="AI2" s="35" t="str">
        <f>'Income Statement'!AI2</f>
        <v>2025/2F</v>
      </c>
      <c r="AJ2" s="35" t="str">
        <f>'Income Statement'!AJ2</f>
        <v>2025/3F</v>
      </c>
      <c r="AK2" s="35" t="str">
        <f>'Income Statement'!AK2</f>
        <v>2025/4F</v>
      </c>
      <c r="AL2" s="35" t="str">
        <f>'Income Statement'!AL2</f>
        <v>2026/1F</v>
      </c>
      <c r="AM2" s="35" t="str">
        <f>'Income Statement'!AM2</f>
        <v>2026/2F</v>
      </c>
      <c r="AN2" s="35" t="str">
        <f>'Income Statement'!AN2</f>
        <v>2026/3F</v>
      </c>
      <c r="AO2" s="35" t="str">
        <f>'Income Statement'!AO2</f>
        <v>2026/4F</v>
      </c>
      <c r="AP2" s="35" t="str">
        <f>'Income Statement'!AP2</f>
        <v>2027/1F</v>
      </c>
      <c r="AQ2" s="35" t="str">
        <f>'Income Statement'!AQ2</f>
        <v>2027/2F</v>
      </c>
      <c r="AR2" s="35" t="str">
        <f>'Income Statement'!AR2</f>
        <v>2027/3F</v>
      </c>
      <c r="AS2" s="35" t="str">
        <f>'Income Statement'!AS2</f>
        <v>2027/4F</v>
      </c>
      <c r="AX2" s="35">
        <f>'Income Statement'!AX2</f>
        <v>2020</v>
      </c>
      <c r="AY2" s="35">
        <f>'Income Statement'!AY2</f>
        <v>2021</v>
      </c>
      <c r="AZ2" s="35">
        <f>'Income Statement'!AZ2</f>
        <v>2022</v>
      </c>
      <c r="BA2" s="35">
        <f>'Income Statement'!BA2</f>
        <v>2023</v>
      </c>
      <c r="BB2" s="35">
        <f>'Income Statement'!BB2</f>
        <v>2024</v>
      </c>
      <c r="BC2" s="35">
        <f>'Income Statement'!BC2</f>
        <v>2025</v>
      </c>
      <c r="BD2" s="35">
        <f>'Income Statement'!BD2</f>
        <v>2026</v>
      </c>
      <c r="BE2" s="35">
        <f>'Income Statement'!BE2</f>
        <v>2027</v>
      </c>
    </row>
    <row r="3" spans="1:57" s="45" customFormat="1" ht="12" customHeight="1">
      <c r="A3" s="649"/>
      <c r="B3" s="1726">
        <f>'Income Statement'!B$3</f>
        <v>2017</v>
      </c>
      <c r="C3" s="1733"/>
      <c r="D3" s="1733"/>
      <c r="E3" s="1734"/>
      <c r="F3" s="1733">
        <f>'Income Statement'!F$3</f>
        <v>2018</v>
      </c>
      <c r="G3" s="1733"/>
      <c r="H3" s="1733"/>
      <c r="I3" s="1733"/>
      <c r="J3" s="1726">
        <f>'Income Statement'!J$3</f>
        <v>2019</v>
      </c>
      <c r="K3" s="1733"/>
      <c r="L3" s="1733"/>
      <c r="M3" s="1734"/>
      <c r="N3" s="1726">
        <f>'Income Statement'!N$3</f>
        <v>2020</v>
      </c>
      <c r="O3" s="1733"/>
      <c r="P3" s="1733"/>
      <c r="Q3" s="1734"/>
      <c r="R3" s="1733">
        <f>'Income Statement'!R$3</f>
        <v>2021</v>
      </c>
      <c r="S3" s="1733"/>
      <c r="T3" s="1733"/>
      <c r="U3" s="1733"/>
      <c r="V3" s="1726">
        <f>'Income Statement'!V$3</f>
        <v>2022</v>
      </c>
      <c r="W3" s="1733"/>
      <c r="X3" s="1733"/>
      <c r="Y3" s="1734"/>
      <c r="Z3" s="1726">
        <f>'Income Statement'!Z$3</f>
        <v>2023</v>
      </c>
      <c r="AA3" s="1733"/>
      <c r="AB3" s="1733"/>
      <c r="AC3" s="1734"/>
      <c r="AD3" s="1726">
        <f>'Income Statement'!AD$3</f>
        <v>2024</v>
      </c>
      <c r="AE3" s="1733"/>
      <c r="AF3" s="1733"/>
      <c r="AG3" s="1734"/>
      <c r="AH3" s="1726">
        <f>'Income Statement'!AH$3</f>
        <v>2025</v>
      </c>
      <c r="AI3" s="1733"/>
      <c r="AJ3" s="1733"/>
      <c r="AK3" s="1734"/>
      <c r="AL3" s="1726">
        <f>'Income Statement'!AL$3</f>
        <v>2026</v>
      </c>
      <c r="AM3" s="1733"/>
      <c r="AN3" s="1733"/>
      <c r="AO3" s="1734"/>
      <c r="AP3" s="1726">
        <f>'Income Statement'!AP$3</f>
        <v>2027</v>
      </c>
      <c r="AQ3" s="1733"/>
      <c r="AR3" s="1733"/>
      <c r="AS3" s="1734"/>
      <c r="AT3" s="650"/>
      <c r="AU3" s="651"/>
      <c r="AV3" s="651"/>
      <c r="AW3" s="651"/>
      <c r="AX3" s="651"/>
      <c r="AY3" s="651"/>
      <c r="AZ3" s="651"/>
      <c r="BA3" s="652"/>
      <c r="BB3" s="651"/>
      <c r="BC3" s="651"/>
      <c r="BD3" s="651"/>
      <c r="BE3" s="653"/>
    </row>
    <row r="4" spans="1:57" s="62" customFormat="1" ht="12" customHeight="1">
      <c r="A4" s="654" t="str">
        <f>'Income Statement'!A4</f>
        <v>($ in millions, unless otherwise stated)</v>
      </c>
      <c r="B4" s="655">
        <f>'Income Statement'!B$4</f>
        <v>42825</v>
      </c>
      <c r="C4" s="48">
        <f>'Income Statement'!C$4</f>
        <v>42916</v>
      </c>
      <c r="D4" s="48">
        <f>'Income Statement'!D$4</f>
        <v>43008</v>
      </c>
      <c r="E4" s="320">
        <f>'Income Statement'!E$4</f>
        <v>43100</v>
      </c>
      <c r="F4" s="48">
        <f>'Income Statement'!F$4</f>
        <v>43190</v>
      </c>
      <c r="G4" s="48">
        <f>'Income Statement'!G$4</f>
        <v>43281</v>
      </c>
      <c r="H4" s="48">
        <f>'Income Statement'!H$4</f>
        <v>43373</v>
      </c>
      <c r="I4" s="48">
        <f>'Income Statement'!I$4</f>
        <v>43465</v>
      </c>
      <c r="J4" s="655">
        <f>'Income Statement'!J$4</f>
        <v>43555</v>
      </c>
      <c r="K4" s="48">
        <f>'Income Statement'!K$4</f>
        <v>43646</v>
      </c>
      <c r="L4" s="48">
        <f>'Income Statement'!L$4</f>
        <v>43738</v>
      </c>
      <c r="M4" s="320">
        <f>'Income Statement'!M$4</f>
        <v>43830</v>
      </c>
      <c r="N4" s="655">
        <f>'Income Statement'!N$4</f>
        <v>43921</v>
      </c>
      <c r="O4" s="48">
        <f>'Income Statement'!O$4</f>
        <v>44012</v>
      </c>
      <c r="P4" s="48">
        <f>'Income Statement'!P$4</f>
        <v>44104</v>
      </c>
      <c r="Q4" s="320">
        <f>'Income Statement'!Q$4</f>
        <v>44196</v>
      </c>
      <c r="R4" s="48">
        <f>'Income Statement'!R$4</f>
        <v>44286</v>
      </c>
      <c r="S4" s="48">
        <f>'Income Statement'!S$4</f>
        <v>44377</v>
      </c>
      <c r="T4" s="48">
        <f>'Income Statement'!T$4</f>
        <v>44469</v>
      </c>
      <c r="U4" s="48">
        <f>'Income Statement'!U$4</f>
        <v>44561</v>
      </c>
      <c r="V4" s="655">
        <f>'Income Statement'!V$4</f>
        <v>44651</v>
      </c>
      <c r="W4" s="48">
        <f>'Income Statement'!W$4</f>
        <v>44742</v>
      </c>
      <c r="X4" s="48">
        <f>'Income Statement'!X$4</f>
        <v>44834</v>
      </c>
      <c r="Y4" s="320">
        <f>'Income Statement'!Y$4</f>
        <v>44926</v>
      </c>
      <c r="Z4" s="655">
        <f>'Income Statement'!Z$4</f>
        <v>45016</v>
      </c>
      <c r="AA4" s="48">
        <f>'Income Statement'!AA$4</f>
        <v>45107</v>
      </c>
      <c r="AB4" s="48">
        <f>'Income Statement'!AB$4</f>
        <v>45199</v>
      </c>
      <c r="AC4" s="320">
        <f>'Income Statement'!AC$4</f>
        <v>45291</v>
      </c>
      <c r="AD4" s="655">
        <f>'Income Statement'!AD$4</f>
        <v>45382</v>
      </c>
      <c r="AE4" s="48">
        <f>'Income Statement'!AE$4</f>
        <v>45473</v>
      </c>
      <c r="AF4" s="48" t="str">
        <f>'Income Statement'!AF$4</f>
        <v>Sep-24</v>
      </c>
      <c r="AG4" s="320" t="str">
        <f>'Income Statement'!AG$4</f>
        <v>Dec-24</v>
      </c>
      <c r="AH4" s="655" t="str">
        <f>'Income Statement'!AH$4</f>
        <v>Mar-25</v>
      </c>
      <c r="AI4" s="48" t="str">
        <f>'Income Statement'!AI$4</f>
        <v>Jun-25</v>
      </c>
      <c r="AJ4" s="48" t="str">
        <f>'Income Statement'!AJ$4</f>
        <v>Sep-25</v>
      </c>
      <c r="AK4" s="320" t="str">
        <f>'Income Statement'!AK$4</f>
        <v>Dec-25</v>
      </c>
      <c r="AL4" s="655" t="str">
        <f>'Income Statement'!AL$4</f>
        <v>Mar-26E</v>
      </c>
      <c r="AM4" s="48" t="str">
        <f>'Income Statement'!AM$4</f>
        <v>Jun-26E</v>
      </c>
      <c r="AN4" s="48" t="str">
        <f>'Income Statement'!AN$4</f>
        <v>Sep-26E</v>
      </c>
      <c r="AO4" s="320" t="str">
        <f>'Income Statement'!AO$4</f>
        <v>Dec-26E</v>
      </c>
      <c r="AP4" s="655" t="str">
        <f>'Income Statement'!AP$4</f>
        <v>Mar-27E</v>
      </c>
      <c r="AQ4" s="48" t="str">
        <f>'Income Statement'!AQ$4</f>
        <v>Jun-27E</v>
      </c>
      <c r="AR4" s="48" t="str">
        <f>'Income Statement'!AR$4</f>
        <v>Sep-27E</v>
      </c>
      <c r="AS4" s="320" t="str">
        <f>'Income Statement'!AS$4</f>
        <v>Dec-27E</v>
      </c>
      <c r="AT4" s="48"/>
      <c r="AU4" s="322">
        <f>'Income Statement'!AU$4</f>
        <v>2017</v>
      </c>
      <c r="AV4" s="322">
        <f>'Income Statement'!AV$4</f>
        <v>2018</v>
      </c>
      <c r="AW4" s="322">
        <f>'Income Statement'!AW$4</f>
        <v>2019</v>
      </c>
      <c r="AX4" s="322">
        <f>'Income Statement'!AX$4</f>
        <v>2020</v>
      </c>
      <c r="AY4" s="61" t="str">
        <f>'Income Statement'!AY$4</f>
        <v>CY21</v>
      </c>
      <c r="AZ4" s="323" t="str">
        <f>'Income Statement'!AZ$4</f>
        <v>CY22</v>
      </c>
      <c r="BA4" s="61" t="str">
        <f>'Income Statement'!BA$4</f>
        <v>CY23</v>
      </c>
      <c r="BB4" s="322" t="str">
        <f>'Income Statement'!BB$4</f>
        <v>CY24</v>
      </c>
      <c r="BC4" s="322" t="str">
        <f>'Income Statement'!BC$4</f>
        <v>CY25</v>
      </c>
      <c r="BD4" s="322" t="str">
        <f>'Income Statement'!BD$4</f>
        <v>CY26E</v>
      </c>
      <c r="BE4" s="322" t="str">
        <f>'Income Statement'!BE$4</f>
        <v>CY27E</v>
      </c>
    </row>
    <row r="5" spans="1:57" s="662" customFormat="1" ht="12" customHeight="1">
      <c r="A5" s="656" t="s">
        <v>118</v>
      </c>
      <c r="B5" s="513">
        <f>B13+B18+B23</f>
        <v>40.481000000000002</v>
      </c>
      <c r="C5" s="657">
        <v>44.149000000000001</v>
      </c>
      <c r="D5" s="77">
        <f t="shared" ref="D5:AS5" si="0">D13+D18+D23</f>
        <v>48.980000000000004</v>
      </c>
      <c r="E5" s="505">
        <f t="shared" si="0"/>
        <v>54.117000000000004</v>
      </c>
      <c r="F5" s="77">
        <f t="shared" si="0"/>
        <v>59.106999999999999</v>
      </c>
      <c r="G5" s="77">
        <f t="shared" si="0"/>
        <v>63.591999999999999</v>
      </c>
      <c r="H5" s="77">
        <f t="shared" si="0"/>
        <v>69.44</v>
      </c>
      <c r="I5" s="77">
        <f t="shared" si="0"/>
        <v>75.221000000000004</v>
      </c>
      <c r="J5" s="513">
        <f t="shared" si="0"/>
        <v>80.301000000000002</v>
      </c>
      <c r="K5" s="77">
        <f t="shared" si="0"/>
        <v>85.384</v>
      </c>
      <c r="L5" s="77">
        <f t="shared" si="0"/>
        <v>91.852000000000004</v>
      </c>
      <c r="M5" s="505">
        <f t="shared" si="0"/>
        <v>97.048999999999978</v>
      </c>
      <c r="N5" s="513">
        <f t="shared" si="0"/>
        <v>102.648</v>
      </c>
      <c r="O5" s="77">
        <f t="shared" si="0"/>
        <v>107.209</v>
      </c>
      <c r="P5" s="77">
        <f t="shared" si="0"/>
        <v>112.28200000000001</v>
      </c>
      <c r="Q5" s="505">
        <f t="shared" si="0"/>
        <v>118.08200000000001</v>
      </c>
      <c r="R5" s="77">
        <f t="shared" si="0"/>
        <v>123.18900000000001</v>
      </c>
      <c r="S5" s="77">
        <f t="shared" si="0"/>
        <v>130.25900000000001</v>
      </c>
      <c r="T5" s="77">
        <f t="shared" si="0"/>
        <v>138.66399999999999</v>
      </c>
      <c r="U5" s="75">
        <f t="shared" si="0"/>
        <v>149.018</v>
      </c>
      <c r="V5" s="492">
        <f t="shared" si="0"/>
        <v>159.36799999999999</v>
      </c>
      <c r="W5" s="77">
        <f t="shared" si="0"/>
        <v>164.34100000000001</v>
      </c>
      <c r="X5" s="77">
        <f t="shared" si="0"/>
        <v>174.851</v>
      </c>
      <c r="Y5" s="77">
        <f t="shared" si="0"/>
        <v>184.631</v>
      </c>
      <c r="Z5" s="513">
        <f t="shared" si="0"/>
        <v>188.83900000000003</v>
      </c>
      <c r="AA5" s="77">
        <f t="shared" si="0"/>
        <v>195.036</v>
      </c>
      <c r="AB5" s="77">
        <f t="shared" si="0"/>
        <v>201.529</v>
      </c>
      <c r="AC5" s="77">
        <f t="shared" si="0"/>
        <v>213.30599999999998</v>
      </c>
      <c r="AD5" s="513">
        <f t="shared" si="0"/>
        <v>215.96099999999998</v>
      </c>
      <c r="AE5" s="77">
        <f t="shared" si="0"/>
        <v>221.24100000000001</v>
      </c>
      <c r="AF5" s="77">
        <f>AF13+AF18+AF23</f>
        <v>227.08799999999999</v>
      </c>
      <c r="AG5" s="77">
        <f t="shared" si="0"/>
        <v>235.73099999999999</v>
      </c>
      <c r="AH5" s="513">
        <f t="shared" si="0"/>
        <v>239.137</v>
      </c>
      <c r="AI5" s="77">
        <f t="shared" si="0"/>
        <v>247.29500000000002</v>
      </c>
      <c r="AJ5" s="77">
        <f t="shared" si="0"/>
        <v>252.44</v>
      </c>
      <c r="AK5" s="77">
        <f t="shared" si="0"/>
        <v>260.53300000000002</v>
      </c>
      <c r="AL5" s="513">
        <f t="shared" si="0"/>
        <v>258.56678500000004</v>
      </c>
      <c r="AM5" s="77">
        <f t="shared" si="0"/>
        <v>265.53653500000001</v>
      </c>
      <c r="AN5" s="77">
        <f t="shared" si="0"/>
        <v>268.74702500000001</v>
      </c>
      <c r="AO5" s="77">
        <f t="shared" si="0"/>
        <v>277.3886</v>
      </c>
      <c r="AP5" s="513">
        <f t="shared" si="0"/>
        <v>275.6068478665</v>
      </c>
      <c r="AQ5" s="77">
        <f t="shared" si="0"/>
        <v>283.01608489799997</v>
      </c>
      <c r="AR5" s="77">
        <f t="shared" si="0"/>
        <v>286.39622882750007</v>
      </c>
      <c r="AS5" s="77">
        <f t="shared" si="0"/>
        <v>295.59132316000006</v>
      </c>
      <c r="AT5" s="658"/>
      <c r="AU5" s="659">
        <f>SUM(B5:E5)</f>
        <v>187.72700000000003</v>
      </c>
      <c r="AV5" s="659">
        <f>SUM(F5:I5)</f>
        <v>267.36</v>
      </c>
      <c r="AW5" s="659">
        <f>SUM(J5:M5)</f>
        <v>354.58600000000001</v>
      </c>
      <c r="AX5" s="659">
        <f>SUM(N5:Q5)</f>
        <v>440.221</v>
      </c>
      <c r="AY5" s="660">
        <f>SUM(R5:U5)</f>
        <v>541.13</v>
      </c>
      <c r="AZ5" s="661">
        <f>SUM(V5:Y5)</f>
        <v>683.19100000000003</v>
      </c>
      <c r="BA5" s="660">
        <f>SUM(Z5:AC5)</f>
        <v>798.71</v>
      </c>
      <c r="BB5" s="659">
        <f>SUM(AD5:AG5)</f>
        <v>900.02099999999996</v>
      </c>
      <c r="BC5" s="659">
        <f>SUM(AH5:AK5)</f>
        <v>999.40500000000009</v>
      </c>
      <c r="BD5" s="659">
        <f>SUM(AL5:AO5)</f>
        <v>1070.2389450000001</v>
      </c>
      <c r="BE5" s="659">
        <f>SUM(AP5:AS5)</f>
        <v>1140.610484752</v>
      </c>
    </row>
    <row r="6" spans="1:57" s="89" customFormat="1" ht="12" hidden="1" customHeight="1" outlineLevel="1">
      <c r="A6" s="663" t="s">
        <v>86</v>
      </c>
      <c r="B6" s="664" t="str">
        <f>'Income Statement'!B10</f>
        <v>-</v>
      </c>
      <c r="C6" s="83" t="str">
        <f>'Income Statement'!C10</f>
        <v>-</v>
      </c>
      <c r="D6" s="83" t="str">
        <f>'Income Statement'!D10</f>
        <v>-</v>
      </c>
      <c r="E6" s="665" t="str">
        <f>'Income Statement'!E10</f>
        <v>-</v>
      </c>
      <c r="F6" s="83" t="str">
        <f>'Income Statement'!F10</f>
        <v>-</v>
      </c>
      <c r="G6" s="83" t="str">
        <f>'Income Statement'!G10</f>
        <v>-</v>
      </c>
      <c r="H6" s="83">
        <f>'Income Statement'!H10</f>
        <v>66.295101233277776</v>
      </c>
      <c r="I6" s="83">
        <f>'Income Statement'!I10</f>
        <v>72.829307313078147</v>
      </c>
      <c r="J6" s="664">
        <f>'Income Statement'!J10</f>
        <v>78.13139351816227</v>
      </c>
      <c r="K6" s="83">
        <f>'Income Statement'!K10</f>
        <v>82.660787159774316</v>
      </c>
      <c r="L6" s="83">
        <f>'Income Statement'!L10</f>
        <v>88.65547079171634</v>
      </c>
      <c r="M6" s="665">
        <f>'Income Statement'!M10</f>
        <v>94.254523027641198</v>
      </c>
      <c r="N6" s="664">
        <f>'Income Statement'!N10</f>
        <v>100.24835447712599</v>
      </c>
      <c r="O6" s="83">
        <f>'Income Statement'!O10</f>
        <v>102.394061729917</v>
      </c>
      <c r="P6" s="83">
        <f>'Income Statement'!P10</f>
        <v>109.4510203996072</v>
      </c>
      <c r="Q6" s="665">
        <f>'Income Statement'!Q10</f>
        <v>114.89445418857034</v>
      </c>
      <c r="R6" s="83">
        <f>'Income Statement'!R10</f>
        <v>120.16062543063123</v>
      </c>
      <c r="S6" s="145">
        <f>'Income Statement'!S10</f>
        <v>125.48578701646908</v>
      </c>
      <c r="T6" s="83">
        <f>'Income Statement'!T10</f>
        <v>134.34398590229401</v>
      </c>
      <c r="U6" s="83">
        <f>'Income Statement'!U10</f>
        <v>144.42531670638027</v>
      </c>
      <c r="V6" s="664">
        <f>'Income Statement'!V10</f>
        <v>153.37956741261891</v>
      </c>
      <c r="W6" s="83">
        <f>'Income Statement'!W10</f>
        <v>163.41115989194191</v>
      </c>
      <c r="X6" s="83">
        <f>'Income Statement'!X10</f>
        <v>170.08239368432118</v>
      </c>
      <c r="Y6" s="665">
        <f>'Income Statement'!Y10</f>
        <v>181.47863606853986</v>
      </c>
      <c r="Z6" s="666">
        <f>'Income Statement'!Z10</f>
        <v>186.97949643638154</v>
      </c>
      <c r="AA6" s="667">
        <f>'Income Statement'!AA10</f>
        <v>190.08195027045599</v>
      </c>
      <c r="AB6" s="667">
        <f>'Income Statement'!AB10</f>
        <v>198.2782357548316</v>
      </c>
      <c r="AC6" s="668">
        <f>'Income Statement'!AC10</f>
        <v>206.53639469231041</v>
      </c>
      <c r="AD6" s="666">
        <f>'Income Statement'!AD10</f>
        <v>213.54152726376014</v>
      </c>
      <c r="AE6" s="667">
        <v>218.54245</v>
      </c>
      <c r="AF6" s="667">
        <v>223.26996</v>
      </c>
      <c r="AG6" s="668">
        <f>'Income Statement'!AG10</f>
        <v>231.55654236177338</v>
      </c>
      <c r="AH6" s="666">
        <f>'Income Statement'!AH10</f>
        <v>233.57911601872561</v>
      </c>
      <c r="AI6" s="667">
        <f>'Income Statement'!AI10</f>
        <v>242.07841453355994</v>
      </c>
      <c r="AJ6" s="667">
        <f>'Income Statement'!AJ10</f>
        <v>247.33864771095207</v>
      </c>
      <c r="AK6" s="668">
        <f>'Income Statement'!AK10</f>
        <v>251.72894765121765</v>
      </c>
      <c r="AL6" s="666">
        <f>'Income Statement'!AL10</f>
        <v>258.87607885397813</v>
      </c>
      <c r="AM6" s="667">
        <f>'Income Statement'!AM10</f>
        <v>264.67593406709608</v>
      </c>
      <c r="AN6" s="667">
        <f>'Income Statement'!AN10</f>
        <v>269.71728065946542</v>
      </c>
      <c r="AO6" s="668">
        <f>'Income Statement'!AO10</f>
        <v>277.08466719842176</v>
      </c>
      <c r="AP6" s="666">
        <f>'Income Statement'!AP10</f>
        <v>277.69692422348231</v>
      </c>
      <c r="AQ6" s="667">
        <f>'Income Statement'!AQ10</f>
        <v>283.39448073695274</v>
      </c>
      <c r="AR6" s="667">
        <f>'Income Statement'!AR10</f>
        <v>288.41406316115877</v>
      </c>
      <c r="AS6" s="668">
        <f>'Income Statement'!AS10</f>
        <v>296.33302819717551</v>
      </c>
      <c r="AT6" s="99"/>
      <c r="AU6" s="669"/>
      <c r="AV6" s="669"/>
      <c r="AW6" s="669"/>
      <c r="AX6" s="669">
        <f>'Income Statement'!AX10</f>
        <v>437.03012085523699</v>
      </c>
      <c r="AY6" s="669">
        <f>'Income Statement'!AY10</f>
        <v>536.56619031418188</v>
      </c>
      <c r="AZ6" s="664">
        <f>'Income Statement'!AZ10</f>
        <v>680.03863606853986</v>
      </c>
      <c r="BA6" s="669">
        <f>'Income Statement'!BA10</f>
        <v>791.94039469231041</v>
      </c>
      <c r="BB6" s="669">
        <f>'Income Statement'!BB10</f>
        <v>895.84654236177334</v>
      </c>
      <c r="BC6" s="669">
        <f>'Income Statement'!BC10</f>
        <v>990.66282189281662</v>
      </c>
      <c r="BD6" s="669">
        <f>'Income Statement'!BD10</f>
        <v>1070.3484052234066</v>
      </c>
      <c r="BE6" s="669">
        <f>'Income Statement'!BE10</f>
        <v>1145.8384963187696</v>
      </c>
    </row>
    <row r="7" spans="1:57" s="674" customFormat="1" ht="12" customHeight="1" collapsed="1">
      <c r="A7" s="670" t="s">
        <v>117</v>
      </c>
      <c r="B7" s="671" t="str">
        <f>IF(ISERROR(B5/#REF!-1),"NA",B5/#REF!-1)</f>
        <v>NA</v>
      </c>
      <c r="C7" s="672" t="str">
        <f>IF(ISERROR(C5/#REF!-1),"NA",C5/#REF!-1)</f>
        <v>NA</v>
      </c>
      <c r="D7" s="672" t="str">
        <f>IF(ISERROR(D5/#REF!-1),"NA",D5/#REF!-1)</f>
        <v>NA</v>
      </c>
      <c r="E7" s="673" t="str">
        <f>IF(ISERROR(E5/#REF!-1),"NA",E5/#REF!-1)</f>
        <v>NA</v>
      </c>
      <c r="F7" s="672">
        <f t="shared" ref="F7:AS7" si="1">IF(ISERROR(F5/B5-1),"NA",F5/B5-1)</f>
        <v>0.4601170919690718</v>
      </c>
      <c r="G7" s="672">
        <f t="shared" si="1"/>
        <v>0.4403950259349021</v>
      </c>
      <c r="H7" s="672">
        <f t="shared" si="1"/>
        <v>0.41772151898734156</v>
      </c>
      <c r="I7" s="672">
        <f t="shared" si="1"/>
        <v>0.38996988007465294</v>
      </c>
      <c r="J7" s="671">
        <f t="shared" si="1"/>
        <v>0.35857005092459437</v>
      </c>
      <c r="K7" s="672">
        <f t="shared" si="1"/>
        <v>0.34268461441690778</v>
      </c>
      <c r="L7" s="672">
        <f t="shared" si="1"/>
        <v>0.32275345622119822</v>
      </c>
      <c r="M7" s="673">
        <f t="shared" si="1"/>
        <v>0.29018492176386879</v>
      </c>
      <c r="N7" s="671">
        <f t="shared" si="1"/>
        <v>0.27829043224866434</v>
      </c>
      <c r="O7" s="672">
        <f t="shared" si="1"/>
        <v>0.25560995034198442</v>
      </c>
      <c r="P7" s="672">
        <f t="shared" si="1"/>
        <v>0.22242302834995442</v>
      </c>
      <c r="Q7" s="673">
        <f t="shared" si="1"/>
        <v>0.21672557161846107</v>
      </c>
      <c r="R7" s="672">
        <f t="shared" si="1"/>
        <v>0.20011105915361238</v>
      </c>
      <c r="S7" s="672">
        <f t="shared" si="1"/>
        <v>0.21500060629238238</v>
      </c>
      <c r="T7" s="672">
        <f t="shared" si="1"/>
        <v>0.23496197075221303</v>
      </c>
      <c r="U7" s="672">
        <f t="shared" si="1"/>
        <v>0.26198743246218714</v>
      </c>
      <c r="V7" s="671">
        <f t="shared" si="1"/>
        <v>0.29368693633360099</v>
      </c>
      <c r="W7" s="672">
        <f t="shared" si="1"/>
        <v>0.26164794755064902</v>
      </c>
      <c r="X7" s="672">
        <f t="shared" si="1"/>
        <v>0.26096896094155664</v>
      </c>
      <c r="Y7" s="673">
        <f t="shared" si="1"/>
        <v>0.23898455220174752</v>
      </c>
      <c r="Z7" s="671">
        <f t="shared" si="1"/>
        <v>0.18492420059233994</v>
      </c>
      <c r="AA7" s="672">
        <f t="shared" si="1"/>
        <v>0.18677627615750181</v>
      </c>
      <c r="AB7" s="672">
        <f t="shared" si="1"/>
        <v>0.1525756215291878</v>
      </c>
      <c r="AC7" s="673">
        <f t="shared" si="1"/>
        <v>0.15530978004777096</v>
      </c>
      <c r="AD7" s="671">
        <f t="shared" si="1"/>
        <v>0.1436249927186648</v>
      </c>
      <c r="AE7" s="672">
        <f t="shared" si="1"/>
        <v>0.13435981049652379</v>
      </c>
      <c r="AF7" s="672">
        <f t="shared" si="1"/>
        <v>0.12682541966664851</v>
      </c>
      <c r="AG7" s="673">
        <f t="shared" si="1"/>
        <v>0.10513065736547511</v>
      </c>
      <c r="AH7" s="671">
        <f t="shared" si="1"/>
        <v>0.10731567273720732</v>
      </c>
      <c r="AI7" s="672">
        <f t="shared" si="1"/>
        <v>0.11776298244900363</v>
      </c>
      <c r="AJ7" s="672">
        <f t="shared" si="1"/>
        <v>0.11163954061861481</v>
      </c>
      <c r="AK7" s="673">
        <f t="shared" si="1"/>
        <v>0.1052131454921077</v>
      </c>
      <c r="AL7" s="671">
        <f t="shared" si="1"/>
        <v>8.124959751105032E-2</v>
      </c>
      <c r="AM7" s="672">
        <f t="shared" si="1"/>
        <v>7.3764269394852366E-2</v>
      </c>
      <c r="AN7" s="672">
        <f t="shared" si="1"/>
        <v>6.4597627158928805E-2</v>
      </c>
      <c r="AO7" s="673">
        <f t="shared" si="1"/>
        <v>6.4696602733626651E-2</v>
      </c>
      <c r="AP7" s="671">
        <f t="shared" si="1"/>
        <v>6.5901979121177456E-2</v>
      </c>
      <c r="AQ7" s="672">
        <f t="shared" si="1"/>
        <v>6.5827287751570429E-2</v>
      </c>
      <c r="AR7" s="672">
        <f t="shared" si="1"/>
        <v>6.567218307811995E-2</v>
      </c>
      <c r="AS7" s="673">
        <f t="shared" si="1"/>
        <v>6.5621742061497956E-2</v>
      </c>
      <c r="AU7" s="675" t="str">
        <f>IF(ISERROR(AU5/#REF!-1),"NA",AU5/#REF!-1)</f>
        <v>NA</v>
      </c>
      <c r="AV7" s="675">
        <f t="shared" ref="AV7:BE7" si="2">IF(ISERROR(AV5/AU5-1),"NA",AV5/AU5-1)</f>
        <v>0.42419577365003414</v>
      </c>
      <c r="AW7" s="675">
        <f t="shared" si="2"/>
        <v>0.32624925194494314</v>
      </c>
      <c r="AX7" s="675">
        <f t="shared" si="2"/>
        <v>0.24150699689215016</v>
      </c>
      <c r="AY7" s="676">
        <f t="shared" si="2"/>
        <v>0.22922350364930333</v>
      </c>
      <c r="AZ7" s="671">
        <f t="shared" si="2"/>
        <v>0.26252656478110636</v>
      </c>
      <c r="BA7" s="676">
        <f t="shared" si="2"/>
        <v>0.16908741479322775</v>
      </c>
      <c r="BB7" s="676">
        <f t="shared" si="2"/>
        <v>0.12684328479673468</v>
      </c>
      <c r="BC7" s="675">
        <f t="shared" si="2"/>
        <v>0.11042409010456433</v>
      </c>
      <c r="BD7" s="675">
        <f t="shared" si="2"/>
        <v>7.0876116289191993E-2</v>
      </c>
      <c r="BE7" s="675">
        <f t="shared" si="2"/>
        <v>6.5753110630822675E-2</v>
      </c>
    </row>
    <row r="8" spans="1:57" s="89" customFormat="1" ht="12" customHeight="1" thickBot="1">
      <c r="A8" s="90" t="s">
        <v>87</v>
      </c>
      <c r="B8" s="91"/>
      <c r="C8" s="92"/>
      <c r="D8" s="92"/>
      <c r="E8" s="93"/>
      <c r="F8" s="92"/>
      <c r="G8" s="92"/>
      <c r="H8" s="92"/>
      <c r="I8" s="92"/>
      <c r="J8" s="91"/>
      <c r="K8" s="92"/>
      <c r="L8" s="92"/>
      <c r="M8" s="93"/>
      <c r="N8" s="91"/>
      <c r="O8" s="92"/>
      <c r="P8" s="92"/>
      <c r="Q8" s="93"/>
      <c r="R8" s="92"/>
      <c r="S8" s="94"/>
      <c r="T8" s="92"/>
      <c r="U8" s="92"/>
      <c r="V8" s="91"/>
      <c r="W8" s="95"/>
      <c r="X8" s="92"/>
      <c r="Y8" s="93"/>
      <c r="Z8" s="96"/>
      <c r="AA8" s="97"/>
      <c r="AB8" s="97"/>
      <c r="AC8" s="98"/>
      <c r="AD8" s="96"/>
      <c r="AE8" s="97"/>
      <c r="AF8" s="97"/>
      <c r="AG8" s="98"/>
      <c r="AH8" s="96"/>
      <c r="AI8" s="97"/>
      <c r="AJ8" s="97"/>
      <c r="AK8" s="98"/>
      <c r="AL8" s="96"/>
      <c r="AM8" s="97"/>
      <c r="AN8" s="97"/>
      <c r="AO8" s="98"/>
      <c r="AP8" s="96"/>
      <c r="AQ8" s="97"/>
      <c r="AR8" s="97"/>
      <c r="AS8" s="98"/>
      <c r="AT8" s="99"/>
      <c r="AU8" s="100"/>
      <c r="AV8" s="93"/>
      <c r="AW8" s="93"/>
      <c r="AX8" s="101"/>
      <c r="AY8" s="101"/>
      <c r="AZ8" s="102"/>
      <c r="BA8" s="101"/>
      <c r="BB8" s="101"/>
      <c r="BC8" s="93"/>
      <c r="BD8" s="93"/>
      <c r="BE8" s="93"/>
    </row>
    <row r="9" spans="1:57" s="89" customFormat="1" ht="12" customHeight="1" thickTop="1">
      <c r="A9" s="103" t="s">
        <v>88</v>
      </c>
      <c r="B9" s="677"/>
      <c r="C9" s="83"/>
      <c r="D9" s="83"/>
      <c r="E9" s="665"/>
      <c r="F9" s="83"/>
      <c r="G9" s="83"/>
      <c r="H9" s="83"/>
      <c r="I9" s="83"/>
      <c r="J9" s="677"/>
      <c r="K9" s="83"/>
      <c r="L9" s="83"/>
      <c r="M9" s="665"/>
      <c r="N9" s="678">
        <v>100</v>
      </c>
      <c r="O9" s="105">
        <v>101</v>
      </c>
      <c r="P9" s="105">
        <v>108</v>
      </c>
      <c r="Q9" s="679">
        <v>113</v>
      </c>
      <c r="R9" s="105">
        <v>118</v>
      </c>
      <c r="S9" s="107">
        <v>124</v>
      </c>
      <c r="T9" s="105">
        <v>133</v>
      </c>
      <c r="U9" s="105">
        <v>143</v>
      </c>
      <c r="V9" s="108">
        <v>152</v>
      </c>
      <c r="W9" s="105">
        <v>162</v>
      </c>
      <c r="X9" s="105">
        <v>169</v>
      </c>
      <c r="Y9" s="105">
        <v>180</v>
      </c>
      <c r="Z9" s="108">
        <v>186</v>
      </c>
      <c r="AA9" s="105">
        <v>189</v>
      </c>
      <c r="AB9" s="105">
        <v>197</v>
      </c>
      <c r="AC9" s="105">
        <v>204</v>
      </c>
      <c r="AD9" s="108">
        <v>212</v>
      </c>
      <c r="AE9" s="105">
        <v>217</v>
      </c>
      <c r="AF9" s="105">
        <v>222</v>
      </c>
      <c r="AG9" s="105">
        <v>229</v>
      </c>
      <c r="AH9" s="108">
        <v>233</v>
      </c>
      <c r="AI9" s="105">
        <v>241</v>
      </c>
      <c r="AJ9" s="107">
        <v>246</v>
      </c>
      <c r="AK9" s="105">
        <v>249.1</v>
      </c>
      <c r="AL9" s="108">
        <v>257</v>
      </c>
      <c r="AM9" s="105" t="s">
        <v>175</v>
      </c>
      <c r="AN9" s="105" t="s">
        <v>175</v>
      </c>
      <c r="AO9" s="109" t="s">
        <v>175</v>
      </c>
      <c r="AP9" s="108" t="s">
        <v>175</v>
      </c>
      <c r="AQ9" s="105" t="s">
        <v>175</v>
      </c>
      <c r="AR9" s="105" t="s">
        <v>175</v>
      </c>
      <c r="AS9" s="109" t="s">
        <v>175</v>
      </c>
      <c r="AT9" s="99"/>
      <c r="AU9" s="659"/>
      <c r="AV9" s="665"/>
      <c r="AW9" s="665"/>
      <c r="AX9" s="669"/>
      <c r="AY9" s="680">
        <v>535.1</v>
      </c>
      <c r="AZ9" s="681">
        <v>678.6</v>
      </c>
      <c r="BA9" s="680">
        <v>789.4</v>
      </c>
      <c r="BB9" s="680">
        <v>893.3</v>
      </c>
      <c r="BC9" s="682">
        <v>988</v>
      </c>
      <c r="BD9" s="682">
        <v>1065</v>
      </c>
      <c r="BE9" s="679" t="s">
        <v>175</v>
      </c>
    </row>
    <row r="10" spans="1:57" s="89" customFormat="1" ht="12" customHeight="1">
      <c r="A10" s="683" t="s">
        <v>89</v>
      </c>
      <c r="B10" s="664"/>
      <c r="C10" s="83"/>
      <c r="D10" s="83"/>
      <c r="E10" s="665"/>
      <c r="F10" s="83"/>
      <c r="G10" s="83"/>
      <c r="H10" s="83"/>
      <c r="I10" s="83"/>
      <c r="J10" s="664"/>
      <c r="K10" s="83"/>
      <c r="L10" s="83"/>
      <c r="M10" s="665"/>
      <c r="N10" s="681">
        <f t="shared" ref="N10:T10" si="3">AVERAGE(N9,N11)</f>
        <v>100.5</v>
      </c>
      <c r="O10" s="105">
        <f t="shared" si="3"/>
        <v>102</v>
      </c>
      <c r="P10" s="105">
        <f t="shared" si="3"/>
        <v>109</v>
      </c>
      <c r="Q10" s="679">
        <f t="shared" si="3"/>
        <v>114</v>
      </c>
      <c r="R10" s="105">
        <f t="shared" si="3"/>
        <v>119</v>
      </c>
      <c r="S10" s="107">
        <f t="shared" si="3"/>
        <v>125</v>
      </c>
      <c r="T10" s="105">
        <f t="shared" si="3"/>
        <v>134</v>
      </c>
      <c r="U10" s="105">
        <f>AVERAGE(U9,U11)</f>
        <v>144</v>
      </c>
      <c r="V10" s="681">
        <f t="shared" ref="V10:X10" si="4">AVERAGE(V9,V11)</f>
        <v>153</v>
      </c>
      <c r="W10" s="105">
        <f t="shared" si="4"/>
        <v>163</v>
      </c>
      <c r="X10" s="105">
        <f t="shared" si="4"/>
        <v>170</v>
      </c>
      <c r="Y10" s="105">
        <f>AVERAGE(Y9,Y11)</f>
        <v>181</v>
      </c>
      <c r="Z10" s="681">
        <f t="shared" ref="Z10:AB10" si="5">AVERAGE(Z9,Z11)</f>
        <v>187</v>
      </c>
      <c r="AA10" s="105">
        <f t="shared" si="5"/>
        <v>190</v>
      </c>
      <c r="AB10" s="105">
        <f t="shared" si="5"/>
        <v>198</v>
      </c>
      <c r="AC10" s="105">
        <f t="shared" ref="AC10:AE10" si="6">IFERROR(AVERAGE(AC9,AC11),"")</f>
        <v>206</v>
      </c>
      <c r="AD10" s="681">
        <f t="shared" si="6"/>
        <v>213</v>
      </c>
      <c r="AE10" s="105">
        <f t="shared" si="6"/>
        <v>218</v>
      </c>
      <c r="AF10" s="105">
        <f>IFERROR(AVERAGE(AF9,AF11),"")</f>
        <v>223</v>
      </c>
      <c r="AG10" s="105">
        <f>IFERROR(AVERAGE(AG9,AG11),"")</f>
        <v>231</v>
      </c>
      <c r="AH10" s="681">
        <f t="shared" ref="AH10:AI10" si="7">IFERROR(AVERAGE(AH9,AH11),"")</f>
        <v>234</v>
      </c>
      <c r="AI10" s="105">
        <f t="shared" si="7"/>
        <v>242</v>
      </c>
      <c r="AJ10" s="107">
        <f>IFERROR(AVERAGE(AJ9,AJ11),"")</f>
        <v>247</v>
      </c>
      <c r="AK10" s="105">
        <f>IFERROR(AVERAGE(AK9,AK11),"")</f>
        <v>251.1</v>
      </c>
      <c r="AL10" s="681">
        <f t="shared" ref="AL10:AS10" si="8">IFERROR(AVERAGE(AL9,AL11),"")</f>
        <v>258.5</v>
      </c>
      <c r="AM10" s="105" t="str">
        <f t="shared" si="8"/>
        <v/>
      </c>
      <c r="AN10" s="105" t="str">
        <f t="shared" si="8"/>
        <v/>
      </c>
      <c r="AO10" s="679" t="str">
        <f t="shared" si="8"/>
        <v/>
      </c>
      <c r="AP10" s="681" t="str">
        <f t="shared" si="8"/>
        <v/>
      </c>
      <c r="AQ10" s="105" t="str">
        <f t="shared" si="8"/>
        <v/>
      </c>
      <c r="AR10" s="105" t="str">
        <f t="shared" si="8"/>
        <v/>
      </c>
      <c r="AS10" s="679" t="str">
        <f t="shared" si="8"/>
        <v/>
      </c>
      <c r="AT10" s="99"/>
      <c r="AU10" s="659"/>
      <c r="AV10" s="665"/>
      <c r="AW10" s="665"/>
      <c r="AX10" s="669"/>
      <c r="AY10" s="680">
        <f>AVERAGE(AY9,AY11)</f>
        <v>536.1</v>
      </c>
      <c r="AZ10" s="681">
        <f t="shared" ref="AZ10" si="9">AVERAGE(AZ9,AZ11)</f>
        <v>679.6</v>
      </c>
      <c r="BA10" s="680">
        <f>AVERAGE(BA9,BA11)</f>
        <v>791.4</v>
      </c>
      <c r="BB10" s="680">
        <f t="shared" ref="BB10:BE10" si="10">IFERROR(AVERAGE(BB9,BB11),"")</f>
        <v>895.3</v>
      </c>
      <c r="BC10" s="682">
        <f t="shared" si="10"/>
        <v>990</v>
      </c>
      <c r="BD10" s="682">
        <f t="shared" si="10"/>
        <v>1070</v>
      </c>
      <c r="BE10" s="679" t="str">
        <f t="shared" si="10"/>
        <v/>
      </c>
    </row>
    <row r="11" spans="1:57" s="89" customFormat="1" ht="12" customHeight="1" thickBot="1">
      <c r="A11" s="121" t="s">
        <v>90</v>
      </c>
      <c r="B11" s="91"/>
      <c r="C11" s="92"/>
      <c r="D11" s="92"/>
      <c r="E11" s="93"/>
      <c r="F11" s="92"/>
      <c r="G11" s="92"/>
      <c r="H11" s="92"/>
      <c r="I11" s="92"/>
      <c r="J11" s="91"/>
      <c r="K11" s="92"/>
      <c r="L11" s="92"/>
      <c r="M11" s="93"/>
      <c r="N11" s="122">
        <v>101</v>
      </c>
      <c r="O11" s="123">
        <v>103</v>
      </c>
      <c r="P11" s="123">
        <v>110</v>
      </c>
      <c r="Q11" s="124">
        <v>115</v>
      </c>
      <c r="R11" s="123">
        <v>120</v>
      </c>
      <c r="S11" s="125">
        <v>126</v>
      </c>
      <c r="T11" s="123">
        <v>135</v>
      </c>
      <c r="U11" s="123">
        <v>145</v>
      </c>
      <c r="V11" s="122">
        <v>154</v>
      </c>
      <c r="W11" s="123">
        <v>164</v>
      </c>
      <c r="X11" s="123">
        <v>171</v>
      </c>
      <c r="Y11" s="123">
        <v>182</v>
      </c>
      <c r="Z11" s="122">
        <v>188</v>
      </c>
      <c r="AA11" s="123">
        <v>191</v>
      </c>
      <c r="AB11" s="123">
        <v>199</v>
      </c>
      <c r="AC11" s="123">
        <v>208</v>
      </c>
      <c r="AD11" s="122">
        <v>214</v>
      </c>
      <c r="AE11" s="123">
        <v>219</v>
      </c>
      <c r="AF11" s="123">
        <v>224</v>
      </c>
      <c r="AG11" s="125">
        <v>233</v>
      </c>
      <c r="AH11" s="122">
        <v>235</v>
      </c>
      <c r="AI11" s="123">
        <v>243</v>
      </c>
      <c r="AJ11" s="125">
        <v>248</v>
      </c>
      <c r="AK11" s="125">
        <v>253.1</v>
      </c>
      <c r="AL11" s="122">
        <v>260</v>
      </c>
      <c r="AM11" s="123" t="s">
        <v>175</v>
      </c>
      <c r="AN11" s="123" t="s">
        <v>175</v>
      </c>
      <c r="AO11" s="124" t="s">
        <v>175</v>
      </c>
      <c r="AP11" s="122" t="s">
        <v>175</v>
      </c>
      <c r="AQ11" s="123" t="s">
        <v>175</v>
      </c>
      <c r="AR11" s="123" t="s">
        <v>175</v>
      </c>
      <c r="AS11" s="124" t="s">
        <v>175</v>
      </c>
      <c r="AT11" s="99"/>
      <c r="AU11" s="100"/>
      <c r="AV11" s="93"/>
      <c r="AW11" s="93"/>
      <c r="AX11" s="101"/>
      <c r="AY11" s="126">
        <v>537.1</v>
      </c>
      <c r="AZ11" s="122">
        <v>680.6</v>
      </c>
      <c r="BA11" s="126">
        <v>793.4</v>
      </c>
      <c r="BB11" s="126">
        <v>897.3</v>
      </c>
      <c r="BC11" s="127">
        <v>992</v>
      </c>
      <c r="BD11" s="127">
        <v>1075</v>
      </c>
      <c r="BE11" s="124" t="s">
        <v>175</v>
      </c>
    </row>
    <row r="12" spans="1:57" s="674" customFormat="1" ht="12" customHeight="1" thickTop="1">
      <c r="A12" s="684" t="s">
        <v>176</v>
      </c>
      <c r="B12" s="671"/>
      <c r="C12" s="672"/>
      <c r="D12" s="672"/>
      <c r="E12" s="673"/>
      <c r="F12" s="685"/>
      <c r="G12" s="685"/>
      <c r="H12" s="685"/>
      <c r="I12" s="685"/>
      <c r="J12" s="686"/>
      <c r="K12" s="687"/>
      <c r="L12" s="687"/>
      <c r="M12" s="688"/>
      <c r="N12" s="686"/>
      <c r="O12" s="687"/>
      <c r="P12" s="687"/>
      <c r="Q12" s="688"/>
      <c r="R12" s="685"/>
      <c r="S12" s="672"/>
      <c r="T12" s="685"/>
      <c r="U12" s="685"/>
      <c r="V12" s="689"/>
      <c r="W12" s="685"/>
      <c r="X12" s="685"/>
      <c r="Y12" s="690"/>
      <c r="Z12" s="689"/>
      <c r="AA12" s="685"/>
      <c r="AB12" s="685"/>
      <c r="AC12" s="690"/>
      <c r="AD12" s="689"/>
      <c r="AE12" s="685"/>
      <c r="AF12" s="685"/>
      <c r="AG12" s="672"/>
      <c r="AH12" s="691"/>
      <c r="AI12" s="685"/>
      <c r="AJ12" s="685"/>
      <c r="AK12" s="690"/>
      <c r="AL12" s="689"/>
      <c r="AM12" s="685"/>
      <c r="AN12" s="685"/>
      <c r="AO12" s="690"/>
      <c r="AP12" s="689"/>
      <c r="AQ12" s="685"/>
      <c r="AR12" s="685"/>
      <c r="AS12" s="690"/>
      <c r="AU12" s="675"/>
      <c r="AV12" s="675"/>
      <c r="AW12" s="675"/>
      <c r="AX12" s="675"/>
      <c r="AY12" s="676"/>
      <c r="AZ12" s="671"/>
      <c r="BA12" s="676"/>
      <c r="BB12" s="676"/>
      <c r="BC12" s="675"/>
      <c r="BD12" s="675"/>
      <c r="BE12" s="675"/>
    </row>
    <row r="13" spans="1:57" s="674" customFormat="1" ht="12" customHeight="1">
      <c r="A13" s="692" t="s">
        <v>177</v>
      </c>
      <c r="B13" s="693">
        <v>27.702000000000002</v>
      </c>
      <c r="C13" s="657">
        <f>132.873-B13-D13-E13</f>
        <v>30.843999999999987</v>
      </c>
      <c r="D13" s="657">
        <v>34.932000000000002</v>
      </c>
      <c r="E13" s="694">
        <v>39.395000000000003</v>
      </c>
      <c r="F13" s="657">
        <v>44.332000000000001</v>
      </c>
      <c r="G13" s="657">
        <v>48.725000000000001</v>
      </c>
      <c r="H13" s="657">
        <v>53.511000000000003</v>
      </c>
      <c r="I13" s="657">
        <v>59.259</v>
      </c>
      <c r="J13" s="693">
        <v>64.736999999999995</v>
      </c>
      <c r="K13" s="657">
        <v>69.37</v>
      </c>
      <c r="L13" s="657">
        <v>75.503</v>
      </c>
      <c r="M13" s="694">
        <v>80.938999999999993</v>
      </c>
      <c r="N13" s="693">
        <v>86.39</v>
      </c>
      <c r="O13" s="657">
        <v>92.01</v>
      </c>
      <c r="P13" s="657">
        <v>96.792000000000002</v>
      </c>
      <c r="Q13" s="694">
        <v>102.16200000000001</v>
      </c>
      <c r="R13" s="657">
        <v>107.402</v>
      </c>
      <c r="S13" s="657">
        <v>114.167</v>
      </c>
      <c r="T13" s="657">
        <v>122.15600000000001</v>
      </c>
      <c r="U13" s="657">
        <v>132.298</v>
      </c>
      <c r="V13" s="693">
        <v>142.68700000000001</v>
      </c>
      <c r="W13" s="657">
        <v>146.80600000000001</v>
      </c>
      <c r="X13" s="657">
        <v>156.76400000000001</v>
      </c>
      <c r="Y13" s="694">
        <v>166.25299999999999</v>
      </c>
      <c r="Z13" s="693">
        <v>171.09800000000001</v>
      </c>
      <c r="AA13" s="657">
        <v>176.767</v>
      </c>
      <c r="AB13" s="657">
        <v>183.268</v>
      </c>
      <c r="AC13" s="694">
        <v>193.88</v>
      </c>
      <c r="AD13" s="693">
        <v>197.63499999999999</v>
      </c>
      <c r="AE13" s="657">
        <v>202.53800000000001</v>
      </c>
      <c r="AF13" s="657">
        <v>208.554</v>
      </c>
      <c r="AG13" s="657">
        <v>215.93199999999999</v>
      </c>
      <c r="AH13" s="693">
        <v>220.44300000000001</v>
      </c>
      <c r="AI13" s="657">
        <v>228.03100000000001</v>
      </c>
      <c r="AJ13" s="657">
        <v>232.21100000000001</v>
      </c>
      <c r="AK13" s="657">
        <v>238.88800000000001</v>
      </c>
      <c r="AL13" s="693">
        <f t="shared" ref="AL13:AS13" si="11">AH13*(1+AL15)</f>
        <v>241.385085</v>
      </c>
      <c r="AM13" s="657">
        <f t="shared" si="11"/>
        <v>247.413635</v>
      </c>
      <c r="AN13" s="657">
        <f t="shared" si="11"/>
        <v>249.626825</v>
      </c>
      <c r="AO13" s="694">
        <f t="shared" si="11"/>
        <v>256.80459999999999</v>
      </c>
      <c r="AP13" s="693">
        <f t="shared" si="11"/>
        <v>259.4648278665</v>
      </c>
      <c r="AQ13" s="657">
        <f t="shared" si="11"/>
        <v>265.92017489799997</v>
      </c>
      <c r="AR13" s="657">
        <f t="shared" si="11"/>
        <v>268.27394882750002</v>
      </c>
      <c r="AS13" s="694">
        <f t="shared" si="11"/>
        <v>275.96222316000001</v>
      </c>
      <c r="AU13" s="659">
        <f>SUM(B13:E13)</f>
        <v>132.87299999999999</v>
      </c>
      <c r="AV13" s="659">
        <f>SUM(F13:I13)</f>
        <v>205.827</v>
      </c>
      <c r="AW13" s="659">
        <f>SUM(J13:M13)</f>
        <v>290.54899999999998</v>
      </c>
      <c r="AX13" s="659">
        <f>SUM(N13:Q13)</f>
        <v>377.35400000000004</v>
      </c>
      <c r="AY13" s="660">
        <f>SUM(R13:U13)</f>
        <v>476.02300000000002</v>
      </c>
      <c r="AZ13" s="695">
        <f>SUM(V13:Y13)</f>
        <v>612.51</v>
      </c>
      <c r="BA13" s="660">
        <f>SUM(Z13:AC13)</f>
        <v>725.01300000000003</v>
      </c>
      <c r="BB13" s="660">
        <f>SUM(AD13:AG13)</f>
        <v>824.65899999999999</v>
      </c>
      <c r="BC13" s="659">
        <f>SUM(AH13:AK13)</f>
        <v>919.57300000000009</v>
      </c>
      <c r="BD13" s="659">
        <f>SUM(AL13:AO13)</f>
        <v>995.23014499999999</v>
      </c>
      <c r="BE13" s="659">
        <f>SUM(AP13:AS13)</f>
        <v>1069.6211747520001</v>
      </c>
    </row>
    <row r="14" spans="1:57" s="674" customFormat="1" ht="12" hidden="1" customHeight="1" outlineLevel="1">
      <c r="A14" s="696" t="s">
        <v>178</v>
      </c>
      <c r="B14" s="697" t="str">
        <f>'[2]VA Consensus'!C18</f>
        <v>-</v>
      </c>
      <c r="C14" s="698" t="str">
        <f>'[2]VA Consensus'!D18</f>
        <v>-</v>
      </c>
      <c r="D14" s="698" t="str">
        <f>'[2]VA Consensus'!E18</f>
        <v>-</v>
      </c>
      <c r="E14" s="699" t="str">
        <f>'[2]VA Consensus'!F18</f>
        <v>-</v>
      </c>
      <c r="F14" s="145" t="str">
        <f>'[2]VA Consensus'!G18</f>
        <v>-</v>
      </c>
      <c r="G14" s="145" t="str">
        <f>'[2]VA Consensus'!H18</f>
        <v>-</v>
      </c>
      <c r="H14" s="145">
        <f>'[2]VA Consensus'!I18</f>
        <v>55.628655751143647</v>
      </c>
      <c r="I14" s="145">
        <f>'[2]VA Consensus'!J18</f>
        <v>61.298786107586253</v>
      </c>
      <c r="J14" s="700">
        <f>'[2]VA Consensus'!K18</f>
        <v>67.616153093305954</v>
      </c>
      <c r="K14" s="145">
        <f>'[2]VA Consensus'!L18</f>
        <v>71.338930191120298</v>
      </c>
      <c r="L14" s="145">
        <f>'[2]VA Consensus'!M18</f>
        <v>74.643217079868094</v>
      </c>
      <c r="M14" s="701">
        <f>'[2]VA Consensus'!N18</f>
        <v>78.543477821654136</v>
      </c>
      <c r="N14" s="700">
        <f>'[2]VA Consensus'!O18</f>
        <v>85.721487195837085</v>
      </c>
      <c r="O14" s="145">
        <f>'[2]VA Consensus'!P18</f>
        <v>87.122864885101777</v>
      </c>
      <c r="P14" s="145">
        <f>'[2]VA Consensus'!Q18</f>
        <v>94.144090107030493</v>
      </c>
      <c r="Q14" s="701">
        <f>'[2]VA Consensus'!R18</f>
        <v>99.687019228688413</v>
      </c>
      <c r="R14" s="145">
        <f>'[2]VA Consensus'!S18</f>
        <v>104.65408723196558</v>
      </c>
      <c r="S14" s="145">
        <f>'[2]VA Consensus'!T18</f>
        <v>110.6172989914236</v>
      </c>
      <c r="T14" s="83">
        <f>'[2]VA Consensus'!U18</f>
        <v>118.856924896314</v>
      </c>
      <c r="U14" s="83">
        <f>'[2]VA Consensus'!V18</f>
        <v>128.21495461733451</v>
      </c>
      <c r="V14" s="664">
        <f>'[2]VA Consensus'!W18</f>
        <v>137.265383688886</v>
      </c>
      <c r="W14" s="83">
        <f>'[2]VA Consensus'!X18</f>
        <v>147.0410200088449</v>
      </c>
      <c r="X14" s="83">
        <f>'[2]VA Consensus'!Y18</f>
        <v>153.57760526390678</v>
      </c>
      <c r="Y14" s="665">
        <f>'[2]VA Consensus'!Z18</f>
        <v>164.71860160334191</v>
      </c>
      <c r="Z14" s="83">
        <f>'[2]VA Consensus'!AA18</f>
        <v>170.07263289425137</v>
      </c>
      <c r="AA14" s="83">
        <f>'[2]VA Consensus'!AB18</f>
        <v>173.11760505296201</v>
      </c>
      <c r="AB14" s="83">
        <f>'[2]VA Consensus'!AC18</f>
        <v>180.5836192357331</v>
      </c>
      <c r="AC14" s="665">
        <f>'[2]VA Consensus'!AD18</f>
        <v>188.04428531658428</v>
      </c>
      <c r="AD14" s="83">
        <f>'[2]VA Consensus'!AE18</f>
        <v>195.09255448940269</v>
      </c>
      <c r="AE14" s="83">
        <f>'[2]VA Consensus'!AF18</f>
        <v>200.2923863602015</v>
      </c>
      <c r="AF14" s="145">
        <f>'[2]VA Consensus'!AG18</f>
        <v>204.41415054476246</v>
      </c>
      <c r="AG14" s="145">
        <f>'[2]VA Consensus'!AH18</f>
        <v>212.284483261177</v>
      </c>
      <c r="AH14" s="700">
        <f>'[2]VA Consensus'!AI18</f>
        <v>215.57474611799333</v>
      </c>
      <c r="AI14" s="83">
        <f>'[2]VA Consensus'!AJ18</f>
        <v>223.31505150052953</v>
      </c>
      <c r="AJ14" s="145">
        <f>'[2]VA Consensus'!AK18</f>
        <v>228.58495045872823</v>
      </c>
      <c r="AK14" s="145">
        <f>'[2]VA Consensus'!AL18</f>
        <v>232.60754138756016</v>
      </c>
      <c r="AL14" s="83">
        <f>'[2]VA Consensus'!AM18</f>
        <v>240.13242965546928</v>
      </c>
      <c r="AM14" s="83">
        <f>'[2]VA Consensus'!AN18</f>
        <v>245.6292261340875</v>
      </c>
      <c r="AN14" s="83">
        <f>'[2]VA Consensus'!AO18</f>
        <v>249.88103640743358</v>
      </c>
      <c r="AO14" s="665">
        <f>'[2]VA Consensus'!AP18</f>
        <v>256.35078227599234</v>
      </c>
      <c r="AP14" s="83">
        <f>'[2]VA Consensus'!AQ18</f>
        <v>258.89321511246305</v>
      </c>
      <c r="AQ14" s="83">
        <f>'[2]VA Consensus'!AR18</f>
        <v>264.28232534362564</v>
      </c>
      <c r="AR14" s="83">
        <f>'[2]VA Consensus'!AS18</f>
        <v>268.46242978514022</v>
      </c>
      <c r="AS14" s="665">
        <f>'[2]VA Consensus'!AT18</f>
        <v>275.49041488506714</v>
      </c>
      <c r="AU14" s="659" t="str">
        <f>'[2]VA Consensus'!AV18</f>
        <v>-</v>
      </c>
      <c r="AV14" s="88">
        <f>'[2]VA Consensus'!AW18</f>
        <v>219.33527128291999</v>
      </c>
      <c r="AW14" s="88">
        <f>'[2]VA Consensus'!AX18</f>
        <v>290.64225210736845</v>
      </c>
      <c r="AX14" s="88">
        <f>'[2]VA Consensus'!AY18</f>
        <v>374.87473351440258</v>
      </c>
      <c r="AY14" s="88">
        <f>'[2]VA Consensus'!AZ18</f>
        <v>471.94538188207514</v>
      </c>
      <c r="AZ14" s="664">
        <f>'[2]VA Consensus'!BA18</f>
        <v>610.65686176367615</v>
      </c>
      <c r="BA14" s="88">
        <f>'[2]VA Consensus'!BB18</f>
        <v>719.17728531658429</v>
      </c>
      <c r="BB14" s="88">
        <f>'[2]VA Consensus'!BC18</f>
        <v>821.32235686627507</v>
      </c>
      <c r="BC14" s="88">
        <f>'[2]VA Consensus'!BD18</f>
        <v>913.2890572884487</v>
      </c>
      <c r="BD14" s="88">
        <f>'[2]VA Consensus'!BE18</f>
        <v>991.99347447298283</v>
      </c>
      <c r="BE14" s="88">
        <f>'[2]VA Consensus'!BF18</f>
        <v>1067.1283851262965</v>
      </c>
    </row>
    <row r="15" spans="1:57" s="674" customFormat="1" ht="12" customHeight="1" collapsed="1">
      <c r="A15" s="702" t="s">
        <v>117</v>
      </c>
      <c r="B15" s="703"/>
      <c r="C15" s="685"/>
      <c r="D15" s="685"/>
      <c r="E15" s="690"/>
      <c r="F15" s="685">
        <f t="shared" ref="F15:AK15" si="12">F13/B13-1</f>
        <v>0.60031766659446961</v>
      </c>
      <c r="G15" s="685">
        <f t="shared" si="12"/>
        <v>0.57972377123589758</v>
      </c>
      <c r="H15" s="685">
        <f t="shared" si="12"/>
        <v>0.5318619031260734</v>
      </c>
      <c r="I15" s="685">
        <f t="shared" si="12"/>
        <v>0.50422642467318179</v>
      </c>
      <c r="J15" s="703">
        <f t="shared" si="12"/>
        <v>0.46027700081205425</v>
      </c>
      <c r="K15" s="685">
        <f t="shared" si="12"/>
        <v>0.42370446382760396</v>
      </c>
      <c r="L15" s="685">
        <f t="shared" si="12"/>
        <v>0.41098091981088003</v>
      </c>
      <c r="M15" s="690">
        <f t="shared" si="12"/>
        <v>0.36585160060075239</v>
      </c>
      <c r="N15" s="703">
        <f t="shared" si="12"/>
        <v>0.33447641997621158</v>
      </c>
      <c r="O15" s="672">
        <f t="shared" si="12"/>
        <v>0.32636586420642932</v>
      </c>
      <c r="P15" s="672">
        <f t="shared" si="12"/>
        <v>0.28196230613353124</v>
      </c>
      <c r="Q15" s="673">
        <f t="shared" si="12"/>
        <v>0.26220981232780249</v>
      </c>
      <c r="R15" s="703">
        <f t="shared" si="12"/>
        <v>0.24322259520777867</v>
      </c>
      <c r="S15" s="672">
        <f t="shared" si="12"/>
        <v>0.24081078143680035</v>
      </c>
      <c r="T15" s="672">
        <f t="shared" si="12"/>
        <v>0.26204645011984473</v>
      </c>
      <c r="U15" s="690">
        <f t="shared" si="12"/>
        <v>0.29498247880816741</v>
      </c>
      <c r="V15" s="703">
        <f t="shared" si="12"/>
        <v>0.3285320571311523</v>
      </c>
      <c r="W15" s="685">
        <f t="shared" si="12"/>
        <v>0.2858882163847698</v>
      </c>
      <c r="X15" s="685">
        <f t="shared" si="12"/>
        <v>0.28330986607289033</v>
      </c>
      <c r="Y15" s="690">
        <f t="shared" si="12"/>
        <v>0.25665542940936348</v>
      </c>
      <c r="Z15" s="703">
        <f t="shared" si="12"/>
        <v>0.19911414494663138</v>
      </c>
      <c r="AA15" s="685">
        <f t="shared" si="12"/>
        <v>0.20408566407367523</v>
      </c>
      <c r="AB15" s="685">
        <f t="shared" si="12"/>
        <v>0.16906942920568491</v>
      </c>
      <c r="AC15" s="690">
        <f t="shared" si="12"/>
        <v>0.16617444497242162</v>
      </c>
      <c r="AD15" s="703">
        <f t="shared" si="12"/>
        <v>0.15509824778781733</v>
      </c>
      <c r="AE15" s="685">
        <f t="shared" si="12"/>
        <v>0.14579078674186929</v>
      </c>
      <c r="AF15" s="672">
        <f t="shared" si="12"/>
        <v>0.13797280485409336</v>
      </c>
      <c r="AG15" s="672">
        <f t="shared" si="12"/>
        <v>0.11374045801526722</v>
      </c>
      <c r="AH15" s="704">
        <f t="shared" si="12"/>
        <v>0.11540466010575057</v>
      </c>
      <c r="AI15" s="685">
        <f t="shared" si="12"/>
        <v>0.12586773839970777</v>
      </c>
      <c r="AJ15" s="672">
        <f t="shared" si="12"/>
        <v>0.11343345128839544</v>
      </c>
      <c r="AK15" s="672">
        <f t="shared" si="12"/>
        <v>0.10631124613304199</v>
      </c>
      <c r="AL15" s="705">
        <v>9.5000000000000001E-2</v>
      </c>
      <c r="AM15" s="706">
        <v>8.5000000000000006E-2</v>
      </c>
      <c r="AN15" s="706">
        <v>7.4999999999999997E-2</v>
      </c>
      <c r="AO15" s="707">
        <v>7.4999999999999997E-2</v>
      </c>
      <c r="AP15" s="705">
        <f>+AO15-0.0001</f>
        <v>7.4899999999999994E-2</v>
      </c>
      <c r="AQ15" s="706">
        <f t="shared" ref="AQ15:AS15" si="13">+AP15-0.0001</f>
        <v>7.4799999999999991E-2</v>
      </c>
      <c r="AR15" s="706">
        <f t="shared" si="13"/>
        <v>7.4699999999999989E-2</v>
      </c>
      <c r="AS15" s="707">
        <f t="shared" si="13"/>
        <v>7.4599999999999986E-2</v>
      </c>
      <c r="AU15" s="675" t="str">
        <f>IF(ISERROR(AU13/#REF!-1),"NA",AU13/#REF!-1)</f>
        <v>NA</v>
      </c>
      <c r="AV15" s="675">
        <f t="shared" ref="AV15:BE15" si="14">IF(ISERROR(AV13/AU13-1),"NA",AV13/AU13-1)</f>
        <v>0.54905059718678739</v>
      </c>
      <c r="AW15" s="675">
        <f t="shared" si="14"/>
        <v>0.4116175234541628</v>
      </c>
      <c r="AX15" s="675">
        <f t="shared" si="14"/>
        <v>0.29876199883668519</v>
      </c>
      <c r="AY15" s="708">
        <f t="shared" si="14"/>
        <v>0.26147596156394259</v>
      </c>
      <c r="AZ15" s="709">
        <f t="shared" si="14"/>
        <v>0.28672354066925321</v>
      </c>
      <c r="BA15" s="676">
        <f t="shared" si="14"/>
        <v>0.18367536856541133</v>
      </c>
      <c r="BB15" s="675">
        <f t="shared" si="14"/>
        <v>0.13744029417403536</v>
      </c>
      <c r="BC15" s="675">
        <f t="shared" si="14"/>
        <v>0.11509484526331493</v>
      </c>
      <c r="BD15" s="675">
        <f t="shared" si="14"/>
        <v>8.2274213140229202E-2</v>
      </c>
      <c r="BE15" s="675">
        <f t="shared" si="14"/>
        <v>7.4747564797688293E-2</v>
      </c>
    </row>
    <row r="16" spans="1:57" s="674" customFormat="1" ht="12" customHeight="1">
      <c r="A16" s="710" t="s">
        <v>179</v>
      </c>
      <c r="B16" s="689">
        <f t="shared" ref="B16:AS16" si="15">B13/B$5</f>
        <v>0.68432103950001233</v>
      </c>
      <c r="C16" s="685">
        <f t="shared" si="15"/>
        <v>0.69863417064939148</v>
      </c>
      <c r="D16" s="685">
        <f t="shared" si="15"/>
        <v>0.71318905675786037</v>
      </c>
      <c r="E16" s="690">
        <f t="shared" si="15"/>
        <v>0.72795979082358597</v>
      </c>
      <c r="F16" s="685">
        <f t="shared" si="15"/>
        <v>0.75002960732231383</v>
      </c>
      <c r="G16" s="685">
        <f t="shared" si="15"/>
        <v>0.7662127311611524</v>
      </c>
      <c r="H16" s="685">
        <f t="shared" si="15"/>
        <v>0.77060771889400925</v>
      </c>
      <c r="I16" s="685">
        <f t="shared" si="15"/>
        <v>0.78779862006620494</v>
      </c>
      <c r="J16" s="689">
        <f t="shared" si="15"/>
        <v>0.80617925056973128</v>
      </c>
      <c r="K16" s="685">
        <f t="shared" si="15"/>
        <v>0.81244729691745532</v>
      </c>
      <c r="L16" s="685">
        <f t="shared" si="15"/>
        <v>0.82200714192396462</v>
      </c>
      <c r="M16" s="690">
        <f t="shared" si="15"/>
        <v>0.83400138074580898</v>
      </c>
      <c r="N16" s="689">
        <f t="shared" si="15"/>
        <v>0.84161405969916614</v>
      </c>
      <c r="O16" s="672">
        <f t="shared" si="15"/>
        <v>0.85823018589857192</v>
      </c>
      <c r="P16" s="672">
        <f t="shared" si="15"/>
        <v>0.86204378261876335</v>
      </c>
      <c r="Q16" s="673">
        <f t="shared" si="15"/>
        <v>0.86517843532460492</v>
      </c>
      <c r="R16" s="672">
        <f t="shared" si="15"/>
        <v>0.87184732403055465</v>
      </c>
      <c r="S16" s="672">
        <f t="shared" si="15"/>
        <v>0.87646151129672412</v>
      </c>
      <c r="T16" s="672">
        <f t="shared" si="15"/>
        <v>0.88094963364680101</v>
      </c>
      <c r="U16" s="685">
        <f t="shared" si="15"/>
        <v>0.88779878940799095</v>
      </c>
      <c r="V16" s="689">
        <f t="shared" si="15"/>
        <v>0.89533030470357922</v>
      </c>
      <c r="W16" s="685">
        <f t="shared" si="15"/>
        <v>0.8933011238826587</v>
      </c>
      <c r="X16" s="685">
        <f t="shared" si="15"/>
        <v>0.89655764050534459</v>
      </c>
      <c r="Y16" s="685">
        <f t="shared" si="15"/>
        <v>0.90046091934723849</v>
      </c>
      <c r="Z16" s="689">
        <f t="shared" si="15"/>
        <v>0.90605224556368114</v>
      </c>
      <c r="AA16" s="685">
        <f t="shared" si="15"/>
        <v>0.90633011341495928</v>
      </c>
      <c r="AB16" s="685">
        <f t="shared" si="15"/>
        <v>0.90938773079804891</v>
      </c>
      <c r="AC16" s="690">
        <f t="shared" si="15"/>
        <v>0.90892895652255445</v>
      </c>
      <c r="AD16" s="689">
        <f t="shared" si="15"/>
        <v>0.91514208583957291</v>
      </c>
      <c r="AE16" s="685">
        <f t="shared" si="15"/>
        <v>0.91546322788271617</v>
      </c>
      <c r="AF16" s="672">
        <f t="shared" si="15"/>
        <v>0.91838406256605376</v>
      </c>
      <c r="AG16" s="672">
        <f t="shared" si="15"/>
        <v>0.91601019806474326</v>
      </c>
      <c r="AH16" s="671">
        <f t="shared" si="15"/>
        <v>0.92182723710676306</v>
      </c>
      <c r="AI16" s="685">
        <f t="shared" si="15"/>
        <v>0.92210113427283202</v>
      </c>
      <c r="AJ16" s="672">
        <f t="shared" si="15"/>
        <v>0.9198661067976549</v>
      </c>
      <c r="AK16" s="672">
        <f t="shared" si="15"/>
        <v>0.91692031335761681</v>
      </c>
      <c r="AL16" s="689">
        <f t="shared" si="15"/>
        <v>0.93355024312190749</v>
      </c>
      <c r="AM16" s="685">
        <f t="shared" si="15"/>
        <v>0.93174988142403825</v>
      </c>
      <c r="AN16" s="685">
        <f t="shared" si="15"/>
        <v>0.92885428220089128</v>
      </c>
      <c r="AO16" s="690">
        <f t="shared" si="15"/>
        <v>0.92579363391285729</v>
      </c>
      <c r="AP16" s="689">
        <f t="shared" si="15"/>
        <v>0.94143099083002846</v>
      </c>
      <c r="AQ16" s="685">
        <f t="shared" si="15"/>
        <v>0.93959385733796219</v>
      </c>
      <c r="AR16" s="685">
        <f t="shared" si="15"/>
        <v>0.93672304948220764</v>
      </c>
      <c r="AS16" s="690">
        <f t="shared" si="15"/>
        <v>0.93359378824061401</v>
      </c>
      <c r="AU16" s="675">
        <f t="shared" ref="AU16:BD16" si="16">AU13/AU$5</f>
        <v>0.70779909123354645</v>
      </c>
      <c r="AV16" s="675">
        <f t="shared" si="16"/>
        <v>0.76984964093357267</v>
      </c>
      <c r="AW16" s="675">
        <f t="shared" si="16"/>
        <v>0.81940347334638131</v>
      </c>
      <c r="AX16" s="675">
        <f t="shared" si="16"/>
        <v>0.85719218301716649</v>
      </c>
      <c r="AY16" s="676">
        <f t="shared" si="16"/>
        <v>0.8796832554099755</v>
      </c>
      <c r="AZ16" s="709">
        <f t="shared" si="16"/>
        <v>0.89654284087466019</v>
      </c>
      <c r="BA16" s="676">
        <f t="shared" si="16"/>
        <v>0.9077299645678657</v>
      </c>
      <c r="BB16" s="675">
        <f t="shared" si="16"/>
        <v>0.91626639822848577</v>
      </c>
      <c r="BC16" s="675">
        <f t="shared" si="16"/>
        <v>0.92012047168065003</v>
      </c>
      <c r="BD16" s="675">
        <f t="shared" si="16"/>
        <v>0.92991396888477085</v>
      </c>
      <c r="BE16" s="675">
        <f>BE13/BE$5</f>
        <v>0.93776200469046633</v>
      </c>
    </row>
    <row r="17" spans="1:57" s="674" customFormat="1" ht="12" customHeight="1">
      <c r="A17" s="670"/>
      <c r="B17" s="711"/>
      <c r="C17" s="712"/>
      <c r="D17" s="712"/>
      <c r="E17" s="713"/>
      <c r="F17" s="712"/>
      <c r="G17" s="712"/>
      <c r="H17" s="712"/>
      <c r="I17" s="712"/>
      <c r="J17" s="686"/>
      <c r="K17" s="687"/>
      <c r="L17" s="687"/>
      <c r="M17" s="688"/>
      <c r="N17" s="686"/>
      <c r="O17" s="687"/>
      <c r="P17" s="687"/>
      <c r="Q17" s="688"/>
      <c r="R17" s="672"/>
      <c r="S17" s="672"/>
      <c r="T17" s="685"/>
      <c r="U17" s="690"/>
      <c r="V17" s="685"/>
      <c r="W17" s="685"/>
      <c r="X17" s="685"/>
      <c r="Y17" s="690"/>
      <c r="Z17" s="689"/>
      <c r="AA17" s="685"/>
      <c r="AB17" s="685"/>
      <c r="AC17" s="690"/>
      <c r="AD17" s="689"/>
      <c r="AE17" s="685"/>
      <c r="AF17" s="672"/>
      <c r="AG17" s="672"/>
      <c r="AH17" s="671"/>
      <c r="AI17" s="685"/>
      <c r="AJ17" s="672"/>
      <c r="AK17" s="672"/>
      <c r="AL17" s="689"/>
      <c r="AM17" s="685"/>
      <c r="AN17" s="685"/>
      <c r="AO17" s="690"/>
      <c r="AP17" s="689"/>
      <c r="AQ17" s="685"/>
      <c r="AR17" s="685"/>
      <c r="AS17" s="690"/>
      <c r="AU17" s="675"/>
      <c r="AV17" s="675"/>
      <c r="AW17" s="675"/>
      <c r="AX17" s="675"/>
      <c r="AY17" s="676"/>
      <c r="AZ17" s="709"/>
      <c r="BA17" s="676"/>
      <c r="BB17" s="675"/>
      <c r="BC17" s="675"/>
      <c r="BD17" s="675"/>
      <c r="BE17" s="675"/>
    </row>
    <row r="18" spans="1:57" s="674" customFormat="1" ht="12" customHeight="1">
      <c r="A18" s="692" t="s">
        <v>180</v>
      </c>
      <c r="B18" s="693">
        <v>11.989000000000001</v>
      </c>
      <c r="C18" s="657">
        <f>50.337-B18-D18-E18</f>
        <v>12.282999999999999</v>
      </c>
      <c r="D18" s="657">
        <v>12.856999999999999</v>
      </c>
      <c r="E18" s="694">
        <v>13.208</v>
      </c>
      <c r="F18" s="657">
        <v>13.477</v>
      </c>
      <c r="G18" s="657">
        <v>13.412000000000001</v>
      </c>
      <c r="H18" s="657">
        <v>13.864000000000001</v>
      </c>
      <c r="I18" s="657">
        <v>13.869</v>
      </c>
      <c r="J18" s="693">
        <v>13.526999999999999</v>
      </c>
      <c r="K18" s="657">
        <v>13.553000000000001</v>
      </c>
      <c r="L18" s="657">
        <v>13.797000000000001</v>
      </c>
      <c r="M18" s="694">
        <v>13.295999999999999</v>
      </c>
      <c r="N18" s="693">
        <v>13.419</v>
      </c>
      <c r="O18" s="657">
        <v>12.179</v>
      </c>
      <c r="P18" s="657">
        <v>12.448</v>
      </c>
      <c r="Q18" s="694">
        <v>12.548</v>
      </c>
      <c r="R18" s="657">
        <v>12.404999999999999</v>
      </c>
      <c r="S18" s="657">
        <v>12.567</v>
      </c>
      <c r="T18" s="714">
        <v>12.749000000000001</v>
      </c>
      <c r="U18" s="715">
        <v>12.612</v>
      </c>
      <c r="V18" s="714">
        <v>12.872999999999999</v>
      </c>
      <c r="W18" s="714">
        <v>12.683</v>
      </c>
      <c r="X18" s="714">
        <v>12.657999999999999</v>
      </c>
      <c r="Y18" s="715">
        <v>12.484999999999999</v>
      </c>
      <c r="Z18" s="716">
        <v>12.180999999999999</v>
      </c>
      <c r="AA18" s="714">
        <v>12.154</v>
      </c>
      <c r="AB18" s="714">
        <v>12.2</v>
      </c>
      <c r="AC18" s="715">
        <v>12.194000000000001</v>
      </c>
      <c r="AD18" s="716">
        <v>12.156000000000001</v>
      </c>
      <c r="AE18" s="657">
        <v>12.016</v>
      </c>
      <c r="AF18" s="657">
        <v>11.769</v>
      </c>
      <c r="AG18" s="657">
        <v>11.833</v>
      </c>
      <c r="AH18" s="693">
        <v>11.552</v>
      </c>
      <c r="AI18" s="714">
        <v>11.411</v>
      </c>
      <c r="AJ18" s="657">
        <v>11.087999999999999</v>
      </c>
      <c r="AK18" s="657">
        <v>10.61</v>
      </c>
      <c r="AL18" s="716">
        <f t="shared" ref="AL18:AS18" si="17">AH18*(1+AL20)</f>
        <v>10.396800000000001</v>
      </c>
      <c r="AM18" s="714">
        <f t="shared" si="17"/>
        <v>10.2699</v>
      </c>
      <c r="AN18" s="714">
        <f t="shared" si="17"/>
        <v>9.9791999999999987</v>
      </c>
      <c r="AO18" s="715">
        <f t="shared" si="17"/>
        <v>9.5489999999999995</v>
      </c>
      <c r="AP18" s="716">
        <f t="shared" si="17"/>
        <v>9.3571200000000001</v>
      </c>
      <c r="AQ18" s="714">
        <f t="shared" si="17"/>
        <v>9.2429100000000002</v>
      </c>
      <c r="AR18" s="714">
        <f t="shared" si="17"/>
        <v>8.9812799999999999</v>
      </c>
      <c r="AS18" s="715">
        <f t="shared" si="17"/>
        <v>8.5940999999999992</v>
      </c>
      <c r="AU18" s="659">
        <f>SUM(B18:E18)</f>
        <v>50.336999999999996</v>
      </c>
      <c r="AV18" s="659">
        <f>SUM(F18:I18)</f>
        <v>54.622</v>
      </c>
      <c r="AW18" s="659">
        <f>SUM(J18:M18)</f>
        <v>54.172999999999995</v>
      </c>
      <c r="AX18" s="659">
        <f>SUM(N18:Q18)</f>
        <v>50.594000000000001</v>
      </c>
      <c r="AY18" s="660">
        <f>SUM(R18:U18)</f>
        <v>50.333000000000006</v>
      </c>
      <c r="AZ18" s="661">
        <f>SUM(V18:Y18)</f>
        <v>50.698999999999998</v>
      </c>
      <c r="BA18" s="660">
        <f>SUM(Z18:AC18)</f>
        <v>48.728999999999999</v>
      </c>
      <c r="BB18" s="659">
        <f>SUM(AD18:AG18)</f>
        <v>47.774000000000001</v>
      </c>
      <c r="BC18" s="659">
        <f>SUM(AH18:AK18)</f>
        <v>44.661000000000001</v>
      </c>
      <c r="BD18" s="659">
        <f>SUM(AL18:AO18)</f>
        <v>40.194899999999997</v>
      </c>
      <c r="BE18" s="659">
        <f>SUM(AP18:AS18)</f>
        <v>36.175409999999999</v>
      </c>
    </row>
    <row r="19" spans="1:57" s="674" customFormat="1" ht="12" hidden="1" customHeight="1" outlineLevel="1">
      <c r="A19" s="696" t="s">
        <v>181</v>
      </c>
      <c r="B19" s="717" t="str">
        <f>'[2]VA Consensus'!C19</f>
        <v>-</v>
      </c>
      <c r="C19" s="718" t="str">
        <f>'[2]VA Consensus'!D19</f>
        <v>-</v>
      </c>
      <c r="D19" s="718" t="str">
        <f>'[2]VA Consensus'!E19</f>
        <v>-</v>
      </c>
      <c r="E19" s="719" t="str">
        <f>'[2]VA Consensus'!F19</f>
        <v>-</v>
      </c>
      <c r="F19" s="145" t="str">
        <f>'[2]VA Consensus'!G19</f>
        <v>-</v>
      </c>
      <c r="G19" s="145" t="str">
        <f>'[2]VA Consensus'!H19</f>
        <v>-</v>
      </c>
      <c r="H19" s="145">
        <f>'[2]VA Consensus'!I19</f>
        <v>9.0917193507355005</v>
      </c>
      <c r="I19" s="145">
        <f>'[2]VA Consensus'!J19</f>
        <v>9.7982907558715997</v>
      </c>
      <c r="J19" s="700">
        <f>'[2]VA Consensus'!K19</f>
        <v>9.5543854369992491</v>
      </c>
      <c r="K19" s="145">
        <f>'[2]VA Consensus'!L19</f>
        <v>10.130924365965001</v>
      </c>
      <c r="L19" s="145">
        <f>'[2]VA Consensus'!M19</f>
        <v>11.907465223467637</v>
      </c>
      <c r="M19" s="701">
        <f>'[2]VA Consensus'!N19</f>
        <v>13.392570244430072</v>
      </c>
      <c r="N19" s="700">
        <f>'[2]VA Consensus'!O19</f>
        <v>12.107705155493695</v>
      </c>
      <c r="O19" s="145">
        <f>'[2]VA Consensus'!P19</f>
        <v>13.350479240967317</v>
      </c>
      <c r="P19" s="145">
        <f>'[2]VA Consensus'!Q19</f>
        <v>12.466897208127472</v>
      </c>
      <c r="Q19" s="701">
        <f>'[2]VA Consensus'!R19</f>
        <v>12.298035980219071</v>
      </c>
      <c r="R19" s="145">
        <f>'[2]VA Consensus'!S19</f>
        <v>12.522909810336143</v>
      </c>
      <c r="S19" s="145">
        <f>'[2]VA Consensus'!T19</f>
        <v>11.910471132894241</v>
      </c>
      <c r="T19" s="83">
        <f>'[2]VA Consensus'!U19</f>
        <v>12.366895383725723</v>
      </c>
      <c r="U19" s="665">
        <f>'[2]VA Consensus'!V19</f>
        <v>12.541843008076849</v>
      </c>
      <c r="V19" s="83">
        <f>'[2]VA Consensus'!W19</f>
        <v>12.171485537815419</v>
      </c>
      <c r="W19" s="83">
        <f>'[2]VA Consensus'!X19</f>
        <v>12.485687686684312</v>
      </c>
      <c r="X19" s="83">
        <f>'[2]VA Consensus'!Y19</f>
        <v>11.992390634047933</v>
      </c>
      <c r="Y19" s="665">
        <f>'[2]VA Consensus'!Z19</f>
        <v>12.073231588280599</v>
      </c>
      <c r="Z19" s="83">
        <f>'[2]VA Consensus'!AA19</f>
        <v>11.879293436091318</v>
      </c>
      <c r="AA19" s="83">
        <f>'[2]VA Consensus'!AB19</f>
        <v>11.947995306216738</v>
      </c>
      <c r="AB19" s="83">
        <f>'[2]VA Consensus'!AC19</f>
        <v>12.102771226460192</v>
      </c>
      <c r="AC19" s="665">
        <f>'[2]VA Consensus'!AD19</f>
        <v>12.201255490421591</v>
      </c>
      <c r="AD19" s="83">
        <f>'[2]VA Consensus'!AE19</f>
        <v>11.929125486906379</v>
      </c>
      <c r="AE19" s="83">
        <f>'[2]VA Consensus'!AF19</f>
        <v>11.834694288249208</v>
      </c>
      <c r="AF19" s="145">
        <f>'[2]VA Consensus'!AG19</f>
        <v>11.840435058260615</v>
      </c>
      <c r="AG19" s="145">
        <f>'[2]VA Consensus'!AH19</f>
        <v>11.884902100625439</v>
      </c>
      <c r="AH19" s="700">
        <f>'[2]VA Consensus'!AI19</f>
        <v>11.792826754838767</v>
      </c>
      <c r="AI19" s="83">
        <f>'[2]VA Consensus'!AJ19</f>
        <v>11.583498440804131</v>
      </c>
      <c r="AJ19" s="145">
        <f>'[2]VA Consensus'!AK19</f>
        <v>11.23401717301663</v>
      </c>
      <c r="AK19" s="145">
        <f>'[2]VA Consensus'!AL19</f>
        <v>10.913613935312892</v>
      </c>
      <c r="AL19" s="83">
        <f>'[2]VA Consensus'!AM19</f>
        <v>10.604546968068558</v>
      </c>
      <c r="AM19" s="83">
        <f>'[2]VA Consensus'!AN19</f>
        <v>10.522108685009322</v>
      </c>
      <c r="AN19" s="83">
        <f>'[2]VA Consensus'!AO19</f>
        <v>10.437495062540602</v>
      </c>
      <c r="AO19" s="665">
        <f>'[2]VA Consensus'!AP19</f>
        <v>9.9358064927576457</v>
      </c>
      <c r="AP19" s="83">
        <f>'[2]VA Consensus'!AQ19</f>
        <v>10.096689776469677</v>
      </c>
      <c r="AQ19" s="83">
        <f>'[2]VA Consensus'!AR19</f>
        <v>10.094702213749674</v>
      </c>
      <c r="AR19" s="83">
        <f>'[2]VA Consensus'!AS19</f>
        <v>9.979008163086748</v>
      </c>
      <c r="AS19" s="665">
        <f>'[2]VA Consensus'!AT19</f>
        <v>9.5120751642245143</v>
      </c>
      <c r="AU19" s="669" t="str">
        <f>'[2]VA Consensus'!AV19</f>
        <v>-</v>
      </c>
      <c r="AV19" s="669">
        <f>'[2]VA Consensus'!AW19</f>
        <v>37.803338205871597</v>
      </c>
      <c r="AW19" s="669">
        <f>'[2]VA Consensus'!AX19</f>
        <v>51.993046315858642</v>
      </c>
      <c r="AX19" s="669">
        <f>'[2]VA Consensus'!AY19</f>
        <v>50.344035980219068</v>
      </c>
      <c r="AY19" s="720">
        <f>'[2]VA Consensus'!AZ19</f>
        <v>50.285860451623869</v>
      </c>
      <c r="AZ19" s="666">
        <f>'[2]VA Consensus'!BA19</f>
        <v>50.22875474710866</v>
      </c>
      <c r="BA19" s="720">
        <f>'[2]VA Consensus'!BB19</f>
        <v>48.736255490421591</v>
      </c>
      <c r="BB19" s="720">
        <f>'[2]VA Consensus'!BC19</f>
        <v>47.807977275677558</v>
      </c>
      <c r="BC19" s="720">
        <f>'[2]VA Consensus'!BD19</f>
        <v>44.979571511361975</v>
      </c>
      <c r="BD19" s="720">
        <f>'[2]VA Consensus'!BE19</f>
        <v>41.499957208376131</v>
      </c>
      <c r="BE19" s="720">
        <f>'[2]VA Consensus'!BF19</f>
        <v>39.682475317530617</v>
      </c>
    </row>
    <row r="20" spans="1:57" s="674" customFormat="1" ht="12" customHeight="1" collapsed="1">
      <c r="A20" s="710" t="s">
        <v>117</v>
      </c>
      <c r="B20" s="689"/>
      <c r="C20" s="685"/>
      <c r="D20" s="685"/>
      <c r="E20" s="690"/>
      <c r="F20" s="685">
        <f t="shared" ref="F20:AK20" si="18">F18/B18-1</f>
        <v>0.12411377095671017</v>
      </c>
      <c r="G20" s="685">
        <f t="shared" si="18"/>
        <v>9.1915655784417627E-2</v>
      </c>
      <c r="H20" s="685">
        <f t="shared" si="18"/>
        <v>7.8323092478805423E-2</v>
      </c>
      <c r="I20" s="685">
        <f t="shared" si="18"/>
        <v>5.0045427013930999E-2</v>
      </c>
      <c r="J20" s="689">
        <f t="shared" si="18"/>
        <v>3.7100244861614229E-3</v>
      </c>
      <c r="K20" s="685">
        <f t="shared" si="18"/>
        <v>1.0512973456606067E-2</v>
      </c>
      <c r="L20" s="685">
        <f t="shared" si="18"/>
        <v>-4.8326601269474967E-3</v>
      </c>
      <c r="M20" s="690">
        <f t="shared" si="18"/>
        <v>-4.1315163313865533E-2</v>
      </c>
      <c r="N20" s="689">
        <f t="shared" si="18"/>
        <v>-7.9840319361276224E-3</v>
      </c>
      <c r="O20" s="685">
        <f t="shared" si="18"/>
        <v>-0.10137976831697781</v>
      </c>
      <c r="P20" s="685">
        <f t="shared" si="18"/>
        <v>-9.7774878596796455E-2</v>
      </c>
      <c r="Q20" s="690">
        <f t="shared" si="18"/>
        <v>-5.6257521058965088E-2</v>
      </c>
      <c r="R20" s="685">
        <f t="shared" si="18"/>
        <v>-7.5564498099709443E-2</v>
      </c>
      <c r="S20" s="672">
        <f t="shared" si="18"/>
        <v>3.1858116429920313E-2</v>
      </c>
      <c r="T20" s="672">
        <f t="shared" si="18"/>
        <v>2.4180591259640005E-2</v>
      </c>
      <c r="U20" s="690">
        <f t="shared" si="18"/>
        <v>5.100414408670817E-3</v>
      </c>
      <c r="V20" s="685">
        <f t="shared" si="18"/>
        <v>3.7726723095526049E-2</v>
      </c>
      <c r="W20" s="685">
        <f t="shared" si="18"/>
        <v>9.230524389273409E-3</v>
      </c>
      <c r="X20" s="685">
        <f t="shared" si="18"/>
        <v>-7.1378147305671824E-3</v>
      </c>
      <c r="Y20" s="690">
        <f t="shared" si="18"/>
        <v>-1.0069774817634047E-2</v>
      </c>
      <c r="Z20" s="685">
        <f t="shared" si="18"/>
        <v>-5.3755923250213611E-2</v>
      </c>
      <c r="AA20" s="685">
        <f t="shared" si="18"/>
        <v>-4.1709374753607142E-2</v>
      </c>
      <c r="AB20" s="685">
        <f t="shared" si="18"/>
        <v>-3.6182651287723244E-2</v>
      </c>
      <c r="AC20" s="690">
        <f t="shared" si="18"/>
        <v>-2.3307969563476028E-2</v>
      </c>
      <c r="AD20" s="685">
        <f t="shared" si="18"/>
        <v>-2.0523766521630682E-3</v>
      </c>
      <c r="AE20" s="685">
        <f t="shared" si="18"/>
        <v>-1.1354286654599255E-2</v>
      </c>
      <c r="AF20" s="672">
        <f t="shared" si="18"/>
        <v>-3.5327868852458977E-2</v>
      </c>
      <c r="AG20" s="672">
        <f t="shared" si="18"/>
        <v>-2.9604723634574448E-2</v>
      </c>
      <c r="AH20" s="671">
        <f t="shared" si="18"/>
        <v>-4.9687397170121828E-2</v>
      </c>
      <c r="AI20" s="685">
        <f t="shared" si="18"/>
        <v>-5.0349533954727077E-2</v>
      </c>
      <c r="AJ20" s="672">
        <f t="shared" si="18"/>
        <v>-5.7863879683915487E-2</v>
      </c>
      <c r="AK20" s="672">
        <f t="shared" si="18"/>
        <v>-0.1033550240851856</v>
      </c>
      <c r="AL20" s="721">
        <v>-0.1</v>
      </c>
      <c r="AM20" s="706">
        <f>AL20</f>
        <v>-0.1</v>
      </c>
      <c r="AN20" s="706">
        <f t="shared" ref="AN20:AO20" si="19">AM20</f>
        <v>-0.1</v>
      </c>
      <c r="AO20" s="706">
        <f t="shared" si="19"/>
        <v>-0.1</v>
      </c>
      <c r="AP20" s="721">
        <f>AO20</f>
        <v>-0.1</v>
      </c>
      <c r="AQ20" s="706">
        <f>AP20</f>
        <v>-0.1</v>
      </c>
      <c r="AR20" s="706">
        <f t="shared" ref="AR20:AS20" si="20">AQ20</f>
        <v>-0.1</v>
      </c>
      <c r="AS20" s="706">
        <f t="shared" si="20"/>
        <v>-0.1</v>
      </c>
      <c r="AT20" s="722"/>
      <c r="AU20" s="723" t="str">
        <f>IF(ISERROR(AU18/#REF!-1),"NA",AU18/#REF!-1)</f>
        <v>NA</v>
      </c>
      <c r="AV20" s="723">
        <f t="shared" ref="AV20:BE20" si="21">IF(ISERROR(AV18/AU18-1),"NA",AV18/AU18-1)</f>
        <v>8.5126249081192817E-2</v>
      </c>
      <c r="AW20" s="723">
        <f t="shared" si="21"/>
        <v>-8.2201310827140217E-3</v>
      </c>
      <c r="AX20" s="723">
        <f t="shared" si="21"/>
        <v>-6.6066121499639974E-2</v>
      </c>
      <c r="AY20" s="724">
        <f t="shared" si="21"/>
        <v>-5.1587144720717237E-3</v>
      </c>
      <c r="AZ20" s="709">
        <f t="shared" si="21"/>
        <v>7.2715713349094102E-3</v>
      </c>
      <c r="BA20" s="676">
        <f t="shared" si="21"/>
        <v>-3.8856782185052952E-2</v>
      </c>
      <c r="BB20" s="675">
        <f t="shared" si="21"/>
        <v>-1.9598185885201791E-2</v>
      </c>
      <c r="BC20" s="675">
        <f t="shared" si="21"/>
        <v>-6.5160966215933369E-2</v>
      </c>
      <c r="BD20" s="675">
        <f t="shared" si="21"/>
        <v>-0.10000000000000009</v>
      </c>
      <c r="BE20" s="675">
        <f t="shared" si="21"/>
        <v>-9.9999999999999978E-2</v>
      </c>
    </row>
    <row r="21" spans="1:57" s="674" customFormat="1" ht="12" customHeight="1">
      <c r="A21" s="710" t="s">
        <v>179</v>
      </c>
      <c r="B21" s="725">
        <f t="shared" ref="B21:AS21" si="22">B18/B$5</f>
        <v>0.29616363232133597</v>
      </c>
      <c r="C21" s="685">
        <f t="shared" si="22"/>
        <v>0.27821694715622097</v>
      </c>
      <c r="D21" s="685">
        <f t="shared" si="22"/>
        <v>0.26249489587586766</v>
      </c>
      <c r="E21" s="690">
        <f t="shared" si="22"/>
        <v>0.24406378771920098</v>
      </c>
      <c r="F21" s="685">
        <f t="shared" si="22"/>
        <v>0.22801021875581573</v>
      </c>
      <c r="G21" s="685">
        <f t="shared" si="22"/>
        <v>0.21090703233111086</v>
      </c>
      <c r="H21" s="685">
        <f t="shared" si="22"/>
        <v>0.19965437788018434</v>
      </c>
      <c r="I21" s="685">
        <f t="shared" si="22"/>
        <v>0.18437670331423406</v>
      </c>
      <c r="J21" s="725">
        <f t="shared" si="22"/>
        <v>0.16845369298016213</v>
      </c>
      <c r="K21" s="685">
        <f t="shared" si="22"/>
        <v>0.15872997282863302</v>
      </c>
      <c r="L21" s="685">
        <f t="shared" si="22"/>
        <v>0.15020903192091625</v>
      </c>
      <c r="M21" s="690">
        <f t="shared" si="22"/>
        <v>0.13700295726900846</v>
      </c>
      <c r="N21" s="725">
        <f t="shared" si="22"/>
        <v>0.13072831423895254</v>
      </c>
      <c r="O21" s="672">
        <f t="shared" si="22"/>
        <v>0.11360053726832635</v>
      </c>
      <c r="P21" s="672">
        <f t="shared" si="22"/>
        <v>0.11086371813825902</v>
      </c>
      <c r="Q21" s="673">
        <f t="shared" si="22"/>
        <v>0.1062651377856066</v>
      </c>
      <c r="R21" s="672">
        <f t="shared" si="22"/>
        <v>0.10069892604047438</v>
      </c>
      <c r="S21" s="672">
        <f t="shared" si="22"/>
        <v>9.6477018862420244E-2</v>
      </c>
      <c r="T21" s="672">
        <f t="shared" si="22"/>
        <v>9.1941671955229926E-2</v>
      </c>
      <c r="U21" s="685">
        <f t="shared" si="22"/>
        <v>8.4634071051819248E-2</v>
      </c>
      <c r="V21" s="725">
        <f t="shared" si="22"/>
        <v>8.0775312484313036E-2</v>
      </c>
      <c r="W21" s="685">
        <f t="shared" si="22"/>
        <v>7.7174898534145456E-2</v>
      </c>
      <c r="X21" s="685">
        <f t="shared" si="22"/>
        <v>7.2393066096276257E-2</v>
      </c>
      <c r="Y21" s="685">
        <f t="shared" si="22"/>
        <v>6.7621363692987629E-2</v>
      </c>
      <c r="Z21" s="725">
        <f t="shared" si="22"/>
        <v>6.450468388415527E-2</v>
      </c>
      <c r="AA21" s="685">
        <f t="shared" si="22"/>
        <v>6.2316700506573147E-2</v>
      </c>
      <c r="AB21" s="685">
        <f t="shared" si="22"/>
        <v>6.0537193158304754E-2</v>
      </c>
      <c r="AC21" s="690">
        <f t="shared" si="22"/>
        <v>5.7166699483371317E-2</v>
      </c>
      <c r="AD21" s="725">
        <f t="shared" si="22"/>
        <v>5.6287940878214128E-2</v>
      </c>
      <c r="AE21" s="685">
        <f t="shared" si="22"/>
        <v>5.431181381389525E-2</v>
      </c>
      <c r="AF21" s="672">
        <f t="shared" si="22"/>
        <v>5.182572394842528E-2</v>
      </c>
      <c r="AG21" s="672">
        <f t="shared" si="22"/>
        <v>5.0197046633662951E-2</v>
      </c>
      <c r="AH21" s="726">
        <f t="shared" si="22"/>
        <v>4.8307037388609878E-2</v>
      </c>
      <c r="AI21" s="685">
        <f t="shared" si="22"/>
        <v>4.6143270183384211E-2</v>
      </c>
      <c r="AJ21" s="672">
        <f t="shared" si="22"/>
        <v>4.3923308508952617E-2</v>
      </c>
      <c r="AK21" s="672">
        <f t="shared" si="22"/>
        <v>4.0724207681944319E-2</v>
      </c>
      <c r="AL21" s="725">
        <f t="shared" si="22"/>
        <v>4.0209340886533433E-2</v>
      </c>
      <c r="AM21" s="685">
        <f t="shared" si="22"/>
        <v>3.8676033789474581E-2</v>
      </c>
      <c r="AN21" s="685">
        <f t="shared" si="22"/>
        <v>3.7132318022869273E-2</v>
      </c>
      <c r="AO21" s="690">
        <f t="shared" si="22"/>
        <v>3.4424630284013109E-2</v>
      </c>
      <c r="AP21" s="725">
        <f t="shared" si="22"/>
        <v>3.3950970639642648E-2</v>
      </c>
      <c r="AQ21" s="685">
        <f t="shared" si="22"/>
        <v>3.2658603143814878E-2</v>
      </c>
      <c r="AR21" s="685">
        <f t="shared" si="22"/>
        <v>3.1359630805088336E-2</v>
      </c>
      <c r="AS21" s="690">
        <f t="shared" si="22"/>
        <v>2.9074263439553383E-2</v>
      </c>
      <c r="AU21" s="723">
        <f t="shared" ref="AU21:BD21" si="23">AU18/AU$5</f>
        <v>0.26813937259957271</v>
      </c>
      <c r="AV21" s="723">
        <f t="shared" si="23"/>
        <v>0.20430131657690004</v>
      </c>
      <c r="AW21" s="723">
        <f t="shared" si="23"/>
        <v>0.15277816947087589</v>
      </c>
      <c r="AX21" s="723">
        <f t="shared" si="23"/>
        <v>0.11492863811585545</v>
      </c>
      <c r="AY21" s="724">
        <f t="shared" si="23"/>
        <v>9.3014617559551316E-2</v>
      </c>
      <c r="AZ21" s="709">
        <f t="shared" si="23"/>
        <v>7.4209115752403049E-2</v>
      </c>
      <c r="BA21" s="676">
        <f t="shared" si="23"/>
        <v>6.1009628025190617E-2</v>
      </c>
      <c r="BB21" s="675">
        <f t="shared" si="23"/>
        <v>5.3080983665936686E-2</v>
      </c>
      <c r="BC21" s="675">
        <f t="shared" si="23"/>
        <v>4.4687589115523736E-2</v>
      </c>
      <c r="BD21" s="675">
        <f t="shared" si="23"/>
        <v>3.7556940146669764E-2</v>
      </c>
      <c r="BE21" s="675">
        <f>BE18/BE$5</f>
        <v>3.1715831551263993E-2</v>
      </c>
    </row>
    <row r="22" spans="1:57" s="674" customFormat="1" ht="12" customHeight="1">
      <c r="A22" s="702"/>
      <c r="B22" s="703"/>
      <c r="C22" s="685"/>
      <c r="D22" s="685"/>
      <c r="E22" s="690"/>
      <c r="F22" s="685"/>
      <c r="G22" s="685"/>
      <c r="H22" s="685"/>
      <c r="I22" s="685"/>
      <c r="J22" s="703"/>
      <c r="K22" s="685"/>
      <c r="L22" s="685"/>
      <c r="M22" s="690"/>
      <c r="N22" s="703"/>
      <c r="O22" s="685"/>
      <c r="P22" s="685"/>
      <c r="Q22" s="690"/>
      <c r="R22" s="685"/>
      <c r="S22" s="672"/>
      <c r="T22" s="685"/>
      <c r="U22" s="690"/>
      <c r="V22" s="685"/>
      <c r="W22" s="685"/>
      <c r="X22" s="685"/>
      <c r="Y22" s="690"/>
      <c r="Z22" s="703"/>
      <c r="AA22" s="685"/>
      <c r="AB22" s="685"/>
      <c r="AC22" s="690"/>
      <c r="AD22" s="703"/>
      <c r="AE22" s="685"/>
      <c r="AF22" s="672"/>
      <c r="AG22" s="672"/>
      <c r="AH22" s="704"/>
      <c r="AI22" s="685"/>
      <c r="AJ22" s="672"/>
      <c r="AK22" s="672"/>
      <c r="AL22" s="703"/>
      <c r="AM22" s="685"/>
      <c r="AN22" s="685"/>
      <c r="AO22" s="690"/>
      <c r="AP22" s="703"/>
      <c r="AQ22" s="685"/>
      <c r="AR22" s="685"/>
      <c r="AS22" s="690"/>
      <c r="AU22" s="675"/>
      <c r="AV22" s="675"/>
      <c r="AW22" s="675"/>
      <c r="AX22" s="675"/>
      <c r="AY22" s="676"/>
      <c r="AZ22" s="709"/>
      <c r="BA22" s="676"/>
      <c r="BB22" s="675"/>
      <c r="BC22" s="675"/>
      <c r="BD22" s="675"/>
      <c r="BE22" s="675"/>
    </row>
    <row r="23" spans="1:57" s="674" customFormat="1" ht="12" customHeight="1">
      <c r="A23" s="727" t="s">
        <v>182</v>
      </c>
      <c r="B23" s="693">
        <v>0.79</v>
      </c>
      <c r="C23" s="657">
        <f>4.517-B23-D23-E23</f>
        <v>1.0220000000000005</v>
      </c>
      <c r="D23" s="657">
        <v>1.1910000000000001</v>
      </c>
      <c r="E23" s="694">
        <v>1.514</v>
      </c>
      <c r="F23" s="657">
        <v>1.298</v>
      </c>
      <c r="G23" s="657">
        <v>1.4550000000000001</v>
      </c>
      <c r="H23" s="657">
        <v>2.0649999999999999</v>
      </c>
      <c r="I23" s="657">
        <v>2.093</v>
      </c>
      <c r="J23" s="693">
        <v>2.0369999999999999</v>
      </c>
      <c r="K23" s="657">
        <v>2.4609999999999999</v>
      </c>
      <c r="L23" s="657">
        <v>2.552</v>
      </c>
      <c r="M23" s="694">
        <v>2.8140000000000001</v>
      </c>
      <c r="N23" s="693">
        <v>2.839</v>
      </c>
      <c r="O23" s="657">
        <v>3.02</v>
      </c>
      <c r="P23" s="657">
        <v>3.0419999999999998</v>
      </c>
      <c r="Q23" s="694">
        <v>3.3719999999999999</v>
      </c>
      <c r="R23" s="657">
        <v>3.3820000000000001</v>
      </c>
      <c r="S23" s="657">
        <v>3.5249999999999999</v>
      </c>
      <c r="T23" s="714">
        <v>3.7589999999999999</v>
      </c>
      <c r="U23" s="715">
        <v>4.1079999999999997</v>
      </c>
      <c r="V23" s="714">
        <v>3.8079999999999998</v>
      </c>
      <c r="W23" s="714">
        <v>4.8520000000000003</v>
      </c>
      <c r="X23" s="714">
        <v>5.4290000000000003</v>
      </c>
      <c r="Y23" s="715">
        <v>5.8929999999999998</v>
      </c>
      <c r="Z23" s="716">
        <v>5.56</v>
      </c>
      <c r="AA23" s="714">
        <v>6.1150000000000002</v>
      </c>
      <c r="AB23" s="714">
        <v>6.0609999999999999</v>
      </c>
      <c r="AC23" s="715">
        <v>7.2320000000000002</v>
      </c>
      <c r="AD23" s="716">
        <v>6.17</v>
      </c>
      <c r="AE23" s="657">
        <v>6.6870000000000003</v>
      </c>
      <c r="AF23" s="657">
        <v>6.7649999999999997</v>
      </c>
      <c r="AG23" s="657">
        <v>7.9660000000000002</v>
      </c>
      <c r="AH23" s="693">
        <v>7.1420000000000003</v>
      </c>
      <c r="AI23" s="714">
        <v>7.8529999999999998</v>
      </c>
      <c r="AJ23" s="657">
        <v>9.141</v>
      </c>
      <c r="AK23" s="657">
        <v>11.035</v>
      </c>
      <c r="AL23" s="716">
        <f t="shared" ref="AL23:AS23" si="24">AH23*(1+AL25)</f>
        <v>6.7849000000000004</v>
      </c>
      <c r="AM23" s="714">
        <f t="shared" si="24"/>
        <v>7.8529999999999998</v>
      </c>
      <c r="AN23" s="714">
        <f t="shared" si="24"/>
        <v>9.141</v>
      </c>
      <c r="AO23" s="715">
        <f t="shared" si="24"/>
        <v>11.035</v>
      </c>
      <c r="AP23" s="716">
        <f t="shared" si="24"/>
        <v>6.7849000000000004</v>
      </c>
      <c r="AQ23" s="714">
        <f t="shared" si="24"/>
        <v>7.8529999999999998</v>
      </c>
      <c r="AR23" s="714">
        <f t="shared" si="24"/>
        <v>9.141</v>
      </c>
      <c r="AS23" s="715">
        <f t="shared" si="24"/>
        <v>11.035</v>
      </c>
      <c r="AU23" s="728">
        <f>SUM(B23:E23)</f>
        <v>4.5170000000000003</v>
      </c>
      <c r="AV23" s="728">
        <f>SUM(F23:I23)</f>
        <v>6.9109999999999996</v>
      </c>
      <c r="AW23" s="728">
        <f>SUM(J23:M23)</f>
        <v>9.863999999999999</v>
      </c>
      <c r="AX23" s="728">
        <f>SUM(N23:Q23)</f>
        <v>12.273</v>
      </c>
      <c r="AY23" s="660">
        <f>SUM(R23:U23)</f>
        <v>14.774000000000001</v>
      </c>
      <c r="AZ23" s="729">
        <f>SUM(V23:Y23)</f>
        <v>19.981999999999999</v>
      </c>
      <c r="BA23" s="660">
        <f t="shared" ref="BA23" si="25">SUM(Z23:AC23)</f>
        <v>24.968</v>
      </c>
      <c r="BB23" s="728">
        <f>SUM(AD23:AG23)</f>
        <v>27.588000000000001</v>
      </c>
      <c r="BC23" s="728">
        <f>SUM(AH23:AK23)</f>
        <v>35.171000000000006</v>
      </c>
      <c r="BD23" s="728">
        <f>SUM(AL23:AO23)</f>
        <v>34.813900000000004</v>
      </c>
      <c r="BE23" s="728">
        <f>SUM(AP23:AS23)</f>
        <v>34.813900000000004</v>
      </c>
    </row>
    <row r="24" spans="1:57" s="674" customFormat="1" ht="12" hidden="1" customHeight="1" outlineLevel="1">
      <c r="A24" s="730" t="s">
        <v>183</v>
      </c>
      <c r="B24" s="731" t="str">
        <f>'[2]VA Consensus'!C20</f>
        <v>-</v>
      </c>
      <c r="C24" s="732" t="str">
        <f>'[2]VA Consensus'!D20</f>
        <v>-</v>
      </c>
      <c r="D24" s="732" t="str">
        <f>'[2]VA Consensus'!E20</f>
        <v>-</v>
      </c>
      <c r="E24" s="733" t="str">
        <f>'[2]VA Consensus'!F20</f>
        <v>-</v>
      </c>
      <c r="F24" s="145" t="str">
        <f>'[2]VA Consensus'!G20</f>
        <v>-</v>
      </c>
      <c r="G24" s="145" t="str">
        <f>'[2]VA Consensus'!H20</f>
        <v>-</v>
      </c>
      <c r="H24" s="145">
        <f>'[2]VA Consensus'!I20</f>
        <v>1.56062574172643</v>
      </c>
      <c r="I24" s="145">
        <f>'[2]VA Consensus'!J20</f>
        <v>1.835715379351615</v>
      </c>
      <c r="J24" s="700">
        <f>'[2]VA Consensus'!K20</f>
        <v>1.6705744278424399</v>
      </c>
      <c r="K24" s="145">
        <f>'[2]VA Consensus'!L20</f>
        <v>1.9139257090748349</v>
      </c>
      <c r="L24" s="145">
        <f>'[2]VA Consensus'!M20</f>
        <v>2.5290096710024099</v>
      </c>
      <c r="M24" s="145">
        <f>'[2]VA Consensus'!N20</f>
        <v>2.5710088967687486</v>
      </c>
      <c r="N24" s="700">
        <f>'[2]VA Consensus'!O20</f>
        <v>2.2722134731348413</v>
      </c>
      <c r="O24" s="145">
        <f>'[2]VA Consensus'!P20</f>
        <v>2.0613271354729883</v>
      </c>
      <c r="P24" s="145">
        <f>'[2]VA Consensus'!Q20</f>
        <v>2.8750761128524487</v>
      </c>
      <c r="Q24" s="145">
        <f>'[2]VA Consensus'!R20</f>
        <v>3.0586011763973913</v>
      </c>
      <c r="R24" s="700">
        <f>'[2]VA Consensus'!S20</f>
        <v>3.1921076542241358</v>
      </c>
      <c r="S24" s="145">
        <f>'[2]VA Consensus'!T20</f>
        <v>3.1234865970918948</v>
      </c>
      <c r="T24" s="83">
        <f>'[2]VA Consensus'!U20</f>
        <v>3.4191085896856923</v>
      </c>
      <c r="U24" s="665">
        <f>'[2]VA Consensus'!V20</f>
        <v>3.7612170958615314</v>
      </c>
      <c r="V24" s="83">
        <f>'[2]VA Consensus'!W20</f>
        <v>4.0243178697031974</v>
      </c>
      <c r="W24" s="83">
        <f>'[2]VA Consensus'!X20</f>
        <v>4.0353885048378979</v>
      </c>
      <c r="X24" s="83">
        <f>'[2]VA Consensus'!Y20</f>
        <v>4.5330115033624248</v>
      </c>
      <c r="Y24" s="665">
        <f>'[2]VA Consensus'!Z20</f>
        <v>5.2304977984700374</v>
      </c>
      <c r="Z24" s="83">
        <f>'[2]VA Consensus'!AA20</f>
        <v>5.0628032696819849</v>
      </c>
      <c r="AA24" s="83">
        <f>'[2]VA Consensus'!AB20</f>
        <v>5.0758003876982363</v>
      </c>
      <c r="AB24" s="83">
        <f>'[2]VA Consensus'!AC20</f>
        <v>5.6481673853043581</v>
      </c>
      <c r="AC24" s="665">
        <f>'[2]VA Consensus'!AD20</f>
        <v>6.3139785006902045</v>
      </c>
      <c r="AD24" s="83">
        <f>'[2]VA Consensus'!AE20</f>
        <v>6.4508797929551376</v>
      </c>
      <c r="AE24" s="83">
        <f>'[2]VA Consensus'!AF20</f>
        <v>6.3365248060637729</v>
      </c>
      <c r="AF24" s="83">
        <f>'[2]VA Consensus'!AG20</f>
        <v>6.6124952147399716</v>
      </c>
      <c r="AG24" s="145">
        <f>'[2]VA Consensus'!AH20</f>
        <v>6.988013083457024</v>
      </c>
      <c r="AH24" s="700">
        <f>'[2]VA Consensus'!AI20</f>
        <v>6.3595898188021218</v>
      </c>
      <c r="AI24" s="83">
        <f>'[2]VA Consensus'!AJ20</f>
        <v>7.1475247563984965</v>
      </c>
      <c r="AJ24" s="83">
        <f>'[2]VA Consensus'!AK20</f>
        <v>7.2771503201960845</v>
      </c>
      <c r="AK24" s="145">
        <f>'[2]VA Consensus'!AL20</f>
        <v>8.3138396056422952</v>
      </c>
      <c r="AL24" s="83">
        <f>'[2]VA Consensus'!AM20</f>
        <v>8.1345196887196689</v>
      </c>
      <c r="AM24" s="83">
        <f>'[2]VA Consensus'!AN20</f>
        <v>8.4167375528837827</v>
      </c>
      <c r="AN24" s="83">
        <f>'[2]VA Consensus'!AO20</f>
        <v>9.2733111636242942</v>
      </c>
      <c r="AO24" s="665">
        <f>'[2]VA Consensus'!AP20</f>
        <v>10.682862343506592</v>
      </c>
      <c r="AP24" s="83">
        <f>'[2]VA Consensus'!AQ20</f>
        <v>8.5005949165444648</v>
      </c>
      <c r="AQ24" s="83">
        <f>'[2]VA Consensus'!AR20</f>
        <v>8.7871551115639708</v>
      </c>
      <c r="AR24" s="83">
        <f>'[2]VA Consensus'!AS20</f>
        <v>9.6857890054056934</v>
      </c>
      <c r="AS24" s="665">
        <f>'[2]VA Consensus'!AT20</f>
        <v>11.236805548148237</v>
      </c>
      <c r="AU24" s="734" t="str">
        <f>'[2]VA Consensus'!AV20</f>
        <v>-</v>
      </c>
      <c r="AV24" s="734">
        <f>'[2]VA Consensus'!AW20</f>
        <v>6.6590402040178152</v>
      </c>
      <c r="AW24" s="734">
        <f>'[2]VA Consensus'!AX20</f>
        <v>9.4087585396258948</v>
      </c>
      <c r="AX24" s="734">
        <f>'[2]VA Consensus'!AY20</f>
        <v>11.959601176397401</v>
      </c>
      <c r="AY24" s="735">
        <f>'[2]VA Consensus'!AZ20</f>
        <v>14.426970751876922</v>
      </c>
      <c r="AZ24" s="666">
        <f>'[2]VA Consensus'!BA20</f>
        <v>19.264647578317039</v>
      </c>
      <c r="BA24" s="735">
        <f>'[2]VA Consensus'!BB20</f>
        <v>24.049978500690209</v>
      </c>
      <c r="BB24" s="735">
        <f>'[2]VA Consensus'!BC20</f>
        <v>26.584014173745107</v>
      </c>
      <c r="BC24" s="735">
        <f>'[2]VA Consensus'!BD20</f>
        <v>32.510343919524985</v>
      </c>
      <c r="BD24" s="735">
        <f>'[2]VA Consensus'!BE20</f>
        <v>36.507430748734343</v>
      </c>
      <c r="BE24" s="735">
        <f>'[2]VA Consensus'!BF20</f>
        <v>38.210344581662362</v>
      </c>
    </row>
    <row r="25" spans="1:57" s="674" customFormat="1" ht="12" customHeight="1" collapsed="1">
      <c r="A25" s="736" t="s">
        <v>117</v>
      </c>
      <c r="B25" s="689"/>
      <c r="C25" s="685"/>
      <c r="D25" s="685"/>
      <c r="E25" s="690"/>
      <c r="F25" s="685">
        <f t="shared" ref="F25:AK25" si="26">F23/B23-1</f>
        <v>0.64303797468354418</v>
      </c>
      <c r="G25" s="685">
        <f t="shared" si="26"/>
        <v>0.42367906066536154</v>
      </c>
      <c r="H25" s="685">
        <f t="shared" si="26"/>
        <v>0.73383711167086463</v>
      </c>
      <c r="I25" s="685">
        <f t="shared" si="26"/>
        <v>0.38243064729194187</v>
      </c>
      <c r="J25" s="689">
        <f t="shared" si="26"/>
        <v>0.56933744221879801</v>
      </c>
      <c r="K25" s="685">
        <f t="shared" si="26"/>
        <v>0.69140893470790354</v>
      </c>
      <c r="L25" s="685">
        <f t="shared" si="26"/>
        <v>0.23583535108958853</v>
      </c>
      <c r="M25" s="690">
        <f t="shared" si="26"/>
        <v>0.34448160535117056</v>
      </c>
      <c r="N25" s="689">
        <f t="shared" si="26"/>
        <v>0.39371624938635241</v>
      </c>
      <c r="O25" s="685">
        <f t="shared" si="26"/>
        <v>0.22714343762698097</v>
      </c>
      <c r="P25" s="685">
        <f t="shared" si="26"/>
        <v>0.19200626959247646</v>
      </c>
      <c r="Q25" s="690">
        <f t="shared" si="26"/>
        <v>0.19829424307036247</v>
      </c>
      <c r="R25" s="685">
        <f t="shared" si="26"/>
        <v>0.19126452976400143</v>
      </c>
      <c r="S25" s="672">
        <f t="shared" si="26"/>
        <v>0.16721854304635753</v>
      </c>
      <c r="T25" s="672">
        <f t="shared" si="26"/>
        <v>0.23570019723865876</v>
      </c>
      <c r="U25" s="690">
        <f t="shared" si="26"/>
        <v>0.21826809015421111</v>
      </c>
      <c r="V25" s="685">
        <f t="shared" si="26"/>
        <v>0.12596096984033101</v>
      </c>
      <c r="W25" s="685">
        <f t="shared" si="26"/>
        <v>0.37645390070922002</v>
      </c>
      <c r="X25" s="685">
        <f t="shared" si="26"/>
        <v>0.44426709231178507</v>
      </c>
      <c r="Y25" s="690">
        <f t="shared" si="26"/>
        <v>0.43451801363193776</v>
      </c>
      <c r="Z25" s="685">
        <f t="shared" si="26"/>
        <v>0.4600840336134453</v>
      </c>
      <c r="AA25" s="685">
        <f t="shared" si="26"/>
        <v>0.26030502885408069</v>
      </c>
      <c r="AB25" s="685">
        <f t="shared" si="26"/>
        <v>0.11641186222140343</v>
      </c>
      <c r="AC25" s="690">
        <f t="shared" si="26"/>
        <v>0.22721873409129478</v>
      </c>
      <c r="AD25" s="685">
        <f t="shared" si="26"/>
        <v>0.10971223021582732</v>
      </c>
      <c r="AE25" s="685">
        <f t="shared" si="26"/>
        <v>9.3540474243663185E-2</v>
      </c>
      <c r="AF25" s="685">
        <f t="shared" si="26"/>
        <v>0.11615245009074404</v>
      </c>
      <c r="AG25" s="685">
        <f t="shared" si="26"/>
        <v>0.10149336283185839</v>
      </c>
      <c r="AH25" s="689">
        <f t="shared" si="26"/>
        <v>0.15753646677471633</v>
      </c>
      <c r="AI25" s="685">
        <f t="shared" si="26"/>
        <v>0.17436817705996699</v>
      </c>
      <c r="AJ25" s="685">
        <f t="shared" si="26"/>
        <v>0.35121951219512204</v>
      </c>
      <c r="AK25" s="685">
        <f t="shared" si="26"/>
        <v>0.38526236505146882</v>
      </c>
      <c r="AL25" s="721">
        <v>-0.05</v>
      </c>
      <c r="AM25" s="706">
        <v>0</v>
      </c>
      <c r="AN25" s="706">
        <v>0</v>
      </c>
      <c r="AO25" s="707">
        <v>0</v>
      </c>
      <c r="AP25" s="721">
        <v>0</v>
      </c>
      <c r="AQ25" s="706">
        <v>0</v>
      </c>
      <c r="AR25" s="706">
        <v>0</v>
      </c>
      <c r="AS25" s="707">
        <v>0</v>
      </c>
      <c r="AU25" s="723" t="str">
        <f>IF(ISERROR(AU23/#REF!-1),"NA",AU23/#REF!-1)</f>
        <v>NA</v>
      </c>
      <c r="AV25" s="723">
        <f t="shared" ref="AV25:BE25" si="27">IF(ISERROR(AV23/AU23-1),"NA",AV23/AU23-1)</f>
        <v>0.52999778614124393</v>
      </c>
      <c r="AW25" s="723">
        <f t="shared" si="27"/>
        <v>0.42728982781073643</v>
      </c>
      <c r="AX25" s="723">
        <f t="shared" si="27"/>
        <v>0.2442214111922143</v>
      </c>
      <c r="AY25" s="676">
        <f t="shared" si="27"/>
        <v>0.20378065672614687</v>
      </c>
      <c r="AZ25" s="737">
        <f t="shared" si="27"/>
        <v>0.35251116826857976</v>
      </c>
      <c r="BA25" s="676">
        <f t="shared" si="27"/>
        <v>0.24952457211490353</v>
      </c>
      <c r="BB25" s="723">
        <f t="shared" si="27"/>
        <v>0.10493431592438318</v>
      </c>
      <c r="BC25" s="723">
        <f t="shared" si="27"/>
        <v>0.2748658837175586</v>
      </c>
      <c r="BD25" s="723">
        <f t="shared" si="27"/>
        <v>-1.0153251258138929E-2</v>
      </c>
      <c r="BE25" s="723">
        <f t="shared" si="27"/>
        <v>0</v>
      </c>
    </row>
    <row r="26" spans="1:57" s="674" customFormat="1" ht="12" customHeight="1">
      <c r="A26" s="736" t="s">
        <v>179</v>
      </c>
      <c r="B26" s="689">
        <f t="shared" ref="B26:AS26" si="28">B23/B$5</f>
        <v>1.9515328178651713E-2</v>
      </c>
      <c r="C26" s="685">
        <f t="shared" si="28"/>
        <v>2.31488821943872E-2</v>
      </c>
      <c r="D26" s="685">
        <f t="shared" si="28"/>
        <v>2.4316047366271947E-2</v>
      </c>
      <c r="E26" s="690">
        <f t="shared" si="28"/>
        <v>2.7976421457213074E-2</v>
      </c>
      <c r="F26" s="685">
        <f t="shared" si="28"/>
        <v>2.1960173921870507E-2</v>
      </c>
      <c r="G26" s="685">
        <f t="shared" si="28"/>
        <v>2.2880236507736823E-2</v>
      </c>
      <c r="H26" s="685">
        <f t="shared" si="28"/>
        <v>2.9737903225806453E-2</v>
      </c>
      <c r="I26" s="685">
        <f t="shared" si="28"/>
        <v>2.7824676619561024E-2</v>
      </c>
      <c r="J26" s="738">
        <f t="shared" si="28"/>
        <v>2.5367056450106472E-2</v>
      </c>
      <c r="K26" s="739">
        <f t="shared" si="28"/>
        <v>2.8822730253911737E-2</v>
      </c>
      <c r="L26" s="739">
        <f t="shared" si="28"/>
        <v>2.7783826155119103E-2</v>
      </c>
      <c r="M26" s="740">
        <f t="shared" si="28"/>
        <v>2.899566198518275E-2</v>
      </c>
      <c r="N26" s="738">
        <f t="shared" si="28"/>
        <v>2.7657626061881383E-2</v>
      </c>
      <c r="O26" s="685">
        <f t="shared" si="28"/>
        <v>2.8169276833101699E-2</v>
      </c>
      <c r="P26" s="685">
        <f t="shared" si="28"/>
        <v>2.7092499242977498E-2</v>
      </c>
      <c r="Q26" s="690">
        <f t="shared" si="28"/>
        <v>2.8556426889788451E-2</v>
      </c>
      <c r="R26" s="685">
        <f t="shared" si="28"/>
        <v>2.7453749928970931E-2</v>
      </c>
      <c r="S26" s="672">
        <f t="shared" si="28"/>
        <v>2.7061469840855522E-2</v>
      </c>
      <c r="T26" s="672">
        <f t="shared" si="28"/>
        <v>2.7108694397969195E-2</v>
      </c>
      <c r="U26" s="685">
        <f t="shared" si="28"/>
        <v>2.7567139540189772E-2</v>
      </c>
      <c r="V26" s="689">
        <f t="shared" si="28"/>
        <v>2.3894382812107824E-2</v>
      </c>
      <c r="W26" s="685">
        <f t="shared" si="28"/>
        <v>2.9523977583195915E-2</v>
      </c>
      <c r="X26" s="685">
        <f t="shared" si="28"/>
        <v>3.1049293398379193E-2</v>
      </c>
      <c r="Y26" s="685">
        <f t="shared" si="28"/>
        <v>3.1917716959773815E-2</v>
      </c>
      <c r="Z26" s="689">
        <f t="shared" si="28"/>
        <v>2.9443070552163476E-2</v>
      </c>
      <c r="AA26" s="685">
        <f t="shared" si="28"/>
        <v>3.1353186078467564E-2</v>
      </c>
      <c r="AB26" s="685">
        <f t="shared" si="28"/>
        <v>3.0075076043646325E-2</v>
      </c>
      <c r="AC26" s="690">
        <f t="shared" si="28"/>
        <v>3.3904343994074243E-2</v>
      </c>
      <c r="AD26" s="689">
        <f t="shared" si="28"/>
        <v>2.8569973282212995E-2</v>
      </c>
      <c r="AE26" s="685">
        <f t="shared" si="28"/>
        <v>3.0224958303388613E-2</v>
      </c>
      <c r="AF26" s="685">
        <f t="shared" si="28"/>
        <v>2.9790213485521033E-2</v>
      </c>
      <c r="AG26" s="690">
        <f t="shared" si="28"/>
        <v>3.3792755301593765E-2</v>
      </c>
      <c r="AH26" s="689">
        <f t="shared" si="28"/>
        <v>2.9865725504627055E-2</v>
      </c>
      <c r="AI26" s="685">
        <f t="shared" si="28"/>
        <v>3.1755595543783738E-2</v>
      </c>
      <c r="AJ26" s="685">
        <f t="shared" si="28"/>
        <v>3.6210584693392486E-2</v>
      </c>
      <c r="AK26" s="690">
        <f t="shared" si="28"/>
        <v>4.2355478960438793E-2</v>
      </c>
      <c r="AL26" s="689">
        <f t="shared" si="28"/>
        <v>2.6240415991559005E-2</v>
      </c>
      <c r="AM26" s="685">
        <f t="shared" si="28"/>
        <v>2.9574084786487098E-2</v>
      </c>
      <c r="AN26" s="685">
        <f t="shared" si="28"/>
        <v>3.4013399776239385E-2</v>
      </c>
      <c r="AO26" s="690">
        <f t="shared" si="28"/>
        <v>3.9781735803129617E-2</v>
      </c>
      <c r="AP26" s="689">
        <f t="shared" si="28"/>
        <v>2.4618038530328928E-2</v>
      </c>
      <c r="AQ26" s="685">
        <f t="shared" si="28"/>
        <v>2.7747539518222963E-2</v>
      </c>
      <c r="AR26" s="685">
        <f t="shared" si="28"/>
        <v>3.1917319712703812E-2</v>
      </c>
      <c r="AS26" s="690">
        <f t="shared" si="28"/>
        <v>3.73319483198324E-2</v>
      </c>
      <c r="AU26" s="741">
        <f t="shared" ref="AU26:BD26" si="29">AU23/AU$5</f>
        <v>2.4061536166880629E-2</v>
      </c>
      <c r="AV26" s="741">
        <f t="shared" si="29"/>
        <v>2.5849042489527227E-2</v>
      </c>
      <c r="AW26" s="741">
        <f t="shared" si="29"/>
        <v>2.7818357182742687E-2</v>
      </c>
      <c r="AX26" s="741">
        <f t="shared" si="29"/>
        <v>2.7879178866978174E-2</v>
      </c>
      <c r="AY26" s="742">
        <f t="shared" si="29"/>
        <v>2.7302127030473272E-2</v>
      </c>
      <c r="AZ26" s="743">
        <f t="shared" si="29"/>
        <v>2.9248043372936704E-2</v>
      </c>
      <c r="BA26" s="742">
        <f t="shared" si="29"/>
        <v>3.1260407406943698E-2</v>
      </c>
      <c r="BB26" s="741">
        <f t="shared" si="29"/>
        <v>3.0652618105577539E-2</v>
      </c>
      <c r="BC26" s="741">
        <f t="shared" si="29"/>
        <v>3.5191939203826281E-2</v>
      </c>
      <c r="BD26" s="741">
        <f t="shared" si="29"/>
        <v>3.2529090968559361E-2</v>
      </c>
      <c r="BE26" s="741">
        <f>BE23/BE$5</f>
        <v>3.0522163758269764E-2</v>
      </c>
    </row>
    <row r="27" spans="1:57" s="288" customFormat="1" ht="12" customHeight="1">
      <c r="A27" s="744"/>
      <c r="B27" s="745"/>
      <c r="C27" s="745"/>
      <c r="D27" s="746"/>
      <c r="E27" s="746"/>
      <c r="F27" s="746"/>
      <c r="G27" s="746"/>
      <c r="H27" s="746"/>
      <c r="I27" s="746"/>
      <c r="J27" s="747"/>
      <c r="K27" s="747"/>
      <c r="L27" s="747"/>
      <c r="M27" s="747"/>
      <c r="N27" s="747"/>
      <c r="O27" s="746"/>
      <c r="P27" s="746"/>
      <c r="Q27" s="746"/>
      <c r="R27" s="746"/>
      <c r="S27" s="746"/>
      <c r="T27" s="746"/>
      <c r="U27" s="746"/>
      <c r="V27" s="746"/>
      <c r="W27" s="746"/>
      <c r="X27" s="746"/>
      <c r="Y27" s="746"/>
      <c r="Z27" s="746"/>
      <c r="AA27" s="746"/>
      <c r="AB27" s="746"/>
      <c r="AC27" s="746"/>
      <c r="AD27" s="746"/>
      <c r="AE27" s="746"/>
      <c r="AF27" s="746"/>
      <c r="AG27" s="746"/>
      <c r="AH27" s="746"/>
      <c r="AI27" s="746"/>
      <c r="AJ27" s="746"/>
      <c r="AK27" s="746"/>
      <c r="AL27" s="746"/>
      <c r="AM27" s="746"/>
      <c r="AN27" s="746"/>
      <c r="AO27" s="746"/>
      <c r="AP27" s="746"/>
      <c r="AQ27" s="746"/>
      <c r="AR27" s="746"/>
      <c r="AS27" s="746"/>
      <c r="AT27" s="748"/>
      <c r="AU27" s="748"/>
      <c r="AV27" s="748"/>
      <c r="AW27" s="748"/>
      <c r="AX27" s="748"/>
      <c r="AY27" s="748"/>
      <c r="AZ27" s="748"/>
      <c r="BA27" s="748"/>
      <c r="BB27" s="748"/>
      <c r="BC27" s="748"/>
      <c r="BD27" s="748"/>
      <c r="BE27" s="748"/>
    </row>
    <row r="28" spans="1:57" s="45" customFormat="1" ht="12" customHeight="1">
      <c r="A28" s="649"/>
      <c r="B28" s="1733">
        <f>'Income Statement'!B$3</f>
        <v>2017</v>
      </c>
      <c r="C28" s="1733"/>
      <c r="D28" s="1733"/>
      <c r="E28" s="1734"/>
      <c r="F28" s="1726">
        <f>'Income Statement'!F$3</f>
        <v>2018</v>
      </c>
      <c r="G28" s="1733"/>
      <c r="H28" s="1733"/>
      <c r="I28" s="1733"/>
      <c r="J28" s="1726">
        <f>'Income Statement'!J$3</f>
        <v>2019</v>
      </c>
      <c r="K28" s="1733"/>
      <c r="L28" s="1733"/>
      <c r="M28" s="1734"/>
      <c r="N28" s="1733">
        <f>'Income Statement'!N$3</f>
        <v>2020</v>
      </c>
      <c r="O28" s="1733"/>
      <c r="P28" s="1733"/>
      <c r="Q28" s="1734"/>
      <c r="R28" s="1726">
        <f>'Income Statement'!R$3</f>
        <v>2021</v>
      </c>
      <c r="S28" s="1733"/>
      <c r="T28" s="1733"/>
      <c r="U28" s="1734"/>
      <c r="V28" s="1733">
        <f>'Income Statement'!V$3</f>
        <v>2022</v>
      </c>
      <c r="W28" s="1733"/>
      <c r="X28" s="1733"/>
      <c r="Y28" s="1733"/>
      <c r="Z28" s="1726">
        <f>'Income Statement'!Z$3</f>
        <v>2023</v>
      </c>
      <c r="AA28" s="1733"/>
      <c r="AB28" s="1733"/>
      <c r="AC28" s="1734"/>
      <c r="AD28" s="1726">
        <f>'Income Statement'!AD$3</f>
        <v>2024</v>
      </c>
      <c r="AE28" s="1733"/>
      <c r="AF28" s="1733"/>
      <c r="AG28" s="1734"/>
      <c r="AH28" s="1726">
        <f>'Income Statement'!AH$3</f>
        <v>2025</v>
      </c>
      <c r="AI28" s="1733"/>
      <c r="AJ28" s="1733"/>
      <c r="AK28" s="1734"/>
      <c r="AL28" s="1726">
        <f>'Income Statement'!AL$3</f>
        <v>2026</v>
      </c>
      <c r="AM28" s="1733"/>
      <c r="AN28" s="1733"/>
      <c r="AO28" s="1734"/>
      <c r="AP28" s="1726">
        <f>'Income Statement'!AP$3</f>
        <v>2027</v>
      </c>
      <c r="AQ28" s="1733"/>
      <c r="AR28" s="1733"/>
      <c r="AS28" s="1734"/>
      <c r="AT28" s="749"/>
      <c r="AU28" s="750"/>
      <c r="AV28" s="750"/>
      <c r="AW28" s="750"/>
      <c r="AX28" s="750"/>
      <c r="AY28" s="750"/>
      <c r="AZ28" s="750"/>
      <c r="BA28" s="652"/>
      <c r="BB28" s="750"/>
      <c r="BC28" s="750"/>
      <c r="BD28" s="653"/>
      <c r="BE28" s="653"/>
    </row>
    <row r="29" spans="1:57" s="62" customFormat="1" ht="12" customHeight="1">
      <c r="A29" s="751" t="s">
        <v>184</v>
      </c>
      <c r="B29" s="65">
        <f>'Income Statement'!B$4</f>
        <v>42825</v>
      </c>
      <c r="C29" s="65">
        <f>'Income Statement'!C$4</f>
        <v>42916</v>
      </c>
      <c r="D29" s="65">
        <f>'Income Statement'!D$4</f>
        <v>43008</v>
      </c>
      <c r="E29" s="752">
        <f>'Income Statement'!E$4</f>
        <v>43100</v>
      </c>
      <c r="F29" s="753">
        <f>'Income Statement'!F$4</f>
        <v>43190</v>
      </c>
      <c r="G29" s="65">
        <f>'Income Statement'!G$4</f>
        <v>43281</v>
      </c>
      <c r="H29" s="65">
        <f>'Income Statement'!H$4</f>
        <v>43373</v>
      </c>
      <c r="I29" s="65">
        <f>'Income Statement'!I$4</f>
        <v>43465</v>
      </c>
      <c r="J29" s="753">
        <f>'Income Statement'!J$4</f>
        <v>43555</v>
      </c>
      <c r="K29" s="65">
        <f>'Income Statement'!K$4</f>
        <v>43646</v>
      </c>
      <c r="L29" s="65">
        <f>'Income Statement'!L$4</f>
        <v>43738</v>
      </c>
      <c r="M29" s="752">
        <f>'Income Statement'!M$4</f>
        <v>43830</v>
      </c>
      <c r="N29" s="65">
        <f>'Income Statement'!N$4</f>
        <v>43921</v>
      </c>
      <c r="O29" s="65">
        <f>'Income Statement'!O$4</f>
        <v>44012</v>
      </c>
      <c r="P29" s="65">
        <f>'Income Statement'!P$4</f>
        <v>44104</v>
      </c>
      <c r="Q29" s="752">
        <f>'Income Statement'!Q$4</f>
        <v>44196</v>
      </c>
      <c r="R29" s="754">
        <f>'Income Statement'!R$4</f>
        <v>44286</v>
      </c>
      <c r="S29" s="65">
        <f>'Income Statement'!S$4</f>
        <v>44377</v>
      </c>
      <c r="T29" s="48">
        <f>'Income Statement'!T$4</f>
        <v>44469</v>
      </c>
      <c r="U29" s="320">
        <f>'Income Statement'!U$4</f>
        <v>44561</v>
      </c>
      <c r="V29" s="48">
        <f>'Income Statement'!V$4</f>
        <v>44651</v>
      </c>
      <c r="W29" s="48">
        <f>'Income Statement'!W$4</f>
        <v>44742</v>
      </c>
      <c r="X29" s="48">
        <f>'Income Statement'!X$4</f>
        <v>44834</v>
      </c>
      <c r="Y29" s="48">
        <f>'Income Statement'!Y$4</f>
        <v>44926</v>
      </c>
      <c r="Z29" s="754">
        <f>'Income Statement'!Z$4</f>
        <v>45016</v>
      </c>
      <c r="AA29" s="48">
        <f>'Income Statement'!AA$4</f>
        <v>45107</v>
      </c>
      <c r="AB29" s="48">
        <f>'Income Statement'!AB$4</f>
        <v>45199</v>
      </c>
      <c r="AC29" s="320">
        <f>'Income Statement'!AC$4</f>
        <v>45291</v>
      </c>
      <c r="AD29" s="754">
        <f>'Income Statement'!AD$4</f>
        <v>45382</v>
      </c>
      <c r="AE29" s="48">
        <f>'Income Statement'!AE$4</f>
        <v>45473</v>
      </c>
      <c r="AF29" s="48" t="str">
        <f>'Income Statement'!AF$4</f>
        <v>Sep-24</v>
      </c>
      <c r="AG29" s="320" t="str">
        <f>'Income Statement'!AG$4</f>
        <v>Dec-24</v>
      </c>
      <c r="AH29" s="754" t="str">
        <f>'Income Statement'!AH$4</f>
        <v>Mar-25</v>
      </c>
      <c r="AI29" s="48" t="str">
        <f>'Income Statement'!AI$4</f>
        <v>Jun-25</v>
      </c>
      <c r="AJ29" s="48" t="str">
        <f>'Income Statement'!AJ$4</f>
        <v>Sep-25</v>
      </c>
      <c r="AK29" s="320" t="str">
        <f>'Income Statement'!AK$4</f>
        <v>Dec-25</v>
      </c>
      <c r="AL29" s="754" t="str">
        <f>'Income Statement'!AL$4</f>
        <v>Mar-26E</v>
      </c>
      <c r="AM29" s="48" t="str">
        <f>'Income Statement'!AM$4</f>
        <v>Jun-26E</v>
      </c>
      <c r="AN29" s="48" t="str">
        <f>'Income Statement'!AN$4</f>
        <v>Sep-26E</v>
      </c>
      <c r="AO29" s="320" t="str">
        <f>'Income Statement'!AO$4</f>
        <v>Dec-26E</v>
      </c>
      <c r="AP29" s="754" t="str">
        <f>'Income Statement'!AP$4</f>
        <v>Mar-27E</v>
      </c>
      <c r="AQ29" s="48" t="str">
        <f>'Income Statement'!AQ$4</f>
        <v>Jun-27E</v>
      </c>
      <c r="AR29" s="48" t="str">
        <f>'Income Statement'!AR$4</f>
        <v>Sep-27E</v>
      </c>
      <c r="AS29" s="320" t="str">
        <f>'Income Statement'!AS$4</f>
        <v>Dec-27E</v>
      </c>
      <c r="AT29" s="48"/>
      <c r="AU29" s="755">
        <f>'Income Statement'!AU$4</f>
        <v>2017</v>
      </c>
      <c r="AV29" s="755">
        <f>'Income Statement'!AV$4</f>
        <v>2018</v>
      </c>
      <c r="AW29" s="755">
        <f>'Income Statement'!AW$4</f>
        <v>2019</v>
      </c>
      <c r="AX29" s="755">
        <f>'Income Statement'!AX$4</f>
        <v>2020</v>
      </c>
      <c r="AY29" s="755" t="str">
        <f>'Income Statement'!AY$4</f>
        <v>CY21</v>
      </c>
      <c r="AZ29" s="756" t="str">
        <f>'Income Statement'!AZ$4</f>
        <v>CY22</v>
      </c>
      <c r="BA29" s="61" t="str">
        <f>'Income Statement'!BA$4</f>
        <v>CY23</v>
      </c>
      <c r="BB29" s="755" t="str">
        <f>'Income Statement'!BB$4</f>
        <v>CY24</v>
      </c>
      <c r="BC29" s="755" t="str">
        <f>'Income Statement'!BC$4</f>
        <v>CY25</v>
      </c>
      <c r="BD29" s="755" t="str">
        <f>'Income Statement'!BD$4</f>
        <v>CY26E</v>
      </c>
      <c r="BE29" s="755" t="str">
        <f>'Income Statement'!BE$4</f>
        <v>CY27E</v>
      </c>
    </row>
    <row r="30" spans="1:57" s="762" customFormat="1" ht="12" customHeight="1">
      <c r="A30" s="757" t="s">
        <v>81</v>
      </c>
      <c r="B30" s="758">
        <f t="shared" ref="B30:AS30" si="30">B5</f>
        <v>40.481000000000002</v>
      </c>
      <c r="C30" s="758">
        <f t="shared" si="30"/>
        <v>44.149000000000001</v>
      </c>
      <c r="D30" s="758">
        <f t="shared" si="30"/>
        <v>48.980000000000004</v>
      </c>
      <c r="E30" s="759">
        <f t="shared" si="30"/>
        <v>54.117000000000004</v>
      </c>
      <c r="F30" s="760">
        <f t="shared" si="30"/>
        <v>59.106999999999999</v>
      </c>
      <c r="G30" s="758">
        <f t="shared" si="30"/>
        <v>63.591999999999999</v>
      </c>
      <c r="H30" s="758">
        <f t="shared" si="30"/>
        <v>69.44</v>
      </c>
      <c r="I30" s="758">
        <f t="shared" si="30"/>
        <v>75.221000000000004</v>
      </c>
      <c r="J30" s="760">
        <f t="shared" si="30"/>
        <v>80.301000000000002</v>
      </c>
      <c r="K30" s="758">
        <f t="shared" si="30"/>
        <v>85.384</v>
      </c>
      <c r="L30" s="758">
        <f t="shared" si="30"/>
        <v>91.852000000000004</v>
      </c>
      <c r="M30" s="759">
        <f t="shared" si="30"/>
        <v>97.048999999999978</v>
      </c>
      <c r="N30" s="758">
        <f t="shared" si="30"/>
        <v>102.648</v>
      </c>
      <c r="O30" s="758">
        <f t="shared" si="30"/>
        <v>107.209</v>
      </c>
      <c r="P30" s="758">
        <f t="shared" si="30"/>
        <v>112.28200000000001</v>
      </c>
      <c r="Q30" s="759">
        <f t="shared" si="30"/>
        <v>118.08200000000001</v>
      </c>
      <c r="R30" s="760">
        <f t="shared" si="30"/>
        <v>123.18900000000001</v>
      </c>
      <c r="S30" s="758">
        <f t="shared" si="30"/>
        <v>130.25900000000001</v>
      </c>
      <c r="T30" s="758">
        <f t="shared" si="30"/>
        <v>138.66399999999999</v>
      </c>
      <c r="U30" s="759">
        <f t="shared" si="30"/>
        <v>149.018</v>
      </c>
      <c r="V30" s="760">
        <f t="shared" si="30"/>
        <v>159.36799999999999</v>
      </c>
      <c r="W30" s="758">
        <f t="shared" si="30"/>
        <v>164.34100000000001</v>
      </c>
      <c r="X30" s="758">
        <f t="shared" si="30"/>
        <v>174.851</v>
      </c>
      <c r="Y30" s="759">
        <f t="shared" si="30"/>
        <v>184.631</v>
      </c>
      <c r="Z30" s="760">
        <f t="shared" si="30"/>
        <v>188.83900000000003</v>
      </c>
      <c r="AA30" s="758">
        <f t="shared" si="30"/>
        <v>195.036</v>
      </c>
      <c r="AB30" s="758">
        <f t="shared" si="30"/>
        <v>201.529</v>
      </c>
      <c r="AC30" s="759">
        <f t="shared" si="30"/>
        <v>213.30599999999998</v>
      </c>
      <c r="AD30" s="760">
        <f t="shared" si="30"/>
        <v>215.96099999999998</v>
      </c>
      <c r="AE30" s="758">
        <f t="shared" si="30"/>
        <v>221.24100000000001</v>
      </c>
      <c r="AF30" s="758">
        <f t="shared" si="30"/>
        <v>227.08799999999999</v>
      </c>
      <c r="AG30" s="758">
        <f t="shared" si="30"/>
        <v>235.73099999999999</v>
      </c>
      <c r="AH30" s="760">
        <f t="shared" si="30"/>
        <v>239.137</v>
      </c>
      <c r="AI30" s="758">
        <f t="shared" si="30"/>
        <v>247.29500000000002</v>
      </c>
      <c r="AJ30" s="758">
        <f t="shared" si="30"/>
        <v>252.44</v>
      </c>
      <c r="AK30" s="758">
        <f t="shared" si="30"/>
        <v>260.53300000000002</v>
      </c>
      <c r="AL30" s="760">
        <f t="shared" si="30"/>
        <v>258.56678500000004</v>
      </c>
      <c r="AM30" s="758">
        <f t="shared" si="30"/>
        <v>265.53653500000001</v>
      </c>
      <c r="AN30" s="758">
        <f t="shared" si="30"/>
        <v>268.74702500000001</v>
      </c>
      <c r="AO30" s="759">
        <f t="shared" si="30"/>
        <v>277.3886</v>
      </c>
      <c r="AP30" s="760">
        <f t="shared" si="30"/>
        <v>275.6068478665</v>
      </c>
      <c r="AQ30" s="758">
        <f t="shared" si="30"/>
        <v>283.01608489799997</v>
      </c>
      <c r="AR30" s="758">
        <f t="shared" si="30"/>
        <v>286.39622882750007</v>
      </c>
      <c r="AS30" s="759">
        <f t="shared" si="30"/>
        <v>295.59132316000006</v>
      </c>
      <c r="AT30" s="761"/>
      <c r="AU30" s="728">
        <f>SUM(B30:E30)</f>
        <v>187.72700000000003</v>
      </c>
      <c r="AV30" s="728">
        <f>SUM(F30:I30)</f>
        <v>267.36</v>
      </c>
      <c r="AW30" s="728">
        <f>SUM(J30:M30)</f>
        <v>354.58600000000001</v>
      </c>
      <c r="AX30" s="728">
        <f>SUM(N30:Q30)</f>
        <v>440.221</v>
      </c>
      <c r="AY30" s="728">
        <f>SUM(R30:U30)</f>
        <v>541.13</v>
      </c>
      <c r="AZ30" s="729">
        <f>SUM(V30:Y30)</f>
        <v>683.19100000000003</v>
      </c>
      <c r="BA30" s="660">
        <f t="shared" ref="BA30:BA34" si="31">SUM(Z30:AC30)</f>
        <v>798.71</v>
      </c>
      <c r="BB30" s="728">
        <f t="shared" ref="BB30:BB34" si="32">SUM(AD30:AG30)</f>
        <v>900.02099999999996</v>
      </c>
      <c r="BC30" s="728">
        <f t="shared" ref="BC30:BC34" si="33">SUM(AH30:AK30)</f>
        <v>999.40500000000009</v>
      </c>
      <c r="BD30" s="728">
        <f t="shared" ref="BD30:BD34" si="34">SUM(AL30:AO30)</f>
        <v>1070.2389450000001</v>
      </c>
      <c r="BE30" s="728">
        <f>SUM(AP30:AS30)</f>
        <v>1140.610484752</v>
      </c>
    </row>
    <row r="31" spans="1:57" s="771" customFormat="1" ht="12" customHeight="1">
      <c r="A31" s="128" t="s">
        <v>185</v>
      </c>
      <c r="B31" s="763"/>
      <c r="C31" s="764"/>
      <c r="D31" s="764"/>
      <c r="E31" s="765">
        <v>107.447</v>
      </c>
      <c r="F31" s="766">
        <f t="shared" ref="F31:AS31" si="35">E32</f>
        <v>225.81799999999998</v>
      </c>
      <c r="G31" s="764">
        <f t="shared" si="35"/>
        <v>230.61399999999998</v>
      </c>
      <c r="H31" s="764">
        <f t="shared" si="35"/>
        <v>247.137</v>
      </c>
      <c r="I31" s="764">
        <f t="shared" si="35"/>
        <v>265.69799999999998</v>
      </c>
      <c r="J31" s="766">
        <f t="shared" si="35"/>
        <v>289.90300000000002</v>
      </c>
      <c r="K31" s="764">
        <f t="shared" si="35"/>
        <v>291.90500000000003</v>
      </c>
      <c r="L31" s="764">
        <f t="shared" si="35"/>
        <v>307.33299999999997</v>
      </c>
      <c r="M31" s="765">
        <f t="shared" si="35"/>
        <v>329.375</v>
      </c>
      <c r="N31" s="764">
        <f t="shared" si="35"/>
        <v>363.12700000000001</v>
      </c>
      <c r="O31" s="764">
        <f t="shared" si="35"/>
        <v>358.09100000000001</v>
      </c>
      <c r="P31" s="764">
        <f t="shared" si="35"/>
        <v>365.30899999999997</v>
      </c>
      <c r="Q31" s="765">
        <f t="shared" si="35"/>
        <v>390.202</v>
      </c>
      <c r="R31" s="766">
        <f t="shared" si="35"/>
        <v>434.51</v>
      </c>
      <c r="S31" s="764">
        <f t="shared" si="35"/>
        <v>428.86199999999997</v>
      </c>
      <c r="T31" s="764">
        <f t="shared" si="35"/>
        <v>444.87400000000002</v>
      </c>
      <c r="U31" s="765">
        <f t="shared" si="35"/>
        <v>476.95699999999999</v>
      </c>
      <c r="V31" s="766">
        <f t="shared" si="35"/>
        <v>530.88499999999999</v>
      </c>
      <c r="W31" s="764">
        <f t="shared" si="35"/>
        <v>527.50800000000004</v>
      </c>
      <c r="X31" s="764">
        <f t="shared" si="35"/>
        <v>548.05499999999995</v>
      </c>
      <c r="Y31" s="765">
        <f t="shared" si="35"/>
        <v>593.71199999999999</v>
      </c>
      <c r="Z31" s="766">
        <f t="shared" si="35"/>
        <v>664.60199999999998</v>
      </c>
      <c r="AA31" s="764">
        <f t="shared" si="35"/>
        <v>642.06799999999998</v>
      </c>
      <c r="AB31" s="764">
        <f t="shared" si="35"/>
        <v>650.19399999999996</v>
      </c>
      <c r="AC31" s="765">
        <f t="shared" si="35"/>
        <v>681.45799999999997</v>
      </c>
      <c r="AD31" s="766">
        <f t="shared" si="35"/>
        <v>750.49699999999996</v>
      </c>
      <c r="AE31" s="764">
        <f t="shared" si="35"/>
        <v>722.70800000000008</v>
      </c>
      <c r="AF31" s="764">
        <f t="shared" si="35"/>
        <v>725.798</v>
      </c>
      <c r="AG31" s="764">
        <f t="shared" si="35"/>
        <v>747.452</v>
      </c>
      <c r="AH31" s="766">
        <f t="shared" si="35"/>
        <v>833.1869999999999</v>
      </c>
      <c r="AI31" s="764">
        <f t="shared" si="35"/>
        <v>808.375</v>
      </c>
      <c r="AJ31" s="764">
        <f t="shared" si="35"/>
        <v>797.80899999999997</v>
      </c>
      <c r="AK31" s="764">
        <f t="shared" si="35"/>
        <v>810.50300000000004</v>
      </c>
      <c r="AL31" s="766">
        <f t="shared" si="35"/>
        <v>899.27599999999995</v>
      </c>
      <c r="AM31" s="764">
        <f t="shared" si="35"/>
        <v>872.44803498655585</v>
      </c>
      <c r="AN31" s="764">
        <f t="shared" si="35"/>
        <v>861.10264171612982</v>
      </c>
      <c r="AO31" s="765">
        <f t="shared" si="35"/>
        <v>874.61664399528536</v>
      </c>
      <c r="AP31" s="766">
        <f t="shared" si="35"/>
        <v>969.13295550975749</v>
      </c>
      <c r="AQ31" s="764">
        <f t="shared" si="35"/>
        <v>940.53697450613379</v>
      </c>
      <c r="AR31" s="764">
        <f t="shared" si="35"/>
        <v>928.44474476824075</v>
      </c>
      <c r="AS31" s="765">
        <f t="shared" si="35"/>
        <v>942.84624107919103</v>
      </c>
      <c r="AT31" s="767"/>
      <c r="AU31" s="768">
        <f t="shared" ref="AU31:AU34" si="36">SUM(B31:E31)</f>
        <v>107.447</v>
      </c>
      <c r="AV31" s="768">
        <f t="shared" ref="AV31:AV34" si="37">SUM(F31:I31)</f>
        <v>969.26699999999994</v>
      </c>
      <c r="AW31" s="768">
        <f t="shared" ref="AW31:AW34" si="38">SUM(J31:M31)</f>
        <v>1218.5160000000001</v>
      </c>
      <c r="AX31" s="768">
        <f t="shared" ref="AX31:AX34" si="39">SUM(N31:Q31)</f>
        <v>1476.729</v>
      </c>
      <c r="AY31" s="768">
        <f t="shared" ref="AY31:AY33" si="40">SUM(R31:U31)</f>
        <v>1785.203</v>
      </c>
      <c r="AZ31" s="769">
        <f t="shared" ref="AZ31:AZ34" si="41">SUM(V31:Y31)</f>
        <v>2200.16</v>
      </c>
      <c r="BA31" s="770">
        <f t="shared" si="31"/>
        <v>2638.3220000000001</v>
      </c>
      <c r="BB31" s="768">
        <f t="shared" si="32"/>
        <v>2946.4549999999999</v>
      </c>
      <c r="BC31" s="768">
        <f t="shared" si="33"/>
        <v>3249.8740000000003</v>
      </c>
      <c r="BD31" s="768">
        <f t="shared" si="34"/>
        <v>3507.4433206979711</v>
      </c>
      <c r="BE31" s="768">
        <f>SUM(AP31:AS31)</f>
        <v>3780.960915863323</v>
      </c>
    </row>
    <row r="32" spans="1:57" s="771" customFormat="1" ht="12" customHeight="1">
      <c r="A32" s="128" t="s">
        <v>186</v>
      </c>
      <c r="B32" s="772"/>
      <c r="C32" s="764"/>
      <c r="D32" s="764"/>
      <c r="E32" s="765">
        <f>'Balance Sheet'!E25+'Balance Sheet'!E32</f>
        <v>225.81799999999998</v>
      </c>
      <c r="F32" s="766">
        <f>'Balance Sheet'!F25+'Balance Sheet'!F32</f>
        <v>230.61399999999998</v>
      </c>
      <c r="G32" s="764">
        <f>'Balance Sheet'!G25+'Balance Sheet'!G32</f>
        <v>247.137</v>
      </c>
      <c r="H32" s="764">
        <f>'Balance Sheet'!H25+'Balance Sheet'!H32</f>
        <v>265.69799999999998</v>
      </c>
      <c r="I32" s="773">
        <f>'Balance Sheet'!I25+'Balance Sheet'!I32</f>
        <v>289.90300000000002</v>
      </c>
      <c r="J32" s="766">
        <f>'Balance Sheet'!J25+'Balance Sheet'!J32</f>
        <v>291.90500000000003</v>
      </c>
      <c r="K32" s="764">
        <f>'Balance Sheet'!K25+'Balance Sheet'!K32</f>
        <v>307.33299999999997</v>
      </c>
      <c r="L32" s="764">
        <f>'Balance Sheet'!L25+'Balance Sheet'!L32</f>
        <v>329.375</v>
      </c>
      <c r="M32" s="765">
        <f>'Balance Sheet'!M25+'Balance Sheet'!M32</f>
        <v>363.12700000000001</v>
      </c>
      <c r="N32" s="764">
        <f>'Balance Sheet'!N25+'Balance Sheet'!N32</f>
        <v>358.09100000000001</v>
      </c>
      <c r="O32" s="764">
        <f>'Balance Sheet'!O25+'Balance Sheet'!O32</f>
        <v>365.30899999999997</v>
      </c>
      <c r="P32" s="764">
        <f>'Balance Sheet'!P25+'Balance Sheet'!P32</f>
        <v>390.202</v>
      </c>
      <c r="Q32" s="774">
        <f>'Balance Sheet'!Q25+'Balance Sheet'!Q32</f>
        <v>434.51</v>
      </c>
      <c r="R32" s="766">
        <f>'Balance Sheet'!R25+'Balance Sheet'!R32</f>
        <v>428.86199999999997</v>
      </c>
      <c r="S32" s="764">
        <f>'Balance Sheet'!S25+'Balance Sheet'!S32</f>
        <v>444.87400000000002</v>
      </c>
      <c r="T32" s="764">
        <f>'Balance Sheet'!T25+'Balance Sheet'!T32</f>
        <v>476.95699999999999</v>
      </c>
      <c r="U32" s="765">
        <f>'Balance Sheet'!U25+'Balance Sheet'!U32</f>
        <v>530.88499999999999</v>
      </c>
      <c r="V32" s="766">
        <f>'Balance Sheet'!V25+'Balance Sheet'!V32</f>
        <v>527.50800000000004</v>
      </c>
      <c r="W32" s="764">
        <f>'Balance Sheet'!W25+'Balance Sheet'!W32</f>
        <v>548.05499999999995</v>
      </c>
      <c r="X32" s="764">
        <f>'Balance Sheet'!X25+'Balance Sheet'!X32</f>
        <v>593.71199999999999</v>
      </c>
      <c r="Y32" s="765">
        <f>'Balance Sheet'!Y25+'Balance Sheet'!Y32</f>
        <v>664.60199999999998</v>
      </c>
      <c r="Z32" s="766">
        <f>'Balance Sheet'!Z25+'Balance Sheet'!Z32</f>
        <v>642.06799999999998</v>
      </c>
      <c r="AA32" s="764">
        <f>'Balance Sheet'!AA25+'Balance Sheet'!AA32</f>
        <v>650.19399999999996</v>
      </c>
      <c r="AB32" s="764">
        <f>'Balance Sheet'!AB25+'Balance Sheet'!AB32</f>
        <v>681.45799999999997</v>
      </c>
      <c r="AC32" s="765">
        <f>'Balance Sheet'!AC25+'Balance Sheet'!AC32</f>
        <v>750.49699999999996</v>
      </c>
      <c r="AD32" s="766">
        <f>'Balance Sheet'!AD25+'Balance Sheet'!AD32</f>
        <v>722.70800000000008</v>
      </c>
      <c r="AE32" s="764">
        <f>'Balance Sheet'!AE25+'Balance Sheet'!AE32</f>
        <v>725.798</v>
      </c>
      <c r="AF32" s="764">
        <f>'Balance Sheet'!AF25+'Balance Sheet'!AF32</f>
        <v>747.452</v>
      </c>
      <c r="AG32" s="764">
        <f>'Balance Sheet'!AG25+'Balance Sheet'!AG32</f>
        <v>833.1869999999999</v>
      </c>
      <c r="AH32" s="766">
        <f>'Balance Sheet'!AH25+'Balance Sheet'!AH32</f>
        <v>808.375</v>
      </c>
      <c r="AI32" s="764">
        <f>'Balance Sheet'!AI25+'Balance Sheet'!AI32</f>
        <v>797.80899999999997</v>
      </c>
      <c r="AJ32" s="764">
        <f>'Balance Sheet'!AJ25+'Balance Sheet'!AJ32</f>
        <v>810.50300000000004</v>
      </c>
      <c r="AK32" s="764">
        <f>'Balance Sheet'!AK25+'Balance Sheet'!AK32</f>
        <v>899.27599999999995</v>
      </c>
      <c r="AL32" s="766">
        <f t="shared" ref="AL32:AS32" si="42">AL31+AL33</f>
        <v>872.44803498655585</v>
      </c>
      <c r="AM32" s="764">
        <f t="shared" si="42"/>
        <v>861.10264171612982</v>
      </c>
      <c r="AN32" s="764">
        <f t="shared" si="42"/>
        <v>874.61664399528536</v>
      </c>
      <c r="AO32" s="765">
        <f t="shared" si="42"/>
        <v>969.13295550975749</v>
      </c>
      <c r="AP32" s="766">
        <f t="shared" si="42"/>
        <v>940.53697450613379</v>
      </c>
      <c r="AQ32" s="764">
        <f t="shared" si="42"/>
        <v>928.44474476824075</v>
      </c>
      <c r="AR32" s="764">
        <f t="shared" si="42"/>
        <v>942.84624107919103</v>
      </c>
      <c r="AS32" s="765">
        <f t="shared" si="42"/>
        <v>1043.5648776084699</v>
      </c>
      <c r="AT32" s="767"/>
      <c r="AU32" s="768">
        <f t="shared" si="36"/>
        <v>225.81799999999998</v>
      </c>
      <c r="AV32" s="768">
        <f t="shared" si="37"/>
        <v>1033.3519999999999</v>
      </c>
      <c r="AW32" s="768">
        <f t="shared" si="38"/>
        <v>1291.74</v>
      </c>
      <c r="AX32" s="768">
        <f t="shared" si="39"/>
        <v>1548.1119999999999</v>
      </c>
      <c r="AY32" s="768">
        <f t="shared" si="40"/>
        <v>1881.578</v>
      </c>
      <c r="AZ32" s="769">
        <f t="shared" si="41"/>
        <v>2333.877</v>
      </c>
      <c r="BA32" s="770">
        <f t="shared" si="31"/>
        <v>2724.2169999999996</v>
      </c>
      <c r="BB32" s="768">
        <f t="shared" si="32"/>
        <v>3029.145</v>
      </c>
      <c r="BC32" s="768">
        <f t="shared" si="33"/>
        <v>3315.9629999999997</v>
      </c>
      <c r="BD32" s="768">
        <f t="shared" si="34"/>
        <v>3577.3002762077285</v>
      </c>
      <c r="BE32" s="768">
        <f>SUM(AP32:AS32)</f>
        <v>3855.3928379620356</v>
      </c>
    </row>
    <row r="33" spans="1:59" s="771" customFormat="1" ht="12" customHeight="1">
      <c r="A33" s="128" t="s">
        <v>187</v>
      </c>
      <c r="B33" s="775"/>
      <c r="C33" s="747"/>
      <c r="D33" s="747"/>
      <c r="E33" s="776">
        <f t="shared" ref="E33:AK33" si="43">E32-E31</f>
        <v>118.37099999999998</v>
      </c>
      <c r="F33" s="777">
        <f t="shared" si="43"/>
        <v>4.7959999999999923</v>
      </c>
      <c r="G33" s="778">
        <f t="shared" si="43"/>
        <v>16.523000000000025</v>
      </c>
      <c r="H33" s="778">
        <f t="shared" si="43"/>
        <v>18.560999999999979</v>
      </c>
      <c r="I33" s="778">
        <f t="shared" si="43"/>
        <v>24.205000000000041</v>
      </c>
      <c r="J33" s="777">
        <f t="shared" si="43"/>
        <v>2.0020000000000095</v>
      </c>
      <c r="K33" s="778">
        <f t="shared" si="43"/>
        <v>15.42799999999994</v>
      </c>
      <c r="L33" s="778">
        <f t="shared" si="43"/>
        <v>22.04200000000003</v>
      </c>
      <c r="M33" s="776">
        <f t="shared" si="43"/>
        <v>33.75200000000001</v>
      </c>
      <c r="N33" s="778">
        <f t="shared" si="43"/>
        <v>-5.0360000000000014</v>
      </c>
      <c r="O33" s="778">
        <f t="shared" si="43"/>
        <v>7.2179999999999609</v>
      </c>
      <c r="P33" s="778">
        <f t="shared" si="43"/>
        <v>24.893000000000029</v>
      </c>
      <c r="Q33" s="776">
        <f t="shared" si="43"/>
        <v>44.307999999999993</v>
      </c>
      <c r="R33" s="777">
        <f t="shared" si="43"/>
        <v>-5.6480000000000246</v>
      </c>
      <c r="S33" s="778">
        <f t="shared" si="43"/>
        <v>16.012000000000057</v>
      </c>
      <c r="T33" s="778">
        <f t="shared" si="43"/>
        <v>32.08299999999997</v>
      </c>
      <c r="U33" s="776">
        <f t="shared" si="43"/>
        <v>53.927999999999997</v>
      </c>
      <c r="V33" s="777">
        <f t="shared" si="43"/>
        <v>-3.3769999999999527</v>
      </c>
      <c r="W33" s="778">
        <f t="shared" si="43"/>
        <v>20.546999999999912</v>
      </c>
      <c r="X33" s="778">
        <f t="shared" si="43"/>
        <v>45.657000000000039</v>
      </c>
      <c r="Y33" s="776">
        <f t="shared" si="43"/>
        <v>70.889999999999986</v>
      </c>
      <c r="Z33" s="777">
        <f t="shared" si="43"/>
        <v>-22.533999999999992</v>
      </c>
      <c r="AA33" s="778">
        <f t="shared" si="43"/>
        <v>8.1259999999999764</v>
      </c>
      <c r="AB33" s="778">
        <f t="shared" si="43"/>
        <v>31.26400000000001</v>
      </c>
      <c r="AC33" s="776">
        <f t="shared" si="43"/>
        <v>69.038999999999987</v>
      </c>
      <c r="AD33" s="777">
        <f t="shared" si="43"/>
        <v>-27.788999999999874</v>
      </c>
      <c r="AE33" s="778">
        <f t="shared" si="43"/>
        <v>3.0899999999999181</v>
      </c>
      <c r="AF33" s="778">
        <f t="shared" si="43"/>
        <v>21.653999999999996</v>
      </c>
      <c r="AG33" s="778">
        <f t="shared" si="43"/>
        <v>85.7349999999999</v>
      </c>
      <c r="AH33" s="777">
        <f t="shared" si="43"/>
        <v>-24.811999999999898</v>
      </c>
      <c r="AI33" s="778">
        <f t="shared" si="43"/>
        <v>-10.566000000000031</v>
      </c>
      <c r="AJ33" s="778">
        <f t="shared" si="43"/>
        <v>12.694000000000074</v>
      </c>
      <c r="AK33" s="778">
        <f t="shared" si="43"/>
        <v>88.772999999999911</v>
      </c>
      <c r="AL33" s="777">
        <f t="shared" ref="AL33:AS33" si="44">AL34-AL30</f>
        <v>-26.827965013444071</v>
      </c>
      <c r="AM33" s="778">
        <f t="shared" si="44"/>
        <v>-11.34539327042603</v>
      </c>
      <c r="AN33" s="778">
        <f t="shared" si="44"/>
        <v>13.514002279155477</v>
      </c>
      <c r="AO33" s="776">
        <f t="shared" si="44"/>
        <v>94.516311514472136</v>
      </c>
      <c r="AP33" s="777">
        <f t="shared" si="44"/>
        <v>-28.595981003623734</v>
      </c>
      <c r="AQ33" s="778">
        <f t="shared" si="44"/>
        <v>-12.092229737893092</v>
      </c>
      <c r="AR33" s="778">
        <f t="shared" si="44"/>
        <v>14.401496310950336</v>
      </c>
      <c r="AS33" s="776">
        <f t="shared" si="44"/>
        <v>100.71863652927897</v>
      </c>
      <c r="AT33" s="767"/>
      <c r="AU33" s="768">
        <f t="shared" si="36"/>
        <v>118.37099999999998</v>
      </c>
      <c r="AV33" s="779">
        <f t="shared" si="37"/>
        <v>64.085000000000036</v>
      </c>
      <c r="AW33" s="780">
        <f t="shared" si="38"/>
        <v>73.22399999999999</v>
      </c>
      <c r="AX33" s="768">
        <f t="shared" si="39"/>
        <v>71.382999999999981</v>
      </c>
      <c r="AY33" s="768">
        <f t="shared" si="40"/>
        <v>96.375</v>
      </c>
      <c r="AZ33" s="769">
        <f>SUM(V33:Y33)</f>
        <v>133.71699999999998</v>
      </c>
      <c r="BA33" s="770">
        <f t="shared" si="31"/>
        <v>85.894999999999982</v>
      </c>
      <c r="BB33" s="768">
        <f t="shared" si="32"/>
        <v>82.689999999999941</v>
      </c>
      <c r="BC33" s="768">
        <f t="shared" si="33"/>
        <v>66.089000000000055</v>
      </c>
      <c r="BD33" s="768">
        <f t="shared" si="34"/>
        <v>69.856955509757512</v>
      </c>
      <c r="BE33" s="768">
        <f>SUM(AP33:AS33)</f>
        <v>74.431922098712477</v>
      </c>
    </row>
    <row r="34" spans="1:59" s="62" customFormat="1" ht="12" customHeight="1">
      <c r="A34" s="781" t="s">
        <v>188</v>
      </c>
      <c r="B34" s="782"/>
      <c r="C34" s="783"/>
      <c r="D34" s="783"/>
      <c r="E34" s="784"/>
      <c r="F34" s="785">
        <f t="shared" ref="F34:AK34" si="45">F30+F33</f>
        <v>63.902999999999992</v>
      </c>
      <c r="G34" s="786">
        <f t="shared" si="45"/>
        <v>80.115000000000023</v>
      </c>
      <c r="H34" s="786">
        <f t="shared" si="45"/>
        <v>88.000999999999976</v>
      </c>
      <c r="I34" s="786">
        <f t="shared" si="45"/>
        <v>99.426000000000045</v>
      </c>
      <c r="J34" s="785">
        <f t="shared" si="45"/>
        <v>82.303000000000011</v>
      </c>
      <c r="K34" s="786">
        <f t="shared" si="45"/>
        <v>100.81199999999994</v>
      </c>
      <c r="L34" s="786">
        <f t="shared" si="45"/>
        <v>113.89400000000003</v>
      </c>
      <c r="M34" s="784">
        <f t="shared" si="45"/>
        <v>130.80099999999999</v>
      </c>
      <c r="N34" s="786">
        <f t="shared" si="45"/>
        <v>97.611999999999995</v>
      </c>
      <c r="O34" s="786">
        <f t="shared" si="45"/>
        <v>114.42699999999996</v>
      </c>
      <c r="P34" s="786">
        <f t="shared" si="45"/>
        <v>137.17500000000004</v>
      </c>
      <c r="Q34" s="784">
        <f t="shared" si="45"/>
        <v>162.38999999999999</v>
      </c>
      <c r="R34" s="785">
        <f t="shared" si="45"/>
        <v>117.54099999999998</v>
      </c>
      <c r="S34" s="786">
        <f t="shared" si="45"/>
        <v>146.27100000000007</v>
      </c>
      <c r="T34" s="786">
        <f t="shared" si="45"/>
        <v>170.74699999999996</v>
      </c>
      <c r="U34" s="784">
        <f t="shared" si="45"/>
        <v>202.946</v>
      </c>
      <c r="V34" s="785">
        <f t="shared" si="45"/>
        <v>155.99100000000004</v>
      </c>
      <c r="W34" s="786">
        <f t="shared" si="45"/>
        <v>184.88799999999992</v>
      </c>
      <c r="X34" s="786">
        <f t="shared" si="45"/>
        <v>220.50800000000004</v>
      </c>
      <c r="Y34" s="784">
        <f t="shared" si="45"/>
        <v>255.52099999999999</v>
      </c>
      <c r="Z34" s="785">
        <f t="shared" si="45"/>
        <v>166.30500000000004</v>
      </c>
      <c r="AA34" s="786">
        <f t="shared" si="45"/>
        <v>203.16199999999998</v>
      </c>
      <c r="AB34" s="786">
        <f t="shared" si="45"/>
        <v>232.79300000000001</v>
      </c>
      <c r="AC34" s="784">
        <f t="shared" si="45"/>
        <v>282.34499999999997</v>
      </c>
      <c r="AD34" s="785">
        <f t="shared" si="45"/>
        <v>188.17200000000011</v>
      </c>
      <c r="AE34" s="786">
        <f t="shared" si="45"/>
        <v>224.33099999999993</v>
      </c>
      <c r="AF34" s="786">
        <f t="shared" si="45"/>
        <v>248.74199999999999</v>
      </c>
      <c r="AG34" s="786">
        <f t="shared" si="45"/>
        <v>321.46599999999989</v>
      </c>
      <c r="AH34" s="785">
        <f t="shared" si="45"/>
        <v>214.3250000000001</v>
      </c>
      <c r="AI34" s="786">
        <f t="shared" si="45"/>
        <v>236.72899999999998</v>
      </c>
      <c r="AJ34" s="786">
        <f t="shared" si="45"/>
        <v>265.13400000000007</v>
      </c>
      <c r="AK34" s="786">
        <f t="shared" si="45"/>
        <v>349.30599999999993</v>
      </c>
      <c r="AL34" s="785">
        <f t="shared" ref="AL34:AS34" si="46">AH34*(1+AL35)</f>
        <v>231.73881998655597</v>
      </c>
      <c r="AM34" s="786">
        <f t="shared" si="46"/>
        <v>254.19114172957399</v>
      </c>
      <c r="AN34" s="786">
        <f t="shared" si="46"/>
        <v>282.26102727915548</v>
      </c>
      <c r="AO34" s="784">
        <f t="shared" si="46"/>
        <v>371.90491151447213</v>
      </c>
      <c r="AP34" s="785">
        <f t="shared" si="46"/>
        <v>247.01086686287627</v>
      </c>
      <c r="AQ34" s="786">
        <f t="shared" si="46"/>
        <v>270.92385516010688</v>
      </c>
      <c r="AR34" s="786">
        <f t="shared" si="46"/>
        <v>300.7977251384504</v>
      </c>
      <c r="AS34" s="784">
        <f t="shared" si="46"/>
        <v>396.30995968927903</v>
      </c>
      <c r="AT34" s="787"/>
      <c r="AU34" s="788">
        <f t="shared" si="36"/>
        <v>0</v>
      </c>
      <c r="AV34" s="788">
        <f t="shared" si="37"/>
        <v>331.44500000000005</v>
      </c>
      <c r="AW34" s="789">
        <f t="shared" si="38"/>
        <v>427.81</v>
      </c>
      <c r="AX34" s="788">
        <f t="shared" si="39"/>
        <v>511.60399999999998</v>
      </c>
      <c r="AY34" s="790">
        <f>SUM(R34:U34)</f>
        <v>637.505</v>
      </c>
      <c r="AZ34" s="791">
        <f t="shared" si="41"/>
        <v>816.9079999999999</v>
      </c>
      <c r="BA34" s="788">
        <f t="shared" si="31"/>
        <v>884.60500000000002</v>
      </c>
      <c r="BB34" s="790">
        <f t="shared" si="32"/>
        <v>982.7109999999999</v>
      </c>
      <c r="BC34" s="790">
        <f t="shared" si="33"/>
        <v>1065.4940000000001</v>
      </c>
      <c r="BD34" s="790">
        <f t="shared" si="34"/>
        <v>1140.0959005097575</v>
      </c>
      <c r="BE34" s="790">
        <f>SUM(AP34:AS34)</f>
        <v>1215.0424068507127</v>
      </c>
    </row>
    <row r="35" spans="1:59" s="62" customFormat="1" ht="12" customHeight="1">
      <c r="A35" s="792" t="s">
        <v>117</v>
      </c>
      <c r="B35" s="672"/>
      <c r="C35" s="672"/>
      <c r="D35" s="672"/>
      <c r="E35" s="673"/>
      <c r="F35" s="672"/>
      <c r="G35" s="672"/>
      <c r="H35" s="672"/>
      <c r="I35" s="672"/>
      <c r="J35" s="671">
        <f t="shared" ref="J35:AK35" si="47">J34/F34-1</f>
        <v>0.28793640361172446</v>
      </c>
      <c r="K35" s="672">
        <f t="shared" si="47"/>
        <v>0.25834113461898411</v>
      </c>
      <c r="L35" s="672">
        <f t="shared" si="47"/>
        <v>0.29423529278076455</v>
      </c>
      <c r="M35" s="673">
        <f t="shared" si="47"/>
        <v>0.31556132198821163</v>
      </c>
      <c r="N35" s="672">
        <f t="shared" si="47"/>
        <v>0.18600780044469811</v>
      </c>
      <c r="O35" s="672">
        <f t="shared" si="47"/>
        <v>0.13505336666269918</v>
      </c>
      <c r="P35" s="672">
        <f t="shared" si="47"/>
        <v>0.20440936309199786</v>
      </c>
      <c r="Q35" s="673">
        <f t="shared" si="47"/>
        <v>0.24150426984503182</v>
      </c>
      <c r="R35" s="671">
        <f t="shared" si="47"/>
        <v>0.20416547145842712</v>
      </c>
      <c r="S35" s="672">
        <f t="shared" si="47"/>
        <v>0.27829096279724297</v>
      </c>
      <c r="T35" s="672">
        <f t="shared" si="47"/>
        <v>0.24473847275378091</v>
      </c>
      <c r="U35" s="673">
        <f t="shared" si="47"/>
        <v>0.24974444239177296</v>
      </c>
      <c r="V35" s="671">
        <f t="shared" si="47"/>
        <v>0.32711989858857815</v>
      </c>
      <c r="W35" s="672">
        <f t="shared" si="47"/>
        <v>0.26400995412624395</v>
      </c>
      <c r="X35" s="672">
        <f t="shared" si="47"/>
        <v>0.29143118180700145</v>
      </c>
      <c r="Y35" s="672">
        <f t="shared" si="47"/>
        <v>0.25905906004552937</v>
      </c>
      <c r="Z35" s="671">
        <f t="shared" si="47"/>
        <v>6.6119199184568211E-2</v>
      </c>
      <c r="AA35" s="672">
        <f t="shared" si="47"/>
        <v>9.883821556834449E-2</v>
      </c>
      <c r="AB35" s="672">
        <f t="shared" si="47"/>
        <v>5.5712264407640433E-2</v>
      </c>
      <c r="AC35" s="672">
        <f t="shared" si="47"/>
        <v>0.10497767306796701</v>
      </c>
      <c r="AD35" s="671">
        <f t="shared" si="47"/>
        <v>0.13148732750067693</v>
      </c>
      <c r="AE35" s="672">
        <f t="shared" si="47"/>
        <v>0.10419763538456972</v>
      </c>
      <c r="AF35" s="672">
        <f t="shared" si="47"/>
        <v>6.8511510225822914E-2</v>
      </c>
      <c r="AG35" s="672">
        <f t="shared" si="47"/>
        <v>0.13855743859462688</v>
      </c>
      <c r="AH35" s="671">
        <f t="shared" si="47"/>
        <v>0.13898454605361032</v>
      </c>
      <c r="AI35" s="672">
        <f t="shared" si="47"/>
        <v>5.5266548091882362E-2</v>
      </c>
      <c r="AJ35" s="672">
        <f t="shared" si="47"/>
        <v>6.5899606821526291E-2</v>
      </c>
      <c r="AK35" s="672">
        <f t="shared" si="47"/>
        <v>8.6603248866132132E-2</v>
      </c>
      <c r="AL35" s="793">
        <f>+AL7</f>
        <v>8.124959751105032E-2</v>
      </c>
      <c r="AM35" s="794">
        <f t="shared" ref="AM35:AS35" si="48">+AM7</f>
        <v>7.3764269394852366E-2</v>
      </c>
      <c r="AN35" s="794">
        <f t="shared" si="48"/>
        <v>6.4597627158928805E-2</v>
      </c>
      <c r="AO35" s="795">
        <f t="shared" si="48"/>
        <v>6.4696602733626651E-2</v>
      </c>
      <c r="AP35" s="793">
        <f t="shared" si="48"/>
        <v>6.5901979121177456E-2</v>
      </c>
      <c r="AQ35" s="794">
        <f t="shared" si="48"/>
        <v>6.5827287751570429E-2</v>
      </c>
      <c r="AR35" s="794">
        <f t="shared" si="48"/>
        <v>6.567218307811995E-2</v>
      </c>
      <c r="AS35" s="795">
        <f t="shared" si="48"/>
        <v>6.5621742061497956E-2</v>
      </c>
      <c r="AT35" s="787"/>
      <c r="AU35" s="796"/>
      <c r="AV35" s="796" t="str">
        <f t="shared" ref="AV35:BE35" si="49">IF(ISERROR(AV34/AU34-1),"NA",AV34/AU34-1)</f>
        <v>NA</v>
      </c>
      <c r="AW35" s="673">
        <f t="shared" si="49"/>
        <v>0.2907420537344052</v>
      </c>
      <c r="AX35" s="723">
        <f t="shared" si="49"/>
        <v>0.19586732427946973</v>
      </c>
      <c r="AY35" s="723">
        <f t="shared" si="49"/>
        <v>0.24609072642121643</v>
      </c>
      <c r="AZ35" s="737">
        <f t="shared" si="49"/>
        <v>0.28141426341754161</v>
      </c>
      <c r="BA35" s="676">
        <f t="shared" si="49"/>
        <v>8.2869796843708432E-2</v>
      </c>
      <c r="BB35" s="723">
        <f t="shared" si="49"/>
        <v>0.11090373669603926</v>
      </c>
      <c r="BC35" s="723">
        <f t="shared" si="49"/>
        <v>8.4239415250262129E-2</v>
      </c>
      <c r="BD35" s="723">
        <f t="shared" si="49"/>
        <v>7.0016255849171705E-2</v>
      </c>
      <c r="BE35" s="723">
        <f t="shared" si="49"/>
        <v>6.5737019409898068E-2</v>
      </c>
    </row>
    <row r="36" spans="1:59" s="62" customFormat="1" ht="12" customHeight="1">
      <c r="A36" s="797"/>
      <c r="B36" s="798"/>
      <c r="C36" s="798"/>
      <c r="D36" s="798"/>
      <c r="E36" s="799"/>
      <c r="F36" s="800"/>
      <c r="G36" s="798"/>
      <c r="H36" s="798"/>
      <c r="I36" s="798"/>
      <c r="J36" s="801"/>
      <c r="K36" s="802"/>
      <c r="L36" s="802"/>
      <c r="M36" s="802"/>
      <c r="N36" s="801"/>
      <c r="O36" s="802"/>
      <c r="P36" s="802"/>
      <c r="Q36" s="799"/>
      <c r="R36" s="801"/>
      <c r="S36" s="802"/>
      <c r="T36" s="798"/>
      <c r="U36" s="799"/>
      <c r="V36" s="798"/>
      <c r="W36" s="798"/>
      <c r="X36" s="798"/>
      <c r="Y36" s="799"/>
      <c r="Z36" s="800"/>
      <c r="AA36" s="798"/>
      <c r="AB36" s="798"/>
      <c r="AC36" s="799"/>
      <c r="AD36" s="800"/>
      <c r="AE36" s="798"/>
      <c r="AF36" s="798"/>
      <c r="AG36" s="799"/>
      <c r="AH36" s="800"/>
      <c r="AI36" s="798"/>
      <c r="AJ36" s="798"/>
      <c r="AK36" s="799"/>
      <c r="AL36" s="800"/>
      <c r="AM36" s="798"/>
      <c r="AN36" s="798"/>
      <c r="AO36" s="799"/>
      <c r="AP36" s="800"/>
      <c r="AQ36" s="798"/>
      <c r="AR36" s="798"/>
      <c r="AS36" s="799"/>
      <c r="AT36" s="803"/>
      <c r="AU36" s="410"/>
      <c r="AV36" s="755"/>
      <c r="AW36" s="755"/>
      <c r="AX36" s="755"/>
      <c r="AY36" s="755"/>
      <c r="AZ36" s="756"/>
      <c r="BA36" s="61"/>
      <c r="BB36" s="61"/>
      <c r="BC36" s="61"/>
      <c r="BD36" s="61"/>
      <c r="BE36" s="61"/>
    </row>
    <row r="37" spans="1:59" s="62" customFormat="1" ht="12" customHeight="1">
      <c r="A37" s="757" t="s">
        <v>81</v>
      </c>
      <c r="B37" s="804">
        <f t="shared" ref="B37:AS37" si="50">B30</f>
        <v>40.481000000000002</v>
      </c>
      <c r="C37" s="804">
        <f t="shared" si="50"/>
        <v>44.149000000000001</v>
      </c>
      <c r="D37" s="804">
        <f t="shared" si="50"/>
        <v>48.980000000000004</v>
      </c>
      <c r="E37" s="805">
        <f t="shared" si="50"/>
        <v>54.117000000000004</v>
      </c>
      <c r="F37" s="760">
        <f t="shared" si="50"/>
        <v>59.106999999999999</v>
      </c>
      <c r="G37" s="758">
        <f t="shared" si="50"/>
        <v>63.591999999999999</v>
      </c>
      <c r="H37" s="758">
        <f t="shared" si="50"/>
        <v>69.44</v>
      </c>
      <c r="I37" s="758">
        <f t="shared" si="50"/>
        <v>75.221000000000004</v>
      </c>
      <c r="J37" s="760">
        <f t="shared" si="50"/>
        <v>80.301000000000002</v>
      </c>
      <c r="K37" s="758">
        <f t="shared" si="50"/>
        <v>85.384</v>
      </c>
      <c r="L37" s="758">
        <f t="shared" si="50"/>
        <v>91.852000000000004</v>
      </c>
      <c r="M37" s="759">
        <f t="shared" si="50"/>
        <v>97.048999999999978</v>
      </c>
      <c r="N37" s="758">
        <f t="shared" si="50"/>
        <v>102.648</v>
      </c>
      <c r="O37" s="758">
        <f t="shared" si="50"/>
        <v>107.209</v>
      </c>
      <c r="P37" s="758">
        <f t="shared" si="50"/>
        <v>112.28200000000001</v>
      </c>
      <c r="Q37" s="759">
        <f t="shared" si="50"/>
        <v>118.08200000000001</v>
      </c>
      <c r="R37" s="760">
        <f t="shared" si="50"/>
        <v>123.18900000000001</v>
      </c>
      <c r="S37" s="758">
        <f t="shared" si="50"/>
        <v>130.25900000000001</v>
      </c>
      <c r="T37" s="758">
        <f t="shared" si="50"/>
        <v>138.66399999999999</v>
      </c>
      <c r="U37" s="759">
        <f t="shared" si="50"/>
        <v>149.018</v>
      </c>
      <c r="V37" s="758">
        <f t="shared" si="50"/>
        <v>159.36799999999999</v>
      </c>
      <c r="W37" s="758">
        <f t="shared" si="50"/>
        <v>164.34100000000001</v>
      </c>
      <c r="X37" s="758">
        <f t="shared" si="50"/>
        <v>174.851</v>
      </c>
      <c r="Y37" s="759">
        <f t="shared" si="50"/>
        <v>184.631</v>
      </c>
      <c r="Z37" s="760">
        <f t="shared" si="50"/>
        <v>188.83900000000003</v>
      </c>
      <c r="AA37" s="758">
        <f t="shared" si="50"/>
        <v>195.036</v>
      </c>
      <c r="AB37" s="758">
        <f t="shared" si="50"/>
        <v>201.529</v>
      </c>
      <c r="AC37" s="759">
        <f t="shared" si="50"/>
        <v>213.30599999999998</v>
      </c>
      <c r="AD37" s="760">
        <f t="shared" si="50"/>
        <v>215.96099999999998</v>
      </c>
      <c r="AE37" s="758">
        <f t="shared" si="50"/>
        <v>221.24100000000001</v>
      </c>
      <c r="AF37" s="758">
        <f t="shared" si="50"/>
        <v>227.08799999999999</v>
      </c>
      <c r="AG37" s="759">
        <f t="shared" si="50"/>
        <v>235.73099999999999</v>
      </c>
      <c r="AH37" s="760">
        <f t="shared" si="50"/>
        <v>239.137</v>
      </c>
      <c r="AI37" s="758">
        <f t="shared" si="50"/>
        <v>247.29500000000002</v>
      </c>
      <c r="AJ37" s="758">
        <f t="shared" si="50"/>
        <v>252.44</v>
      </c>
      <c r="AK37" s="759">
        <f t="shared" si="50"/>
        <v>260.53300000000002</v>
      </c>
      <c r="AL37" s="760">
        <f t="shared" si="50"/>
        <v>258.56678500000004</v>
      </c>
      <c r="AM37" s="758">
        <f t="shared" si="50"/>
        <v>265.53653500000001</v>
      </c>
      <c r="AN37" s="758">
        <f t="shared" si="50"/>
        <v>268.74702500000001</v>
      </c>
      <c r="AO37" s="759">
        <f t="shared" si="50"/>
        <v>277.3886</v>
      </c>
      <c r="AP37" s="760">
        <f t="shared" si="50"/>
        <v>275.6068478665</v>
      </c>
      <c r="AQ37" s="758">
        <f t="shared" si="50"/>
        <v>283.01608489799997</v>
      </c>
      <c r="AR37" s="758">
        <f t="shared" si="50"/>
        <v>286.39622882750007</v>
      </c>
      <c r="AS37" s="759">
        <f t="shared" si="50"/>
        <v>295.59132316000006</v>
      </c>
      <c r="AT37" s="803"/>
      <c r="AU37" s="61"/>
      <c r="AV37" s="505">
        <f t="shared" ref="AV37" si="51">SUM(F37:I37)</f>
        <v>267.36</v>
      </c>
      <c r="AW37" s="505">
        <f t="shared" ref="AW37:AW41" si="52">SUM(J37:M37)</f>
        <v>354.58600000000001</v>
      </c>
      <c r="AX37" s="660">
        <f t="shared" ref="AX37:AX41" si="53">SUM(N37:Q37)</f>
        <v>440.221</v>
      </c>
      <c r="AY37" s="728">
        <f t="shared" ref="AY37:AY41" si="54">SUM(R37:U37)</f>
        <v>541.13</v>
      </c>
      <c r="AZ37" s="729">
        <f t="shared" ref="AZ37:AZ39" si="55">SUM(V37:Y37)</f>
        <v>683.19100000000003</v>
      </c>
      <c r="BA37" s="660">
        <f t="shared" ref="BA37:BA39" si="56">SUM(Z37:AC37)</f>
        <v>798.71</v>
      </c>
      <c r="BB37" s="660">
        <f t="shared" ref="BB37:BB41" si="57">SUM(AD37:AG37)</f>
        <v>900.02099999999996</v>
      </c>
      <c r="BC37" s="660">
        <f t="shared" ref="BC37:BC41" si="58">SUM(AH37:AK37)</f>
        <v>999.40500000000009</v>
      </c>
      <c r="BD37" s="660">
        <f>SUM(AL37:AO37)</f>
        <v>1070.2389450000001</v>
      </c>
      <c r="BE37" s="660">
        <f>SUM(AP37:AS37)</f>
        <v>1140.610484752</v>
      </c>
    </row>
    <row r="38" spans="1:59" s="62" customFormat="1" ht="12.6" customHeight="1">
      <c r="A38" s="128" t="s">
        <v>189</v>
      </c>
      <c r="B38" s="763"/>
      <c r="C38" s="764"/>
      <c r="D38" s="764"/>
      <c r="E38" s="765"/>
      <c r="F38" s="777">
        <f t="shared" ref="F38:Q38" si="59">E39</f>
        <v>154.898</v>
      </c>
      <c r="G38" s="778">
        <f t="shared" si="59"/>
        <v>160.50299999999999</v>
      </c>
      <c r="H38" s="778">
        <f t="shared" si="59"/>
        <v>174.27699999999999</v>
      </c>
      <c r="I38" s="778">
        <f t="shared" si="59"/>
        <v>191.578</v>
      </c>
      <c r="J38" s="777">
        <f t="shared" si="59"/>
        <v>213.64400000000001</v>
      </c>
      <c r="K38" s="778">
        <f t="shared" si="59"/>
        <v>214.50800000000001</v>
      </c>
      <c r="L38" s="778">
        <f t="shared" si="59"/>
        <v>227.227</v>
      </c>
      <c r="M38" s="776">
        <f t="shared" si="59"/>
        <v>245.98500000000001</v>
      </c>
      <c r="N38" s="778">
        <f t="shared" si="59"/>
        <v>274.34800000000001</v>
      </c>
      <c r="O38" s="778">
        <f t="shared" si="59"/>
        <v>270.916</v>
      </c>
      <c r="P38" s="778">
        <f t="shared" si="59"/>
        <v>274.95299999999997</v>
      </c>
      <c r="Q38" s="776">
        <f t="shared" si="59"/>
        <v>296.36</v>
      </c>
      <c r="R38" s="777">
        <f>Q39</f>
        <v>328.81900000000002</v>
      </c>
      <c r="S38" s="778">
        <f t="shared" ref="S38:T38" si="60">R39</f>
        <v>325.113</v>
      </c>
      <c r="T38" s="778">
        <f t="shared" si="60"/>
        <v>334.10599999999999</v>
      </c>
      <c r="U38" s="776">
        <f>T39</f>
        <v>362.30799999999999</v>
      </c>
      <c r="V38" s="778">
        <f>U39+0.137</f>
        <v>407.63499999999999</v>
      </c>
      <c r="W38" s="778">
        <f>V39+0.808</f>
        <v>405.59399999999999</v>
      </c>
      <c r="X38" s="778">
        <f>W39</f>
        <v>415.37799999999999</v>
      </c>
      <c r="Y38" s="776">
        <f>X39</f>
        <v>447.863</v>
      </c>
      <c r="Z38" s="777">
        <f t="shared" ref="Z38:AB38" si="61">Y39</f>
        <v>502.11500000000001</v>
      </c>
      <c r="AA38" s="778">
        <f t="shared" si="61"/>
        <v>490.07600000000002</v>
      </c>
      <c r="AB38" s="778">
        <f t="shared" si="61"/>
        <v>495.19900000000001</v>
      </c>
      <c r="AC38" s="776">
        <f>AB39+4.1</f>
        <v>522.47199999999998</v>
      </c>
      <c r="AD38" s="777">
        <f>AC39</f>
        <v>580.779</v>
      </c>
      <c r="AE38" s="778">
        <f>AD39</f>
        <v>562.57500000000005</v>
      </c>
      <c r="AF38" s="778">
        <f t="shared" ref="AF38:AG38" si="62">AE39</f>
        <v>562.58699999999999</v>
      </c>
      <c r="AG38" s="776">
        <f t="shared" si="62"/>
        <v>583.94000000000005</v>
      </c>
      <c r="AH38" s="777">
        <f>AG39+6.629</f>
        <v>657.00099999999998</v>
      </c>
      <c r="AI38" s="778">
        <f t="shared" ref="AI38:AS38" si="63">AH39</f>
        <v>633.22400000000005</v>
      </c>
      <c r="AJ38" s="778">
        <f t="shared" si="63"/>
        <v>624.548</v>
      </c>
      <c r="AK38" s="776">
        <f t="shared" si="63"/>
        <v>639.61400000000003</v>
      </c>
      <c r="AL38" s="777">
        <f t="shared" si="63"/>
        <v>706.86599999999999</v>
      </c>
      <c r="AM38" s="778">
        <f t="shared" si="63"/>
        <v>685.77817344041966</v>
      </c>
      <c r="AN38" s="778">
        <f t="shared" si="63"/>
        <v>676.86025195747891</v>
      </c>
      <c r="AO38" s="776">
        <f t="shared" si="63"/>
        <v>687.48278467830949</v>
      </c>
      <c r="AP38" s="777">
        <f t="shared" si="63"/>
        <v>761.77629084881642</v>
      </c>
      <c r="AQ38" s="778">
        <f t="shared" si="63"/>
        <v>739.29873478359571</v>
      </c>
      <c r="AR38" s="778">
        <f t="shared" si="63"/>
        <v>729.79377071705164</v>
      </c>
      <c r="AS38" s="776">
        <f t="shared" si="63"/>
        <v>741.11390835147768</v>
      </c>
      <c r="AT38" s="803"/>
      <c r="AU38" s="61"/>
      <c r="AV38" s="806">
        <f t="shared" ref="AV38:AV39" si="64">SUM(F38:I38)</f>
        <v>681.25599999999997</v>
      </c>
      <c r="AW38" s="807">
        <f t="shared" si="52"/>
        <v>901.36400000000003</v>
      </c>
      <c r="AX38" s="807">
        <f t="shared" si="53"/>
        <v>1116.577</v>
      </c>
      <c r="AY38" s="768">
        <f t="shared" si="54"/>
        <v>1350.346</v>
      </c>
      <c r="AZ38" s="769">
        <f t="shared" si="55"/>
        <v>1676.47</v>
      </c>
      <c r="BA38" s="770">
        <f t="shared" si="56"/>
        <v>2009.8620000000001</v>
      </c>
      <c r="BB38" s="768">
        <f t="shared" si="57"/>
        <v>2289.8810000000003</v>
      </c>
      <c r="BC38" s="768">
        <f t="shared" si="58"/>
        <v>2554.3869999999997</v>
      </c>
      <c r="BD38" s="768">
        <f t="shared" ref="BD38:BD41" si="65">SUM(AL38:AO38)</f>
        <v>2756.9872100762082</v>
      </c>
      <c r="BE38" s="768">
        <f>SUM(AP38:AS38)</f>
        <v>2971.9827047009417</v>
      </c>
    </row>
    <row r="39" spans="1:59" s="62" customFormat="1" ht="12" customHeight="1">
      <c r="A39" s="128" t="s">
        <v>190</v>
      </c>
      <c r="B39" s="772"/>
      <c r="C39" s="772"/>
      <c r="D39" s="772"/>
      <c r="E39" s="765">
        <f>'Balance Sheet'!E25</f>
        <v>154.898</v>
      </c>
      <c r="F39" s="777">
        <f>'Balance Sheet'!F25</f>
        <v>160.50299999999999</v>
      </c>
      <c r="G39" s="778">
        <f>'Balance Sheet'!G25</f>
        <v>174.27699999999999</v>
      </c>
      <c r="H39" s="778">
        <f>'Balance Sheet'!H25</f>
        <v>191.578</v>
      </c>
      <c r="I39" s="778">
        <f>'Balance Sheet'!I25</f>
        <v>213.64400000000001</v>
      </c>
      <c r="J39" s="777">
        <f>'Balance Sheet'!J25</f>
        <v>214.50800000000001</v>
      </c>
      <c r="K39" s="778">
        <f>'Balance Sheet'!K25</f>
        <v>227.227</v>
      </c>
      <c r="L39" s="778">
        <f>'Balance Sheet'!L25</f>
        <v>245.98500000000001</v>
      </c>
      <c r="M39" s="776">
        <f>'Balance Sheet'!M25</f>
        <v>274.34800000000001</v>
      </c>
      <c r="N39" s="778">
        <f>'Balance Sheet'!N25</f>
        <v>270.916</v>
      </c>
      <c r="O39" s="778">
        <f>'Balance Sheet'!O25</f>
        <v>274.95299999999997</v>
      </c>
      <c r="P39" s="778">
        <f>'Balance Sheet'!P25</f>
        <v>296.36</v>
      </c>
      <c r="Q39" s="776">
        <f>'Balance Sheet'!Q25</f>
        <v>328.81900000000002</v>
      </c>
      <c r="R39" s="777">
        <f>'Balance Sheet'!R25</f>
        <v>325.113</v>
      </c>
      <c r="S39" s="778">
        <f>'Balance Sheet'!S25</f>
        <v>334.10599999999999</v>
      </c>
      <c r="T39" s="778">
        <f>'Balance Sheet'!T25</f>
        <v>362.30799999999999</v>
      </c>
      <c r="U39" s="776">
        <f>'Balance Sheet'!U25</f>
        <v>407.49799999999999</v>
      </c>
      <c r="V39" s="778">
        <f>'Balance Sheet'!V25</f>
        <v>404.786</v>
      </c>
      <c r="W39" s="778">
        <f>'Balance Sheet'!W25</f>
        <v>415.37799999999999</v>
      </c>
      <c r="X39" s="778">
        <f>'Balance Sheet'!X25</f>
        <v>447.863</v>
      </c>
      <c r="Y39" s="776">
        <f>'Balance Sheet'!Y25</f>
        <v>502.11500000000001</v>
      </c>
      <c r="Z39" s="777">
        <f>'Balance Sheet'!Z25</f>
        <v>490.07600000000002</v>
      </c>
      <c r="AA39" s="778">
        <f>'Balance Sheet'!AA25</f>
        <v>495.19900000000001</v>
      </c>
      <c r="AB39" s="778">
        <f>'Balance Sheet'!AB25</f>
        <v>518.37199999999996</v>
      </c>
      <c r="AC39" s="776">
        <f>'Balance Sheet'!AC25</f>
        <v>580.779</v>
      </c>
      <c r="AD39" s="777">
        <f>'Balance Sheet'!AD25</f>
        <v>562.57500000000005</v>
      </c>
      <c r="AE39" s="778">
        <f>'Balance Sheet'!AE25</f>
        <v>562.58699999999999</v>
      </c>
      <c r="AF39" s="778">
        <f>'Balance Sheet'!AF25</f>
        <v>583.94000000000005</v>
      </c>
      <c r="AG39" s="776">
        <f>'Balance Sheet'!AG25</f>
        <v>650.37199999999996</v>
      </c>
      <c r="AH39" s="777">
        <f>'Balance Sheet'!AH25</f>
        <v>633.22400000000005</v>
      </c>
      <c r="AI39" s="778">
        <f>'Balance Sheet'!AI25</f>
        <v>624.548</v>
      </c>
      <c r="AJ39" s="778">
        <f>'Balance Sheet'!AJ25</f>
        <v>639.61400000000003</v>
      </c>
      <c r="AK39" s="776">
        <f>'Balance Sheet'!AK25</f>
        <v>706.86599999999999</v>
      </c>
      <c r="AL39" s="777">
        <f>'Balance Sheet'!AL25</f>
        <v>685.77817344041966</v>
      </c>
      <c r="AM39" s="778">
        <f>'Balance Sheet'!AM25</f>
        <v>676.86025195747891</v>
      </c>
      <c r="AN39" s="778">
        <f>'Balance Sheet'!AN25</f>
        <v>687.48278467830949</v>
      </c>
      <c r="AO39" s="776">
        <f>'Balance Sheet'!AO25</f>
        <v>761.77629084881642</v>
      </c>
      <c r="AP39" s="777">
        <f>'Balance Sheet'!AP25</f>
        <v>739.29873478359571</v>
      </c>
      <c r="AQ39" s="778">
        <f>'Balance Sheet'!AQ25</f>
        <v>729.79377071705164</v>
      </c>
      <c r="AR39" s="778">
        <f>'Balance Sheet'!AR25</f>
        <v>741.11390835147768</v>
      </c>
      <c r="AS39" s="776">
        <f>'Balance Sheet'!AS25</f>
        <v>820.28268382074998</v>
      </c>
      <c r="AT39" s="803"/>
      <c r="AU39" s="61"/>
      <c r="AV39" s="808">
        <f t="shared" si="64"/>
        <v>740.00199999999995</v>
      </c>
      <c r="AW39" s="807">
        <f t="shared" si="52"/>
        <v>962.06799999999998</v>
      </c>
      <c r="AX39" s="807">
        <f t="shared" si="53"/>
        <v>1171.048</v>
      </c>
      <c r="AY39" s="768">
        <f t="shared" si="54"/>
        <v>1429.0250000000001</v>
      </c>
      <c r="AZ39" s="769">
        <f t="shared" si="55"/>
        <v>1770.1420000000001</v>
      </c>
      <c r="BA39" s="770">
        <f t="shared" si="56"/>
        <v>2084.4259999999999</v>
      </c>
      <c r="BB39" s="770">
        <f t="shared" si="57"/>
        <v>2359.4740000000002</v>
      </c>
      <c r="BC39" s="768">
        <f t="shared" si="58"/>
        <v>2604.252</v>
      </c>
      <c r="BD39" s="768">
        <f t="shared" si="65"/>
        <v>2811.8975009250244</v>
      </c>
      <c r="BE39" s="768">
        <f>SUM(AP39:AS39)</f>
        <v>3030.4890976728748</v>
      </c>
    </row>
    <row r="40" spans="1:59" s="62" customFormat="1" ht="12" customHeight="1">
      <c r="A40" s="128" t="s">
        <v>191</v>
      </c>
      <c r="B40" s="775"/>
      <c r="C40" s="747"/>
      <c r="D40" s="747"/>
      <c r="E40" s="809"/>
      <c r="F40" s="777">
        <f t="shared" ref="F40:Y40" si="66">F39-F38</f>
        <v>5.6049999999999898</v>
      </c>
      <c r="G40" s="778">
        <f t="shared" si="66"/>
        <v>13.774000000000001</v>
      </c>
      <c r="H40" s="778">
        <f t="shared" si="66"/>
        <v>17.301000000000016</v>
      </c>
      <c r="I40" s="778">
        <f t="shared" si="66"/>
        <v>22.066000000000003</v>
      </c>
      <c r="J40" s="777">
        <f t="shared" si="66"/>
        <v>0.86400000000000432</v>
      </c>
      <c r="K40" s="778">
        <f t="shared" si="66"/>
        <v>12.718999999999994</v>
      </c>
      <c r="L40" s="810">
        <f t="shared" si="66"/>
        <v>18.75800000000001</v>
      </c>
      <c r="M40" s="778">
        <f t="shared" si="66"/>
        <v>28.363</v>
      </c>
      <c r="N40" s="777">
        <f t="shared" si="66"/>
        <v>-3.4320000000000164</v>
      </c>
      <c r="O40" s="778">
        <f t="shared" si="66"/>
        <v>4.0369999999999777</v>
      </c>
      <c r="P40" s="810">
        <f t="shared" si="66"/>
        <v>21.407000000000039</v>
      </c>
      <c r="Q40" s="778">
        <f t="shared" si="66"/>
        <v>32.459000000000003</v>
      </c>
      <c r="R40" s="777">
        <f t="shared" si="66"/>
        <v>-3.7060000000000173</v>
      </c>
      <c r="S40" s="778">
        <f t="shared" si="66"/>
        <v>8.992999999999995</v>
      </c>
      <c r="T40" s="810">
        <f t="shared" si="66"/>
        <v>28.201999999999998</v>
      </c>
      <c r="U40" s="778">
        <f t="shared" si="66"/>
        <v>45.19</v>
      </c>
      <c r="V40" s="777">
        <f t="shared" si="66"/>
        <v>-2.8489999999999895</v>
      </c>
      <c r="W40" s="810">
        <f t="shared" si="66"/>
        <v>9.7839999999999918</v>
      </c>
      <c r="X40" s="810">
        <f t="shared" si="66"/>
        <v>32.485000000000014</v>
      </c>
      <c r="Y40" s="778">
        <f t="shared" si="66"/>
        <v>54.25200000000001</v>
      </c>
      <c r="Z40" s="777">
        <f>Z39-Z38</f>
        <v>-12.038999999999987</v>
      </c>
      <c r="AA40" s="778">
        <f>AA39-AA38</f>
        <v>5.1229999999999905</v>
      </c>
      <c r="AB40" s="778">
        <f>AB39-AB38</f>
        <v>23.172999999999945</v>
      </c>
      <c r="AC40" s="778">
        <f>AC39-AC38</f>
        <v>58.307000000000016</v>
      </c>
      <c r="AD40" s="811">
        <f t="shared" ref="AD40:AS40" si="67">AD39-AD38</f>
        <v>-18.203999999999951</v>
      </c>
      <c r="AE40" s="778">
        <f t="shared" si="67"/>
        <v>1.1999999999943611E-2</v>
      </c>
      <c r="AF40" s="778">
        <f t="shared" si="67"/>
        <v>21.353000000000065</v>
      </c>
      <c r="AG40" s="778">
        <f t="shared" si="67"/>
        <v>66.431999999999903</v>
      </c>
      <c r="AH40" s="811">
        <f t="shared" si="67"/>
        <v>-23.77699999999993</v>
      </c>
      <c r="AI40" s="778">
        <f t="shared" si="67"/>
        <v>-8.6760000000000446</v>
      </c>
      <c r="AJ40" s="778">
        <f t="shared" si="67"/>
        <v>15.066000000000031</v>
      </c>
      <c r="AK40" s="778">
        <f t="shared" si="67"/>
        <v>67.251999999999953</v>
      </c>
      <c r="AL40" s="811">
        <f t="shared" si="67"/>
        <v>-21.087826559580321</v>
      </c>
      <c r="AM40" s="778">
        <f t="shared" si="67"/>
        <v>-8.9179214829407556</v>
      </c>
      <c r="AN40" s="778">
        <f t="shared" si="67"/>
        <v>10.622532720830577</v>
      </c>
      <c r="AO40" s="778">
        <f t="shared" si="67"/>
        <v>74.29350617050693</v>
      </c>
      <c r="AP40" s="811">
        <f t="shared" si="67"/>
        <v>-22.47755606522071</v>
      </c>
      <c r="AQ40" s="778">
        <f t="shared" si="67"/>
        <v>-9.504964066544062</v>
      </c>
      <c r="AR40" s="778">
        <f t="shared" si="67"/>
        <v>11.320137634426032</v>
      </c>
      <c r="AS40" s="778">
        <f t="shared" si="67"/>
        <v>79.168775469272305</v>
      </c>
      <c r="AT40" s="803"/>
      <c r="AU40" s="768"/>
      <c r="AV40" s="779">
        <f t="shared" ref="AV40:AV41" si="68">SUM(F40:I40)</f>
        <v>58.746000000000009</v>
      </c>
      <c r="AW40" s="780">
        <f t="shared" si="52"/>
        <v>60.704000000000008</v>
      </c>
      <c r="AX40" s="768">
        <f t="shared" si="53"/>
        <v>54.471000000000004</v>
      </c>
      <c r="AY40" s="768">
        <f t="shared" si="54"/>
        <v>78.678999999999974</v>
      </c>
      <c r="AZ40" s="769">
        <f>SUM(V40:Y40)</f>
        <v>93.672000000000025</v>
      </c>
      <c r="BA40" s="770">
        <f>SUM(Z40:AC40)</f>
        <v>74.563999999999965</v>
      </c>
      <c r="BB40" s="770">
        <f t="shared" si="57"/>
        <v>69.592999999999961</v>
      </c>
      <c r="BC40" s="768">
        <f t="shared" si="58"/>
        <v>49.865000000000009</v>
      </c>
      <c r="BD40" s="768">
        <f t="shared" si="65"/>
        <v>54.91029084881643</v>
      </c>
      <c r="BE40" s="768">
        <f>SUM(AP40:AS40)</f>
        <v>58.506392971933565</v>
      </c>
    </row>
    <row r="41" spans="1:59" s="62" customFormat="1" ht="12" customHeight="1">
      <c r="A41" s="781" t="s">
        <v>192</v>
      </c>
      <c r="B41" s="782"/>
      <c r="C41" s="783"/>
      <c r="D41" s="783"/>
      <c r="E41" s="812"/>
      <c r="F41" s="785">
        <f t="shared" ref="F41:AS41" si="69">F37+F40</f>
        <v>64.711999999999989</v>
      </c>
      <c r="G41" s="786">
        <f t="shared" si="69"/>
        <v>77.366</v>
      </c>
      <c r="H41" s="786">
        <f t="shared" si="69"/>
        <v>86.741000000000014</v>
      </c>
      <c r="I41" s="786">
        <f t="shared" si="69"/>
        <v>97.287000000000006</v>
      </c>
      <c r="J41" s="785">
        <f t="shared" si="69"/>
        <v>81.165000000000006</v>
      </c>
      <c r="K41" s="786">
        <f t="shared" si="69"/>
        <v>98.102999999999994</v>
      </c>
      <c r="L41" s="813">
        <f t="shared" si="69"/>
        <v>110.61000000000001</v>
      </c>
      <c r="M41" s="784">
        <f t="shared" si="69"/>
        <v>125.41199999999998</v>
      </c>
      <c r="N41" s="786">
        <f t="shared" si="69"/>
        <v>99.21599999999998</v>
      </c>
      <c r="O41" s="786">
        <f t="shared" si="69"/>
        <v>111.24599999999998</v>
      </c>
      <c r="P41" s="786">
        <f t="shared" si="69"/>
        <v>133.68900000000005</v>
      </c>
      <c r="Q41" s="784">
        <f t="shared" si="69"/>
        <v>150.541</v>
      </c>
      <c r="R41" s="785">
        <f t="shared" si="69"/>
        <v>119.48299999999999</v>
      </c>
      <c r="S41" s="786">
        <f t="shared" si="69"/>
        <v>139.25200000000001</v>
      </c>
      <c r="T41" s="786">
        <f t="shared" si="69"/>
        <v>166.86599999999999</v>
      </c>
      <c r="U41" s="784">
        <f t="shared" si="69"/>
        <v>194.208</v>
      </c>
      <c r="V41" s="786">
        <f t="shared" si="69"/>
        <v>156.51900000000001</v>
      </c>
      <c r="W41" s="813">
        <f t="shared" si="69"/>
        <v>174.125</v>
      </c>
      <c r="X41" s="786">
        <f t="shared" si="69"/>
        <v>207.33600000000001</v>
      </c>
      <c r="Y41" s="786">
        <f t="shared" si="69"/>
        <v>238.88300000000001</v>
      </c>
      <c r="Z41" s="785">
        <f t="shared" si="69"/>
        <v>176.80000000000004</v>
      </c>
      <c r="AA41" s="786">
        <f t="shared" si="69"/>
        <v>200.15899999999999</v>
      </c>
      <c r="AB41" s="786">
        <f t="shared" si="69"/>
        <v>224.70199999999994</v>
      </c>
      <c r="AC41" s="784">
        <f t="shared" si="69"/>
        <v>271.613</v>
      </c>
      <c r="AD41" s="785">
        <f t="shared" si="69"/>
        <v>197.75700000000003</v>
      </c>
      <c r="AE41" s="786">
        <f t="shared" si="69"/>
        <v>221.25299999999996</v>
      </c>
      <c r="AF41" s="786">
        <f t="shared" si="69"/>
        <v>248.44100000000006</v>
      </c>
      <c r="AG41" s="784">
        <f t="shared" si="69"/>
        <v>302.1629999999999</v>
      </c>
      <c r="AH41" s="785">
        <f t="shared" si="69"/>
        <v>215.36000000000007</v>
      </c>
      <c r="AI41" s="786">
        <f t="shared" si="69"/>
        <v>238.61899999999997</v>
      </c>
      <c r="AJ41" s="786">
        <f t="shared" si="69"/>
        <v>267.50600000000003</v>
      </c>
      <c r="AK41" s="784">
        <f t="shared" si="69"/>
        <v>327.78499999999997</v>
      </c>
      <c r="AL41" s="785">
        <f t="shared" si="69"/>
        <v>237.47895844041972</v>
      </c>
      <c r="AM41" s="786">
        <f t="shared" si="69"/>
        <v>256.61861351705926</v>
      </c>
      <c r="AN41" s="786">
        <f t="shared" si="69"/>
        <v>279.36955772083058</v>
      </c>
      <c r="AO41" s="784">
        <f t="shared" si="69"/>
        <v>351.68210617050693</v>
      </c>
      <c r="AP41" s="785">
        <f t="shared" si="69"/>
        <v>253.12929180127929</v>
      </c>
      <c r="AQ41" s="786">
        <f t="shared" si="69"/>
        <v>273.51112083145591</v>
      </c>
      <c r="AR41" s="786">
        <f t="shared" si="69"/>
        <v>297.7163664619261</v>
      </c>
      <c r="AS41" s="784">
        <f t="shared" si="69"/>
        <v>374.76009862927236</v>
      </c>
      <c r="AT41" s="803"/>
      <c r="AU41" s="814"/>
      <c r="AV41" s="788">
        <f t="shared" si="68"/>
        <v>326.10599999999999</v>
      </c>
      <c r="AW41" s="789">
        <f t="shared" si="52"/>
        <v>415.29</v>
      </c>
      <c r="AX41" s="788">
        <f t="shared" si="53"/>
        <v>494.69200000000001</v>
      </c>
      <c r="AY41" s="788">
        <f t="shared" si="54"/>
        <v>619.80899999999997</v>
      </c>
      <c r="AZ41" s="815">
        <f t="shared" ref="AZ41" si="70">SUM(V41:Y41)</f>
        <v>776.86300000000006</v>
      </c>
      <c r="BA41" s="788">
        <f t="shared" ref="BA41" si="71">SUM(Z41:AC41)</f>
        <v>873.27400000000011</v>
      </c>
      <c r="BB41" s="788">
        <f t="shared" si="57"/>
        <v>969.61399999999992</v>
      </c>
      <c r="BC41" s="790">
        <f t="shared" si="58"/>
        <v>1049.27</v>
      </c>
      <c r="BD41" s="790">
        <f t="shared" si="65"/>
        <v>1125.1492358488165</v>
      </c>
      <c r="BE41" s="790">
        <f>SUM(AP41:AS41)</f>
        <v>1199.1168777239336</v>
      </c>
    </row>
    <row r="42" spans="1:59" s="62" customFormat="1" ht="12" hidden="1" customHeight="1" outlineLevel="1">
      <c r="A42" s="816" t="s">
        <v>193</v>
      </c>
      <c r="B42" s="817" t="str">
        <f>'[2]VA Consensus'!C13</f>
        <v>-</v>
      </c>
      <c r="C42" s="804" t="str">
        <f>'[2]VA Consensus'!D13</f>
        <v>-</v>
      </c>
      <c r="D42" s="804" t="str">
        <f>'[2]VA Consensus'!E13</f>
        <v>-</v>
      </c>
      <c r="E42" s="805" t="str">
        <f>'[2]VA Consensus'!F13</f>
        <v>-</v>
      </c>
      <c r="F42" s="817" t="str">
        <f>'[2]VA Consensus'!G13</f>
        <v>-</v>
      </c>
      <c r="G42" s="145" t="str">
        <f>'[2]VA Consensus'!H13</f>
        <v>-</v>
      </c>
      <c r="H42" s="145">
        <f>'[2]VA Consensus'!I13</f>
        <v>80.923611086071872</v>
      </c>
      <c r="I42" s="145">
        <f>'[2]VA Consensus'!J13</f>
        <v>93.357139731741725</v>
      </c>
      <c r="J42" s="818">
        <f>'[2]VA Consensus'!K13</f>
        <v>80.141077359129426</v>
      </c>
      <c r="K42" s="145">
        <f>'[2]VA Consensus'!L13</f>
        <v>97.339645730895739</v>
      </c>
      <c r="L42" s="145">
        <f>'[2]VA Consensus'!M13</f>
        <v>109.71805511820359</v>
      </c>
      <c r="M42" s="701">
        <f>'[2]VA Consensus'!N13</f>
        <v>122.9681303440414</v>
      </c>
      <c r="N42" s="145">
        <f>'[2]VA Consensus'!O13</f>
        <v>97.832529562296614</v>
      </c>
      <c r="O42" s="145">
        <f>'[2]VA Consensus'!P13</f>
        <v>109.6603077714195</v>
      </c>
      <c r="P42" s="145">
        <f>'[2]VA Consensus'!Q13</f>
        <v>125.29718490566869</v>
      </c>
      <c r="Q42" s="701">
        <f>'[2]VA Consensus'!R13</f>
        <v>143.53824397855328</v>
      </c>
      <c r="R42" s="818">
        <f>'[2]VA Consensus'!S13</f>
        <v>114.39471519896361</v>
      </c>
      <c r="S42" s="145">
        <f>'[2]VA Consensus'!T13</f>
        <v>131.77879545156705</v>
      </c>
      <c r="T42" s="145">
        <f>'[2]VA Consensus'!U13</f>
        <v>156.2224345475739</v>
      </c>
      <c r="U42" s="701">
        <f>'[2]VA Consensus'!V13</f>
        <v>180.19864026291356</v>
      </c>
      <c r="V42" s="145">
        <f>'[2]VA Consensus'!W13</f>
        <v>146.84709358167109</v>
      </c>
      <c r="W42" s="145">
        <f>'[2]VA Consensus'!X13</f>
        <v>171.7644442195066</v>
      </c>
      <c r="X42" s="145">
        <f>'[2]VA Consensus'!Y13</f>
        <v>204.08805070047771</v>
      </c>
      <c r="Y42" s="145">
        <f>'[2]VA Consensus'!Z13</f>
        <v>235.31673396472891</v>
      </c>
      <c r="Z42" s="818">
        <f>'[2]VA Consensus'!AA13</f>
        <v>183.76726531233422</v>
      </c>
      <c r="AA42" s="145">
        <f>'[2]VA Consensus'!AB13</f>
        <v>195.3098559851656</v>
      </c>
      <c r="AB42" s="145">
        <f>'[2]VA Consensus'!AC13</f>
        <v>235.92028121703606</v>
      </c>
      <c r="AC42" s="701">
        <f>'[2]VA Consensus'!AD13</f>
        <v>264.31584849057481</v>
      </c>
      <c r="AD42" s="818">
        <f>'[2]VA Consensus'!AE13</f>
        <v>197.85141764344309</v>
      </c>
      <c r="AE42" s="145">
        <f>'[2]VA Consensus'!AF13</f>
        <v>225.62428112451951</v>
      </c>
      <c r="AF42" s="145">
        <f>'[2]VA Consensus'!AG13</f>
        <v>245.37621305112708</v>
      </c>
      <c r="AG42" s="701">
        <f>'[2]VA Consensus'!AH13</f>
        <v>294.97623963770042</v>
      </c>
      <c r="AH42" s="818">
        <f>'[2]VA Consensus'!AI13</f>
        <v>213.64681567955193</v>
      </c>
      <c r="AI42" s="145">
        <f>'[2]VA Consensus'!AJ13</f>
        <v>239.39986205516755</v>
      </c>
      <c r="AJ42" s="145">
        <f>'[2]VA Consensus'!AK13</f>
        <v>266.14304265024873</v>
      </c>
      <c r="AK42" s="701">
        <f>'[2]VA Consensus'!AL13</f>
        <v>320.83434412859293</v>
      </c>
      <c r="AL42" s="818">
        <f>'[2]VA Consensus'!AM13</f>
        <v>236.74684800988462</v>
      </c>
      <c r="AM42" s="145">
        <f>'[2]VA Consensus'!AN13</f>
        <v>257.17235547088472</v>
      </c>
      <c r="AN42" s="145">
        <f>'[2]VA Consensus'!AO13</f>
        <v>284.73159890155455</v>
      </c>
      <c r="AO42" s="701">
        <f>'[2]VA Consensus'!AP13</f>
        <v>348.68732041192226</v>
      </c>
      <c r="AP42" s="818">
        <f>'[2]VA Consensus'!AQ13</f>
        <v>254.83032645386407</v>
      </c>
      <c r="AQ42" s="145">
        <f>'[2]VA Consensus'!AR13</f>
        <v>278.91231353601825</v>
      </c>
      <c r="AR42" s="145">
        <f>'[2]VA Consensus'!AS13</f>
        <v>305.66625210088608</v>
      </c>
      <c r="AS42" s="701">
        <f>'[2]VA Consensus'!AT13</f>
        <v>370.09809351237419</v>
      </c>
      <c r="AT42" s="48"/>
      <c r="AU42" s="728" t="str">
        <f>'[2]VA Consensus'!AV13</f>
        <v>-</v>
      </c>
      <c r="AV42" s="728">
        <f>'[2]VA Consensus'!AW13</f>
        <v>322.1761349677418</v>
      </c>
      <c r="AW42" s="88">
        <f>'[2]VA Consensus'!AX13</f>
        <v>412.8439081218192</v>
      </c>
      <c r="AX42" s="88">
        <f>'[2]VA Consensus'!AY13</f>
        <v>487.68591064521996</v>
      </c>
      <c r="AY42" s="87">
        <f>'[2]VA Consensus'!AZ13</f>
        <v>604.67527662654993</v>
      </c>
      <c r="AZ42" s="818">
        <f>'[2]VA Consensus'!BA13</f>
        <v>773.56191578291077</v>
      </c>
      <c r="BA42" s="87">
        <f>'[2]VA Consensus'!BB13</f>
        <v>865.96706277628903</v>
      </c>
      <c r="BB42" s="87">
        <f>'[2]VA Consensus'!BC13</f>
        <v>962.40681106627187</v>
      </c>
      <c r="BC42" s="87">
        <f>'[2]VA Consensus'!BD13</f>
        <v>1044.8351877671953</v>
      </c>
      <c r="BD42" s="87">
        <f>'[2]VA Consensus'!BE13</f>
        <v>1127.3381227942461</v>
      </c>
      <c r="BE42" s="87">
        <f>'[2]VA Consensus'!BF13</f>
        <v>1209.5069856031432</v>
      </c>
    </row>
    <row r="43" spans="1:59" s="62" customFormat="1" ht="12" customHeight="1" collapsed="1">
      <c r="A43" s="797" t="s">
        <v>117</v>
      </c>
      <c r="B43" s="817"/>
      <c r="C43" s="804"/>
      <c r="D43" s="804"/>
      <c r="E43" s="805"/>
      <c r="F43" s="760"/>
      <c r="G43" s="758"/>
      <c r="H43" s="758"/>
      <c r="I43" s="758"/>
      <c r="J43" s="819">
        <f t="shared" ref="J43:AI43" si="72">J41/F41-1</f>
        <v>0.25424959821980497</v>
      </c>
      <c r="K43" s="820">
        <f t="shared" si="72"/>
        <v>0.26803763927306568</v>
      </c>
      <c r="L43" s="820">
        <f t="shared" si="72"/>
        <v>0.27517552253259692</v>
      </c>
      <c r="M43" s="821">
        <f t="shared" si="72"/>
        <v>0.28909309568595987</v>
      </c>
      <c r="N43" s="820">
        <f t="shared" si="72"/>
        <v>0.22239881722417265</v>
      </c>
      <c r="O43" s="820">
        <f t="shared" si="72"/>
        <v>0.13397143818231849</v>
      </c>
      <c r="P43" s="820">
        <f t="shared" si="72"/>
        <v>0.20865202061296473</v>
      </c>
      <c r="Q43" s="821">
        <f t="shared" si="72"/>
        <v>0.20037157528785143</v>
      </c>
      <c r="R43" s="820">
        <f t="shared" si="72"/>
        <v>0.20427148846960175</v>
      </c>
      <c r="S43" s="820">
        <f t="shared" si="72"/>
        <v>0.25174837746975198</v>
      </c>
      <c r="T43" s="820">
        <f t="shared" si="72"/>
        <v>0.24816551847945556</v>
      </c>
      <c r="U43" s="821">
        <f t="shared" si="72"/>
        <v>0.29006715778425818</v>
      </c>
      <c r="V43" s="820">
        <f t="shared" si="72"/>
        <v>0.30996878216984869</v>
      </c>
      <c r="W43" s="820">
        <f t="shared" si="72"/>
        <v>0.25043087352425819</v>
      </c>
      <c r="X43" s="820">
        <f t="shared" si="72"/>
        <v>0.24252993419869862</v>
      </c>
      <c r="Y43" s="821">
        <f t="shared" si="72"/>
        <v>0.23003686768825182</v>
      </c>
      <c r="Z43" s="820">
        <f t="shared" si="72"/>
        <v>0.12957532312371045</v>
      </c>
      <c r="AA43" s="820">
        <f t="shared" si="72"/>
        <v>0.14951328068916014</v>
      </c>
      <c r="AB43" s="820">
        <f t="shared" si="72"/>
        <v>8.3757765173438026E-2</v>
      </c>
      <c r="AC43" s="821">
        <f t="shared" si="72"/>
        <v>0.13701267984745669</v>
      </c>
      <c r="AD43" s="820">
        <f t="shared" si="72"/>
        <v>0.11853506787330303</v>
      </c>
      <c r="AE43" s="820">
        <f t="shared" si="72"/>
        <v>0.1053862179567242</v>
      </c>
      <c r="AF43" s="820">
        <f>AF41/AB41-1</f>
        <v>0.10564658970547725</v>
      </c>
      <c r="AG43" s="821">
        <f>AG41/AC41-1</f>
        <v>0.1124762069562204</v>
      </c>
      <c r="AH43" s="820">
        <f t="shared" si="72"/>
        <v>8.9013283979834101E-2</v>
      </c>
      <c r="AI43" s="820">
        <f t="shared" si="72"/>
        <v>7.8489331218107861E-2</v>
      </c>
      <c r="AJ43" s="820">
        <f>AJ41/AF41-1</f>
        <v>7.6738541545074979E-2</v>
      </c>
      <c r="AK43" s="821">
        <f>AK41/AG41-1</f>
        <v>8.4795292606970607E-2</v>
      </c>
      <c r="AL43" s="820">
        <f t="shared" ref="AL43:AS43" si="73">AL41/AH41-1</f>
        <v>0.10270690211933342</v>
      </c>
      <c r="AM43" s="820">
        <f t="shared" si="73"/>
        <v>7.543244048906117E-2</v>
      </c>
      <c r="AN43" s="820">
        <f t="shared" si="73"/>
        <v>4.4348753750684367E-2</v>
      </c>
      <c r="AO43" s="821">
        <f t="shared" si="73"/>
        <v>7.2904819227563644E-2</v>
      </c>
      <c r="AP43" s="820">
        <f t="shared" si="73"/>
        <v>6.5901979121177678E-2</v>
      </c>
      <c r="AQ43" s="820">
        <f t="shared" si="73"/>
        <v>6.5827287751571095E-2</v>
      </c>
      <c r="AR43" s="820">
        <f t="shared" si="73"/>
        <v>6.5672183078119062E-2</v>
      </c>
      <c r="AS43" s="821">
        <f t="shared" si="73"/>
        <v>6.5621742061498178E-2</v>
      </c>
      <c r="AT43" s="822"/>
      <c r="AU43" s="823"/>
      <c r="AV43" s="824"/>
      <c r="AW43" s="825">
        <f t="shared" ref="AW43:BE43" si="74">AW41/AV41-1</f>
        <v>0.27348162867288561</v>
      </c>
      <c r="AX43" s="826">
        <f t="shared" si="74"/>
        <v>0.19119651327987675</v>
      </c>
      <c r="AY43" s="826">
        <f t="shared" si="74"/>
        <v>0.25291898797635692</v>
      </c>
      <c r="AZ43" s="827">
        <f t="shared" si="74"/>
        <v>0.25339096399051986</v>
      </c>
      <c r="BA43" s="826">
        <f t="shared" si="74"/>
        <v>0.12410296281326305</v>
      </c>
      <c r="BB43" s="826">
        <f t="shared" si="74"/>
        <v>0.11032047215421481</v>
      </c>
      <c r="BC43" s="825">
        <f t="shared" si="74"/>
        <v>8.2152279154385166E-2</v>
      </c>
      <c r="BD43" s="825">
        <f t="shared" si="74"/>
        <v>7.2316215891826241E-2</v>
      </c>
      <c r="BE43" s="825">
        <f t="shared" si="74"/>
        <v>6.5740294281332101E-2</v>
      </c>
    </row>
    <row r="44" spans="1:59" s="89" customFormat="1" ht="12" customHeight="1" thickBot="1">
      <c r="A44" s="90" t="s">
        <v>194</v>
      </c>
      <c r="B44" s="91"/>
      <c r="C44" s="92"/>
      <c r="D44" s="92"/>
      <c r="E44" s="93"/>
      <c r="F44" s="92"/>
      <c r="G44" s="92"/>
      <c r="H44" s="92"/>
      <c r="I44" s="92"/>
      <c r="J44" s="91"/>
      <c r="K44" s="92"/>
      <c r="L44" s="92"/>
      <c r="M44" s="93"/>
      <c r="N44" s="91"/>
      <c r="O44" s="92"/>
      <c r="P44" s="92"/>
      <c r="Q44" s="93"/>
      <c r="R44" s="92"/>
      <c r="S44" s="94"/>
      <c r="T44" s="92"/>
      <c r="U44" s="95"/>
      <c r="V44" s="91"/>
      <c r="W44" s="92"/>
      <c r="X44" s="92"/>
      <c r="Y44" s="93"/>
      <c r="Z44" s="828"/>
      <c r="AA44" s="97"/>
      <c r="AB44" s="97"/>
      <c r="AC44" s="98"/>
      <c r="AD44" s="96"/>
      <c r="AE44" s="97"/>
      <c r="AF44" s="97"/>
      <c r="AG44" s="98"/>
      <c r="AH44" s="96"/>
      <c r="AI44" s="97"/>
      <c r="AJ44" s="97"/>
      <c r="AK44" s="98"/>
      <c r="AL44" s="96"/>
      <c r="AM44" s="97"/>
      <c r="AN44" s="97"/>
      <c r="AO44" s="98"/>
      <c r="AP44" s="96"/>
      <c r="AQ44" s="97"/>
      <c r="AR44" s="97"/>
      <c r="AS44" s="98"/>
      <c r="AT44" s="99"/>
      <c r="AU44" s="100"/>
      <c r="AV44" s="93"/>
      <c r="AW44" s="93"/>
      <c r="AX44" s="101"/>
      <c r="AY44" s="101"/>
      <c r="AZ44" s="102"/>
      <c r="BA44" s="101"/>
      <c r="BB44" s="101"/>
      <c r="BC44" s="93"/>
      <c r="BD44" s="93"/>
      <c r="BE44" s="93"/>
    </row>
    <row r="45" spans="1:59" s="89" customFormat="1" ht="12" customHeight="1" thickTop="1">
      <c r="A45" s="103" t="s">
        <v>88</v>
      </c>
      <c r="B45" s="677"/>
      <c r="C45" s="83"/>
      <c r="D45" s="83"/>
      <c r="E45" s="665"/>
      <c r="F45" s="83"/>
      <c r="G45" s="83"/>
      <c r="H45" s="83"/>
      <c r="I45" s="83"/>
      <c r="J45" s="829"/>
      <c r="K45" s="830"/>
      <c r="L45" s="830"/>
      <c r="M45" s="831"/>
      <c r="N45" s="832"/>
      <c r="O45" s="830"/>
      <c r="P45" s="830"/>
      <c r="Q45" s="833"/>
      <c r="R45" s="830"/>
      <c r="S45" s="834"/>
      <c r="T45" s="830"/>
      <c r="U45" s="105"/>
      <c r="V45" s="677"/>
      <c r="W45" s="83"/>
      <c r="X45" s="83"/>
      <c r="Y45" s="105">
        <f>AZ45-X41-W41-V41</f>
        <v>230.01999999999998</v>
      </c>
      <c r="Z45" s="835"/>
      <c r="AA45" s="836"/>
      <c r="AB45" s="667"/>
      <c r="AC45" s="105">
        <f>BA45-AB41-AA41-Z41</f>
        <v>260.33899999999994</v>
      </c>
      <c r="AD45" s="835"/>
      <c r="AE45" s="667"/>
      <c r="AF45" s="667"/>
      <c r="AG45" s="105">
        <f>BB45-AF41-AE41-AD41</f>
        <v>289.54899999999998</v>
      </c>
      <c r="AH45" s="835"/>
      <c r="AI45" s="667"/>
      <c r="AJ45" s="667"/>
      <c r="AK45" s="668"/>
      <c r="AL45" s="835"/>
      <c r="AM45" s="667"/>
      <c r="AN45" s="667"/>
      <c r="AO45" s="668"/>
      <c r="AP45" s="835"/>
      <c r="AQ45" s="667"/>
      <c r="AR45" s="667"/>
      <c r="AS45" s="668"/>
      <c r="AT45" s="99"/>
      <c r="AU45" s="728"/>
      <c r="AV45" s="665"/>
      <c r="AW45" s="665"/>
      <c r="AX45" s="734"/>
      <c r="AY45" s="837">
        <v>602</v>
      </c>
      <c r="AZ45" s="681">
        <v>768</v>
      </c>
      <c r="BA45" s="837">
        <v>862</v>
      </c>
      <c r="BB45" s="837">
        <v>957</v>
      </c>
      <c r="BC45" s="679">
        <v>1040</v>
      </c>
      <c r="BD45" s="679"/>
      <c r="BE45" s="679"/>
    </row>
    <row r="46" spans="1:59" s="89" customFormat="1" ht="12" customHeight="1">
      <c r="A46" s="838" t="s">
        <v>89</v>
      </c>
      <c r="B46" s="664"/>
      <c r="C46" s="83"/>
      <c r="D46" s="83"/>
      <c r="E46" s="665"/>
      <c r="F46" s="83"/>
      <c r="G46" s="83"/>
      <c r="H46" s="83"/>
      <c r="I46" s="83"/>
      <c r="J46" s="664"/>
      <c r="K46" s="83"/>
      <c r="L46" s="83"/>
      <c r="M46" s="665"/>
      <c r="N46" s="664"/>
      <c r="O46" s="83"/>
      <c r="P46" s="83"/>
      <c r="Q46" s="665"/>
      <c r="R46" s="83"/>
      <c r="S46" s="145"/>
      <c r="T46" s="83"/>
      <c r="U46" s="105"/>
      <c r="V46" s="664"/>
      <c r="W46" s="83"/>
      <c r="X46" s="83"/>
      <c r="Y46" s="105">
        <f>AZ46-X41-W41-V41</f>
        <v>234.01999999999998</v>
      </c>
      <c r="Z46" s="666"/>
      <c r="AA46" s="667"/>
      <c r="AB46" s="667"/>
      <c r="AC46" s="105">
        <f>BA46-AB41-AA41-Z41</f>
        <v>264.33899999999994</v>
      </c>
      <c r="AD46" s="666"/>
      <c r="AE46" s="667"/>
      <c r="AF46" s="667"/>
      <c r="AG46" s="105">
        <f>BB46-AF41-AE41-AD41</f>
        <v>294.54899999999998</v>
      </c>
      <c r="AH46" s="666"/>
      <c r="AI46" s="667"/>
      <c r="AJ46" s="667"/>
      <c r="AK46" s="668"/>
      <c r="AL46" s="666"/>
      <c r="AM46" s="667"/>
      <c r="AN46" s="667"/>
      <c r="AO46" s="668"/>
      <c r="AP46" s="666"/>
      <c r="AQ46" s="667"/>
      <c r="AR46" s="667"/>
      <c r="AS46" s="668"/>
      <c r="AT46" s="99"/>
      <c r="AU46" s="728"/>
      <c r="AV46" s="665"/>
      <c r="AW46" s="665"/>
      <c r="AX46" s="734"/>
      <c r="AY46" s="837">
        <f>AVERAGE(AY45,AY47)</f>
        <v>603.5</v>
      </c>
      <c r="AZ46" s="681">
        <f t="shared" ref="AZ46:BC46" si="75">AVERAGE(AZ45,AZ47)</f>
        <v>772</v>
      </c>
      <c r="BA46" s="837">
        <f t="shared" si="75"/>
        <v>866</v>
      </c>
      <c r="BB46" s="837">
        <f t="shared" si="75"/>
        <v>962</v>
      </c>
      <c r="BC46" s="679">
        <f t="shared" si="75"/>
        <v>1044</v>
      </c>
      <c r="BD46" s="679"/>
      <c r="BE46" s="679"/>
      <c r="BF46" s="839"/>
    </row>
    <row r="47" spans="1:59" s="89" customFormat="1" ht="12" customHeight="1" thickBot="1">
      <c r="A47" s="121" t="s">
        <v>90</v>
      </c>
      <c r="B47" s="91"/>
      <c r="C47" s="92"/>
      <c r="D47" s="92"/>
      <c r="E47" s="93"/>
      <c r="F47" s="92"/>
      <c r="G47" s="92"/>
      <c r="H47" s="92"/>
      <c r="I47" s="92"/>
      <c r="J47" s="91"/>
      <c r="K47" s="92"/>
      <c r="L47" s="92"/>
      <c r="M47" s="93"/>
      <c r="N47" s="91"/>
      <c r="O47" s="92"/>
      <c r="P47" s="92"/>
      <c r="Q47" s="93"/>
      <c r="R47" s="92"/>
      <c r="S47" s="94"/>
      <c r="T47" s="92"/>
      <c r="U47" s="123"/>
      <c r="V47" s="91"/>
      <c r="W47" s="92"/>
      <c r="X47" s="92"/>
      <c r="Y47" s="123">
        <f>AZ47-X41-W41-V41</f>
        <v>238.01999999999998</v>
      </c>
      <c r="Z47" s="96"/>
      <c r="AA47" s="97"/>
      <c r="AB47" s="97"/>
      <c r="AC47" s="123">
        <f>BA47-AB41-AA41-Z41</f>
        <v>268.33899999999994</v>
      </c>
      <c r="AD47" s="96"/>
      <c r="AE47" s="97"/>
      <c r="AF47" s="97"/>
      <c r="AG47" s="123">
        <f>BB47-AF41-AE41-AD41</f>
        <v>299.54899999999998</v>
      </c>
      <c r="AH47" s="96"/>
      <c r="AI47" s="97"/>
      <c r="AJ47" s="97"/>
      <c r="AK47" s="98"/>
      <c r="AL47" s="96"/>
      <c r="AM47" s="97"/>
      <c r="AN47" s="97"/>
      <c r="AO47" s="98"/>
      <c r="AP47" s="96"/>
      <c r="AQ47" s="97"/>
      <c r="AR47" s="97"/>
      <c r="AS47" s="98"/>
      <c r="AT47" s="99"/>
      <c r="AU47" s="100"/>
      <c r="AV47" s="93"/>
      <c r="AW47" s="93"/>
      <c r="AX47" s="101"/>
      <c r="AY47" s="126">
        <v>605</v>
      </c>
      <c r="AZ47" s="122">
        <v>776</v>
      </c>
      <c r="BA47" s="126">
        <v>870</v>
      </c>
      <c r="BB47" s="126">
        <v>967</v>
      </c>
      <c r="BC47" s="124">
        <v>1048</v>
      </c>
      <c r="BD47" s="124"/>
      <c r="BE47" s="124"/>
      <c r="BG47" s="840"/>
    </row>
    <row r="48" spans="1:59" s="62" customFormat="1" ht="12" customHeight="1" thickTop="1">
      <c r="A48" s="792"/>
      <c r="B48" s="672"/>
      <c r="C48" s="672"/>
      <c r="D48" s="672"/>
      <c r="E48" s="673"/>
      <c r="F48" s="671"/>
      <c r="G48" s="672"/>
      <c r="H48" s="672"/>
      <c r="I48" s="673">
        <f>I41/H41-1</f>
        <v>0.12158033686491954</v>
      </c>
      <c r="J48" s="671"/>
      <c r="K48" s="672"/>
      <c r="L48" s="672"/>
      <c r="M48" s="673">
        <f>M41/L41-1</f>
        <v>0.13382153512340622</v>
      </c>
      <c r="N48" s="672"/>
      <c r="O48" s="672"/>
      <c r="P48" s="672"/>
      <c r="Q48" s="673">
        <f>Q41/P41-1</f>
        <v>0.12605375161755972</v>
      </c>
      <c r="R48" s="671"/>
      <c r="S48" s="672"/>
      <c r="T48" s="672"/>
      <c r="U48" s="673">
        <f>U41/T41-1</f>
        <v>0.16385602819028455</v>
      </c>
      <c r="V48" s="672"/>
      <c r="W48" s="672"/>
      <c r="X48" s="672"/>
      <c r="Y48" s="673"/>
      <c r="Z48" s="671"/>
      <c r="AA48" s="672"/>
      <c r="AB48" s="672"/>
      <c r="AC48" s="673"/>
      <c r="AD48" s="671"/>
      <c r="AE48" s="672"/>
      <c r="AF48" s="672"/>
      <c r="AG48" s="673"/>
      <c r="AH48" s="671"/>
      <c r="AI48" s="672"/>
      <c r="AJ48" s="672"/>
      <c r="AK48" s="673"/>
      <c r="AL48" s="671"/>
      <c r="AM48" s="672"/>
      <c r="AN48" s="672"/>
      <c r="AO48" s="673"/>
      <c r="AP48" s="671"/>
      <c r="AQ48" s="672"/>
      <c r="AR48" s="672"/>
      <c r="AS48" s="673"/>
      <c r="AT48" s="787"/>
      <c r="AU48" s="841"/>
      <c r="AV48" s="841"/>
      <c r="AW48" s="321"/>
      <c r="AX48" s="755"/>
      <c r="AY48" s="61"/>
      <c r="AZ48" s="842"/>
      <c r="BA48" s="61"/>
      <c r="BB48" s="61"/>
      <c r="BC48" s="755"/>
      <c r="BD48" s="755"/>
      <c r="BE48" s="755"/>
    </row>
    <row r="49" spans="1:57" s="62" customFormat="1" ht="12" customHeight="1">
      <c r="A49" s="757" t="s">
        <v>195</v>
      </c>
      <c r="B49" s="843"/>
      <c r="C49" s="843"/>
      <c r="D49" s="843"/>
      <c r="E49" s="844"/>
      <c r="F49" s="845"/>
      <c r="G49" s="846">
        <v>252</v>
      </c>
      <c r="H49" s="846">
        <v>267.89999999999998</v>
      </c>
      <c r="I49" s="846">
        <v>293.2</v>
      </c>
      <c r="J49" s="847">
        <v>295.3</v>
      </c>
      <c r="K49" s="846">
        <v>313</v>
      </c>
      <c r="L49" s="846">
        <v>333.4</v>
      </c>
      <c r="M49" s="848">
        <v>367.3</v>
      </c>
      <c r="N49" s="846">
        <v>363.9</v>
      </c>
      <c r="O49" s="846">
        <v>378.2</v>
      </c>
      <c r="P49" s="846">
        <v>399.7</v>
      </c>
      <c r="Q49" s="848">
        <v>443.2</v>
      </c>
      <c r="R49" s="847">
        <v>441.1</v>
      </c>
      <c r="S49" s="846">
        <v>461.6</v>
      </c>
      <c r="T49" s="843">
        <v>491.9</v>
      </c>
      <c r="U49" s="844">
        <v>559</v>
      </c>
      <c r="V49" s="847">
        <v>555.70000000000005</v>
      </c>
      <c r="W49" s="843">
        <v>567.70000000000005</v>
      </c>
      <c r="X49" s="843">
        <v>612.79999999999995</v>
      </c>
      <c r="Y49" s="844">
        <v>680.4</v>
      </c>
      <c r="Z49" s="847">
        <v>654.70000000000005</v>
      </c>
      <c r="AA49" s="843">
        <v>662.7</v>
      </c>
      <c r="AB49" s="843">
        <v>697.18399999999997</v>
      </c>
      <c r="AC49" s="844">
        <v>775.00800000000004</v>
      </c>
      <c r="AD49" s="847">
        <v>742.41099999999994</v>
      </c>
      <c r="AE49" s="843">
        <v>747.54100000000005</v>
      </c>
      <c r="AF49" s="804">
        <v>771.56100000000004</v>
      </c>
      <c r="AG49" s="804">
        <v>867.52599999999995</v>
      </c>
      <c r="AH49" s="849">
        <v>882.245</v>
      </c>
      <c r="AI49" s="843">
        <v>889.14300000000003</v>
      </c>
      <c r="AJ49" s="804">
        <v>928.86400000000003</v>
      </c>
      <c r="AK49" s="804">
        <v>1061.0650000000001</v>
      </c>
      <c r="AL49" s="754"/>
      <c r="AM49" s="48"/>
      <c r="AN49" s="48"/>
      <c r="AO49" s="320"/>
      <c r="AP49" s="754"/>
      <c r="AQ49" s="48"/>
      <c r="AR49" s="48"/>
      <c r="AS49" s="320"/>
      <c r="AT49" s="787"/>
      <c r="AU49" s="850"/>
      <c r="AV49" s="851">
        <f>I49</f>
        <v>293.2</v>
      </c>
      <c r="AW49" s="851">
        <f>M49</f>
        <v>367.3</v>
      </c>
      <c r="AX49" s="852">
        <f>Q49</f>
        <v>443.2</v>
      </c>
      <c r="AY49" s="853">
        <f>U49</f>
        <v>559</v>
      </c>
      <c r="AZ49" s="854">
        <f>Y49</f>
        <v>680.4</v>
      </c>
      <c r="BA49" s="853">
        <f>AC49</f>
        <v>775.00800000000004</v>
      </c>
      <c r="BB49" s="853">
        <f>AG49</f>
        <v>867.52599999999995</v>
      </c>
      <c r="BC49" s="755"/>
      <c r="BD49" s="755"/>
      <c r="BE49" s="755"/>
    </row>
    <row r="50" spans="1:57" s="62" customFormat="1" ht="12" customHeight="1">
      <c r="A50" s="797" t="s">
        <v>117</v>
      </c>
      <c r="B50" s="855"/>
      <c r="C50" s="855"/>
      <c r="D50" s="855"/>
      <c r="E50" s="856"/>
      <c r="F50" s="857"/>
      <c r="G50" s="855"/>
      <c r="H50" s="855"/>
      <c r="I50" s="858"/>
      <c r="J50" s="859"/>
      <c r="K50" s="858">
        <f t="shared" ref="K50:S50" si="76">K49/G49-1</f>
        <v>0.24206349206349209</v>
      </c>
      <c r="L50" s="858">
        <f t="shared" si="76"/>
        <v>0.24449421425905182</v>
      </c>
      <c r="M50" s="858">
        <f t="shared" si="76"/>
        <v>0.25272851296043664</v>
      </c>
      <c r="N50" s="859">
        <f t="shared" si="76"/>
        <v>0.23230612935997286</v>
      </c>
      <c r="O50" s="858">
        <f t="shared" si="76"/>
        <v>0.20830670926517558</v>
      </c>
      <c r="P50" s="858">
        <f t="shared" si="76"/>
        <v>0.19886022795440916</v>
      </c>
      <c r="Q50" s="858">
        <f t="shared" si="76"/>
        <v>0.20664307105907964</v>
      </c>
      <c r="R50" s="859">
        <f t="shared" si="76"/>
        <v>0.21214619400934343</v>
      </c>
      <c r="S50" s="858">
        <f t="shared" si="76"/>
        <v>0.22051824431517719</v>
      </c>
      <c r="T50" s="858">
        <f>T49/P49-1</f>
        <v>0.23067300475356523</v>
      </c>
      <c r="U50" s="860">
        <f t="shared" ref="U50:V50" si="77">U49/Q49-1</f>
        <v>0.26128158844765337</v>
      </c>
      <c r="V50" s="859">
        <f t="shared" si="77"/>
        <v>0.25980503287236467</v>
      </c>
      <c r="W50" s="858">
        <f>W49/S49-1</f>
        <v>0.2298526863084922</v>
      </c>
      <c r="X50" s="858">
        <f>X49/T49-1</f>
        <v>0.24578166293962189</v>
      </c>
      <c r="Y50" s="860">
        <f t="shared" ref="Y50:Z50" si="78">Y49/U49-1</f>
        <v>0.21717352415026836</v>
      </c>
      <c r="Z50" s="859">
        <f t="shared" si="78"/>
        <v>0.17815368004318866</v>
      </c>
      <c r="AA50" s="858">
        <f>AA49/W49-1</f>
        <v>0.16734190593623399</v>
      </c>
      <c r="AB50" s="858">
        <f>AB49/X49-1</f>
        <v>0.13770234986945162</v>
      </c>
      <c r="AC50" s="860">
        <f t="shared" ref="AC50:AK50" si="79">AC49/Y49-1</f>
        <v>0.13904761904761909</v>
      </c>
      <c r="AD50" s="859">
        <f t="shared" si="79"/>
        <v>0.13397128455781249</v>
      </c>
      <c r="AE50" s="858">
        <f t="shared" si="79"/>
        <v>0.12802323826769268</v>
      </c>
      <c r="AF50" s="820">
        <f t="shared" si="79"/>
        <v>0.10668202368384816</v>
      </c>
      <c r="AG50" s="820">
        <f t="shared" si="79"/>
        <v>0.11937683223915085</v>
      </c>
      <c r="AH50" s="861">
        <f t="shared" si="79"/>
        <v>0.18835119630501174</v>
      </c>
      <c r="AI50" s="858">
        <f t="shared" si="79"/>
        <v>0.18942372391614626</v>
      </c>
      <c r="AJ50" s="820">
        <f t="shared" si="79"/>
        <v>0.20387629753188663</v>
      </c>
      <c r="AK50" s="820">
        <f t="shared" si="79"/>
        <v>0.22309302545399223</v>
      </c>
      <c r="AL50" s="862"/>
      <c r="AM50" s="822"/>
      <c r="AN50" s="822"/>
      <c r="AO50" s="863"/>
      <c r="AP50" s="862"/>
      <c r="AQ50" s="822"/>
      <c r="AR50" s="822"/>
      <c r="AS50" s="863"/>
      <c r="AT50" s="822"/>
      <c r="AU50" s="864"/>
      <c r="AV50" s="865"/>
      <c r="AW50" s="866">
        <f t="shared" ref="AW50:BB50" si="80">AW49/AV49-1</f>
        <v>0.25272851296043664</v>
      </c>
      <c r="AX50" s="866">
        <f t="shared" si="80"/>
        <v>0.20664307105907964</v>
      </c>
      <c r="AY50" s="867">
        <f t="shared" si="80"/>
        <v>0.26128158844765337</v>
      </c>
      <c r="AZ50" s="868">
        <f t="shared" si="80"/>
        <v>0.21717352415026836</v>
      </c>
      <c r="BA50" s="867">
        <f t="shared" si="80"/>
        <v>0.13904761904761909</v>
      </c>
      <c r="BB50" s="867">
        <f t="shared" si="80"/>
        <v>0.11937683223915085</v>
      </c>
      <c r="BC50" s="869"/>
      <c r="BD50" s="869"/>
      <c r="BE50" s="869"/>
    </row>
    <row r="51" spans="1:57" s="885" customFormat="1" ht="12" customHeight="1">
      <c r="A51" s="757" t="s">
        <v>196</v>
      </c>
      <c r="B51" s="870"/>
      <c r="C51" s="870"/>
      <c r="D51" s="870"/>
      <c r="E51" s="871"/>
      <c r="F51" s="872"/>
      <c r="G51" s="873">
        <f t="shared" ref="G51:Q51" si="81">G49*G53</f>
        <v>178.92</v>
      </c>
      <c r="H51" s="873">
        <f t="shared" si="81"/>
        <v>192.88799999999998</v>
      </c>
      <c r="I51" s="873">
        <f t="shared" si="81"/>
        <v>214.03599999999997</v>
      </c>
      <c r="J51" s="874">
        <f t="shared" si="81"/>
        <v>215.56900000000002</v>
      </c>
      <c r="K51" s="873">
        <f t="shared" si="81"/>
        <v>231.62</v>
      </c>
      <c r="L51" s="873">
        <f t="shared" si="81"/>
        <v>246.71599999999998</v>
      </c>
      <c r="M51" s="875">
        <f t="shared" si="81"/>
        <v>275.47500000000002</v>
      </c>
      <c r="N51" s="873">
        <f t="shared" si="81"/>
        <v>272.92499999999995</v>
      </c>
      <c r="O51" s="873">
        <f t="shared" si="81"/>
        <v>279.86799999999999</v>
      </c>
      <c r="P51" s="873">
        <f t="shared" si="81"/>
        <v>303.77199999999999</v>
      </c>
      <c r="Q51" s="873">
        <f t="shared" si="81"/>
        <v>336.83199999999999</v>
      </c>
      <c r="R51" s="874">
        <f>R49*R53</f>
        <v>330.82500000000005</v>
      </c>
      <c r="S51" s="873">
        <f>S49*S53</f>
        <v>346.20000000000005</v>
      </c>
      <c r="T51" s="873">
        <f>T49*T53</f>
        <v>373.84399999999999</v>
      </c>
      <c r="U51" s="875">
        <f t="shared" ref="U51" si="82">U49*U53</f>
        <v>424.84000000000003</v>
      </c>
      <c r="V51" s="874">
        <f>V49*V53</f>
        <v>422.33200000000005</v>
      </c>
      <c r="W51" s="873">
        <f>W49*W53</f>
        <v>425.77500000000003</v>
      </c>
      <c r="X51" s="873">
        <f>X49*X53</f>
        <v>459.59999999999997</v>
      </c>
      <c r="Y51" s="875">
        <f t="shared" ref="Y51" si="83">Y49*Y53</f>
        <v>510.29999999999995</v>
      </c>
      <c r="Z51" s="874">
        <f>Z49*Z53</f>
        <v>497.57200000000006</v>
      </c>
      <c r="AA51" s="873">
        <f>AA49*AA53</f>
        <v>503.65200000000004</v>
      </c>
      <c r="AB51" s="873">
        <v>528.36699999999996</v>
      </c>
      <c r="AC51" s="875">
        <v>595.053</v>
      </c>
      <c r="AD51" s="874">
        <v>572.851</v>
      </c>
      <c r="AE51" s="873">
        <v>572.01499999999999</v>
      </c>
      <c r="AF51" s="876">
        <v>592.351</v>
      </c>
      <c r="AG51" s="876">
        <v>660.64700000000005</v>
      </c>
      <c r="AH51" s="877">
        <v>647.64700000000005</v>
      </c>
      <c r="AI51" s="873">
        <v>641.91800000000001</v>
      </c>
      <c r="AJ51" s="876">
        <v>669.01499999999999</v>
      </c>
      <c r="AK51" s="876">
        <v>748.61599999999999</v>
      </c>
      <c r="AL51" s="878"/>
      <c r="AM51" s="879"/>
      <c r="AN51" s="879"/>
      <c r="AO51" s="880"/>
      <c r="AP51" s="878"/>
      <c r="AQ51" s="879"/>
      <c r="AR51" s="879"/>
      <c r="AS51" s="880"/>
      <c r="AT51" s="879"/>
      <c r="AU51" s="881"/>
      <c r="AV51" s="882">
        <f>I51</f>
        <v>214.03599999999997</v>
      </c>
      <c r="AW51" s="882">
        <f>M51</f>
        <v>275.47500000000002</v>
      </c>
      <c r="AX51" s="852">
        <f>Q51</f>
        <v>336.83199999999999</v>
      </c>
      <c r="AY51" s="883">
        <f>U51</f>
        <v>424.84000000000003</v>
      </c>
      <c r="AZ51" s="884">
        <f>Y51</f>
        <v>510.29999999999995</v>
      </c>
      <c r="BA51" s="883">
        <f>AC51</f>
        <v>595.053</v>
      </c>
      <c r="BB51" s="883">
        <f>AG51</f>
        <v>660.64700000000005</v>
      </c>
      <c r="BC51" s="881"/>
      <c r="BD51" s="881"/>
      <c r="BE51" s="881"/>
    </row>
    <row r="52" spans="1:57" s="885" customFormat="1" ht="12" customHeight="1">
      <c r="A52" s="797" t="s">
        <v>117</v>
      </c>
      <c r="B52" s="858"/>
      <c r="C52" s="858"/>
      <c r="D52" s="858"/>
      <c r="E52" s="886"/>
      <c r="F52" s="887"/>
      <c r="G52" s="888"/>
      <c r="H52" s="858"/>
      <c r="I52" s="798"/>
      <c r="J52" s="800"/>
      <c r="K52" s="798">
        <f t="shared" ref="K52:R52" si="84">K51/G51-1</f>
        <v>0.29454504806617487</v>
      </c>
      <c r="L52" s="798">
        <f t="shared" si="84"/>
        <v>0.27906349798847008</v>
      </c>
      <c r="M52" s="889">
        <f t="shared" si="84"/>
        <v>0.28704984208264062</v>
      </c>
      <c r="N52" s="798">
        <f t="shared" si="84"/>
        <v>0.2660679411232596</v>
      </c>
      <c r="O52" s="798">
        <f t="shared" si="84"/>
        <v>0.20830670926517558</v>
      </c>
      <c r="P52" s="798">
        <f t="shared" si="84"/>
        <v>0.23126185573696079</v>
      </c>
      <c r="Q52" s="890">
        <f t="shared" si="84"/>
        <v>0.22273164533986733</v>
      </c>
      <c r="R52" s="800">
        <f t="shared" si="84"/>
        <v>0.21214619400934365</v>
      </c>
      <c r="S52" s="798">
        <f>S51/O51-1</f>
        <v>0.2370117341032203</v>
      </c>
      <c r="T52" s="798">
        <f>T51/P51-1</f>
        <v>0.23067300475356523</v>
      </c>
      <c r="U52" s="886">
        <f t="shared" ref="U52:V52" si="85">U51/Q51-1</f>
        <v>0.26128158844765359</v>
      </c>
      <c r="V52" s="800">
        <f t="shared" si="85"/>
        <v>0.2766024333106627</v>
      </c>
      <c r="W52" s="798">
        <f>W51/S51-1</f>
        <v>0.2298526863084922</v>
      </c>
      <c r="X52" s="798">
        <f>X51/T51-1</f>
        <v>0.22938979895357425</v>
      </c>
      <c r="Y52" s="886">
        <f t="shared" ref="Y52:Z52" si="86">Y51/U51-1</f>
        <v>0.20115808304302774</v>
      </c>
      <c r="Z52" s="800">
        <f t="shared" si="86"/>
        <v>0.17815368004318888</v>
      </c>
      <c r="AA52" s="798">
        <f>AA51/W51-1</f>
        <v>0.18290646468205041</v>
      </c>
      <c r="AB52" s="798">
        <f>AB51/X51-1</f>
        <v>0.14962358572671897</v>
      </c>
      <c r="AC52" s="886">
        <f>AC51/Y51-1</f>
        <v>0.16608465608465628</v>
      </c>
      <c r="AD52" s="800">
        <f t="shared" ref="AD52:AK52" si="87">AD51/Z51-1</f>
        <v>0.15129267724068063</v>
      </c>
      <c r="AE52" s="798">
        <f t="shared" si="87"/>
        <v>0.13573459452161396</v>
      </c>
      <c r="AF52" s="798">
        <f t="shared" si="87"/>
        <v>0.12109764614368435</v>
      </c>
      <c r="AG52" s="798">
        <f t="shared" si="87"/>
        <v>0.11023219780422933</v>
      </c>
      <c r="AH52" s="800">
        <f t="shared" si="87"/>
        <v>0.13056798364670752</v>
      </c>
      <c r="AI52" s="798">
        <f t="shared" si="87"/>
        <v>0.12220483728573561</v>
      </c>
      <c r="AJ52" s="798">
        <f t="shared" si="87"/>
        <v>0.12942326424704276</v>
      </c>
      <c r="AK52" s="798">
        <f t="shared" si="87"/>
        <v>0.13315583057215119</v>
      </c>
      <c r="AL52" s="891"/>
      <c r="AM52" s="892"/>
      <c r="AN52" s="892"/>
      <c r="AO52" s="893"/>
      <c r="AP52" s="891"/>
      <c r="AQ52" s="892"/>
      <c r="AR52" s="892"/>
      <c r="AS52" s="893"/>
      <c r="AT52" s="879"/>
      <c r="AU52" s="881"/>
      <c r="AV52" s="894"/>
      <c r="AW52" s="866">
        <f t="shared" ref="AW52:BB52" si="88">AW51/AV51-1</f>
        <v>0.28704984208264062</v>
      </c>
      <c r="AX52" s="866">
        <f t="shared" si="88"/>
        <v>0.22273164533986733</v>
      </c>
      <c r="AY52" s="895">
        <f t="shared" si="88"/>
        <v>0.26128158844765359</v>
      </c>
      <c r="AZ52" s="896">
        <f t="shared" si="88"/>
        <v>0.20115808304302774</v>
      </c>
      <c r="BA52" s="895">
        <f t="shared" si="88"/>
        <v>0.16608465608465628</v>
      </c>
      <c r="BB52" s="895">
        <f t="shared" si="88"/>
        <v>0.11023219780422933</v>
      </c>
      <c r="BC52" s="881"/>
      <c r="BD52" s="881"/>
      <c r="BE52" s="881"/>
    </row>
    <row r="53" spans="1:57" s="885" customFormat="1" ht="12" customHeight="1">
      <c r="A53" s="797" t="s">
        <v>197</v>
      </c>
      <c r="B53" s="858"/>
      <c r="C53" s="858"/>
      <c r="D53" s="858"/>
      <c r="E53" s="886"/>
      <c r="F53" s="887"/>
      <c r="G53" s="897">
        <v>0.71</v>
      </c>
      <c r="H53" s="897">
        <v>0.72</v>
      </c>
      <c r="I53" s="897">
        <v>0.73</v>
      </c>
      <c r="J53" s="898">
        <v>0.73</v>
      </c>
      <c r="K53" s="897">
        <v>0.74</v>
      </c>
      <c r="L53" s="897">
        <v>0.74</v>
      </c>
      <c r="M53" s="899">
        <v>0.75</v>
      </c>
      <c r="N53" s="897">
        <v>0.75</v>
      </c>
      <c r="O53" s="897">
        <v>0.74</v>
      </c>
      <c r="P53" s="897">
        <v>0.76</v>
      </c>
      <c r="Q53" s="899">
        <v>0.76</v>
      </c>
      <c r="R53" s="898">
        <v>0.75</v>
      </c>
      <c r="S53" s="897">
        <v>0.75</v>
      </c>
      <c r="T53" s="897">
        <v>0.76</v>
      </c>
      <c r="U53" s="899">
        <v>0.76</v>
      </c>
      <c r="V53" s="898">
        <v>0.76</v>
      </c>
      <c r="W53" s="897">
        <v>0.75</v>
      </c>
      <c r="X53" s="897">
        <v>0.75</v>
      </c>
      <c r="Y53" s="899">
        <v>0.75</v>
      </c>
      <c r="Z53" s="898">
        <v>0.76</v>
      </c>
      <c r="AA53" s="897">
        <v>0.76</v>
      </c>
      <c r="AB53" s="798">
        <f t="shared" ref="AB53:AK53" si="89">AB51/AB49</f>
        <v>0.75785875751594989</v>
      </c>
      <c r="AC53" s="890">
        <f t="shared" si="89"/>
        <v>0.76780239687848384</v>
      </c>
      <c r="AD53" s="800">
        <f t="shared" si="89"/>
        <v>0.77160898747459294</v>
      </c>
      <c r="AE53" s="798">
        <f t="shared" si="89"/>
        <v>0.76519548760536205</v>
      </c>
      <c r="AF53" s="798">
        <f t="shared" si="89"/>
        <v>0.76773061365206374</v>
      </c>
      <c r="AG53" s="798">
        <f t="shared" si="89"/>
        <v>0.76152991380085444</v>
      </c>
      <c r="AH53" s="800">
        <f t="shared" si="89"/>
        <v>0.73408973697782365</v>
      </c>
      <c r="AI53" s="798">
        <f t="shared" si="89"/>
        <v>0.72195136215434408</v>
      </c>
      <c r="AJ53" s="798">
        <f t="shared" si="89"/>
        <v>0.72025075791504456</v>
      </c>
      <c r="AK53" s="798">
        <f t="shared" si="89"/>
        <v>0.70553264880096878</v>
      </c>
      <c r="AL53" s="891"/>
      <c r="AM53" s="892"/>
      <c r="AN53" s="892"/>
      <c r="AO53" s="893"/>
      <c r="AP53" s="891"/>
      <c r="AQ53" s="892"/>
      <c r="AR53" s="892"/>
      <c r="AS53" s="893"/>
      <c r="AT53" s="879"/>
      <c r="AU53" s="881"/>
      <c r="AV53" s="866">
        <f t="shared" ref="AV53:BA53" si="90">AV51/AV49</f>
        <v>0.73</v>
      </c>
      <c r="AW53" s="866">
        <f t="shared" si="90"/>
        <v>0.75</v>
      </c>
      <c r="AX53" s="866">
        <f t="shared" si="90"/>
        <v>0.76</v>
      </c>
      <c r="AY53" s="895">
        <f t="shared" si="90"/>
        <v>0.76</v>
      </c>
      <c r="AZ53" s="896">
        <f t="shared" si="90"/>
        <v>0.75</v>
      </c>
      <c r="BA53" s="895">
        <f t="shared" si="90"/>
        <v>0.76780239687848384</v>
      </c>
      <c r="BB53" s="895">
        <f>BB51/BB49</f>
        <v>0.76152991380085444</v>
      </c>
      <c r="BC53" s="881"/>
      <c r="BD53" s="881"/>
      <c r="BE53" s="881"/>
    </row>
    <row r="54" spans="1:57" s="62" customFormat="1" ht="12" customHeight="1">
      <c r="A54" s="757" t="s">
        <v>198</v>
      </c>
      <c r="B54" s="798"/>
      <c r="C54" s="798"/>
      <c r="D54" s="798"/>
      <c r="E54" s="900"/>
      <c r="F54" s="901"/>
      <c r="G54" s="902">
        <f t="shared" ref="G54:AK54" si="91">G49-G32</f>
        <v>4.8629999999999995</v>
      </c>
      <c r="H54" s="902">
        <f t="shared" si="91"/>
        <v>2.2019999999999982</v>
      </c>
      <c r="I54" s="846">
        <f t="shared" si="91"/>
        <v>3.2969999999999686</v>
      </c>
      <c r="J54" s="903">
        <f t="shared" si="91"/>
        <v>3.3949999999999818</v>
      </c>
      <c r="K54" s="846">
        <f t="shared" si="91"/>
        <v>5.66700000000003</v>
      </c>
      <c r="L54" s="846">
        <f t="shared" si="91"/>
        <v>4.0249999999999773</v>
      </c>
      <c r="M54" s="904">
        <f t="shared" si="91"/>
        <v>4.1730000000000018</v>
      </c>
      <c r="N54" s="846">
        <f t="shared" si="91"/>
        <v>5.8089999999999691</v>
      </c>
      <c r="O54" s="846">
        <f t="shared" si="91"/>
        <v>12.89100000000002</v>
      </c>
      <c r="P54" s="846">
        <f t="shared" si="91"/>
        <v>9.4979999999999905</v>
      </c>
      <c r="Q54" s="904">
        <f t="shared" si="91"/>
        <v>8.6899999999999977</v>
      </c>
      <c r="R54" s="905">
        <f t="shared" si="91"/>
        <v>12.238000000000056</v>
      </c>
      <c r="S54" s="902">
        <f t="shared" si="91"/>
        <v>16.725999999999999</v>
      </c>
      <c r="T54" s="846">
        <f t="shared" si="91"/>
        <v>14.942999999999984</v>
      </c>
      <c r="U54" s="904">
        <f t="shared" si="91"/>
        <v>28.115000000000009</v>
      </c>
      <c r="V54" s="905">
        <f t="shared" si="91"/>
        <v>28.192000000000007</v>
      </c>
      <c r="W54" s="846">
        <f t="shared" si="91"/>
        <v>19.645000000000095</v>
      </c>
      <c r="X54" s="846">
        <f t="shared" si="91"/>
        <v>19.087999999999965</v>
      </c>
      <c r="Y54" s="904">
        <f t="shared" si="91"/>
        <v>15.798000000000002</v>
      </c>
      <c r="Z54" s="905">
        <f t="shared" si="91"/>
        <v>12.632000000000062</v>
      </c>
      <c r="AA54" s="846">
        <f t="shared" si="91"/>
        <v>12.506000000000085</v>
      </c>
      <c r="AB54" s="846">
        <f t="shared" si="91"/>
        <v>15.725999999999999</v>
      </c>
      <c r="AC54" s="904">
        <f t="shared" si="91"/>
        <v>24.511000000000081</v>
      </c>
      <c r="AD54" s="905">
        <f t="shared" si="91"/>
        <v>19.702999999999861</v>
      </c>
      <c r="AE54" s="846">
        <f t="shared" si="91"/>
        <v>21.743000000000052</v>
      </c>
      <c r="AF54" s="846">
        <f t="shared" si="91"/>
        <v>24.109000000000037</v>
      </c>
      <c r="AG54" s="846">
        <f t="shared" si="91"/>
        <v>34.339000000000055</v>
      </c>
      <c r="AH54" s="905">
        <f t="shared" si="91"/>
        <v>73.87</v>
      </c>
      <c r="AI54" s="846">
        <f t="shared" si="91"/>
        <v>91.33400000000006</v>
      </c>
      <c r="AJ54" s="846">
        <f t="shared" si="91"/>
        <v>118.36099999999999</v>
      </c>
      <c r="AK54" s="758">
        <f t="shared" si="91"/>
        <v>161.7890000000001</v>
      </c>
      <c r="AL54" s="655"/>
      <c r="AM54" s="48"/>
      <c r="AN54" s="48"/>
      <c r="AO54" s="50"/>
      <c r="AP54" s="655"/>
      <c r="AQ54" s="48"/>
      <c r="AR54" s="48"/>
      <c r="AS54" s="50"/>
      <c r="AT54" s="48"/>
      <c r="AU54" s="906"/>
      <c r="AV54" s="882">
        <f>I54</f>
        <v>3.2969999999999686</v>
      </c>
      <c r="AW54" s="882">
        <f>M54</f>
        <v>4.1730000000000018</v>
      </c>
      <c r="AX54" s="852">
        <f>Q54</f>
        <v>8.6899999999999977</v>
      </c>
      <c r="AY54" s="883">
        <f>U54</f>
        <v>28.115000000000009</v>
      </c>
      <c r="AZ54" s="884">
        <f>Y54</f>
        <v>15.798000000000002</v>
      </c>
      <c r="BA54" s="883">
        <f>AC54</f>
        <v>24.511000000000081</v>
      </c>
      <c r="BB54" s="883">
        <f>AG54</f>
        <v>34.339000000000055</v>
      </c>
      <c r="BC54" s="907"/>
      <c r="BD54" s="907"/>
      <c r="BE54" s="907"/>
    </row>
    <row r="55" spans="1:57" s="62" customFormat="1" ht="12" customHeight="1">
      <c r="A55" s="797" t="s">
        <v>117</v>
      </c>
      <c r="B55" s="855"/>
      <c r="C55" s="855"/>
      <c r="D55" s="855"/>
      <c r="E55" s="856"/>
      <c r="F55" s="908"/>
      <c r="G55" s="855"/>
      <c r="H55" s="855"/>
      <c r="I55" s="858"/>
      <c r="J55" s="887"/>
      <c r="K55" s="858">
        <f t="shared" ref="K55:V55" si="92">K54/G54-1</f>
        <v>0.16533004318322653</v>
      </c>
      <c r="L55" s="858">
        <f t="shared" si="92"/>
        <v>0.82788374205267057</v>
      </c>
      <c r="M55" s="858">
        <f t="shared" si="92"/>
        <v>0.265696087352151</v>
      </c>
      <c r="N55" s="887">
        <f t="shared" si="92"/>
        <v>0.71104565537555242</v>
      </c>
      <c r="O55" s="858">
        <f t="shared" si="92"/>
        <v>1.2747485442032738</v>
      </c>
      <c r="P55" s="858">
        <f t="shared" si="92"/>
        <v>1.3597515527950419</v>
      </c>
      <c r="Q55" s="858">
        <f t="shared" si="92"/>
        <v>1.0824346992571279</v>
      </c>
      <c r="R55" s="887">
        <f t="shared" si="92"/>
        <v>1.1067309347564334</v>
      </c>
      <c r="S55" s="858">
        <f t="shared" si="92"/>
        <v>0.29749437592118322</v>
      </c>
      <c r="T55" s="858">
        <f>T54/P54-1</f>
        <v>0.57327858496525574</v>
      </c>
      <c r="U55" s="886">
        <f t="shared" si="92"/>
        <v>2.2353279631760663</v>
      </c>
      <c r="V55" s="887">
        <f t="shared" si="92"/>
        <v>1.303644386337627</v>
      </c>
      <c r="W55" s="858">
        <f>W54/S54-1</f>
        <v>0.17451871338037162</v>
      </c>
      <c r="X55" s="858">
        <f>X54/T54-1</f>
        <v>0.2773874054741341</v>
      </c>
      <c r="Y55" s="886">
        <f t="shared" ref="Y55:Z55" si="93">Y54/U54-1</f>
        <v>-0.43809354437133219</v>
      </c>
      <c r="Z55" s="887">
        <f t="shared" si="93"/>
        <v>-0.55192962542565061</v>
      </c>
      <c r="AA55" s="858">
        <f>AA54/W54-1</f>
        <v>-0.36340035632476331</v>
      </c>
      <c r="AB55" s="858">
        <f>AB54/X54-1</f>
        <v>-0.17613160100586611</v>
      </c>
      <c r="AC55" s="886">
        <f t="shared" ref="AC55:AK55" si="94">AC54/Y54-1</f>
        <v>0.55152550955817681</v>
      </c>
      <c r="AD55" s="887">
        <f t="shared" si="94"/>
        <v>0.55976884103861346</v>
      </c>
      <c r="AE55" s="858">
        <f t="shared" si="94"/>
        <v>0.7386054693746924</v>
      </c>
      <c r="AF55" s="858">
        <f t="shared" si="94"/>
        <v>0.53306625969731902</v>
      </c>
      <c r="AG55" s="858">
        <f t="shared" si="94"/>
        <v>0.40096283301374647</v>
      </c>
      <c r="AH55" s="887">
        <f t="shared" si="94"/>
        <v>2.7491752524996462</v>
      </c>
      <c r="AI55" s="858">
        <f t="shared" si="94"/>
        <v>3.200616290300319</v>
      </c>
      <c r="AJ55" s="858">
        <f t="shared" si="94"/>
        <v>3.9094114231199883</v>
      </c>
      <c r="AK55" s="820">
        <f t="shared" si="94"/>
        <v>3.7115233408078234</v>
      </c>
      <c r="AL55" s="909"/>
      <c r="AM55" s="822"/>
      <c r="AN55" s="822"/>
      <c r="AO55" s="863"/>
      <c r="AP55" s="909"/>
      <c r="AQ55" s="822"/>
      <c r="AR55" s="822"/>
      <c r="AS55" s="863"/>
      <c r="AT55" s="822"/>
      <c r="AU55" s="910"/>
      <c r="AV55" s="910"/>
      <c r="AW55" s="866">
        <f t="shared" ref="AW55:BB55" si="95">AW54/AV54-1</f>
        <v>0.265696087352151</v>
      </c>
      <c r="AX55" s="866">
        <f t="shared" si="95"/>
        <v>1.0824346992571279</v>
      </c>
      <c r="AY55" s="895">
        <f t="shared" si="95"/>
        <v>2.2353279631760663</v>
      </c>
      <c r="AZ55" s="896">
        <f t="shared" si="95"/>
        <v>-0.43809354437133219</v>
      </c>
      <c r="BA55" s="895">
        <f t="shared" si="95"/>
        <v>0.55152550955817681</v>
      </c>
      <c r="BB55" s="895">
        <f t="shared" si="95"/>
        <v>0.40096283301374647</v>
      </c>
      <c r="BC55" s="910"/>
      <c r="BD55" s="910"/>
      <c r="BE55" s="910"/>
    </row>
    <row r="56" spans="1:57" s="62" customFormat="1" ht="12" customHeight="1">
      <c r="A56" s="757"/>
      <c r="B56" s="843"/>
      <c r="C56" s="843"/>
      <c r="D56" s="843"/>
      <c r="E56" s="911"/>
      <c r="F56" s="912"/>
      <c r="G56" s="843"/>
      <c r="H56" s="843"/>
      <c r="I56" s="843"/>
      <c r="J56" s="912"/>
      <c r="K56" s="843"/>
      <c r="L56" s="843"/>
      <c r="M56" s="911"/>
      <c r="N56" s="843"/>
      <c r="O56" s="843"/>
      <c r="P56" s="843"/>
      <c r="Q56" s="911"/>
      <c r="R56" s="912"/>
      <c r="S56" s="843"/>
      <c r="T56" s="843"/>
      <c r="U56" s="911"/>
      <c r="V56" s="48"/>
      <c r="W56" s="48"/>
      <c r="X56" s="48"/>
      <c r="Y56" s="50"/>
      <c r="Z56" s="48"/>
      <c r="AA56" s="48"/>
      <c r="AB56" s="48"/>
      <c r="AC56" s="50"/>
      <c r="AD56" s="48"/>
      <c r="AE56" s="48"/>
      <c r="AF56" s="48"/>
      <c r="AG56" s="48"/>
      <c r="AH56" s="655"/>
      <c r="AI56" s="48"/>
      <c r="AJ56" s="48"/>
      <c r="AK56" s="48"/>
      <c r="AL56" s="655"/>
      <c r="AM56" s="48"/>
      <c r="AN56" s="48"/>
      <c r="AO56" s="50"/>
      <c r="AP56" s="655"/>
      <c r="AQ56" s="48"/>
      <c r="AR56" s="48"/>
      <c r="AS56" s="50"/>
      <c r="AT56" s="48"/>
      <c r="AU56" s="907"/>
      <c r="AV56" s="907"/>
      <c r="AW56" s="907"/>
      <c r="AX56" s="907"/>
      <c r="AY56" s="61"/>
      <c r="AZ56" s="906"/>
      <c r="BA56" s="61"/>
      <c r="BB56" s="907"/>
      <c r="BC56" s="907"/>
      <c r="BD56" s="907"/>
      <c r="BE56" s="907"/>
    </row>
    <row r="57" spans="1:57" s="62" customFormat="1" ht="12" customHeight="1">
      <c r="A57" s="751" t="s">
        <v>199</v>
      </c>
      <c r="B57" s="843"/>
      <c r="C57" s="843"/>
      <c r="D57" s="843"/>
      <c r="E57" s="911"/>
      <c r="F57" s="912"/>
      <c r="G57" s="843"/>
      <c r="H57" s="843"/>
      <c r="I57" s="843"/>
      <c r="J57" s="912"/>
      <c r="K57" s="843"/>
      <c r="L57" s="843"/>
      <c r="M57" s="911"/>
      <c r="N57" s="843"/>
      <c r="O57" s="843"/>
      <c r="P57" s="843"/>
      <c r="Q57" s="911"/>
      <c r="R57" s="912"/>
      <c r="S57" s="843"/>
      <c r="T57" s="843"/>
      <c r="U57" s="911"/>
      <c r="V57" s="48"/>
      <c r="W57" s="48"/>
      <c r="X57" s="48"/>
      <c r="Y57" s="50"/>
      <c r="Z57" s="48"/>
      <c r="AA57" s="48"/>
      <c r="AB57" s="48"/>
      <c r="AC57" s="50"/>
      <c r="AD57" s="48"/>
      <c r="AE57" s="48"/>
      <c r="AF57" s="48"/>
      <c r="AG57" s="48"/>
      <c r="AH57" s="655"/>
      <c r="AI57" s="48"/>
      <c r="AJ57" s="48"/>
      <c r="AK57" s="48"/>
      <c r="AL57" s="655"/>
      <c r="AM57" s="48"/>
      <c r="AN57" s="48"/>
      <c r="AO57" s="50"/>
      <c r="AP57" s="655"/>
      <c r="AQ57" s="48"/>
      <c r="AR57" s="48"/>
      <c r="AS57" s="50"/>
      <c r="AT57" s="48"/>
      <c r="AU57" s="907"/>
      <c r="AV57" s="907"/>
      <c r="AW57" s="913"/>
      <c r="AX57" s="913"/>
      <c r="AY57" s="913"/>
      <c r="AZ57" s="914"/>
      <c r="BA57" s="61"/>
      <c r="BB57" s="907"/>
      <c r="BC57" s="907"/>
      <c r="BD57" s="907"/>
      <c r="BE57" s="907"/>
    </row>
    <row r="58" spans="1:57" s="771" customFormat="1" ht="11.65">
      <c r="A58" s="915" t="s">
        <v>118</v>
      </c>
      <c r="B58" s="192"/>
      <c r="C58" s="192"/>
      <c r="D58" s="192"/>
      <c r="E58" s="916"/>
      <c r="F58" s="917"/>
      <c r="G58" s="192"/>
      <c r="H58" s="192">
        <f t="shared" ref="H58:AK58" si="96">H5</f>
        <v>69.44</v>
      </c>
      <c r="I58" s="192">
        <f t="shared" si="96"/>
        <v>75.221000000000004</v>
      </c>
      <c r="J58" s="917">
        <f t="shared" si="96"/>
        <v>80.301000000000002</v>
      </c>
      <c r="K58" s="192">
        <f t="shared" si="96"/>
        <v>85.384</v>
      </c>
      <c r="L58" s="192">
        <f t="shared" si="96"/>
        <v>91.852000000000004</v>
      </c>
      <c r="M58" s="916">
        <f t="shared" si="96"/>
        <v>97.048999999999978</v>
      </c>
      <c r="N58" s="192">
        <f t="shared" si="96"/>
        <v>102.648</v>
      </c>
      <c r="O58" s="192">
        <f t="shared" si="96"/>
        <v>107.209</v>
      </c>
      <c r="P58" s="192">
        <f t="shared" si="96"/>
        <v>112.28200000000001</v>
      </c>
      <c r="Q58" s="916">
        <f t="shared" si="96"/>
        <v>118.08200000000001</v>
      </c>
      <c r="R58" s="917">
        <f t="shared" si="96"/>
        <v>123.18900000000001</v>
      </c>
      <c r="S58" s="192">
        <f t="shared" si="96"/>
        <v>130.25900000000001</v>
      </c>
      <c r="T58" s="192">
        <f t="shared" si="96"/>
        <v>138.66399999999999</v>
      </c>
      <c r="U58" s="916">
        <f t="shared" si="96"/>
        <v>149.018</v>
      </c>
      <c r="V58" s="917">
        <f t="shared" si="96"/>
        <v>159.36799999999999</v>
      </c>
      <c r="W58" s="192">
        <f t="shared" si="96"/>
        <v>164.34100000000001</v>
      </c>
      <c r="X58" s="192">
        <f t="shared" si="96"/>
        <v>174.851</v>
      </c>
      <c r="Y58" s="916">
        <f t="shared" si="96"/>
        <v>184.631</v>
      </c>
      <c r="Z58" s="917">
        <f t="shared" si="96"/>
        <v>188.83900000000003</v>
      </c>
      <c r="AA58" s="192">
        <f t="shared" si="96"/>
        <v>195.036</v>
      </c>
      <c r="AB58" s="192">
        <f t="shared" si="96"/>
        <v>201.529</v>
      </c>
      <c r="AC58" s="916">
        <f t="shared" si="96"/>
        <v>213.30599999999998</v>
      </c>
      <c r="AD58" s="917">
        <f t="shared" si="96"/>
        <v>215.96099999999998</v>
      </c>
      <c r="AE58" s="192">
        <f t="shared" si="96"/>
        <v>221.24100000000001</v>
      </c>
      <c r="AF58" s="192">
        <f t="shared" si="96"/>
        <v>227.08799999999999</v>
      </c>
      <c r="AG58" s="192">
        <f t="shared" si="96"/>
        <v>235.73099999999999</v>
      </c>
      <c r="AH58" s="917">
        <f t="shared" si="96"/>
        <v>239.137</v>
      </c>
      <c r="AI58" s="192">
        <f t="shared" si="96"/>
        <v>247.29500000000002</v>
      </c>
      <c r="AJ58" s="192">
        <f t="shared" si="96"/>
        <v>252.44</v>
      </c>
      <c r="AK58" s="192">
        <f t="shared" si="96"/>
        <v>260.53300000000002</v>
      </c>
      <c r="AL58" s="918"/>
      <c r="AM58" s="767"/>
      <c r="AN58" s="767"/>
      <c r="AO58" s="919"/>
      <c r="AP58" s="918"/>
      <c r="AQ58" s="767"/>
      <c r="AR58" s="767"/>
      <c r="AS58" s="919"/>
      <c r="AT58" s="767"/>
      <c r="AU58" s="920"/>
      <c r="AV58" s="808"/>
      <c r="AW58" s="921"/>
      <c r="AX58" s="921"/>
      <c r="AY58" s="922"/>
      <c r="AZ58" s="923"/>
      <c r="BA58" s="924">
        <f>SUM(Z58:AC58)</f>
        <v>798.71</v>
      </c>
      <c r="BB58" s="924">
        <f>SUM(AD58:AG58)</f>
        <v>900.02099999999996</v>
      </c>
      <c r="BC58" s="920"/>
      <c r="BD58" s="920"/>
      <c r="BE58" s="920"/>
    </row>
    <row r="59" spans="1:57" s="938" customFormat="1" ht="13.9">
      <c r="A59" s="925" t="s">
        <v>200</v>
      </c>
      <c r="B59" s="926"/>
      <c r="C59" s="926"/>
      <c r="D59" s="926"/>
      <c r="E59" s="927"/>
      <c r="F59" s="928"/>
      <c r="G59" s="926"/>
      <c r="H59" s="926">
        <f>H51-G51</f>
        <v>13.967999999999989</v>
      </c>
      <c r="I59" s="926">
        <f t="shared" ref="I59:AK59" si="97">I51-H51</f>
        <v>21.147999999999996</v>
      </c>
      <c r="J59" s="928">
        <f t="shared" si="97"/>
        <v>1.5330000000000439</v>
      </c>
      <c r="K59" s="926">
        <f t="shared" si="97"/>
        <v>16.050999999999988</v>
      </c>
      <c r="L59" s="926">
        <f t="shared" si="97"/>
        <v>15.095999999999975</v>
      </c>
      <c r="M59" s="927">
        <f t="shared" si="97"/>
        <v>28.759000000000043</v>
      </c>
      <c r="N59" s="926">
        <f t="shared" si="97"/>
        <v>-2.5500000000000682</v>
      </c>
      <c r="O59" s="926">
        <f t="shared" si="97"/>
        <v>6.9430000000000405</v>
      </c>
      <c r="P59" s="926">
        <f t="shared" si="97"/>
        <v>23.903999999999996</v>
      </c>
      <c r="Q59" s="927">
        <f t="shared" si="97"/>
        <v>33.06</v>
      </c>
      <c r="R59" s="928">
        <f t="shared" si="97"/>
        <v>-6.0069999999999482</v>
      </c>
      <c r="S59" s="926">
        <f t="shared" si="97"/>
        <v>15.375</v>
      </c>
      <c r="T59" s="926">
        <f t="shared" si="97"/>
        <v>27.643999999999949</v>
      </c>
      <c r="U59" s="927">
        <f t="shared" si="97"/>
        <v>50.996000000000038</v>
      </c>
      <c r="V59" s="928">
        <f t="shared" si="97"/>
        <v>-2.5079999999999814</v>
      </c>
      <c r="W59" s="926">
        <f t="shared" si="97"/>
        <v>3.4429999999999836</v>
      </c>
      <c r="X59" s="926">
        <f t="shared" si="97"/>
        <v>33.824999999999932</v>
      </c>
      <c r="Y59" s="929">
        <f t="shared" si="97"/>
        <v>50.699999999999989</v>
      </c>
      <c r="Z59" s="928">
        <f t="shared" si="97"/>
        <v>-12.727999999999895</v>
      </c>
      <c r="AA59" s="926">
        <f t="shared" si="97"/>
        <v>6.0799999999999841</v>
      </c>
      <c r="AB59" s="926">
        <f t="shared" si="97"/>
        <v>24.714999999999918</v>
      </c>
      <c r="AC59" s="929">
        <f t="shared" si="97"/>
        <v>66.686000000000035</v>
      </c>
      <c r="AD59" s="928">
        <f t="shared" si="97"/>
        <v>-22.201999999999998</v>
      </c>
      <c r="AE59" s="926">
        <f t="shared" si="97"/>
        <v>-0.83600000000001273</v>
      </c>
      <c r="AF59" s="926">
        <f t="shared" si="97"/>
        <v>20.336000000000013</v>
      </c>
      <c r="AG59" s="926">
        <f t="shared" si="97"/>
        <v>68.296000000000049</v>
      </c>
      <c r="AH59" s="928">
        <f t="shared" si="97"/>
        <v>-13</v>
      </c>
      <c r="AI59" s="926">
        <f t="shared" si="97"/>
        <v>-5.7290000000000418</v>
      </c>
      <c r="AJ59" s="926">
        <f t="shared" si="97"/>
        <v>27.09699999999998</v>
      </c>
      <c r="AK59" s="926">
        <f t="shared" si="97"/>
        <v>79.600999999999999</v>
      </c>
      <c r="AL59" s="930"/>
      <c r="AM59" s="931"/>
      <c r="AN59" s="931"/>
      <c r="AO59" s="932"/>
      <c r="AP59" s="930"/>
      <c r="AQ59" s="931"/>
      <c r="AR59" s="931"/>
      <c r="AS59" s="932"/>
      <c r="AT59" s="931"/>
      <c r="AU59" s="933"/>
      <c r="AV59" s="808"/>
      <c r="AW59" s="934">
        <f t="shared" ref="AW59:AW60" si="98">SUM(J59:M59)</f>
        <v>61.43900000000005</v>
      </c>
      <c r="AX59" s="934">
        <f t="shared" ref="AX59:AX60" si="99">SUM(N59:Q59)</f>
        <v>61.356999999999971</v>
      </c>
      <c r="AY59" s="935">
        <f t="shared" ref="AY59:AY60" si="100">SUM(R59:U59)</f>
        <v>88.008000000000038</v>
      </c>
      <c r="AZ59" s="936">
        <f t="shared" ref="AZ59:AZ60" si="101">SUM(V59:Y59)</f>
        <v>85.459999999999923</v>
      </c>
      <c r="BA59" s="937">
        <f>SUM(Z59:AC59)</f>
        <v>84.753000000000043</v>
      </c>
      <c r="BB59" s="937">
        <f>SUM(AD59:AG59)</f>
        <v>65.594000000000051</v>
      </c>
      <c r="BC59" s="933"/>
      <c r="BD59" s="933"/>
      <c r="BE59" s="933"/>
    </row>
    <row r="60" spans="1:57" s="62" customFormat="1" ht="12" customHeight="1">
      <c r="A60" s="757" t="s">
        <v>201</v>
      </c>
      <c r="B60" s="843"/>
      <c r="C60" s="843"/>
      <c r="D60" s="843"/>
      <c r="E60" s="911"/>
      <c r="F60" s="912"/>
      <c r="G60" s="843"/>
      <c r="H60" s="846">
        <f>H58+H59</f>
        <v>83.407999999999987</v>
      </c>
      <c r="I60" s="846">
        <f t="shared" ref="I60:AK60" si="102">I58+I59</f>
        <v>96.369</v>
      </c>
      <c r="J60" s="903">
        <f t="shared" si="102"/>
        <v>81.834000000000046</v>
      </c>
      <c r="K60" s="846">
        <f t="shared" si="102"/>
        <v>101.43499999999999</v>
      </c>
      <c r="L60" s="846">
        <f t="shared" si="102"/>
        <v>106.94799999999998</v>
      </c>
      <c r="M60" s="904">
        <f t="shared" si="102"/>
        <v>125.80800000000002</v>
      </c>
      <c r="N60" s="846">
        <f t="shared" si="102"/>
        <v>100.09799999999993</v>
      </c>
      <c r="O60" s="846">
        <f t="shared" si="102"/>
        <v>114.15200000000004</v>
      </c>
      <c r="P60" s="846">
        <f t="shared" si="102"/>
        <v>136.18600000000001</v>
      </c>
      <c r="Q60" s="904">
        <f t="shared" si="102"/>
        <v>151.142</v>
      </c>
      <c r="R60" s="903">
        <f t="shared" si="102"/>
        <v>117.18200000000006</v>
      </c>
      <c r="S60" s="846">
        <f t="shared" si="102"/>
        <v>145.63400000000001</v>
      </c>
      <c r="T60" s="846">
        <f t="shared" si="102"/>
        <v>166.30799999999994</v>
      </c>
      <c r="U60" s="904">
        <f t="shared" si="102"/>
        <v>200.01400000000004</v>
      </c>
      <c r="V60" s="903">
        <f t="shared" si="102"/>
        <v>156.86000000000001</v>
      </c>
      <c r="W60" s="846">
        <f t="shared" si="102"/>
        <v>167.78399999999999</v>
      </c>
      <c r="X60" s="846">
        <f t="shared" si="102"/>
        <v>208.67599999999993</v>
      </c>
      <c r="Y60" s="904">
        <f t="shared" si="102"/>
        <v>235.33099999999999</v>
      </c>
      <c r="Z60" s="903">
        <f t="shared" si="102"/>
        <v>176.11100000000013</v>
      </c>
      <c r="AA60" s="846">
        <f t="shared" si="102"/>
        <v>201.11599999999999</v>
      </c>
      <c r="AB60" s="846">
        <f t="shared" si="102"/>
        <v>226.24399999999991</v>
      </c>
      <c r="AC60" s="904">
        <f t="shared" si="102"/>
        <v>279.99200000000002</v>
      </c>
      <c r="AD60" s="903">
        <f t="shared" si="102"/>
        <v>193.75899999999999</v>
      </c>
      <c r="AE60" s="846">
        <f t="shared" si="102"/>
        <v>220.405</v>
      </c>
      <c r="AF60" s="846">
        <f t="shared" si="102"/>
        <v>247.42400000000001</v>
      </c>
      <c r="AG60" s="846">
        <f t="shared" si="102"/>
        <v>304.02700000000004</v>
      </c>
      <c r="AH60" s="903">
        <f t="shared" si="102"/>
        <v>226.137</v>
      </c>
      <c r="AI60" s="846">
        <f t="shared" si="102"/>
        <v>241.56599999999997</v>
      </c>
      <c r="AJ60" s="846">
        <f t="shared" si="102"/>
        <v>279.53699999999998</v>
      </c>
      <c r="AK60" s="846">
        <f t="shared" si="102"/>
        <v>340.13400000000001</v>
      </c>
      <c r="AL60" s="655"/>
      <c r="AM60" s="48"/>
      <c r="AN60" s="48"/>
      <c r="AO60" s="50"/>
      <c r="AP60" s="655"/>
      <c r="AQ60" s="48"/>
      <c r="AR60" s="48"/>
      <c r="AS60" s="50"/>
      <c r="AT60" s="48"/>
      <c r="AU60" s="907"/>
      <c r="AV60" s="907"/>
      <c r="AW60" s="939">
        <f t="shared" si="98"/>
        <v>416.02499999999998</v>
      </c>
      <c r="AX60" s="939">
        <f t="shared" si="99"/>
        <v>501.57799999999997</v>
      </c>
      <c r="AY60" s="940">
        <f t="shared" si="100"/>
        <v>629.13800000000003</v>
      </c>
      <c r="AZ60" s="941">
        <f t="shared" si="101"/>
        <v>768.65099999999995</v>
      </c>
      <c r="BA60" s="940">
        <f>SUM(Z60:AC60)</f>
        <v>883.46299999999997</v>
      </c>
      <c r="BB60" s="940">
        <f>SUM(AD60:AG60)</f>
        <v>965.61500000000001</v>
      </c>
      <c r="BC60" s="907"/>
      <c r="BD60" s="907"/>
      <c r="BE60" s="907"/>
    </row>
    <row r="61" spans="1:57" s="62" customFormat="1" ht="12" customHeight="1">
      <c r="A61" s="797" t="s">
        <v>117</v>
      </c>
      <c r="B61" s="798"/>
      <c r="C61" s="798"/>
      <c r="D61" s="798"/>
      <c r="E61" s="890"/>
      <c r="F61" s="800"/>
      <c r="G61" s="798"/>
      <c r="H61" s="798"/>
      <c r="I61" s="798"/>
      <c r="J61" s="800"/>
      <c r="K61" s="798"/>
      <c r="L61" s="798">
        <f t="shared" ref="L61:R61" si="103">L60/H60-1</f>
        <v>0.28222712449645115</v>
      </c>
      <c r="M61" s="890">
        <f t="shared" si="103"/>
        <v>0.30548205335740763</v>
      </c>
      <c r="N61" s="798">
        <f t="shared" si="103"/>
        <v>0.22318351785321355</v>
      </c>
      <c r="O61" s="798">
        <f t="shared" si="103"/>
        <v>0.12537092719475584</v>
      </c>
      <c r="P61" s="798">
        <f t="shared" si="103"/>
        <v>0.27338519654411519</v>
      </c>
      <c r="Q61" s="890">
        <f t="shared" si="103"/>
        <v>0.20137034210860971</v>
      </c>
      <c r="R61" s="800">
        <f t="shared" si="103"/>
        <v>0.17067274071410155</v>
      </c>
      <c r="S61" s="798">
        <f>S60/O60-1</f>
        <v>0.27579017450416954</v>
      </c>
      <c r="T61" s="798">
        <f>T60/P60-1</f>
        <v>0.22118279411980613</v>
      </c>
      <c r="U61" s="890">
        <f t="shared" ref="U61:V61" si="104">U60/Q60-1</f>
        <v>0.32335155019782746</v>
      </c>
      <c r="V61" s="800">
        <f t="shared" si="104"/>
        <v>0.33860149169667642</v>
      </c>
      <c r="W61" s="798">
        <f>W60/S60-1</f>
        <v>0.15209360451542886</v>
      </c>
      <c r="X61" s="798">
        <f>X60/T60-1</f>
        <v>0.25475623541862102</v>
      </c>
      <c r="Y61" s="890">
        <f t="shared" ref="Y61:Z61" si="105">Y60/U60-1</f>
        <v>0.17657263991520566</v>
      </c>
      <c r="Z61" s="800">
        <f t="shared" si="105"/>
        <v>0.12272727272727346</v>
      </c>
      <c r="AA61" s="798">
        <f>AA60/W60-1</f>
        <v>0.19866018213894043</v>
      </c>
      <c r="AB61" s="798">
        <f>AB60/X60-1</f>
        <v>8.4187927696524723E-2</v>
      </c>
      <c r="AC61" s="890">
        <f t="shared" ref="AC61:AK61" si="106">AC60/Y60-1</f>
        <v>0.18977950206305172</v>
      </c>
      <c r="AD61" s="800">
        <f t="shared" si="106"/>
        <v>0.10020952694607277</v>
      </c>
      <c r="AE61" s="798">
        <f t="shared" si="106"/>
        <v>9.590982318661867E-2</v>
      </c>
      <c r="AF61" s="798">
        <f t="shared" si="106"/>
        <v>9.3615742295928728E-2</v>
      </c>
      <c r="AG61" s="798">
        <f t="shared" si="106"/>
        <v>8.5841738335381113E-2</v>
      </c>
      <c r="AH61" s="800">
        <f t="shared" si="106"/>
        <v>0.16710449579116338</v>
      </c>
      <c r="AI61" s="798">
        <f t="shared" si="106"/>
        <v>9.6009618656563989E-2</v>
      </c>
      <c r="AJ61" s="798">
        <f t="shared" si="106"/>
        <v>0.12978934945680276</v>
      </c>
      <c r="AK61" s="798">
        <f t="shared" si="106"/>
        <v>0.1187624783325163</v>
      </c>
      <c r="AL61" s="909"/>
      <c r="AM61" s="822"/>
      <c r="AN61" s="822"/>
      <c r="AO61" s="863"/>
      <c r="AP61" s="909"/>
      <c r="AQ61" s="822"/>
      <c r="AR61" s="822"/>
      <c r="AS61" s="863"/>
      <c r="AT61" s="822"/>
      <c r="AU61" s="910"/>
      <c r="AV61" s="910"/>
      <c r="AW61" s="910"/>
      <c r="AX61" s="826">
        <f>AX60/AW60-1</f>
        <v>0.20564389159305341</v>
      </c>
      <c r="AY61" s="942">
        <f>AY60/AX60-1</f>
        <v>0.25431737436649948</v>
      </c>
      <c r="AZ61" s="943">
        <f>AZ60/AY60-1</f>
        <v>0.22175262025183651</v>
      </c>
      <c r="BA61" s="942">
        <f>BA60/AZ60-1</f>
        <v>0.14936817879635877</v>
      </c>
      <c r="BB61" s="942">
        <f>BB60/BA60-1</f>
        <v>9.2988614124190905E-2</v>
      </c>
      <c r="BC61" s="944"/>
      <c r="BD61" s="944"/>
      <c r="BE61" s="944"/>
    </row>
    <row r="62" spans="1:57" s="62" customFormat="1" ht="12" customHeight="1">
      <c r="A62" s="945" t="s">
        <v>130</v>
      </c>
      <c r="B62" s="946"/>
      <c r="C62" s="946"/>
      <c r="D62" s="946"/>
      <c r="E62" s="947"/>
      <c r="F62" s="946"/>
      <c r="G62" s="946"/>
      <c r="H62" s="946"/>
      <c r="I62" s="947"/>
      <c r="J62" s="946"/>
      <c r="K62" s="946"/>
      <c r="L62" s="946"/>
      <c r="M62" s="946"/>
      <c r="N62" s="948"/>
      <c r="O62" s="948"/>
      <c r="P62" s="948"/>
      <c r="Q62" s="948"/>
      <c r="R62" s="948"/>
      <c r="S62" s="948"/>
      <c r="T62" s="948"/>
      <c r="U62" s="948"/>
      <c r="V62" s="948"/>
      <c r="W62" s="948"/>
      <c r="X62" s="948"/>
      <c r="Y62" s="948"/>
      <c r="Z62" s="948"/>
      <c r="AA62" s="948"/>
      <c r="AB62" s="948"/>
      <c r="AC62" s="948"/>
      <c r="AD62" s="948"/>
      <c r="AE62" s="948"/>
      <c r="AF62" s="948"/>
      <c r="AG62" s="948"/>
      <c r="AH62" s="948"/>
      <c r="AI62" s="948"/>
      <c r="AJ62" s="948"/>
      <c r="AK62" s="948"/>
      <c r="AL62" s="948"/>
      <c r="AM62" s="948"/>
      <c r="AN62" s="948"/>
      <c r="AO62" s="948"/>
      <c r="AP62" s="948"/>
      <c r="AQ62" s="948"/>
      <c r="AR62" s="948"/>
      <c r="AS62" s="948"/>
      <c r="AT62" s="949"/>
      <c r="AU62" s="950"/>
      <c r="AV62" s="950"/>
      <c r="AW62" s="948"/>
      <c r="AX62" s="948"/>
      <c r="AY62" s="948"/>
      <c r="AZ62" s="948"/>
      <c r="BA62" s="948"/>
      <c r="BB62" s="948"/>
      <c r="BC62" s="948"/>
      <c r="BD62" s="948"/>
      <c r="BE62" s="948"/>
    </row>
    <row r="63" spans="1:57" s="62" customFormat="1" ht="12" customHeight="1">
      <c r="A63" s="951"/>
      <c r="B63" s="952"/>
      <c r="C63" s="952"/>
      <c r="D63" s="952"/>
      <c r="E63" s="798"/>
      <c r="F63" s="952"/>
      <c r="G63" s="952"/>
      <c r="H63" s="952"/>
      <c r="I63" s="798"/>
      <c r="J63" s="952"/>
      <c r="K63" s="952"/>
      <c r="L63" s="952"/>
      <c r="M63" s="952"/>
      <c r="N63" s="953"/>
      <c r="O63" s="953"/>
      <c r="P63" s="953"/>
      <c r="Q63" s="953"/>
      <c r="R63" s="953"/>
      <c r="S63" s="953"/>
      <c r="T63" s="953"/>
      <c r="U63" s="953"/>
      <c r="V63" s="953"/>
      <c r="W63" s="953"/>
      <c r="X63" s="953"/>
      <c r="Y63" s="953"/>
      <c r="Z63" s="953"/>
      <c r="AA63" s="953"/>
      <c r="AB63" s="953"/>
      <c r="AC63" s="953"/>
      <c r="AD63" s="953"/>
      <c r="AE63" s="953"/>
      <c r="AF63" s="953"/>
      <c r="AG63" s="953"/>
      <c r="AH63" s="953"/>
      <c r="AI63" s="953"/>
      <c r="AJ63" s="953"/>
      <c r="AK63" s="953"/>
      <c r="AL63" s="953"/>
      <c r="AM63" s="953"/>
      <c r="AN63" s="953"/>
      <c r="AO63" s="953"/>
      <c r="AP63" s="953"/>
      <c r="AQ63" s="953"/>
      <c r="AR63" s="953"/>
      <c r="AS63" s="953"/>
      <c r="AT63" s="949"/>
      <c r="AU63" s="954"/>
      <c r="AV63" s="954"/>
      <c r="AW63" s="953"/>
      <c r="AX63" s="953"/>
      <c r="AY63" s="953"/>
      <c r="AZ63" s="953"/>
      <c r="BA63" s="953"/>
      <c r="BB63" s="953"/>
      <c r="BC63" s="953"/>
      <c r="BD63" s="953"/>
      <c r="BE63" s="953"/>
    </row>
    <row r="64" spans="1:57" s="45" customFormat="1" ht="12" customHeight="1">
      <c r="A64" s="649"/>
      <c r="B64" s="1733">
        <f>'Income Statement'!B$3</f>
        <v>2017</v>
      </c>
      <c r="C64" s="1733"/>
      <c r="D64" s="1733"/>
      <c r="E64" s="1734"/>
      <c r="F64" s="1733">
        <f>'Income Statement'!F$3</f>
        <v>2018</v>
      </c>
      <c r="G64" s="1733"/>
      <c r="H64" s="1733"/>
      <c r="I64" s="1735"/>
      <c r="J64" s="1721">
        <f>'Income Statement'!J$3</f>
        <v>2019</v>
      </c>
      <c r="K64" s="1733"/>
      <c r="L64" s="1733"/>
      <c r="M64" s="1735"/>
      <c r="N64" s="1721">
        <f>'Income Statement'!N$3</f>
        <v>2020</v>
      </c>
      <c r="O64" s="1733"/>
      <c r="P64" s="1733"/>
      <c r="Q64" s="1735"/>
      <c r="R64" s="1721">
        <f>'Income Statement'!R$3</f>
        <v>2021</v>
      </c>
      <c r="S64" s="1733"/>
      <c r="T64" s="1733"/>
      <c r="U64" s="1735"/>
      <c r="V64" s="1721">
        <f>'Income Statement'!V$3</f>
        <v>2022</v>
      </c>
      <c r="W64" s="1733"/>
      <c r="X64" s="1733"/>
      <c r="Y64" s="1735"/>
      <c r="Z64" s="1721">
        <f>'Income Statement'!Z$3</f>
        <v>2023</v>
      </c>
      <c r="AA64" s="1733"/>
      <c r="AB64" s="1733"/>
      <c r="AC64" s="1735"/>
      <c r="AD64" s="1721">
        <f>'Income Statement'!AD$3</f>
        <v>2024</v>
      </c>
      <c r="AE64" s="1733"/>
      <c r="AF64" s="1733"/>
      <c r="AG64" s="1735"/>
      <c r="AH64" s="1721">
        <f>'Income Statement'!AH$3</f>
        <v>2025</v>
      </c>
      <c r="AI64" s="1733"/>
      <c r="AJ64" s="1733"/>
      <c r="AK64" s="1735"/>
      <c r="AL64" s="1721">
        <f>'Income Statement'!AL$3</f>
        <v>2026</v>
      </c>
      <c r="AM64" s="1733"/>
      <c r="AN64" s="1733"/>
      <c r="AO64" s="1735"/>
      <c r="AP64" s="1721">
        <f>'Income Statement'!AP$3</f>
        <v>2027</v>
      </c>
      <c r="AQ64" s="1733"/>
      <c r="AR64" s="1733"/>
      <c r="AS64" s="1735"/>
      <c r="AT64" s="955"/>
      <c r="AU64" s="652"/>
      <c r="AV64" s="750"/>
      <c r="AW64" s="750"/>
      <c r="AX64" s="750"/>
      <c r="AY64" s="750"/>
      <c r="AZ64" s="750"/>
      <c r="BA64" s="652"/>
      <c r="BB64" s="750"/>
      <c r="BC64" s="750"/>
      <c r="BD64" s="750"/>
      <c r="BE64" s="653"/>
    </row>
    <row r="65" spans="1:57" s="62" customFormat="1" ht="12" customHeight="1">
      <c r="A65" s="751" t="s">
        <v>202</v>
      </c>
      <c r="B65" s="65">
        <f>'Income Statement'!B$4</f>
        <v>42825</v>
      </c>
      <c r="C65" s="65">
        <f>'Income Statement'!C$4</f>
        <v>42916</v>
      </c>
      <c r="D65" s="65">
        <f>'Income Statement'!D$4</f>
        <v>43008</v>
      </c>
      <c r="E65" s="66">
        <f>'Income Statement'!E$4</f>
        <v>43100</v>
      </c>
      <c r="F65" s="65">
        <f>'Income Statement'!F$4</f>
        <v>43190</v>
      </c>
      <c r="G65" s="65">
        <f>'Income Statement'!G$4</f>
        <v>43281</v>
      </c>
      <c r="H65" s="65">
        <f>'Income Statement'!H$4</f>
        <v>43373</v>
      </c>
      <c r="I65" s="956">
        <f>'Income Statement'!I$4</f>
        <v>43465</v>
      </c>
      <c r="J65" s="957">
        <f>'Income Statement'!J$4</f>
        <v>43555</v>
      </c>
      <c r="K65" s="65">
        <f>'Income Statement'!K$4</f>
        <v>43646</v>
      </c>
      <c r="L65" s="65">
        <f>'Income Statement'!L$4</f>
        <v>43738</v>
      </c>
      <c r="M65" s="956">
        <f>'Income Statement'!M$4</f>
        <v>43830</v>
      </c>
      <c r="N65" s="957">
        <f>'Income Statement'!N$4</f>
        <v>43921</v>
      </c>
      <c r="O65" s="65">
        <f>'Income Statement'!O$4</f>
        <v>44012</v>
      </c>
      <c r="P65" s="65">
        <f>'Income Statement'!P$4</f>
        <v>44104</v>
      </c>
      <c r="Q65" s="956">
        <f>'Income Statement'!Q$4</f>
        <v>44196</v>
      </c>
      <c r="R65" s="958">
        <f>'Income Statement'!R$4</f>
        <v>44286</v>
      </c>
      <c r="S65" s="65">
        <f>'Income Statement'!S$4</f>
        <v>44377</v>
      </c>
      <c r="T65" s="48">
        <f>'Income Statement'!T$4</f>
        <v>44469</v>
      </c>
      <c r="U65" s="318">
        <f>'Income Statement'!U$4</f>
        <v>44561</v>
      </c>
      <c r="V65" s="958">
        <f>'Income Statement'!V$4</f>
        <v>44651</v>
      </c>
      <c r="W65" s="48">
        <f>'Income Statement'!W$4</f>
        <v>44742</v>
      </c>
      <c r="X65" s="48">
        <f>'Income Statement'!X$4</f>
        <v>44834</v>
      </c>
      <c r="Y65" s="318">
        <f>'Income Statement'!Y$4</f>
        <v>44926</v>
      </c>
      <c r="Z65" s="958">
        <f>'Income Statement'!Z$4</f>
        <v>45016</v>
      </c>
      <c r="AA65" s="48">
        <f>'Income Statement'!AA$4</f>
        <v>45107</v>
      </c>
      <c r="AB65" s="48">
        <f>'Income Statement'!AB$4</f>
        <v>45199</v>
      </c>
      <c r="AC65" s="318">
        <f>'Income Statement'!AC$4</f>
        <v>45291</v>
      </c>
      <c r="AD65" s="958">
        <f>'Income Statement'!AD$4</f>
        <v>45382</v>
      </c>
      <c r="AE65" s="48">
        <f>'Income Statement'!AE$4</f>
        <v>45473</v>
      </c>
      <c r="AF65" s="48" t="str">
        <f>'Income Statement'!AF$4</f>
        <v>Sep-24</v>
      </c>
      <c r="AG65" s="318" t="str">
        <f>'Income Statement'!AG$4</f>
        <v>Dec-24</v>
      </c>
      <c r="AH65" s="958" t="str">
        <f>'Income Statement'!AH$4</f>
        <v>Mar-25</v>
      </c>
      <c r="AI65" s="48" t="str">
        <f>'Income Statement'!AI$4</f>
        <v>Jun-25</v>
      </c>
      <c r="AJ65" s="48" t="str">
        <f>'Income Statement'!AJ$4</f>
        <v>Sep-25</v>
      </c>
      <c r="AK65" s="318" t="str">
        <f>'Income Statement'!AK$4</f>
        <v>Dec-25</v>
      </c>
      <c r="AL65" s="958" t="str">
        <f>'Income Statement'!AL$4</f>
        <v>Mar-26E</v>
      </c>
      <c r="AM65" s="48" t="str">
        <f>'Income Statement'!AM$4</f>
        <v>Jun-26E</v>
      </c>
      <c r="AN65" s="48" t="str">
        <f>'Income Statement'!AN$4</f>
        <v>Sep-26E</v>
      </c>
      <c r="AO65" s="318" t="str">
        <f>'Income Statement'!AO$4</f>
        <v>Dec-26E</v>
      </c>
      <c r="AP65" s="958" t="str">
        <f>'Income Statement'!AP$4</f>
        <v>Mar-27E</v>
      </c>
      <c r="AQ65" s="48" t="str">
        <f>'Income Statement'!AQ$4</f>
        <v>Jun-27E</v>
      </c>
      <c r="AR65" s="48" t="str">
        <f>'Income Statement'!AR$4</f>
        <v>Sep-27E</v>
      </c>
      <c r="AS65" s="318" t="str">
        <f>'Income Statement'!AS$4</f>
        <v>Dec-27E</v>
      </c>
      <c r="AT65" s="958"/>
      <c r="AU65" s="959">
        <f>'Income Statement'!AU$4</f>
        <v>2017</v>
      </c>
      <c r="AV65" s="907">
        <f>'Income Statement'!AV$4</f>
        <v>2018</v>
      </c>
      <c r="AW65" s="906">
        <f>'Income Statement'!AW$4</f>
        <v>2019</v>
      </c>
      <c r="AX65" s="842">
        <f>'Income Statement'!AX$4</f>
        <v>2020</v>
      </c>
      <c r="AY65" s="61" t="str">
        <f>'Income Statement'!AY$4</f>
        <v>CY21</v>
      </c>
      <c r="AZ65" s="906" t="str">
        <f>'Income Statement'!AZ$4</f>
        <v>CY22</v>
      </c>
      <c r="BA65" s="61" t="str">
        <f>'Income Statement'!BA$4</f>
        <v>CY23</v>
      </c>
      <c r="BB65" s="907" t="str">
        <f>'Income Statement'!BB$4</f>
        <v>CY24</v>
      </c>
      <c r="BC65" s="907" t="str">
        <f>'Income Statement'!BC$4</f>
        <v>CY25</v>
      </c>
      <c r="BD65" s="907" t="str">
        <f>'Income Statement'!BD$4</f>
        <v>CY26E</v>
      </c>
      <c r="BE65" s="907" t="str">
        <f>'Income Statement'!BE$4</f>
        <v>CY27E</v>
      </c>
    </row>
    <row r="66" spans="1:57" s="62" customFormat="1" ht="12" customHeight="1">
      <c r="A66" s="960" t="s">
        <v>203</v>
      </c>
      <c r="B66" s="961"/>
      <c r="C66" s="961"/>
      <c r="D66" s="961"/>
      <c r="E66" s="962">
        <v>24000</v>
      </c>
      <c r="F66" s="963">
        <v>25000</v>
      </c>
      <c r="G66" s="963"/>
      <c r="H66" s="963"/>
      <c r="I66" s="962">
        <v>27000</v>
      </c>
      <c r="J66" s="964"/>
      <c r="K66" s="963"/>
      <c r="L66" s="963"/>
      <c r="M66" s="962">
        <v>30000</v>
      </c>
      <c r="N66" s="964"/>
      <c r="O66" s="963"/>
      <c r="P66" s="963"/>
      <c r="Q66" s="965">
        <v>30000</v>
      </c>
      <c r="R66" s="966"/>
      <c r="S66" s="961"/>
      <c r="T66" s="967" t="s">
        <v>204</v>
      </c>
      <c r="U66" s="968">
        <v>40000</v>
      </c>
      <c r="V66" s="969">
        <v>40000</v>
      </c>
      <c r="W66" s="967"/>
      <c r="X66" s="967"/>
      <c r="Y66" s="968">
        <v>43000</v>
      </c>
      <c r="Z66" s="967">
        <v>43000</v>
      </c>
      <c r="AA66" s="967">
        <v>43000</v>
      </c>
      <c r="AB66" s="967">
        <v>43000</v>
      </c>
      <c r="AC66" s="968">
        <v>44000</v>
      </c>
      <c r="AD66" s="970">
        <v>44000</v>
      </c>
      <c r="AE66" s="967">
        <v>44000</v>
      </c>
      <c r="AF66" s="967">
        <v>44000</v>
      </c>
      <c r="AG66" s="967">
        <v>44000</v>
      </c>
      <c r="AH66" s="971">
        <v>44000</v>
      </c>
      <c r="AI66" s="967">
        <v>44000</v>
      </c>
      <c r="AJ66" s="967">
        <v>44000</v>
      </c>
      <c r="AK66" s="967">
        <v>44000</v>
      </c>
      <c r="AL66" s="970"/>
      <c r="AM66" s="967"/>
      <c r="AN66" s="967"/>
      <c r="AO66" s="968"/>
      <c r="AP66" s="970"/>
      <c r="AQ66" s="967"/>
      <c r="AR66" s="967"/>
      <c r="AS66" s="968"/>
      <c r="AT66" s="972"/>
      <c r="AU66" s="973">
        <f>E66</f>
        <v>24000</v>
      </c>
      <c r="AV66" s="974">
        <f>I66</f>
        <v>27000</v>
      </c>
      <c r="AW66" s="974">
        <f>M66</f>
        <v>30000</v>
      </c>
      <c r="AX66" s="974">
        <f>Q66</f>
        <v>30000</v>
      </c>
      <c r="AY66" s="975">
        <f>U66</f>
        <v>40000</v>
      </c>
      <c r="AZ66" s="976">
        <f>Y66</f>
        <v>43000</v>
      </c>
      <c r="BA66" s="975">
        <f>AC66</f>
        <v>44000</v>
      </c>
      <c r="BB66" s="975">
        <f>AG66</f>
        <v>44000</v>
      </c>
      <c r="BC66" s="977"/>
      <c r="BD66" s="977"/>
      <c r="BE66" s="977"/>
    </row>
    <row r="67" spans="1:57" s="987" customFormat="1" ht="12" customHeight="1">
      <c r="A67" s="797" t="s">
        <v>117</v>
      </c>
      <c r="B67" s="978"/>
      <c r="C67" s="978"/>
      <c r="D67" s="978"/>
      <c r="E67" s="889">
        <f>E66/21000-1</f>
        <v>0.14285714285714279</v>
      </c>
      <c r="F67" s="978"/>
      <c r="G67" s="978"/>
      <c r="H67" s="978"/>
      <c r="I67" s="889">
        <f>I66/E66-1</f>
        <v>0.125</v>
      </c>
      <c r="J67" s="978"/>
      <c r="K67" s="978"/>
      <c r="L67" s="978"/>
      <c r="M67" s="889">
        <f>M66/I66-1</f>
        <v>0.11111111111111116</v>
      </c>
      <c r="N67" s="978"/>
      <c r="O67" s="978"/>
      <c r="P67" s="978"/>
      <c r="Q67" s="889"/>
      <c r="R67" s="978"/>
      <c r="S67" s="978"/>
      <c r="T67" s="798"/>
      <c r="U67" s="979">
        <f>U66/Q66-1</f>
        <v>0.33333333333333326</v>
      </c>
      <c r="V67" s="980"/>
      <c r="W67" s="981"/>
      <c r="X67" s="981"/>
      <c r="Y67" s="979">
        <f>Y66/U66-1</f>
        <v>7.4999999999999956E-2</v>
      </c>
      <c r="Z67" s="980">
        <f>Z66/V66-1</f>
        <v>7.4999999999999956E-2</v>
      </c>
      <c r="AA67" s="981"/>
      <c r="AB67" s="981"/>
      <c r="AC67" s="979"/>
      <c r="AD67" s="980"/>
      <c r="AE67" s="981"/>
      <c r="AF67" s="981"/>
      <c r="AG67" s="982"/>
      <c r="AH67" s="980"/>
      <c r="AI67" s="981"/>
      <c r="AJ67" s="981"/>
      <c r="AK67" s="982"/>
      <c r="AL67" s="980"/>
      <c r="AM67" s="981"/>
      <c r="AN67" s="981"/>
      <c r="AO67" s="979"/>
      <c r="AP67" s="980"/>
      <c r="AQ67" s="981"/>
      <c r="AR67" s="981"/>
      <c r="AS67" s="979"/>
      <c r="AT67" s="983"/>
      <c r="AU67" s="889">
        <f>AU66/21000-1</f>
        <v>0.14285714285714279</v>
      </c>
      <c r="AV67" s="984">
        <f t="shared" ref="AV67:BB67" si="107">AV66/AU66-1</f>
        <v>0.125</v>
      </c>
      <c r="AW67" s="984">
        <f t="shared" si="107"/>
        <v>0.11111111111111116</v>
      </c>
      <c r="AX67" s="984">
        <f t="shared" si="107"/>
        <v>0</v>
      </c>
      <c r="AY67" s="984">
        <f t="shared" si="107"/>
        <v>0.33333333333333326</v>
      </c>
      <c r="AZ67" s="985">
        <f t="shared" si="107"/>
        <v>7.4999999999999956E-2</v>
      </c>
      <c r="BA67" s="984">
        <f t="shared" si="107"/>
        <v>2.3255813953488413E-2</v>
      </c>
      <c r="BB67" s="984">
        <f t="shared" si="107"/>
        <v>0</v>
      </c>
      <c r="BC67" s="986"/>
      <c r="BD67" s="986"/>
      <c r="BE67" s="986"/>
    </row>
    <row r="68" spans="1:57" s="938" customFormat="1" ht="12" customHeight="1">
      <c r="A68" s="988" t="s">
        <v>205</v>
      </c>
      <c r="B68" s="989"/>
      <c r="C68" s="989"/>
      <c r="D68" s="989"/>
      <c r="E68" s="889">
        <v>0.53</v>
      </c>
      <c r="F68" s="989"/>
      <c r="G68" s="989"/>
      <c r="H68" s="989"/>
      <c r="I68" s="889">
        <v>0.57999999999999996</v>
      </c>
      <c r="J68" s="989"/>
      <c r="K68" s="989"/>
      <c r="L68" s="989"/>
      <c r="M68" s="990" t="s">
        <v>206</v>
      </c>
      <c r="N68" s="989"/>
      <c r="O68" s="989"/>
      <c r="P68" s="989"/>
      <c r="Q68" s="990" t="s">
        <v>206</v>
      </c>
      <c r="R68" s="989"/>
      <c r="S68" s="989"/>
      <c r="T68" s="989"/>
      <c r="U68" s="990" t="s">
        <v>207</v>
      </c>
      <c r="V68" s="989"/>
      <c r="W68" s="989"/>
      <c r="X68" s="989"/>
      <c r="Y68" s="990" t="s">
        <v>207</v>
      </c>
      <c r="Z68" s="989" t="s">
        <v>207</v>
      </c>
      <c r="AA68" s="989" t="s">
        <v>207</v>
      </c>
      <c r="AB68" s="989" t="s">
        <v>207</v>
      </c>
      <c r="AC68" s="991">
        <v>0.65</v>
      </c>
      <c r="AD68" s="992">
        <v>0.65</v>
      </c>
      <c r="AE68" s="992">
        <v>0.65</v>
      </c>
      <c r="AF68" s="992">
        <v>0.65</v>
      </c>
      <c r="AG68" s="993">
        <v>0.65</v>
      </c>
      <c r="AH68" s="992"/>
      <c r="AI68" s="992"/>
      <c r="AJ68" s="989"/>
      <c r="AK68" s="993"/>
      <c r="AL68" s="989"/>
      <c r="AM68" s="989"/>
      <c r="AN68" s="989"/>
      <c r="AO68" s="990"/>
      <c r="AP68" s="989"/>
      <c r="AQ68" s="989"/>
      <c r="AR68" s="989"/>
      <c r="AS68" s="990"/>
      <c r="AT68" s="994"/>
      <c r="AU68" s="995">
        <f>E68</f>
        <v>0.53</v>
      </c>
      <c r="AV68" s="984">
        <f>I68</f>
        <v>0.57999999999999996</v>
      </c>
      <c r="AW68" s="984" t="str">
        <f t="shared" ref="AW68:AW69" si="108">M68</f>
        <v>&gt;50%</v>
      </c>
      <c r="AX68" s="984" t="str">
        <f t="shared" ref="AX68:AX69" si="109">Q68</f>
        <v>&gt;50%</v>
      </c>
      <c r="AY68" s="984" t="str">
        <f t="shared" ref="AY68:AY69" si="110">U68</f>
        <v>~60%</v>
      </c>
      <c r="AZ68" s="985" t="str">
        <f t="shared" ref="AZ68:AZ69" si="111">Y68</f>
        <v>~60%</v>
      </c>
      <c r="BA68" s="996">
        <f t="shared" ref="BA68:BA69" si="112">AC68</f>
        <v>0.65</v>
      </c>
      <c r="BB68" s="996">
        <f>AG68</f>
        <v>0.65</v>
      </c>
      <c r="BC68" s="997"/>
      <c r="BD68" s="997"/>
      <c r="BE68" s="997"/>
    </row>
    <row r="69" spans="1:57" s="62" customFormat="1" ht="12" customHeight="1">
      <c r="A69" s="998" t="s">
        <v>208</v>
      </c>
      <c r="B69" s="978"/>
      <c r="C69" s="978"/>
      <c r="D69" s="978"/>
      <c r="E69" s="889">
        <v>0.28999999999999998</v>
      </c>
      <c r="F69" s="978"/>
      <c r="G69" s="978"/>
      <c r="H69" s="978"/>
      <c r="I69" s="889">
        <v>0.32</v>
      </c>
      <c r="J69" s="978"/>
      <c r="K69" s="978"/>
      <c r="L69" s="978"/>
      <c r="M69" s="889" t="s">
        <v>209</v>
      </c>
      <c r="N69" s="978"/>
      <c r="O69" s="978"/>
      <c r="P69" s="978"/>
      <c r="Q69" s="889" t="s">
        <v>209</v>
      </c>
      <c r="R69" s="978"/>
      <c r="S69" s="978"/>
      <c r="T69" s="798"/>
      <c r="U69" s="890" t="s">
        <v>210</v>
      </c>
      <c r="V69" s="999"/>
      <c r="W69" s="48"/>
      <c r="X69" s="48"/>
      <c r="Y69" s="890" t="s">
        <v>210</v>
      </c>
      <c r="Z69" s="798" t="s">
        <v>210</v>
      </c>
      <c r="AA69" s="767" t="s">
        <v>210</v>
      </c>
      <c r="AB69" s="767" t="s">
        <v>210</v>
      </c>
      <c r="AC69" s="991">
        <v>0.5</v>
      </c>
      <c r="AD69" s="992">
        <v>0.5</v>
      </c>
      <c r="AE69" s="992">
        <v>0.5</v>
      </c>
      <c r="AF69" s="992">
        <v>0.5</v>
      </c>
      <c r="AG69" s="993">
        <v>0.5</v>
      </c>
      <c r="AH69" s="992"/>
      <c r="AI69" s="992"/>
      <c r="AJ69" s="48"/>
      <c r="AK69" s="993"/>
      <c r="AL69" s="48"/>
      <c r="AM69" s="48"/>
      <c r="AN69" s="48"/>
      <c r="AO69" s="50"/>
      <c r="AP69" s="48"/>
      <c r="AQ69" s="48"/>
      <c r="AR69" s="48"/>
      <c r="AS69" s="50"/>
      <c r="AT69" s="50"/>
      <c r="AU69" s="995">
        <f>E69</f>
        <v>0.28999999999999998</v>
      </c>
      <c r="AV69" s="984">
        <f>I69</f>
        <v>0.32</v>
      </c>
      <c r="AW69" s="984" t="str">
        <f t="shared" si="108"/>
        <v>&gt;30%</v>
      </c>
      <c r="AX69" s="984" t="str">
        <f t="shared" si="109"/>
        <v>&gt;30%</v>
      </c>
      <c r="AY69" s="984" t="str">
        <f t="shared" si="110"/>
        <v>~40%</v>
      </c>
      <c r="AZ69" s="985" t="str">
        <f t="shared" si="111"/>
        <v>~40%</v>
      </c>
      <c r="BA69" s="996">
        <f t="shared" si="112"/>
        <v>0.5</v>
      </c>
      <c r="BB69" s="996">
        <f>AG69</f>
        <v>0.5</v>
      </c>
      <c r="BC69" s="907"/>
      <c r="BD69" s="907"/>
      <c r="BE69" s="907"/>
    </row>
    <row r="70" spans="1:57" s="62" customFormat="1" ht="12" customHeight="1">
      <c r="A70" s="998"/>
      <c r="B70" s="978"/>
      <c r="C70" s="978"/>
      <c r="D70" s="978"/>
      <c r="E70" s="889"/>
      <c r="F70" s="978"/>
      <c r="G70" s="978"/>
      <c r="H70" s="978"/>
      <c r="I70" s="889"/>
      <c r="J70" s="978"/>
      <c r="K70" s="978"/>
      <c r="L70" s="978"/>
      <c r="M70" s="889"/>
      <c r="N70" s="978"/>
      <c r="O70" s="978"/>
      <c r="P70" s="978"/>
      <c r="Q70" s="889"/>
      <c r="R70" s="978"/>
      <c r="S70" s="978"/>
      <c r="T70" s="798"/>
      <c r="U70" s="890"/>
      <c r="V70" s="999"/>
      <c r="W70" s="48"/>
      <c r="X70" s="48"/>
      <c r="Y70" s="890"/>
      <c r="Z70" s="48"/>
      <c r="AA70" s="48"/>
      <c r="AB70" s="48"/>
      <c r="AC70" s="50"/>
      <c r="AD70" s="48"/>
      <c r="AE70" s="48"/>
      <c r="AF70" s="48"/>
      <c r="AG70" s="50"/>
      <c r="AH70" s="48"/>
      <c r="AI70" s="48"/>
      <c r="AJ70" s="48"/>
      <c r="AK70" s="50"/>
      <c r="AL70" s="48"/>
      <c r="AM70" s="48"/>
      <c r="AN70" s="48"/>
      <c r="AO70" s="50"/>
      <c r="AP70" s="48"/>
      <c r="AQ70" s="48"/>
      <c r="AR70" s="48"/>
      <c r="AS70" s="50"/>
      <c r="AT70" s="50"/>
      <c r="AU70" s="984"/>
      <c r="AV70" s="995"/>
      <c r="AW70" s="999"/>
      <c r="AX70" s="985"/>
      <c r="AY70" s="984"/>
      <c r="AZ70" s="999"/>
      <c r="BA70" s="61"/>
      <c r="BB70" s="61"/>
      <c r="BC70" s="56"/>
      <c r="BD70" s="56"/>
      <c r="BE70" s="56"/>
    </row>
    <row r="71" spans="1:57" s="62" customFormat="1" ht="12" customHeight="1">
      <c r="A71" s="960" t="s">
        <v>211</v>
      </c>
      <c r="B71" s="978"/>
      <c r="C71" s="978"/>
      <c r="D71" s="978"/>
      <c r="E71" s="1000">
        <v>4400</v>
      </c>
      <c r="F71" s="1001">
        <f t="shared" ref="F71:AK71" si="113">E71+F73</f>
        <v>4701</v>
      </c>
      <c r="G71" s="1000">
        <f t="shared" si="113"/>
        <v>4983</v>
      </c>
      <c r="H71" s="1000">
        <f t="shared" si="113"/>
        <v>5241</v>
      </c>
      <c r="I71" s="1000">
        <f t="shared" si="113"/>
        <v>5578</v>
      </c>
      <c r="J71" s="1001">
        <f t="shared" si="113"/>
        <v>5889</v>
      </c>
      <c r="K71" s="1000">
        <f t="shared" si="113"/>
        <v>6241</v>
      </c>
      <c r="L71" s="1000">
        <f t="shared" si="113"/>
        <v>6628</v>
      </c>
      <c r="M71" s="1000">
        <f t="shared" si="113"/>
        <v>7089</v>
      </c>
      <c r="N71" s="1001">
        <f t="shared" si="113"/>
        <v>7408</v>
      </c>
      <c r="O71" s="1000">
        <f t="shared" si="113"/>
        <v>7749</v>
      </c>
      <c r="P71" s="1000">
        <f t="shared" si="113"/>
        <v>8084</v>
      </c>
      <c r="Q71" s="1000">
        <f t="shared" si="113"/>
        <v>8544</v>
      </c>
      <c r="R71" s="1001">
        <f t="shared" si="113"/>
        <v>8875</v>
      </c>
      <c r="S71" s="1000">
        <f t="shared" si="113"/>
        <v>9365</v>
      </c>
      <c r="T71" s="1000">
        <f t="shared" si="113"/>
        <v>9864</v>
      </c>
      <c r="U71" s="1002">
        <f t="shared" si="113"/>
        <v>10426</v>
      </c>
      <c r="V71" s="1001">
        <f t="shared" si="113"/>
        <v>10885</v>
      </c>
      <c r="W71" s="1000">
        <f t="shared" si="113"/>
        <v>11425</v>
      </c>
      <c r="X71" s="1000">
        <f t="shared" si="113"/>
        <v>11933</v>
      </c>
      <c r="Y71" s="1002">
        <f t="shared" si="113"/>
        <v>12504</v>
      </c>
      <c r="Z71" s="1001">
        <f t="shared" si="113"/>
        <v>12883</v>
      </c>
      <c r="AA71" s="1000">
        <f t="shared" si="113"/>
        <v>13309</v>
      </c>
      <c r="AB71" s="1000">
        <f t="shared" si="113"/>
        <v>13695</v>
      </c>
      <c r="AC71" s="1002">
        <f t="shared" si="113"/>
        <v>14292</v>
      </c>
      <c r="AD71" s="1003">
        <f t="shared" si="113"/>
        <v>14702</v>
      </c>
      <c r="AE71" s="1004">
        <f t="shared" si="113"/>
        <v>15110</v>
      </c>
      <c r="AF71" s="1004">
        <f t="shared" si="113"/>
        <v>15496</v>
      </c>
      <c r="AG71" s="1005">
        <f t="shared" si="113"/>
        <v>15981</v>
      </c>
      <c r="AH71" s="1003">
        <f t="shared" si="113"/>
        <v>16342</v>
      </c>
      <c r="AI71" s="1004">
        <f t="shared" si="113"/>
        <v>16709</v>
      </c>
      <c r="AJ71" s="1004">
        <f t="shared" si="113"/>
        <v>17146</v>
      </c>
      <c r="AK71" s="1005">
        <f t="shared" si="113"/>
        <v>17631</v>
      </c>
      <c r="AL71" s="48"/>
      <c r="AM71" s="48"/>
      <c r="AN71" s="48"/>
      <c r="AO71" s="50"/>
      <c r="AP71" s="48"/>
      <c r="AQ71" s="48"/>
      <c r="AR71" s="48"/>
      <c r="AS71" s="50"/>
      <c r="AT71" s="50"/>
      <c r="AU71" s="1006">
        <f>E71</f>
        <v>4400</v>
      </c>
      <c r="AV71" s="1007">
        <f>I71</f>
        <v>5578</v>
      </c>
      <c r="AW71" s="1007">
        <f>M71</f>
        <v>7089</v>
      </c>
      <c r="AX71" s="1007">
        <f>Q71</f>
        <v>8544</v>
      </c>
      <c r="AY71" s="1007">
        <f>U71</f>
        <v>10426</v>
      </c>
      <c r="AZ71" s="1008">
        <f>Y71</f>
        <v>12504</v>
      </c>
      <c r="BA71" s="1009">
        <f>AC71</f>
        <v>14292</v>
      </c>
      <c r="BB71" s="1009">
        <f>AG71</f>
        <v>15981</v>
      </c>
      <c r="BC71" s="56"/>
      <c r="BD71" s="56"/>
      <c r="BE71" s="56"/>
    </row>
    <row r="72" spans="1:57" s="987" customFormat="1" ht="12" customHeight="1">
      <c r="A72" s="797" t="s">
        <v>117</v>
      </c>
      <c r="B72" s="798"/>
      <c r="C72" s="798"/>
      <c r="D72" s="798"/>
      <c r="E72" s="889">
        <f>E71/3100-1</f>
        <v>0.41935483870967749</v>
      </c>
      <c r="F72" s="798"/>
      <c r="G72" s="798"/>
      <c r="H72" s="798"/>
      <c r="I72" s="889">
        <f>I71/E71-1</f>
        <v>0.26772727272727281</v>
      </c>
      <c r="J72" s="798">
        <f t="shared" ref="J72:AK72" si="114">J71/F71-1</f>
        <v>0.25271218889597957</v>
      </c>
      <c r="K72" s="798">
        <f t="shared" si="114"/>
        <v>0.2524583584186233</v>
      </c>
      <c r="L72" s="798">
        <f t="shared" si="114"/>
        <v>0.26464415187941226</v>
      </c>
      <c r="M72" s="890">
        <f t="shared" si="114"/>
        <v>0.27088562208676947</v>
      </c>
      <c r="N72" s="798">
        <f t="shared" si="114"/>
        <v>0.25793852946170825</v>
      </c>
      <c r="O72" s="798">
        <f t="shared" si="114"/>
        <v>0.24162794423970513</v>
      </c>
      <c r="P72" s="798">
        <f t="shared" si="114"/>
        <v>0.21967410983705493</v>
      </c>
      <c r="Q72" s="890">
        <f t="shared" si="114"/>
        <v>0.20524756665256039</v>
      </c>
      <c r="R72" s="798">
        <f t="shared" si="114"/>
        <v>0.19802915766738671</v>
      </c>
      <c r="S72" s="978">
        <f t="shared" si="114"/>
        <v>0.20854303781133043</v>
      </c>
      <c r="T72" s="978">
        <f t="shared" si="114"/>
        <v>0.22018802572983676</v>
      </c>
      <c r="U72" s="890">
        <f t="shared" si="114"/>
        <v>0.22027153558052426</v>
      </c>
      <c r="V72" s="798">
        <f t="shared" si="114"/>
        <v>0.22647887323943672</v>
      </c>
      <c r="W72" s="978">
        <f t="shared" si="114"/>
        <v>0.21996796583021894</v>
      </c>
      <c r="X72" s="978">
        <f t="shared" si="114"/>
        <v>0.20975263584752635</v>
      </c>
      <c r="Y72" s="890">
        <f t="shared" si="114"/>
        <v>0.19930941876079022</v>
      </c>
      <c r="Z72" s="798">
        <f t="shared" si="114"/>
        <v>0.18355535140101065</v>
      </c>
      <c r="AA72" s="978">
        <f t="shared" si="114"/>
        <v>0.16490153172866528</v>
      </c>
      <c r="AB72" s="978">
        <f t="shared" si="114"/>
        <v>0.14765775580323481</v>
      </c>
      <c r="AC72" s="890">
        <f t="shared" si="114"/>
        <v>0.14299424184261045</v>
      </c>
      <c r="AD72" s="798">
        <f t="shared" si="114"/>
        <v>0.14119382131491109</v>
      </c>
      <c r="AE72" s="798">
        <f t="shared" si="114"/>
        <v>0.1353219625817117</v>
      </c>
      <c r="AF72" s="798">
        <f t="shared" si="114"/>
        <v>0.13150784958013872</v>
      </c>
      <c r="AG72" s="890">
        <f t="shared" si="114"/>
        <v>0.11817800167926107</v>
      </c>
      <c r="AH72" s="798">
        <f t="shared" si="114"/>
        <v>0.11154944905455033</v>
      </c>
      <c r="AI72" s="798">
        <f t="shared" si="114"/>
        <v>0.10582395764394437</v>
      </c>
      <c r="AJ72" s="798">
        <f t="shared" si="114"/>
        <v>0.10647909137842015</v>
      </c>
      <c r="AK72" s="890">
        <f t="shared" si="114"/>
        <v>0.10324760653275766</v>
      </c>
      <c r="AL72" s="1010"/>
      <c r="AM72" s="1010"/>
      <c r="AN72" s="1010"/>
      <c r="AO72" s="1011"/>
      <c r="AP72" s="1010"/>
      <c r="AQ72" s="1010"/>
      <c r="AR72" s="1010"/>
      <c r="AS72" s="1011"/>
      <c r="AT72" s="1011"/>
      <c r="AU72" s="889">
        <f>AU71/3100-1</f>
        <v>0.41935483870967749</v>
      </c>
      <c r="AV72" s="1012">
        <f>AV71/AU71-1</f>
        <v>0.26772727272727281</v>
      </c>
      <c r="AW72" s="1013">
        <f t="shared" ref="AW72:BA72" si="115">AW71/AV71-1</f>
        <v>0.27088562208676947</v>
      </c>
      <c r="AX72" s="985">
        <f t="shared" si="115"/>
        <v>0.20524756665256039</v>
      </c>
      <c r="AY72" s="984">
        <f t="shared" si="115"/>
        <v>0.22027153558052426</v>
      </c>
      <c r="AZ72" s="985">
        <f t="shared" si="115"/>
        <v>0.19930941876079022</v>
      </c>
      <c r="BA72" s="984">
        <f t="shared" si="115"/>
        <v>0.14299424184261045</v>
      </c>
      <c r="BB72" s="984">
        <f>BB71/BA71-1</f>
        <v>0.11817800167926107</v>
      </c>
      <c r="BC72" s="1014"/>
      <c r="BD72" s="1014"/>
      <c r="BE72" s="1014"/>
    </row>
    <row r="73" spans="1:57" s="62" customFormat="1" ht="12" customHeight="1">
      <c r="A73" s="1015" t="s">
        <v>212</v>
      </c>
      <c r="B73" s="798"/>
      <c r="C73" s="798"/>
      <c r="D73" s="798"/>
      <c r="E73" s="890"/>
      <c r="F73" s="1016">
        <v>301</v>
      </c>
      <c r="G73" s="1016">
        <v>282</v>
      </c>
      <c r="H73" s="1016">
        <v>258</v>
      </c>
      <c r="I73" s="1017">
        <v>337</v>
      </c>
      <c r="J73" s="1016">
        <v>311</v>
      </c>
      <c r="K73" s="1016">
        <v>352</v>
      </c>
      <c r="L73" s="1016">
        <v>387</v>
      </c>
      <c r="M73" s="1017">
        <v>461</v>
      </c>
      <c r="N73" s="1016">
        <v>319</v>
      </c>
      <c r="O73" s="1018">
        <v>341</v>
      </c>
      <c r="P73" s="1016">
        <v>335</v>
      </c>
      <c r="Q73" s="1017">
        <v>460</v>
      </c>
      <c r="R73" s="1016">
        <v>331</v>
      </c>
      <c r="S73" s="1018">
        <v>490</v>
      </c>
      <c r="T73" s="1018">
        <v>499</v>
      </c>
      <c r="U73" s="1017">
        <v>562</v>
      </c>
      <c r="V73" s="1016">
        <v>459</v>
      </c>
      <c r="W73" s="1018">
        <v>540</v>
      </c>
      <c r="X73" s="1018">
        <v>508</v>
      </c>
      <c r="Y73" s="1017">
        <v>571</v>
      </c>
      <c r="Z73" s="1016">
        <v>379</v>
      </c>
      <c r="AA73" s="1018">
        <v>426</v>
      </c>
      <c r="AB73" s="1018">
        <v>386</v>
      </c>
      <c r="AC73" s="1017">
        <v>597</v>
      </c>
      <c r="AD73" s="1016">
        <v>410</v>
      </c>
      <c r="AE73" s="1016">
        <v>408</v>
      </c>
      <c r="AF73" s="1016">
        <v>386</v>
      </c>
      <c r="AG73" s="1017">
        <v>485</v>
      </c>
      <c r="AH73" s="1016">
        <v>361</v>
      </c>
      <c r="AI73" s="1016">
        <v>367</v>
      </c>
      <c r="AJ73" s="1016">
        <v>437</v>
      </c>
      <c r="AK73" s="1017">
        <v>485</v>
      </c>
      <c r="AL73" s="48"/>
      <c r="AM73" s="48"/>
      <c r="AN73" s="48"/>
      <c r="AO73" s="50"/>
      <c r="AP73" s="48"/>
      <c r="AQ73" s="48"/>
      <c r="AR73" s="48"/>
      <c r="AS73" s="50"/>
      <c r="AT73" s="50"/>
      <c r="AU73" s="1019">
        <v>1017</v>
      </c>
      <c r="AV73" s="1020">
        <f>AV71-AU71</f>
        <v>1178</v>
      </c>
      <c r="AW73" s="1020">
        <f t="shared" ref="AW73:AY73" si="116">AW71-AV71</f>
        <v>1511</v>
      </c>
      <c r="AX73" s="1020">
        <f t="shared" si="116"/>
        <v>1455</v>
      </c>
      <c r="AY73" s="1020">
        <f t="shared" si="116"/>
        <v>1882</v>
      </c>
      <c r="AZ73" s="1021">
        <f>AZ71-AY71</f>
        <v>2078</v>
      </c>
      <c r="BA73" s="1022">
        <f>BA71-AZ71</f>
        <v>1788</v>
      </c>
      <c r="BB73" s="1022">
        <f>BB71-BA71</f>
        <v>1689</v>
      </c>
      <c r="BC73" s="56"/>
      <c r="BD73" s="56"/>
      <c r="BE73" s="56"/>
    </row>
    <row r="74" spans="1:57" s="987" customFormat="1" ht="12" customHeight="1">
      <c r="A74" s="1023" t="s">
        <v>117</v>
      </c>
      <c r="B74" s="978"/>
      <c r="C74" s="978"/>
      <c r="D74" s="978"/>
      <c r="E74" s="889"/>
      <c r="F74" s="978"/>
      <c r="G74" s="978"/>
      <c r="H74" s="978"/>
      <c r="I74" s="889"/>
      <c r="J74" s="978">
        <f t="shared" ref="J74:L74" si="117">J73/F73-1</f>
        <v>3.3222591362126241E-2</v>
      </c>
      <c r="K74" s="978">
        <f t="shared" si="117"/>
        <v>0.24822695035460995</v>
      </c>
      <c r="L74" s="978">
        <f t="shared" si="117"/>
        <v>0.5</v>
      </c>
      <c r="M74" s="889">
        <f>M73/I73-1</f>
        <v>0.36795252225519293</v>
      </c>
      <c r="N74" s="978">
        <f t="shared" ref="N74:AK74" si="118">N73/J73-1</f>
        <v>2.5723472668810254E-2</v>
      </c>
      <c r="O74" s="978">
        <f t="shared" si="118"/>
        <v>-3.125E-2</v>
      </c>
      <c r="P74" s="978">
        <f t="shared" si="118"/>
        <v>-0.13436692506459946</v>
      </c>
      <c r="Q74" s="889">
        <f t="shared" si="118"/>
        <v>-2.1691973969630851E-3</v>
      </c>
      <c r="R74" s="978">
        <f t="shared" si="118"/>
        <v>3.7617554858934144E-2</v>
      </c>
      <c r="S74" s="978">
        <f t="shared" si="118"/>
        <v>0.43695014662756604</v>
      </c>
      <c r="T74" s="978">
        <f t="shared" si="118"/>
        <v>0.4895522388059701</v>
      </c>
      <c r="U74" s="890">
        <f t="shared" si="118"/>
        <v>0.22173913043478266</v>
      </c>
      <c r="V74" s="978">
        <f t="shared" si="118"/>
        <v>0.38670694864048349</v>
      </c>
      <c r="W74" s="978">
        <f t="shared" si="118"/>
        <v>0.1020408163265305</v>
      </c>
      <c r="X74" s="978">
        <f t="shared" si="118"/>
        <v>1.8036072144288484E-2</v>
      </c>
      <c r="Y74" s="890">
        <f t="shared" si="118"/>
        <v>1.6014234875444844E-2</v>
      </c>
      <c r="Z74" s="978">
        <f t="shared" si="118"/>
        <v>-0.17429193899782136</v>
      </c>
      <c r="AA74" s="978">
        <f t="shared" si="118"/>
        <v>-0.21111111111111114</v>
      </c>
      <c r="AB74" s="978">
        <f t="shared" si="118"/>
        <v>-0.24015748031496065</v>
      </c>
      <c r="AC74" s="890">
        <f t="shared" si="118"/>
        <v>4.5534150612959623E-2</v>
      </c>
      <c r="AD74" s="798">
        <f t="shared" si="118"/>
        <v>8.1794195250659563E-2</v>
      </c>
      <c r="AE74" s="798">
        <f t="shared" si="118"/>
        <v>-4.2253521126760618E-2</v>
      </c>
      <c r="AF74" s="798">
        <f t="shared" si="118"/>
        <v>0</v>
      </c>
      <c r="AG74" s="890">
        <f t="shared" si="118"/>
        <v>-0.18760469011725289</v>
      </c>
      <c r="AH74" s="798">
        <f t="shared" si="118"/>
        <v>-0.11951219512195121</v>
      </c>
      <c r="AI74" s="798">
        <f t="shared" si="118"/>
        <v>-0.10049019607843135</v>
      </c>
      <c r="AJ74" s="798">
        <f t="shared" si="118"/>
        <v>0.13212435233160624</v>
      </c>
      <c r="AK74" s="890">
        <f t="shared" si="118"/>
        <v>0</v>
      </c>
      <c r="AL74" s="1024"/>
      <c r="AM74" s="981"/>
      <c r="AN74" s="981"/>
      <c r="AO74" s="979"/>
      <c r="AP74" s="1024"/>
      <c r="AQ74" s="981"/>
      <c r="AR74" s="981"/>
      <c r="AS74" s="979"/>
      <c r="AT74" s="983"/>
      <c r="AU74" s="1025">
        <f>(AU73/786)-1</f>
        <v>0.29389312977099236</v>
      </c>
      <c r="AV74" s="1012">
        <f>AV73/AU73-1</f>
        <v>0.15830875122910526</v>
      </c>
      <c r="AW74" s="1013">
        <f t="shared" ref="AW74:BA74" si="119">AW73/AV73-1</f>
        <v>0.28268251273344647</v>
      </c>
      <c r="AX74" s="985">
        <f t="shared" si="119"/>
        <v>-3.7061548643282594E-2</v>
      </c>
      <c r="AY74" s="984">
        <f t="shared" si="119"/>
        <v>0.29347079037800694</v>
      </c>
      <c r="AZ74" s="985">
        <f t="shared" si="119"/>
        <v>0.10414452709883104</v>
      </c>
      <c r="BA74" s="984">
        <f t="shared" si="119"/>
        <v>-0.13955726660250245</v>
      </c>
      <c r="BB74" s="984">
        <f>BB73/BA73-1</f>
        <v>-5.5369127516778471E-2</v>
      </c>
      <c r="BC74" s="986"/>
      <c r="BD74" s="986"/>
      <c r="BE74" s="986"/>
    </row>
    <row r="75" spans="1:57" s="987" customFormat="1" ht="12" customHeight="1">
      <c r="A75" s="1023"/>
      <c r="B75" s="978"/>
      <c r="C75" s="978"/>
      <c r="D75" s="978"/>
      <c r="E75" s="889"/>
      <c r="F75" s="978"/>
      <c r="G75" s="978"/>
      <c r="H75" s="978"/>
      <c r="I75" s="889"/>
      <c r="J75" s="978"/>
      <c r="K75" s="978"/>
      <c r="L75" s="978"/>
      <c r="M75" s="889"/>
      <c r="N75" s="978"/>
      <c r="O75" s="978"/>
      <c r="P75" s="978"/>
      <c r="Q75" s="889"/>
      <c r="R75" s="978"/>
      <c r="S75" s="978"/>
      <c r="T75" s="978"/>
      <c r="U75" s="890"/>
      <c r="V75" s="978"/>
      <c r="W75" s="978"/>
      <c r="X75" s="978"/>
      <c r="Y75" s="890"/>
      <c r="Z75" s="978"/>
      <c r="AA75" s="978"/>
      <c r="AB75" s="978"/>
      <c r="AC75" s="890"/>
      <c r="AD75" s="1024"/>
      <c r="AE75" s="981"/>
      <c r="AF75" s="981"/>
      <c r="AG75" s="981"/>
      <c r="AH75" s="1024"/>
      <c r="AI75" s="981"/>
      <c r="AJ75" s="981"/>
      <c r="AK75" s="981"/>
      <c r="AL75" s="1024"/>
      <c r="AM75" s="981"/>
      <c r="AN75" s="981"/>
      <c r="AO75" s="981"/>
      <c r="AP75" s="1024"/>
      <c r="AQ75" s="981"/>
      <c r="AR75" s="981"/>
      <c r="AS75" s="981"/>
      <c r="AT75" s="983"/>
      <c r="AU75" s="1025"/>
      <c r="AV75" s="995"/>
      <c r="AW75" s="999"/>
      <c r="AX75" s="985"/>
      <c r="AY75" s="984"/>
      <c r="AZ75" s="999"/>
      <c r="BA75" s="676"/>
      <c r="BB75" s="676"/>
      <c r="BC75" s="1025"/>
      <c r="BD75" s="1025"/>
      <c r="BE75" s="1025"/>
    </row>
    <row r="76" spans="1:57" s="987" customFormat="1" ht="12" customHeight="1">
      <c r="A76" s="1026" t="s">
        <v>213</v>
      </c>
      <c r="B76" s="978"/>
      <c r="C76" s="978"/>
      <c r="D76" s="978"/>
      <c r="E76" s="1017">
        <v>265</v>
      </c>
      <c r="F76" s="1001">
        <v>307</v>
      </c>
      <c r="G76" s="1018">
        <v>340</v>
      </c>
      <c r="H76" s="1018">
        <v>387</v>
      </c>
      <c r="I76" s="1017">
        <v>453</v>
      </c>
      <c r="J76" s="1001">
        <v>494</v>
      </c>
      <c r="K76" s="1018">
        <v>538</v>
      </c>
      <c r="L76" s="1018">
        <v>589</v>
      </c>
      <c r="M76" s="1017">
        <v>641</v>
      </c>
      <c r="N76" s="1001">
        <v>665</v>
      </c>
      <c r="O76" s="1018">
        <v>715</v>
      </c>
      <c r="P76" s="1018">
        <v>771</v>
      </c>
      <c r="Q76" s="1017">
        <v>837</v>
      </c>
      <c r="R76" s="1001">
        <v>866</v>
      </c>
      <c r="S76" s="1018">
        <v>933</v>
      </c>
      <c r="T76" s="1018">
        <v>995</v>
      </c>
      <c r="U76" s="1017">
        <v>1095</v>
      </c>
      <c r="V76" s="1001">
        <f>U76+17</f>
        <v>1112</v>
      </c>
      <c r="W76" s="1018">
        <f>V76+79</f>
        <v>1191</v>
      </c>
      <c r="X76" s="1018">
        <f>W76+89</f>
        <v>1280</v>
      </c>
      <c r="Y76" s="1017">
        <f>X76+140</f>
        <v>1420</v>
      </c>
      <c r="Z76" s="1001">
        <f>Y76+24</f>
        <v>1444</v>
      </c>
      <c r="AA76" s="1018">
        <f>Z76+63</f>
        <v>1507</v>
      </c>
      <c r="AB76" s="1018">
        <v>1565</v>
      </c>
      <c r="AC76" s="1017">
        <f>AB76+156</f>
        <v>1721</v>
      </c>
      <c r="AD76" s="1003">
        <v>1717</v>
      </c>
      <c r="AE76" s="1004">
        <v>1793</v>
      </c>
      <c r="AF76" s="1004">
        <v>1853</v>
      </c>
      <c r="AG76" s="1004">
        <f>AF76+AG78</f>
        <v>1988</v>
      </c>
      <c r="AH76" s="1003">
        <f>AG76+AH78</f>
        <v>2042</v>
      </c>
      <c r="AI76" s="1004">
        <v>2118</v>
      </c>
      <c r="AJ76" s="1004">
        <v>2156</v>
      </c>
      <c r="AK76" s="1004">
        <v>2161</v>
      </c>
      <c r="AL76" s="1024"/>
      <c r="AM76" s="981"/>
      <c r="AN76" s="981"/>
      <c r="AO76" s="981"/>
      <c r="AP76" s="1024"/>
      <c r="AQ76" s="981"/>
      <c r="AR76" s="981"/>
      <c r="AS76" s="981"/>
      <c r="AT76" s="983"/>
      <c r="AU76" s="1027">
        <f>E76</f>
        <v>265</v>
      </c>
      <c r="AV76" s="1022">
        <f>I76</f>
        <v>453</v>
      </c>
      <c r="AW76" s="1022">
        <f>M76</f>
        <v>641</v>
      </c>
      <c r="AX76" s="1028">
        <f>Q76</f>
        <v>837</v>
      </c>
      <c r="AY76" s="1022">
        <f>U76</f>
        <v>1095</v>
      </c>
      <c r="AZ76" s="1008">
        <f>Y76</f>
        <v>1420</v>
      </c>
      <c r="BA76" s="1009">
        <f>AC76</f>
        <v>1721</v>
      </c>
      <c r="BB76" s="1009">
        <f>AG76</f>
        <v>1988</v>
      </c>
      <c r="BC76" s="1025"/>
      <c r="BD76" s="1025"/>
      <c r="BE76" s="1025"/>
    </row>
    <row r="77" spans="1:57" s="987" customFormat="1" ht="12" customHeight="1">
      <c r="A77" s="797" t="s">
        <v>117</v>
      </c>
      <c r="B77" s="978"/>
      <c r="C77" s="978"/>
      <c r="D77" s="978"/>
      <c r="E77" s="889">
        <f>E76/124-1</f>
        <v>1.1370967741935485</v>
      </c>
      <c r="F77" s="978"/>
      <c r="G77" s="978"/>
      <c r="H77" s="978"/>
      <c r="I77" s="889">
        <f t="shared" ref="I77:AK77" si="120">I76/E76-1</f>
        <v>0.70943396226415101</v>
      </c>
      <c r="J77" s="978">
        <f t="shared" si="120"/>
        <v>0.60912052117263848</v>
      </c>
      <c r="K77" s="978">
        <f t="shared" si="120"/>
        <v>0.58235294117647052</v>
      </c>
      <c r="L77" s="978">
        <f t="shared" si="120"/>
        <v>0.52196382428940558</v>
      </c>
      <c r="M77" s="889">
        <f t="shared" si="120"/>
        <v>0.41501103752759372</v>
      </c>
      <c r="N77" s="978">
        <f t="shared" si="120"/>
        <v>0.34615384615384626</v>
      </c>
      <c r="O77" s="978">
        <f t="shared" si="120"/>
        <v>0.32899628252788093</v>
      </c>
      <c r="P77" s="978">
        <f t="shared" si="120"/>
        <v>0.30899830220713076</v>
      </c>
      <c r="Q77" s="889">
        <f t="shared" si="120"/>
        <v>0.30577223088923566</v>
      </c>
      <c r="R77" s="1029">
        <f t="shared" si="120"/>
        <v>0.30225563909774444</v>
      </c>
      <c r="S77" s="1030">
        <f t="shared" si="120"/>
        <v>0.30489510489510496</v>
      </c>
      <c r="T77" s="1030">
        <f t="shared" si="120"/>
        <v>0.29053177691309995</v>
      </c>
      <c r="U77" s="889">
        <f t="shared" si="120"/>
        <v>0.30824372759856633</v>
      </c>
      <c r="V77" s="1029">
        <f t="shared" si="120"/>
        <v>0.28406466512702089</v>
      </c>
      <c r="W77" s="1030">
        <f t="shared" si="120"/>
        <v>0.27652733118971051</v>
      </c>
      <c r="X77" s="1030">
        <f t="shared" si="120"/>
        <v>0.28643216080402012</v>
      </c>
      <c r="Y77" s="889">
        <f t="shared" si="120"/>
        <v>0.29680365296803646</v>
      </c>
      <c r="Z77" s="1029">
        <f t="shared" si="120"/>
        <v>0.29856115107913661</v>
      </c>
      <c r="AA77" s="1030">
        <f t="shared" si="120"/>
        <v>0.26532325776658272</v>
      </c>
      <c r="AB77" s="1030">
        <f t="shared" si="120"/>
        <v>0.22265625</v>
      </c>
      <c r="AC77" s="889">
        <f t="shared" si="120"/>
        <v>0.21197183098591554</v>
      </c>
      <c r="AD77" s="800">
        <f t="shared" si="120"/>
        <v>0.18905817174515227</v>
      </c>
      <c r="AE77" s="798">
        <f t="shared" si="120"/>
        <v>0.18978102189781021</v>
      </c>
      <c r="AF77" s="798">
        <f t="shared" si="120"/>
        <v>0.18402555910543139</v>
      </c>
      <c r="AG77" s="798">
        <f t="shared" si="120"/>
        <v>0.15514235909355034</v>
      </c>
      <c r="AH77" s="800">
        <f t="shared" si="120"/>
        <v>0.18928363424577754</v>
      </c>
      <c r="AI77" s="798">
        <f t="shared" si="120"/>
        <v>0.18126045733407703</v>
      </c>
      <c r="AJ77" s="798">
        <f t="shared" si="120"/>
        <v>0.16351861845655691</v>
      </c>
      <c r="AK77" s="798">
        <f t="shared" si="120"/>
        <v>8.7022132796780616E-2</v>
      </c>
      <c r="AL77" s="1024"/>
      <c r="AM77" s="981"/>
      <c r="AN77" s="981"/>
      <c r="AO77" s="981"/>
      <c r="AP77" s="1024"/>
      <c r="AQ77" s="981"/>
      <c r="AR77" s="981"/>
      <c r="AS77" s="981"/>
      <c r="AT77" s="983"/>
      <c r="AU77" s="889">
        <f>AU76/124-1</f>
        <v>1.1370967741935485</v>
      </c>
      <c r="AV77" s="1012">
        <f>AV76/AU76-1</f>
        <v>0.70943396226415101</v>
      </c>
      <c r="AW77" s="1013">
        <f t="shared" ref="AW77:BB77" si="121">AW76/AV76-1</f>
        <v>0.41501103752759372</v>
      </c>
      <c r="AX77" s="985">
        <f t="shared" si="121"/>
        <v>0.30577223088923566</v>
      </c>
      <c r="AY77" s="984">
        <f t="shared" si="121"/>
        <v>0.30824372759856633</v>
      </c>
      <c r="AZ77" s="985">
        <f t="shared" si="121"/>
        <v>0.29680365296803646</v>
      </c>
      <c r="BA77" s="984">
        <f t="shared" si="121"/>
        <v>0.21197183098591554</v>
      </c>
      <c r="BB77" s="984">
        <f t="shared" si="121"/>
        <v>0.15514235909355034</v>
      </c>
      <c r="BC77" s="1025"/>
      <c r="BD77" s="1025"/>
      <c r="BE77" s="1025"/>
    </row>
    <row r="78" spans="1:57" s="62" customFormat="1" ht="12" customHeight="1">
      <c r="A78" s="1015" t="s">
        <v>212</v>
      </c>
      <c r="B78" s="798"/>
      <c r="C78" s="798"/>
      <c r="D78" s="798"/>
      <c r="E78" s="890"/>
      <c r="F78" s="1016">
        <f>F76-E76</f>
        <v>42</v>
      </c>
      <c r="G78" s="1016">
        <f t="shared" ref="G78:AC78" si="122">G76-F76</f>
        <v>33</v>
      </c>
      <c r="H78" s="1016">
        <f t="shared" si="122"/>
        <v>47</v>
      </c>
      <c r="I78" s="1017">
        <f t="shared" si="122"/>
        <v>66</v>
      </c>
      <c r="J78" s="1016">
        <f t="shared" si="122"/>
        <v>41</v>
      </c>
      <c r="K78" s="1016">
        <f t="shared" si="122"/>
        <v>44</v>
      </c>
      <c r="L78" s="1016">
        <f t="shared" si="122"/>
        <v>51</v>
      </c>
      <c r="M78" s="1017">
        <f t="shared" si="122"/>
        <v>52</v>
      </c>
      <c r="N78" s="1016">
        <f t="shared" si="122"/>
        <v>24</v>
      </c>
      <c r="O78" s="1018">
        <f t="shared" si="122"/>
        <v>50</v>
      </c>
      <c r="P78" s="1016">
        <f t="shared" si="122"/>
        <v>56</v>
      </c>
      <c r="Q78" s="1017">
        <f t="shared" si="122"/>
        <v>66</v>
      </c>
      <c r="R78" s="1016">
        <f t="shared" si="122"/>
        <v>29</v>
      </c>
      <c r="S78" s="1018">
        <f t="shared" si="122"/>
        <v>67</v>
      </c>
      <c r="T78" s="1018">
        <f t="shared" si="122"/>
        <v>62</v>
      </c>
      <c r="U78" s="1017">
        <f t="shared" si="122"/>
        <v>100</v>
      </c>
      <c r="V78" s="1016">
        <f t="shared" si="122"/>
        <v>17</v>
      </c>
      <c r="W78" s="1018">
        <f t="shared" si="122"/>
        <v>79</v>
      </c>
      <c r="X78" s="1018">
        <f t="shared" si="122"/>
        <v>89</v>
      </c>
      <c r="Y78" s="1017">
        <f t="shared" si="122"/>
        <v>140</v>
      </c>
      <c r="Z78" s="1016">
        <f t="shared" si="122"/>
        <v>24</v>
      </c>
      <c r="AA78" s="1018">
        <f t="shared" si="122"/>
        <v>63</v>
      </c>
      <c r="AB78" s="1018">
        <f t="shared" si="122"/>
        <v>58</v>
      </c>
      <c r="AC78" s="1017">
        <f t="shared" si="122"/>
        <v>156</v>
      </c>
      <c r="AD78" s="1016">
        <f>AD76-AC76</f>
        <v>-4</v>
      </c>
      <c r="AE78" s="1016">
        <f>AE76-AD76</f>
        <v>76</v>
      </c>
      <c r="AF78" s="1016">
        <f>AF76-AE76</f>
        <v>60</v>
      </c>
      <c r="AG78" s="1016">
        <v>135</v>
      </c>
      <c r="AH78" s="1031">
        <v>54</v>
      </c>
      <c r="AI78" s="1016">
        <f>AI76-AH76</f>
        <v>76</v>
      </c>
      <c r="AJ78" s="1016">
        <f>AJ76-AI76</f>
        <v>38</v>
      </c>
      <c r="AK78" s="1016">
        <f>AK76-AJ76</f>
        <v>5</v>
      </c>
      <c r="AL78" s="655"/>
      <c r="AM78" s="48"/>
      <c r="AN78" s="48"/>
      <c r="AO78" s="50"/>
      <c r="AP78" s="655"/>
      <c r="AQ78" s="48"/>
      <c r="AR78" s="48"/>
      <c r="AS78" s="50"/>
      <c r="AT78" s="50"/>
      <c r="AU78" s="1019"/>
      <c r="AV78" s="1020">
        <f>AV76-AU76</f>
        <v>188</v>
      </c>
      <c r="AW78" s="1020">
        <f t="shared" ref="AW78:AY78" si="123">AW76-AV76</f>
        <v>188</v>
      </c>
      <c r="AX78" s="1020">
        <f t="shared" si="123"/>
        <v>196</v>
      </c>
      <c r="AY78" s="1020">
        <f t="shared" si="123"/>
        <v>258</v>
      </c>
      <c r="AZ78" s="1021">
        <f>AZ76-AY76</f>
        <v>325</v>
      </c>
      <c r="BA78" s="1022">
        <f>BA76-AZ76</f>
        <v>301</v>
      </c>
      <c r="BB78" s="1022">
        <f>AG78</f>
        <v>135</v>
      </c>
      <c r="BC78" s="56"/>
      <c r="BD78" s="56"/>
      <c r="BE78" s="56"/>
    </row>
    <row r="79" spans="1:57" s="987" customFormat="1" ht="12" customHeight="1">
      <c r="A79" s="1023" t="s">
        <v>117</v>
      </c>
      <c r="B79" s="978"/>
      <c r="C79" s="978"/>
      <c r="D79" s="978"/>
      <c r="E79" s="889"/>
      <c r="F79" s="1029"/>
      <c r="G79" s="978"/>
      <c r="H79" s="978"/>
      <c r="I79" s="889"/>
      <c r="J79" s="1029">
        <f t="shared" ref="J79:L79" si="124">J78/F78-1</f>
        <v>-2.3809523809523836E-2</v>
      </c>
      <c r="K79" s="978">
        <f t="shared" si="124"/>
        <v>0.33333333333333326</v>
      </c>
      <c r="L79" s="978">
        <f t="shared" si="124"/>
        <v>8.5106382978723305E-2</v>
      </c>
      <c r="M79" s="889">
        <f>M78/I78-1</f>
        <v>-0.21212121212121215</v>
      </c>
      <c r="N79" s="1029">
        <f t="shared" ref="N79:AC79" si="125">N78/J78-1</f>
        <v>-0.41463414634146345</v>
      </c>
      <c r="O79" s="978">
        <f t="shared" si="125"/>
        <v>0.13636363636363646</v>
      </c>
      <c r="P79" s="978">
        <f t="shared" si="125"/>
        <v>9.8039215686274606E-2</v>
      </c>
      <c r="Q79" s="889">
        <f t="shared" si="125"/>
        <v>0.26923076923076916</v>
      </c>
      <c r="R79" s="1029">
        <f t="shared" si="125"/>
        <v>0.20833333333333326</v>
      </c>
      <c r="S79" s="978">
        <f t="shared" si="125"/>
        <v>0.34000000000000008</v>
      </c>
      <c r="T79" s="978">
        <f t="shared" si="125"/>
        <v>0.10714285714285721</v>
      </c>
      <c r="U79" s="890">
        <f t="shared" si="125"/>
        <v>0.51515151515151514</v>
      </c>
      <c r="V79" s="1029">
        <f t="shared" si="125"/>
        <v>-0.41379310344827591</v>
      </c>
      <c r="W79" s="978">
        <f t="shared" si="125"/>
        <v>0.17910447761194037</v>
      </c>
      <c r="X79" s="978">
        <f t="shared" si="125"/>
        <v>0.43548387096774199</v>
      </c>
      <c r="Y79" s="890">
        <f t="shared" si="125"/>
        <v>0.39999999999999991</v>
      </c>
      <c r="Z79" s="978">
        <f t="shared" si="125"/>
        <v>0.41176470588235303</v>
      </c>
      <c r="AA79" s="978">
        <f t="shared" si="125"/>
        <v>-0.20253164556962022</v>
      </c>
      <c r="AB79" s="978">
        <f t="shared" si="125"/>
        <v>-0.348314606741573</v>
      </c>
      <c r="AC79" s="890">
        <f t="shared" si="125"/>
        <v>0.11428571428571432</v>
      </c>
      <c r="AD79" s="798">
        <f>AD78/Z78-1</f>
        <v>-1.1666666666666667</v>
      </c>
      <c r="AE79" s="798">
        <f>AE78/AA78-1</f>
        <v>0.20634920634920628</v>
      </c>
      <c r="AF79" s="798">
        <f>AF78/AB78-1</f>
        <v>3.4482758620689724E-2</v>
      </c>
      <c r="AG79" s="798">
        <f>AG78/AC78-1</f>
        <v>-0.13461538461538458</v>
      </c>
      <c r="AH79" s="800" t="s">
        <v>214</v>
      </c>
      <c r="AI79" s="798">
        <f>AI78/AE78-1</f>
        <v>0</v>
      </c>
      <c r="AJ79" s="798">
        <f>AJ78/AF78-1</f>
        <v>-0.3666666666666667</v>
      </c>
      <c r="AK79" s="798">
        <f>AK78/AG78-1</f>
        <v>-0.96296296296296302</v>
      </c>
      <c r="AL79" s="1024"/>
      <c r="AM79" s="981"/>
      <c r="AN79" s="981"/>
      <c r="AO79" s="979"/>
      <c r="AP79" s="1024"/>
      <c r="AQ79" s="981"/>
      <c r="AR79" s="981"/>
      <c r="AS79" s="979"/>
      <c r="AT79" s="1032"/>
      <c r="AU79" s="1033"/>
      <c r="AV79" s="1034"/>
      <c r="AW79" s="1034">
        <f t="shared" ref="AW79:BB79" si="126">AW78/AV78-1</f>
        <v>0</v>
      </c>
      <c r="AX79" s="1034">
        <f t="shared" si="126"/>
        <v>4.2553191489361764E-2</v>
      </c>
      <c r="AY79" s="1034">
        <f t="shared" si="126"/>
        <v>0.31632653061224492</v>
      </c>
      <c r="AZ79" s="1035">
        <f t="shared" si="126"/>
        <v>0.25968992248062017</v>
      </c>
      <c r="BA79" s="1034">
        <f t="shared" si="126"/>
        <v>-7.3846153846153895E-2</v>
      </c>
      <c r="BB79" s="1034">
        <f t="shared" si="126"/>
        <v>-0.55149501661129574</v>
      </c>
      <c r="BC79" s="1033"/>
      <c r="BD79" s="1033"/>
      <c r="BE79" s="1033"/>
    </row>
    <row r="80" spans="1:57" s="987" customFormat="1" ht="12" customHeight="1">
      <c r="A80" s="1036"/>
      <c r="B80" s="978"/>
      <c r="C80" s="978"/>
      <c r="D80" s="978"/>
      <c r="E80" s="889"/>
      <c r="F80" s="1037"/>
      <c r="G80" s="978"/>
      <c r="H80" s="978"/>
      <c r="I80" s="889"/>
      <c r="J80" s="1037"/>
      <c r="K80" s="978"/>
      <c r="L80" s="978"/>
      <c r="M80" s="889"/>
      <c r="N80" s="1037"/>
      <c r="O80" s="978"/>
      <c r="P80" s="978"/>
      <c r="Q80" s="889"/>
      <c r="R80" s="1037"/>
      <c r="S80" s="978"/>
      <c r="T80" s="978"/>
      <c r="U80" s="890"/>
      <c r="V80" s="1037"/>
      <c r="W80" s="978"/>
      <c r="X80" s="978"/>
      <c r="Y80" s="890"/>
      <c r="Z80" s="1037"/>
      <c r="AA80" s="978"/>
      <c r="AB80" s="978"/>
      <c r="AC80" s="890"/>
      <c r="AD80" s="1038"/>
      <c r="AE80" s="981"/>
      <c r="AF80" s="981"/>
      <c r="AG80" s="981"/>
      <c r="AH80" s="1038"/>
      <c r="AI80" s="981"/>
      <c r="AJ80" s="981"/>
      <c r="AK80" s="981"/>
      <c r="AL80" s="1038"/>
      <c r="AM80" s="981"/>
      <c r="AN80" s="981"/>
      <c r="AO80" s="982"/>
      <c r="AP80" s="1038"/>
      <c r="AQ80" s="981"/>
      <c r="AR80" s="981"/>
      <c r="AS80" s="982"/>
      <c r="AT80" s="1039"/>
      <c r="AU80" s="1033"/>
      <c r="AV80" s="1034"/>
      <c r="AW80" s="1034"/>
      <c r="AX80" s="1034"/>
      <c r="AY80" s="1034"/>
      <c r="AZ80" s="1035"/>
      <c r="BA80" s="1033"/>
      <c r="BB80" s="1033"/>
      <c r="BC80" s="1033"/>
      <c r="BD80" s="1033"/>
      <c r="BE80" s="1033"/>
    </row>
    <row r="81" spans="1:57" s="1052" customFormat="1" ht="12" customHeight="1">
      <c r="A81" s="1040" t="s">
        <v>215</v>
      </c>
      <c r="B81" s="1041"/>
      <c r="C81" s="1041"/>
      <c r="D81" s="1041"/>
      <c r="E81" s="1042"/>
      <c r="F81" s="1043"/>
      <c r="G81" s="1041"/>
      <c r="H81" s="1041"/>
      <c r="I81" s="1042"/>
      <c r="J81" s="1043"/>
      <c r="K81" s="1041">
        <v>1.17</v>
      </c>
      <c r="L81" s="1041" t="s">
        <v>216</v>
      </c>
      <c r="M81" s="1042" t="s">
        <v>216</v>
      </c>
      <c r="N81" s="1043" t="s">
        <v>216</v>
      </c>
      <c r="O81" s="1041" t="s">
        <v>216</v>
      </c>
      <c r="P81" s="1041">
        <v>1.1000000000000001</v>
      </c>
      <c r="Q81" s="1042">
        <v>1.1000000000000001</v>
      </c>
      <c r="R81" s="1044" t="s">
        <v>216</v>
      </c>
      <c r="S81" s="1045" t="s">
        <v>216</v>
      </c>
      <c r="T81" s="855">
        <v>1.1299999999999999</v>
      </c>
      <c r="U81" s="1046">
        <v>1.17</v>
      </c>
      <c r="V81" s="1044" t="s">
        <v>216</v>
      </c>
      <c r="W81" s="1045" t="s">
        <v>216</v>
      </c>
      <c r="X81" s="855">
        <v>1.18</v>
      </c>
      <c r="Y81" s="856">
        <v>1.17</v>
      </c>
      <c r="Z81" s="857">
        <v>1.1299999999999999</v>
      </c>
      <c r="AA81" s="855">
        <v>1.1100000000000001</v>
      </c>
      <c r="AB81" s="855">
        <v>1.1100000000000001</v>
      </c>
      <c r="AC81" s="856">
        <v>1.1100000000000001</v>
      </c>
      <c r="AD81" s="1047">
        <v>1.0900000000000001</v>
      </c>
      <c r="AE81" s="1048">
        <v>1.0900000000000001</v>
      </c>
      <c r="AF81" s="1048">
        <v>1.08</v>
      </c>
      <c r="AG81" s="1048">
        <v>1.08</v>
      </c>
      <c r="AH81" s="1047">
        <v>1.08</v>
      </c>
      <c r="AI81" s="1048">
        <v>1.07</v>
      </c>
      <c r="AJ81" s="1048">
        <v>1.06</v>
      </c>
      <c r="AK81" s="1048">
        <v>1.06</v>
      </c>
      <c r="AL81" s="1049"/>
      <c r="AM81" s="1050"/>
      <c r="AN81" s="1050"/>
      <c r="AO81" s="1051"/>
      <c r="AP81" s="1049"/>
      <c r="AQ81" s="1050"/>
      <c r="AR81" s="1050"/>
      <c r="AS81" s="1051"/>
      <c r="AU81" s="1053"/>
      <c r="AV81" s="1054"/>
      <c r="AW81" s="1054"/>
      <c r="AX81" s="856">
        <f>Q81</f>
        <v>1.1000000000000001</v>
      </c>
      <c r="AY81" s="856">
        <f>U81</f>
        <v>1.17</v>
      </c>
      <c r="AZ81" s="857">
        <f>Y81</f>
        <v>1.17</v>
      </c>
      <c r="BA81" s="1055">
        <f>AC81</f>
        <v>1.1100000000000001</v>
      </c>
      <c r="BB81" s="1055">
        <f>AG81</f>
        <v>1.08</v>
      </c>
      <c r="BC81" s="1054"/>
      <c r="BD81" s="1054"/>
      <c r="BE81" s="1054"/>
    </row>
    <row r="82" spans="1:57" s="1052" customFormat="1" ht="12" customHeight="1">
      <c r="A82" s="1056"/>
      <c r="B82" s="1041"/>
      <c r="C82" s="1041"/>
      <c r="D82" s="1041"/>
      <c r="E82" s="1042"/>
      <c r="F82" s="1043"/>
      <c r="G82" s="1041"/>
      <c r="H82" s="1041"/>
      <c r="I82" s="1042"/>
      <c r="J82" s="1043"/>
      <c r="K82" s="1041"/>
      <c r="L82" s="1041"/>
      <c r="M82" s="1042"/>
      <c r="N82" s="1043"/>
      <c r="O82" s="1041"/>
      <c r="P82" s="1041"/>
      <c r="Q82" s="1042"/>
      <c r="R82" s="1044"/>
      <c r="S82" s="1045"/>
      <c r="T82" s="855"/>
      <c r="U82" s="1046"/>
      <c r="V82" s="1044"/>
      <c r="W82" s="1045"/>
      <c r="X82" s="855"/>
      <c r="Y82" s="856"/>
      <c r="Z82" s="857"/>
      <c r="AA82" s="855"/>
      <c r="AB82" s="855"/>
      <c r="AC82" s="856"/>
      <c r="AD82" s="1047"/>
      <c r="AE82" s="1048"/>
      <c r="AF82" s="1048"/>
      <c r="AG82" s="1048"/>
      <c r="AH82" s="1047"/>
      <c r="AI82" s="1048"/>
      <c r="AJ82" s="1048"/>
      <c r="AK82" s="1048"/>
      <c r="AL82" s="1049"/>
      <c r="AM82" s="1050"/>
      <c r="AN82" s="1050"/>
      <c r="AO82" s="1051"/>
      <c r="AP82" s="1049"/>
      <c r="AQ82" s="1050"/>
      <c r="AR82" s="1050"/>
      <c r="AS82" s="1051"/>
      <c r="AU82" s="1053"/>
      <c r="AV82" s="1054"/>
      <c r="AW82" s="1054"/>
      <c r="AX82" s="1057"/>
      <c r="AY82" s="1057"/>
      <c r="AZ82" s="1058"/>
      <c r="BA82" s="1059"/>
      <c r="BB82" s="1059"/>
      <c r="BC82" s="1054"/>
      <c r="BD82" s="1054"/>
      <c r="BE82" s="1054"/>
    </row>
    <row r="83" spans="1:57" s="1052" customFormat="1" ht="12" customHeight="1">
      <c r="A83" s="1060" t="s">
        <v>217</v>
      </c>
      <c r="B83" s="1041"/>
      <c r="C83" s="1041"/>
      <c r="D83" s="1041"/>
      <c r="E83" s="1042"/>
      <c r="F83" s="1043"/>
      <c r="G83" s="1041"/>
      <c r="H83" s="1041"/>
      <c r="I83" s="1042"/>
      <c r="J83" s="1043"/>
      <c r="K83" s="1041"/>
      <c r="L83" s="1041"/>
      <c r="M83" s="1042"/>
      <c r="N83" s="1043"/>
      <c r="O83" s="1041"/>
      <c r="P83" s="1041"/>
      <c r="Q83" s="1042"/>
      <c r="R83" s="1044"/>
      <c r="S83" s="1045"/>
      <c r="T83" s="855"/>
      <c r="U83" s="1061"/>
      <c r="V83" s="1044"/>
      <c r="W83" s="1045"/>
      <c r="X83" s="888">
        <f t="shared" ref="X83:AJ83" si="127">(T30+X84)/T30</f>
        <v>1.2278889978653436</v>
      </c>
      <c r="Y83" s="1062">
        <f t="shared" si="127"/>
        <v>1.2556738112174368</v>
      </c>
      <c r="Z83" s="1063">
        <f t="shared" si="127"/>
        <v>1.1800863410471361</v>
      </c>
      <c r="AA83" s="888">
        <f t="shared" si="127"/>
        <v>1.1965425548098163</v>
      </c>
      <c r="AB83" s="888">
        <f t="shared" si="127"/>
        <v>1.1750061480918039</v>
      </c>
      <c r="AC83" s="1062">
        <f t="shared" si="127"/>
        <v>1.1857759531172989</v>
      </c>
      <c r="AD83" s="1064">
        <f t="shared" si="127"/>
        <v>1.155158627190358</v>
      </c>
      <c r="AE83" s="1065">
        <f t="shared" si="127"/>
        <v>1.1389487069053918</v>
      </c>
      <c r="AF83" s="1065">
        <f t="shared" si="127"/>
        <v>1.126532657830883</v>
      </c>
      <c r="AG83" s="1062">
        <f t="shared" si="127"/>
        <v>1.0900115327276307</v>
      </c>
      <c r="AH83" s="1064">
        <f t="shared" si="127"/>
        <v>1.1069637573450761</v>
      </c>
      <c r="AI83" s="1065">
        <f t="shared" si="127"/>
        <v>1.1179709005112073</v>
      </c>
      <c r="AJ83" s="1065">
        <f t="shared" si="127"/>
        <v>1.112291270344536</v>
      </c>
      <c r="AK83" s="1066">
        <f>(AG30+AK84)/AG30</f>
        <v>1.1119920587449252</v>
      </c>
      <c r="AL83" s="1049"/>
      <c r="AM83" s="1050"/>
      <c r="AN83" s="1050"/>
      <c r="AO83" s="1051"/>
      <c r="AP83" s="1049"/>
      <c r="AQ83" s="1050"/>
      <c r="AR83" s="1050"/>
      <c r="AS83" s="1051"/>
      <c r="AU83" s="1053"/>
      <c r="AV83" s="1054"/>
      <c r="AW83" s="1054"/>
      <c r="AX83" s="1057"/>
      <c r="AY83" s="856">
        <f>(AX30+AY84)/AX30</f>
        <v>1.2126204792592812</v>
      </c>
      <c r="AZ83" s="857">
        <f>(AY30+AZ84)/AY30</f>
        <v>1.245412377802007</v>
      </c>
      <c r="BA83" s="1055">
        <f>(AZ30+BA84)/AZ30</f>
        <v>1.1842822870910183</v>
      </c>
      <c r="BB83" s="1055"/>
      <c r="BC83" s="1054"/>
      <c r="BD83" s="1054"/>
      <c r="BE83" s="1054"/>
    </row>
    <row r="84" spans="1:57" s="1052" customFormat="1" ht="12" customHeight="1">
      <c r="A84" s="1067" t="s">
        <v>218</v>
      </c>
      <c r="B84" s="1041"/>
      <c r="C84" s="1041"/>
      <c r="D84" s="1041"/>
      <c r="E84" s="1042"/>
      <c r="F84" s="1043"/>
      <c r="G84" s="1041"/>
      <c r="H84" s="1041"/>
      <c r="I84" s="1042"/>
      <c r="J84" s="1043"/>
      <c r="K84" s="1041"/>
      <c r="L84" s="1041"/>
      <c r="M84" s="1042"/>
      <c r="N84" s="1043"/>
      <c r="O84" s="1041"/>
      <c r="P84" s="1041"/>
      <c r="Q84" s="1042"/>
      <c r="R84" s="1044"/>
      <c r="S84" s="1045"/>
      <c r="T84" s="855"/>
      <c r="U84" s="1068"/>
      <c r="V84" s="1069"/>
      <c r="W84" s="1070"/>
      <c r="X84" s="1070">
        <v>31.6</v>
      </c>
      <c r="Y84" s="1068">
        <f>132.8-94.7</f>
        <v>38.100000000000009</v>
      </c>
      <c r="Z84" s="1069">
        <v>28.7</v>
      </c>
      <c r="AA84" s="1070">
        <v>32.299999999999997</v>
      </c>
      <c r="AB84" s="1070">
        <v>30.6</v>
      </c>
      <c r="AC84" s="1068">
        <f>125.9-AB84-AA84-Z84</f>
        <v>34.300000000000011</v>
      </c>
      <c r="AD84" s="1071">
        <v>29.3</v>
      </c>
      <c r="AE84" s="1072">
        <v>27.1</v>
      </c>
      <c r="AF84" s="1072">
        <v>25.5</v>
      </c>
      <c r="AG84" s="1068">
        <f>101.1-AF84-AE84-AD84</f>
        <v>19.199999999999992</v>
      </c>
      <c r="AH84" s="1071">
        <v>23.1</v>
      </c>
      <c r="AI84" s="1072">
        <f>49.2-AH84</f>
        <v>26.1</v>
      </c>
      <c r="AJ84" s="1072">
        <v>25.5</v>
      </c>
      <c r="AK84" s="1073">
        <f>101.1-AJ84-AI84-AH84</f>
        <v>26.399999999999991</v>
      </c>
      <c r="AL84" s="1049"/>
      <c r="AM84" s="1050"/>
      <c r="AN84" s="1050"/>
      <c r="AO84" s="1051"/>
      <c r="AP84" s="1049"/>
      <c r="AQ84" s="1050"/>
      <c r="AR84" s="1050"/>
      <c r="AS84" s="1051"/>
      <c r="AU84" s="1053"/>
      <c r="AV84" s="1054"/>
      <c r="AW84" s="1054"/>
      <c r="AX84" s="1057"/>
      <c r="AY84" s="1074">
        <v>93.6</v>
      </c>
      <c r="AZ84" s="1069">
        <v>132.80000000000001</v>
      </c>
      <c r="BA84" s="1075">
        <f>SUM(Z84:AC84)</f>
        <v>125.9</v>
      </c>
      <c r="BB84" s="1075"/>
      <c r="BC84" s="1054"/>
      <c r="BD84" s="1054"/>
      <c r="BE84" s="1054"/>
    </row>
    <row r="85" spans="1:57" s="1052" customFormat="1" ht="12" customHeight="1">
      <c r="A85" s="1067" t="s">
        <v>179</v>
      </c>
      <c r="B85" s="1076"/>
      <c r="C85" s="1076"/>
      <c r="D85" s="1076"/>
      <c r="E85" s="1077"/>
      <c r="F85" s="1078"/>
      <c r="G85" s="1076"/>
      <c r="H85" s="1076"/>
      <c r="I85" s="1077"/>
      <c r="J85" s="1078"/>
      <c r="K85" s="1076"/>
      <c r="L85" s="1076"/>
      <c r="M85" s="1077"/>
      <c r="N85" s="1078"/>
      <c r="O85" s="1076"/>
      <c r="P85" s="1076"/>
      <c r="Q85" s="1077"/>
      <c r="R85" s="1079"/>
      <c r="S85" s="1080"/>
      <c r="T85" s="1081"/>
      <c r="U85" s="1082"/>
      <c r="V85" s="1079"/>
      <c r="W85" s="1080"/>
      <c r="X85" s="1083">
        <f t="shared" ref="X85:AK85" si="128">X84/(X30-T30)</f>
        <v>0.87324177190703822</v>
      </c>
      <c r="Y85" s="1082">
        <f t="shared" si="128"/>
        <v>1.0698340493639966</v>
      </c>
      <c r="Z85" s="1084">
        <f t="shared" si="128"/>
        <v>0.97383868888059344</v>
      </c>
      <c r="AA85" s="1083">
        <f t="shared" si="128"/>
        <v>1.0522886463593422</v>
      </c>
      <c r="AB85" s="1083">
        <f t="shared" si="128"/>
        <v>1.1470125196791365</v>
      </c>
      <c r="AC85" s="1082">
        <f t="shared" si="128"/>
        <v>1.1961639058413263</v>
      </c>
      <c r="AD85" s="1085">
        <f t="shared" si="128"/>
        <v>1.0803038124032169</v>
      </c>
      <c r="AE85" s="1086">
        <f t="shared" si="128"/>
        <v>1.0341537874451436</v>
      </c>
      <c r="AF85" s="1086">
        <f t="shared" si="128"/>
        <v>0.99769161547791396</v>
      </c>
      <c r="AG85" s="1082">
        <f t="shared" si="128"/>
        <v>0.85618729096989887</v>
      </c>
      <c r="AH85" s="1085">
        <f t="shared" si="128"/>
        <v>0.99672074559889479</v>
      </c>
      <c r="AI85" s="1086">
        <f t="shared" si="128"/>
        <v>1.0017655638289706</v>
      </c>
      <c r="AJ85" s="1086">
        <f t="shared" si="128"/>
        <v>1.005837803723572</v>
      </c>
      <c r="AK85" s="1087">
        <f t="shared" si="128"/>
        <v>1.0644302878800085</v>
      </c>
      <c r="AL85" s="1088"/>
      <c r="AM85" s="1089"/>
      <c r="AN85" s="1089"/>
      <c r="AO85" s="1090"/>
      <c r="AP85" s="1088"/>
      <c r="AQ85" s="1089"/>
      <c r="AR85" s="1089"/>
      <c r="AS85" s="1090"/>
      <c r="AU85" s="1091"/>
      <c r="AV85" s="1092"/>
      <c r="AW85" s="1092"/>
      <c r="AX85" s="1093"/>
      <c r="AY85" s="1094">
        <f>AY84/(AY30-AX30)</f>
        <v>0.92756840321477774</v>
      </c>
      <c r="AZ85" s="1084">
        <f>AZ84/(AZ30-AY30)</f>
        <v>0.93480969442704176</v>
      </c>
      <c r="BA85" s="1094">
        <f>BA84/(BA30-AZ30)</f>
        <v>1.0898640050554453</v>
      </c>
      <c r="BB85" s="1094"/>
      <c r="BC85" s="1092"/>
      <c r="BD85" s="1092"/>
      <c r="BE85" s="1092"/>
    </row>
    <row r="86" spans="1:57" s="1100" customFormat="1" ht="12" customHeight="1">
      <c r="A86" s="1095" t="s">
        <v>130</v>
      </c>
      <c r="B86" s="1096"/>
      <c r="C86" s="1096"/>
      <c r="D86" s="1096"/>
      <c r="E86" s="1096"/>
      <c r="F86" s="1096"/>
      <c r="G86" s="1096"/>
      <c r="H86" s="1096"/>
      <c r="I86" s="1096"/>
      <c r="J86" s="1096"/>
      <c r="K86" s="1096"/>
      <c r="L86" s="1096"/>
      <c r="M86" s="1096"/>
      <c r="N86" s="1096"/>
      <c r="O86" s="1096"/>
      <c r="P86" s="1096"/>
      <c r="Q86" s="1096"/>
      <c r="R86" s="1097"/>
      <c r="S86" s="1097"/>
      <c r="T86" s="1097"/>
      <c r="U86" s="1097"/>
      <c r="V86" s="1097"/>
      <c r="W86" s="1097"/>
      <c r="X86" s="1097"/>
      <c r="Y86" s="1096"/>
      <c r="Z86" s="1096"/>
      <c r="AA86" s="1096"/>
      <c r="AB86" s="1096"/>
      <c r="AC86" s="1096"/>
      <c r="AD86" s="1098"/>
      <c r="AE86" s="953"/>
      <c r="AF86" s="1098"/>
      <c r="AG86" s="1098"/>
      <c r="AH86" s="1096"/>
      <c r="AI86" s="1096"/>
      <c r="AJ86" s="1096"/>
      <c r="AK86" s="1096"/>
      <c r="AL86" s="1096"/>
      <c r="AM86" s="1096"/>
      <c r="AN86" s="1096"/>
      <c r="AO86" s="1096"/>
      <c r="AP86" s="1096"/>
      <c r="AQ86" s="1096"/>
      <c r="AR86" s="1096"/>
      <c r="AS86" s="1096"/>
      <c r="AT86" s="1052"/>
      <c r="AU86" s="1099"/>
      <c r="AV86" s="1099"/>
      <c r="AW86" s="1099"/>
      <c r="AX86" s="1099"/>
      <c r="AY86" s="1099"/>
      <c r="AZ86" s="1099"/>
      <c r="BA86" s="1099"/>
      <c r="BB86" s="1099"/>
      <c r="BC86" s="1099"/>
      <c r="BD86" s="1099"/>
      <c r="BE86" s="1099"/>
    </row>
    <row r="87" spans="1:57" s="1100" customFormat="1" ht="12" customHeight="1">
      <c r="A87" s="1101"/>
      <c r="B87" s="1099"/>
      <c r="C87" s="1099"/>
      <c r="D87" s="1099"/>
      <c r="E87" s="1099"/>
      <c r="F87" s="1099"/>
      <c r="G87" s="1099"/>
      <c r="H87" s="1099"/>
      <c r="I87" s="1099"/>
      <c r="J87" s="1099"/>
      <c r="K87" s="1099"/>
      <c r="L87" s="1099"/>
      <c r="M87" s="1099"/>
      <c r="N87" s="1099"/>
      <c r="O87" s="1099"/>
      <c r="P87" s="1099"/>
      <c r="Q87" s="1099"/>
      <c r="R87" s="1099"/>
      <c r="S87" s="1099"/>
      <c r="T87" s="1099"/>
      <c r="U87" s="1099"/>
      <c r="V87" s="1099"/>
      <c r="W87" s="1099"/>
      <c r="X87" s="1099"/>
      <c r="Y87" s="1099"/>
      <c r="Z87" s="1099"/>
      <c r="AA87" s="1099"/>
      <c r="AB87" s="1099"/>
      <c r="AC87" s="1099"/>
      <c r="AD87" s="953"/>
      <c r="AE87" s="953"/>
      <c r="AF87" s="953"/>
      <c r="AG87" s="953"/>
      <c r="AH87" s="1099"/>
      <c r="AI87" s="1099"/>
      <c r="AJ87" s="1099"/>
      <c r="AK87" s="1099"/>
      <c r="AL87" s="1099"/>
      <c r="AM87" s="1099"/>
      <c r="AN87" s="1099"/>
      <c r="AO87" s="1099"/>
      <c r="AP87" s="1099"/>
      <c r="AQ87" s="1099"/>
      <c r="AR87" s="1099"/>
      <c r="AS87" s="1099"/>
      <c r="AT87" s="1052"/>
      <c r="AU87" s="1099"/>
      <c r="AV87" s="1099"/>
      <c r="AW87" s="1099"/>
      <c r="AX87" s="1099"/>
      <c r="AY87" s="1099"/>
      <c r="AZ87" s="1099"/>
      <c r="BA87" s="1099"/>
      <c r="BB87" s="1099"/>
      <c r="BC87" s="1099"/>
      <c r="BD87" s="1099"/>
      <c r="BE87" s="1099"/>
    </row>
    <row r="88" spans="1:57" s="45" customFormat="1" ht="12" customHeight="1">
      <c r="A88" s="649"/>
      <c r="B88" s="1733">
        <f>'Income Statement'!B$3</f>
        <v>2017</v>
      </c>
      <c r="C88" s="1733"/>
      <c r="D88" s="1733"/>
      <c r="E88" s="1734"/>
      <c r="F88" s="1733">
        <f>'Income Statement'!F$3</f>
        <v>2018</v>
      </c>
      <c r="G88" s="1733"/>
      <c r="H88" s="1733"/>
      <c r="I88" s="1735"/>
      <c r="J88" s="1721">
        <f>'Income Statement'!J$3</f>
        <v>2019</v>
      </c>
      <c r="K88" s="1733"/>
      <c r="L88" s="1733"/>
      <c r="M88" s="1735"/>
      <c r="N88" s="1721">
        <f>'Income Statement'!N$3</f>
        <v>2020</v>
      </c>
      <c r="O88" s="1733"/>
      <c r="P88" s="1733"/>
      <c r="Q88" s="1735"/>
      <c r="R88" s="1721">
        <f>'Income Statement'!R$3</f>
        <v>2021</v>
      </c>
      <c r="S88" s="1733"/>
      <c r="T88" s="1733"/>
      <c r="U88" s="1735"/>
      <c r="V88" s="1721">
        <f>'Income Statement'!V$3</f>
        <v>2022</v>
      </c>
      <c r="W88" s="1733"/>
      <c r="X88" s="1733"/>
      <c r="Y88" s="1733"/>
      <c r="Z88" s="1726">
        <f>'Income Statement'!Z$3</f>
        <v>2023</v>
      </c>
      <c r="AA88" s="1733"/>
      <c r="AB88" s="1733"/>
      <c r="AC88" s="1734"/>
      <c r="AD88" s="1726">
        <f>'Income Statement'!AD$3</f>
        <v>2024</v>
      </c>
      <c r="AE88" s="1733"/>
      <c r="AF88" s="1733"/>
      <c r="AG88" s="1734"/>
      <c r="AH88" s="1726">
        <f>'Income Statement'!AH$3</f>
        <v>2025</v>
      </c>
      <c r="AI88" s="1733"/>
      <c r="AJ88" s="1733"/>
      <c r="AK88" s="1734"/>
      <c r="AL88" s="1726">
        <f>'Income Statement'!AL$3</f>
        <v>2026</v>
      </c>
      <c r="AM88" s="1733"/>
      <c r="AN88" s="1733"/>
      <c r="AO88" s="1734"/>
      <c r="AP88" s="1726">
        <f>'Income Statement'!AP$3</f>
        <v>2027</v>
      </c>
      <c r="AQ88" s="1733"/>
      <c r="AR88" s="1733"/>
      <c r="AS88" s="1734"/>
      <c r="AT88" s="41"/>
      <c r="AU88" s="750"/>
      <c r="AV88" s="750"/>
      <c r="AW88" s="750"/>
      <c r="AX88" s="750"/>
      <c r="AY88" s="750"/>
      <c r="AZ88" s="750"/>
      <c r="BA88" s="652"/>
      <c r="BB88" s="750"/>
      <c r="BC88" s="750"/>
      <c r="BD88" s="750"/>
      <c r="BE88" s="653"/>
    </row>
    <row r="89" spans="1:57" s="62" customFormat="1" ht="12" customHeight="1">
      <c r="A89" s="751" t="s">
        <v>219</v>
      </c>
      <c r="B89" s="65">
        <f>'Income Statement'!B$4</f>
        <v>42825</v>
      </c>
      <c r="C89" s="65">
        <f>'Income Statement'!C$4</f>
        <v>42916</v>
      </c>
      <c r="D89" s="65">
        <f>'Income Statement'!D$4</f>
        <v>43008</v>
      </c>
      <c r="E89" s="66">
        <f>'Income Statement'!E$4</f>
        <v>43100</v>
      </c>
      <c r="F89" s="65">
        <f>'Income Statement'!F$4</f>
        <v>43190</v>
      </c>
      <c r="G89" s="65">
        <f>'Income Statement'!G$4</f>
        <v>43281</v>
      </c>
      <c r="H89" s="65">
        <f>'Income Statement'!H$4</f>
        <v>43373</v>
      </c>
      <c r="I89" s="956">
        <f>'Income Statement'!I$4</f>
        <v>43465</v>
      </c>
      <c r="J89" s="957">
        <f>'Income Statement'!J$4</f>
        <v>43555</v>
      </c>
      <c r="K89" s="65">
        <f>'Income Statement'!K$4</f>
        <v>43646</v>
      </c>
      <c r="L89" s="65">
        <f>'Income Statement'!L$4</f>
        <v>43738</v>
      </c>
      <c r="M89" s="956">
        <f>'Income Statement'!M$4</f>
        <v>43830</v>
      </c>
      <c r="N89" s="957">
        <f>'Income Statement'!N$4</f>
        <v>43921</v>
      </c>
      <c r="O89" s="65">
        <f>'Income Statement'!O$4</f>
        <v>44012</v>
      </c>
      <c r="P89" s="65">
        <f>'Income Statement'!P$4</f>
        <v>44104</v>
      </c>
      <c r="Q89" s="956">
        <f>'Income Statement'!Q$4</f>
        <v>44196</v>
      </c>
      <c r="R89" s="958">
        <f>'Income Statement'!R$4</f>
        <v>44286</v>
      </c>
      <c r="S89" s="65">
        <f>'Income Statement'!S$4</f>
        <v>44377</v>
      </c>
      <c r="T89" s="48">
        <f>'Income Statement'!T$4</f>
        <v>44469</v>
      </c>
      <c r="U89" s="318">
        <f>'Income Statement'!U$4</f>
        <v>44561</v>
      </c>
      <c r="V89" s="958">
        <f>'Income Statement'!V$4</f>
        <v>44651</v>
      </c>
      <c r="W89" s="48">
        <f>'Income Statement'!W$4</f>
        <v>44742</v>
      </c>
      <c r="X89" s="48">
        <f>'Income Statement'!X$4</f>
        <v>44834</v>
      </c>
      <c r="Y89" s="48">
        <f>'Income Statement'!Y$4</f>
        <v>44926</v>
      </c>
      <c r="Z89" s="655">
        <f>'Income Statement'!Z$4</f>
        <v>45016</v>
      </c>
      <c r="AA89" s="48">
        <f>'Income Statement'!AA$4</f>
        <v>45107</v>
      </c>
      <c r="AB89" s="48">
        <f>'Income Statement'!AB$4</f>
        <v>45199</v>
      </c>
      <c r="AC89" s="50">
        <f>'Income Statement'!AC$4</f>
        <v>45291</v>
      </c>
      <c r="AD89" s="655">
        <f>'Income Statement'!AD$4</f>
        <v>45382</v>
      </c>
      <c r="AE89" s="48">
        <f>'Income Statement'!AE$4</f>
        <v>45473</v>
      </c>
      <c r="AF89" s="48" t="str">
        <f>'Income Statement'!AF$4</f>
        <v>Sep-24</v>
      </c>
      <c r="AG89" s="50" t="str">
        <f>'Income Statement'!AG$4</f>
        <v>Dec-24</v>
      </c>
      <c r="AH89" s="655" t="str">
        <f>'Income Statement'!AH$4</f>
        <v>Mar-25</v>
      </c>
      <c r="AI89" s="48" t="str">
        <f>'Income Statement'!AI$4</f>
        <v>Jun-25</v>
      </c>
      <c r="AJ89" s="48" t="str">
        <f>'Income Statement'!AJ$4</f>
        <v>Sep-25</v>
      </c>
      <c r="AK89" s="50" t="str">
        <f>'Income Statement'!AK$4</f>
        <v>Dec-25</v>
      </c>
      <c r="AL89" s="655" t="str">
        <f>'Income Statement'!AL$4</f>
        <v>Mar-26E</v>
      </c>
      <c r="AM89" s="48" t="str">
        <f>'Income Statement'!AM$4</f>
        <v>Jun-26E</v>
      </c>
      <c r="AN89" s="48" t="str">
        <f>'Income Statement'!AN$4</f>
        <v>Sep-26E</v>
      </c>
      <c r="AO89" s="50" t="str">
        <f>'Income Statement'!AO$4</f>
        <v>Dec-26E</v>
      </c>
      <c r="AP89" s="655" t="str">
        <f>'Income Statement'!AP$4</f>
        <v>Mar-27E</v>
      </c>
      <c r="AQ89" s="48" t="str">
        <f>'Income Statement'!AQ$4</f>
        <v>Jun-27E</v>
      </c>
      <c r="AR89" s="48" t="str">
        <f>'Income Statement'!AR$4</f>
        <v>Sep-27E</v>
      </c>
      <c r="AS89" s="50" t="str">
        <f>'Income Statement'!AS$4</f>
        <v>Dec-27E</v>
      </c>
      <c r="AT89" s="50"/>
      <c r="AU89" s="907">
        <f>'Income Statement'!AU$4</f>
        <v>2017</v>
      </c>
      <c r="AV89" s="907">
        <f>'Income Statement'!AV$4</f>
        <v>2018</v>
      </c>
      <c r="AW89" s="907">
        <f>'Income Statement'!AW$4</f>
        <v>2019</v>
      </c>
      <c r="AX89" s="907">
        <f>'Income Statement'!AX$4</f>
        <v>2020</v>
      </c>
      <c r="AY89" s="907" t="str">
        <f>'Income Statement'!AY$4</f>
        <v>CY21</v>
      </c>
      <c r="AZ89" s="907" t="str">
        <f>'Income Statement'!AZ$4</f>
        <v>CY22</v>
      </c>
      <c r="BA89" s="61" t="str">
        <f>'Income Statement'!BA$4</f>
        <v>CY23</v>
      </c>
      <c r="BB89" s="907" t="str">
        <f>'Income Statement'!BB$4</f>
        <v>CY24</v>
      </c>
      <c r="BC89" s="907" t="str">
        <f>'Income Statement'!BC$4</f>
        <v>CY25</v>
      </c>
      <c r="BD89" s="907" t="str">
        <f>'Income Statement'!BD$4</f>
        <v>CY26E</v>
      </c>
      <c r="BE89" s="907" t="str">
        <f>'Income Statement'!BE$4</f>
        <v>CY27E</v>
      </c>
    </row>
    <row r="90" spans="1:57" s="1106" customFormat="1" ht="12" customHeight="1">
      <c r="A90" s="1102" t="s">
        <v>220</v>
      </c>
      <c r="B90" s="1103">
        <v>30.474000000000004</v>
      </c>
      <c r="C90" s="846">
        <v>33.091999999999999</v>
      </c>
      <c r="D90" s="846">
        <v>36.408000000000001</v>
      </c>
      <c r="E90" s="904">
        <v>39.505410000000005</v>
      </c>
      <c r="F90" s="846">
        <v>42.762</v>
      </c>
      <c r="G90" s="846">
        <v>45.715000000000003</v>
      </c>
      <c r="H90" s="846">
        <v>49.390999999999998</v>
      </c>
      <c r="I90" s="904">
        <v>53.336000000000013</v>
      </c>
      <c r="J90" s="846">
        <v>56.091000000000001</v>
      </c>
      <c r="K90" s="846">
        <v>58.887999999999998</v>
      </c>
      <c r="L90" s="846">
        <v>62.412999999999997</v>
      </c>
      <c r="M90" s="904">
        <v>66.224000000000018</v>
      </c>
      <c r="N90" s="846">
        <v>69.313999999999993</v>
      </c>
      <c r="O90" s="846">
        <v>71.945999999999998</v>
      </c>
      <c r="P90" s="846">
        <v>74.569000000000003</v>
      </c>
      <c r="Q90" s="904">
        <v>77.904999999999973</v>
      </c>
      <c r="R90" s="846">
        <v>80.594999999999999</v>
      </c>
      <c r="S90" s="846">
        <v>84.462000000000003</v>
      </c>
      <c r="T90" s="846">
        <v>88.783000000000001</v>
      </c>
      <c r="U90" s="904">
        <f>347.724-SUM(R90:T90)</f>
        <v>93.883999999999958</v>
      </c>
      <c r="V90" s="846">
        <v>99.5</v>
      </c>
      <c r="W90" s="846">
        <v>104.979</v>
      </c>
      <c r="X90" s="843">
        <v>111.227</v>
      </c>
      <c r="Y90" s="904">
        <f>432.734-SUM(V90:X90)</f>
        <v>117.02799999999996</v>
      </c>
      <c r="Z90" s="912">
        <v>119.28400000000001</v>
      </c>
      <c r="AA90" s="843">
        <v>122.21</v>
      </c>
      <c r="AB90" s="843">
        <v>127.01600000000001</v>
      </c>
      <c r="AC90" s="904">
        <f>500.512-SUM(Z90:AB90)</f>
        <v>132.00200000000001</v>
      </c>
      <c r="AD90" s="817">
        <v>134.483</v>
      </c>
      <c r="AE90" s="804">
        <v>136.75399999999999</v>
      </c>
      <c r="AF90" s="804">
        <v>140.79455999999999</v>
      </c>
      <c r="AG90" s="804">
        <f>BB90-SUM(AD90:AF90)</f>
        <v>146.03644000000003</v>
      </c>
      <c r="AH90" s="817">
        <v>150.59</v>
      </c>
      <c r="AI90" s="804">
        <v>152.21299999999999</v>
      </c>
      <c r="AJ90" s="804">
        <v>154.91800000000001</v>
      </c>
      <c r="AK90" s="804"/>
      <c r="AL90" s="912"/>
      <c r="AM90" s="843"/>
      <c r="AN90" s="843"/>
      <c r="AO90" s="911"/>
      <c r="AP90" s="912"/>
      <c r="AQ90" s="843"/>
      <c r="AR90" s="843"/>
      <c r="AS90" s="911"/>
      <c r="AT90" s="1104"/>
      <c r="AU90" s="1105">
        <f>SUM(B90:E90)</f>
        <v>139.47941</v>
      </c>
      <c r="AV90" s="1105">
        <f>SUM(F90:I90)</f>
        <v>191.20400000000001</v>
      </c>
      <c r="AW90" s="1105">
        <f>SUM(J90:M90)</f>
        <v>243.61600000000001</v>
      </c>
      <c r="AX90" s="1105">
        <f>SUM(N90:Q90)</f>
        <v>293.73399999999998</v>
      </c>
      <c r="AY90" s="1105">
        <f>SUM(R90:U90)</f>
        <v>347.72399999999999</v>
      </c>
      <c r="AZ90" s="1105">
        <f>SUM(V90:Y90)</f>
        <v>432.73399999999998</v>
      </c>
      <c r="BA90" s="660">
        <f t="shared" ref="BA90" si="129">SUM(Z90:AC90)</f>
        <v>500.512</v>
      </c>
      <c r="BB90" s="1105">
        <v>558.06799999999998</v>
      </c>
      <c r="BC90" s="1105"/>
      <c r="BD90" s="1105"/>
      <c r="BE90" s="1105"/>
    </row>
    <row r="91" spans="1:57" s="1052" customFormat="1" ht="12" customHeight="1">
      <c r="A91" s="797" t="s">
        <v>117</v>
      </c>
      <c r="B91" s="798"/>
      <c r="C91" s="798"/>
      <c r="D91" s="978"/>
      <c r="E91" s="889"/>
      <c r="F91" s="798">
        <f t="shared" ref="F91:Q91" si="130">F90/B90-1</f>
        <v>0.403228982083087</v>
      </c>
      <c r="G91" s="798">
        <f t="shared" si="130"/>
        <v>0.38145171038317427</v>
      </c>
      <c r="H91" s="978">
        <f t="shared" si="130"/>
        <v>0.35659745110964614</v>
      </c>
      <c r="I91" s="889">
        <f t="shared" si="130"/>
        <v>0.35009356946301806</v>
      </c>
      <c r="J91" s="798">
        <f t="shared" si="130"/>
        <v>0.31170197839203029</v>
      </c>
      <c r="K91" s="798">
        <f t="shared" si="130"/>
        <v>0.28815487258011574</v>
      </c>
      <c r="L91" s="978">
        <f t="shared" si="130"/>
        <v>0.2636512724990383</v>
      </c>
      <c r="M91" s="889">
        <f t="shared" si="130"/>
        <v>0.24163791810409485</v>
      </c>
      <c r="N91" s="978">
        <f t="shared" si="130"/>
        <v>0.23574191938100575</v>
      </c>
      <c r="O91" s="798">
        <f t="shared" si="130"/>
        <v>0.22174296970520313</v>
      </c>
      <c r="P91" s="798">
        <f t="shared" si="130"/>
        <v>0.19476711582522888</v>
      </c>
      <c r="Q91" s="890">
        <f t="shared" si="130"/>
        <v>0.17638620439719666</v>
      </c>
      <c r="R91" s="978">
        <f>R90/N90-1</f>
        <v>0.1627521135701302</v>
      </c>
      <c r="S91" s="798">
        <f t="shared" ref="S91:U91" si="131">S90/O90-1</f>
        <v>0.17396380618797447</v>
      </c>
      <c r="T91" s="798">
        <f t="shared" si="131"/>
        <v>0.19061540318362846</v>
      </c>
      <c r="U91" s="890">
        <f t="shared" si="131"/>
        <v>0.20510878634233998</v>
      </c>
      <c r="V91" s="978">
        <f>V90/R90-1</f>
        <v>0.23456790123456783</v>
      </c>
      <c r="W91" s="798">
        <f t="shared" ref="W91:AJ91" si="132">W90/S90-1</f>
        <v>0.2429139731476877</v>
      </c>
      <c r="X91" s="798">
        <f t="shared" si="132"/>
        <v>0.25279614340583212</v>
      </c>
      <c r="Y91" s="890">
        <f t="shared" si="132"/>
        <v>0.24651697839887543</v>
      </c>
      <c r="Z91" s="798">
        <f t="shared" si="132"/>
        <v>0.19883417085427135</v>
      </c>
      <c r="AA91" s="798">
        <f t="shared" si="132"/>
        <v>0.16413758942264645</v>
      </c>
      <c r="AB91" s="798">
        <f t="shared" si="132"/>
        <v>0.14195294308036721</v>
      </c>
      <c r="AC91" s="890">
        <f t="shared" si="132"/>
        <v>0.1279522849232666</v>
      </c>
      <c r="AD91" s="798">
        <f t="shared" si="132"/>
        <v>0.12741859763254082</v>
      </c>
      <c r="AE91" s="798">
        <f t="shared" si="132"/>
        <v>0.11900826446280988</v>
      </c>
      <c r="AF91" s="798">
        <f t="shared" si="132"/>
        <v>0.10847893178812096</v>
      </c>
      <c r="AG91" s="890">
        <f t="shared" si="132"/>
        <v>0.10631990424387516</v>
      </c>
      <c r="AH91" s="798">
        <f t="shared" si="132"/>
        <v>0.11976978502859104</v>
      </c>
      <c r="AI91" s="798">
        <f t="shared" si="132"/>
        <v>0.11304239729733689</v>
      </c>
      <c r="AJ91" s="798">
        <f t="shared" si="132"/>
        <v>0.10031239843357587</v>
      </c>
      <c r="AK91" s="890"/>
      <c r="AL91" s="800"/>
      <c r="AM91" s="798"/>
      <c r="AN91" s="798"/>
      <c r="AO91" s="890"/>
      <c r="AP91" s="800"/>
      <c r="AQ91" s="798"/>
      <c r="AR91" s="798"/>
      <c r="AS91" s="890"/>
      <c r="AT91" s="1107"/>
      <c r="AU91" s="1108"/>
      <c r="AV91" s="1109">
        <f>AV90/AU90-1</f>
        <v>0.37084032689842905</v>
      </c>
      <c r="AW91" s="1109">
        <f>AW90/AV90-1</f>
        <v>0.2741156042760613</v>
      </c>
      <c r="AX91" s="1109">
        <f>AX90/AW90-1</f>
        <v>0.20572540391435679</v>
      </c>
      <c r="AY91" s="1109">
        <f t="shared" ref="AY91:BB91" si="133">AY90/AX90-1</f>
        <v>0.18380575622842432</v>
      </c>
      <c r="AZ91" s="1109">
        <f t="shared" si="133"/>
        <v>0.24447550356029502</v>
      </c>
      <c r="BA91" s="1110">
        <f t="shared" si="133"/>
        <v>0.15662739696903882</v>
      </c>
      <c r="BB91" s="1110">
        <f t="shared" si="133"/>
        <v>0.11499424589220641</v>
      </c>
      <c r="BC91" s="1111"/>
      <c r="BD91" s="1111"/>
      <c r="BE91" s="1111"/>
    </row>
    <row r="92" spans="1:57" s="1052" customFormat="1" ht="12" customHeight="1">
      <c r="A92" s="797" t="s">
        <v>221</v>
      </c>
      <c r="B92" s="798"/>
      <c r="C92" s="798">
        <f>C90/B90-1</f>
        <v>8.5909299730917876E-2</v>
      </c>
      <c r="D92" s="978">
        <f t="shared" ref="D92:AJ92" si="134">D90/C90-1</f>
        <v>0.10020548773117377</v>
      </c>
      <c r="E92" s="889">
        <f t="shared" si="134"/>
        <v>8.5074983520105674E-2</v>
      </c>
      <c r="F92" s="798">
        <f t="shared" si="134"/>
        <v>8.2434026124523108E-2</v>
      </c>
      <c r="G92" s="798">
        <f t="shared" si="134"/>
        <v>6.9056639072073489E-2</v>
      </c>
      <c r="H92" s="978">
        <f t="shared" si="134"/>
        <v>8.0411243574318947E-2</v>
      </c>
      <c r="I92" s="889">
        <f t="shared" si="134"/>
        <v>7.9872851329189753E-2</v>
      </c>
      <c r="J92" s="798">
        <f t="shared" si="134"/>
        <v>5.16536673166339E-2</v>
      </c>
      <c r="K92" s="798">
        <f t="shared" si="134"/>
        <v>4.986539730081474E-2</v>
      </c>
      <c r="L92" s="978">
        <f t="shared" si="134"/>
        <v>5.9859394104061936E-2</v>
      </c>
      <c r="M92" s="889">
        <f t="shared" si="134"/>
        <v>6.1060996907695841E-2</v>
      </c>
      <c r="N92" s="978">
        <f t="shared" si="134"/>
        <v>4.6659821212853059E-2</v>
      </c>
      <c r="O92" s="798">
        <f t="shared" si="134"/>
        <v>3.7972126843062171E-2</v>
      </c>
      <c r="P92" s="798">
        <f t="shared" si="134"/>
        <v>3.6457898979790571E-2</v>
      </c>
      <c r="Q92" s="890">
        <f t="shared" si="134"/>
        <v>4.4737089138917829E-2</v>
      </c>
      <c r="R92" s="978">
        <f t="shared" si="134"/>
        <v>3.452923432385635E-2</v>
      </c>
      <c r="S92" s="798">
        <f t="shared" si="134"/>
        <v>4.7980643960543468E-2</v>
      </c>
      <c r="T92" s="798">
        <f t="shared" si="134"/>
        <v>5.1159101134237828E-2</v>
      </c>
      <c r="U92" s="890">
        <f t="shared" si="134"/>
        <v>5.7454692902920046E-2</v>
      </c>
      <c r="V92" s="978">
        <f t="shared" si="134"/>
        <v>5.9818499424822535E-2</v>
      </c>
      <c r="W92" s="798">
        <f t="shared" si="134"/>
        <v>5.5065326633165768E-2</v>
      </c>
      <c r="X92" s="798">
        <f t="shared" si="134"/>
        <v>5.9516665237809407E-2</v>
      </c>
      <c r="Y92" s="890">
        <f t="shared" si="134"/>
        <v>5.2154602749332035E-2</v>
      </c>
      <c r="Z92" s="798">
        <f t="shared" si="134"/>
        <v>1.9277437878115089E-2</v>
      </c>
      <c r="AA92" s="798">
        <f t="shared" si="134"/>
        <v>2.4529693839911326E-2</v>
      </c>
      <c r="AB92" s="798">
        <f t="shared" si="134"/>
        <v>3.932575075689404E-2</v>
      </c>
      <c r="AC92" s="890">
        <f t="shared" si="134"/>
        <v>3.9254897020847723E-2</v>
      </c>
      <c r="AD92" s="798">
        <f t="shared" si="134"/>
        <v>1.879516977015494E-2</v>
      </c>
      <c r="AE92" s="798">
        <f t="shared" si="134"/>
        <v>1.6886892767115524E-2</v>
      </c>
      <c r="AF92" s="798">
        <f t="shared" si="134"/>
        <v>2.9546192433128171E-2</v>
      </c>
      <c r="AG92" s="890">
        <f t="shared" si="134"/>
        <v>3.7230699822493385E-2</v>
      </c>
      <c r="AH92" s="798">
        <f t="shared" si="134"/>
        <v>3.1180984691218105E-2</v>
      </c>
      <c r="AI92" s="798">
        <f t="shared" si="134"/>
        <v>1.0777608074905354E-2</v>
      </c>
      <c r="AJ92" s="798">
        <f t="shared" si="134"/>
        <v>1.7771149638992734E-2</v>
      </c>
      <c r="AK92" s="890"/>
      <c r="AL92" s="800"/>
      <c r="AM92" s="798"/>
      <c r="AN92" s="798"/>
      <c r="AO92" s="890"/>
      <c r="AP92" s="800"/>
      <c r="AQ92" s="798"/>
      <c r="AR92" s="798"/>
      <c r="AS92" s="890"/>
      <c r="AT92" s="1107"/>
      <c r="AU92" s="1112"/>
      <c r="AV92" s="1113"/>
      <c r="AW92" s="1113"/>
      <c r="AX92" s="1114"/>
      <c r="AY92" s="1114"/>
      <c r="AZ92" s="1114"/>
      <c r="BA92" s="1115"/>
      <c r="BB92" s="1116"/>
      <c r="BC92" s="1116"/>
      <c r="BD92" s="1116"/>
      <c r="BE92" s="1116"/>
    </row>
    <row r="93" spans="1:57" s="1121" customFormat="1" ht="12" customHeight="1">
      <c r="A93" s="797" t="s">
        <v>179</v>
      </c>
      <c r="B93" s="1117">
        <f>B90/B$5</f>
        <v>0.75279760875472446</v>
      </c>
      <c r="C93" s="1117">
        <f t="shared" ref="C93:AE93" si="135">C90/C$5</f>
        <v>0.74955265124917891</v>
      </c>
      <c r="D93" s="1117">
        <f t="shared" si="135"/>
        <v>0.74332380563495304</v>
      </c>
      <c r="E93" s="1118">
        <f t="shared" si="135"/>
        <v>0.73</v>
      </c>
      <c r="F93" s="1117">
        <f t="shared" si="135"/>
        <v>0.72346760958938872</v>
      </c>
      <c r="G93" s="1117">
        <f t="shared" si="135"/>
        <v>0.71887973329978616</v>
      </c>
      <c r="H93" s="1117">
        <f t="shared" si="135"/>
        <v>0.71127592165898612</v>
      </c>
      <c r="I93" s="1118">
        <f t="shared" si="135"/>
        <v>0.70905731112322368</v>
      </c>
      <c r="J93" s="1117">
        <f t="shared" si="135"/>
        <v>0.69850935853849894</v>
      </c>
      <c r="K93" s="1117">
        <f t="shared" si="135"/>
        <v>0.6896842499765764</v>
      </c>
      <c r="L93" s="1117">
        <f t="shared" si="135"/>
        <v>0.67949527500762086</v>
      </c>
      <c r="M93" s="1118">
        <f t="shared" si="135"/>
        <v>0.6823769436058077</v>
      </c>
      <c r="N93" s="1117">
        <f t="shared" si="135"/>
        <v>0.67525913802509541</v>
      </c>
      <c r="O93" s="1117">
        <f t="shared" si="135"/>
        <v>0.67108171888554125</v>
      </c>
      <c r="P93" s="1117">
        <f t="shared" si="135"/>
        <v>0.66412247733385577</v>
      </c>
      <c r="Q93" s="1118">
        <f t="shared" si="135"/>
        <v>0.65975339171084468</v>
      </c>
      <c r="R93" s="1117">
        <f t="shared" si="135"/>
        <v>0.6542386089667096</v>
      </c>
      <c r="S93" s="1117">
        <f t="shared" si="135"/>
        <v>0.64841584842506084</v>
      </c>
      <c r="T93" s="1117">
        <f t="shared" si="135"/>
        <v>0.64027433219869623</v>
      </c>
      <c r="U93" s="1118">
        <f t="shared" si="135"/>
        <v>0.63001785019259393</v>
      </c>
      <c r="V93" s="1117">
        <f t="shared" si="135"/>
        <v>0.62434114753275438</v>
      </c>
      <c r="W93" s="1117">
        <f t="shared" si="135"/>
        <v>0.63878764276717315</v>
      </c>
      <c r="X93" s="1117">
        <f t="shared" si="135"/>
        <v>0.63612447169304154</v>
      </c>
      <c r="Y93" s="1118">
        <f t="shared" si="135"/>
        <v>0.63384805368545893</v>
      </c>
      <c r="Z93" s="1119">
        <f t="shared" si="135"/>
        <v>0.63167036470220661</v>
      </c>
      <c r="AA93" s="1117">
        <f t="shared" si="135"/>
        <v>0.62660226829918575</v>
      </c>
      <c r="AB93" s="1117">
        <f t="shared" si="135"/>
        <v>0.63026164968813425</v>
      </c>
      <c r="AC93" s="1117">
        <f t="shared" si="135"/>
        <v>0.61883866370378715</v>
      </c>
      <c r="AD93" s="1024">
        <f t="shared" si="135"/>
        <v>0.62271891684146685</v>
      </c>
      <c r="AE93" s="981">
        <f t="shared" si="135"/>
        <v>0.61812231909998594</v>
      </c>
      <c r="AF93" s="981">
        <v>0.62</v>
      </c>
      <c r="AG93" s="982">
        <v>0.62</v>
      </c>
      <c r="AH93" s="981">
        <f t="shared" ref="AH93:AI93" si="136">AH90/AH$5</f>
        <v>0.62972271124920032</v>
      </c>
      <c r="AI93" s="981">
        <f t="shared" si="136"/>
        <v>0.61551183808811327</v>
      </c>
      <c r="AJ93" s="981">
        <v>0.62</v>
      </c>
      <c r="AK93" s="982"/>
      <c r="AL93" s="1119"/>
      <c r="AM93" s="1117"/>
      <c r="AN93" s="1117"/>
      <c r="AO93" s="1118"/>
      <c r="AP93" s="1119"/>
      <c r="AQ93" s="1117"/>
      <c r="AR93" s="1117"/>
      <c r="AS93" s="1118"/>
      <c r="AT93" s="1120"/>
      <c r="AU93" s="1109">
        <f t="shared" ref="AU93:AV93" si="137">AU90/AU$5</f>
        <v>0.74299067262567442</v>
      </c>
      <c r="AV93" s="1109">
        <f t="shared" si="137"/>
        <v>0.71515559545182528</v>
      </c>
      <c r="AW93" s="1109">
        <f>AW90/AW$5</f>
        <v>0.68704348169414475</v>
      </c>
      <c r="AX93" s="1109">
        <f>AX90/AX$5</f>
        <v>0.66724213520027431</v>
      </c>
      <c r="AY93" s="1109">
        <f t="shared" ref="AY93:BB93" si="138">AY90/AY$5</f>
        <v>0.64258865706946577</v>
      </c>
      <c r="AZ93" s="1109">
        <f t="shared" si="138"/>
        <v>0.63340120112823495</v>
      </c>
      <c r="BA93" s="1110">
        <f t="shared" si="138"/>
        <v>0.62665047388914619</v>
      </c>
      <c r="BB93" s="1110">
        <f t="shared" si="138"/>
        <v>0.62006108746351474</v>
      </c>
      <c r="BC93" s="1111"/>
      <c r="BD93" s="1111"/>
      <c r="BE93" s="1111"/>
    </row>
    <row r="94" spans="1:57" s="1133" customFormat="1" ht="12" customHeight="1">
      <c r="A94" s="1122" t="s">
        <v>222</v>
      </c>
      <c r="B94" s="1123"/>
      <c r="C94" s="1123"/>
      <c r="D94" s="1123"/>
      <c r="E94" s="1124"/>
      <c r="F94" s="1123"/>
      <c r="G94" s="1123"/>
      <c r="H94" s="1123"/>
      <c r="I94" s="1124"/>
      <c r="J94" s="1123"/>
      <c r="K94" s="1123"/>
      <c r="L94" s="1123"/>
      <c r="M94" s="1124"/>
      <c r="N94" s="1123"/>
      <c r="O94" s="1123"/>
      <c r="P94" s="1123"/>
      <c r="Q94" s="1124"/>
      <c r="R94" s="1123"/>
      <c r="S94" s="1123"/>
      <c r="T94" s="1123"/>
      <c r="U94" s="1124"/>
      <c r="V94" s="1125">
        <f t="shared" ref="V94:AD94" si="139">V5*V97</f>
        <v>89.246080000000006</v>
      </c>
      <c r="W94" s="1125">
        <f t="shared" si="139"/>
        <v>93.674369999999996</v>
      </c>
      <c r="X94" s="1125">
        <f t="shared" si="139"/>
        <v>99.665069999999986</v>
      </c>
      <c r="Y94" s="1125">
        <f t="shared" si="139"/>
        <v>98.407760000000053</v>
      </c>
      <c r="Z94" s="1126">
        <f t="shared" si="139"/>
        <v>105.74984000000002</v>
      </c>
      <c r="AA94" s="1125">
        <f t="shared" si="139"/>
        <v>107.2698</v>
      </c>
      <c r="AB94" s="1125">
        <f t="shared" si="139"/>
        <v>110.84095000000001</v>
      </c>
      <c r="AC94" s="1125">
        <f>BA94-SUM(Z94:AB94)</f>
        <v>115.42991000000001</v>
      </c>
      <c r="AD94" s="1126">
        <f t="shared" si="139"/>
        <v>116.61893999999999</v>
      </c>
      <c r="AE94" s="1125">
        <f>AE$5*AE97</f>
        <v>119.47014000000001</v>
      </c>
      <c r="AF94" s="1125">
        <f>AF$5*AF97</f>
        <v>122.62752</v>
      </c>
      <c r="AG94" s="1127">
        <f>BB94-SUM(AD94:AF94)</f>
        <v>127.29473999999999</v>
      </c>
      <c r="AH94" s="1125"/>
      <c r="AI94" s="1123"/>
      <c r="AJ94" s="1125">
        <f>AJ$5*AJ97</f>
        <v>136.3176</v>
      </c>
      <c r="AK94" s="1127"/>
      <c r="AL94" s="1128"/>
      <c r="AM94" s="1123"/>
      <c r="AN94" s="1123"/>
      <c r="AO94" s="1124"/>
      <c r="AP94" s="1128"/>
      <c r="AQ94" s="1123"/>
      <c r="AR94" s="1123"/>
      <c r="AS94" s="1124"/>
      <c r="AT94" s="1129"/>
      <c r="AU94" s="1130"/>
      <c r="AV94" s="1130"/>
      <c r="AW94" s="1130"/>
      <c r="AX94" s="1125">
        <f t="shared" ref="AX94:AZ94" si="140">AX$5*AX97</f>
        <v>268.53480999999999</v>
      </c>
      <c r="AY94" s="1126">
        <f t="shared" si="140"/>
        <v>313.85539999999997</v>
      </c>
      <c r="AZ94" s="1126">
        <f t="shared" si="140"/>
        <v>382.58696000000003</v>
      </c>
      <c r="BA94" s="1126">
        <f>BA$5*BA97</f>
        <v>439.29050000000007</v>
      </c>
      <c r="BB94" s="1126">
        <f>BB$5*BB97</f>
        <v>486.01134000000002</v>
      </c>
      <c r="BC94" s="1131"/>
      <c r="BD94" s="1132"/>
      <c r="BE94" s="1132"/>
    </row>
    <row r="95" spans="1:57" s="1121" customFormat="1" ht="12" customHeight="1">
      <c r="A95" s="1134" t="s">
        <v>117</v>
      </c>
      <c r="B95" s="1135"/>
      <c r="C95" s="1135"/>
      <c r="D95" s="1135"/>
      <c r="E95" s="1136"/>
      <c r="F95" s="1135"/>
      <c r="G95" s="1135"/>
      <c r="H95" s="1135"/>
      <c r="I95" s="1136"/>
      <c r="J95" s="1135"/>
      <c r="K95" s="1135"/>
      <c r="L95" s="1135"/>
      <c r="M95" s="1136"/>
      <c r="N95" s="1135"/>
      <c r="O95" s="1135"/>
      <c r="P95" s="1135"/>
      <c r="Q95" s="1136"/>
      <c r="R95" s="1135"/>
      <c r="S95" s="1135"/>
      <c r="T95" s="1135"/>
      <c r="U95" s="1136"/>
      <c r="V95" s="1137" t="s">
        <v>223</v>
      </c>
      <c r="W95" s="1137" t="s">
        <v>223</v>
      </c>
      <c r="X95" s="1137" t="s">
        <v>223</v>
      </c>
      <c r="Y95" s="1137" t="s">
        <v>223</v>
      </c>
      <c r="Z95" s="1138">
        <f t="shared" ref="Z95:AD95" si="141">Z94/V94-1</f>
        <v>0.18492420059233994</v>
      </c>
      <c r="AA95" s="1137">
        <f t="shared" si="141"/>
        <v>0.14513500330987017</v>
      </c>
      <c r="AB95" s="1137">
        <f t="shared" si="141"/>
        <v>0.11213437165097084</v>
      </c>
      <c r="AC95" s="1137">
        <f t="shared" si="141"/>
        <v>0.1729756880961415</v>
      </c>
      <c r="AD95" s="1138">
        <f t="shared" si="141"/>
        <v>0.10278124297871249</v>
      </c>
      <c r="AE95" s="1137">
        <f>AE94/AA94-1</f>
        <v>0.11373508666931431</v>
      </c>
      <c r="AF95" s="1137">
        <f>AF94/AB94-1</f>
        <v>0.10633768476361838</v>
      </c>
      <c r="AG95" s="1139">
        <f>AG94/AC94-1</f>
        <v>0.10278817682522656</v>
      </c>
      <c r="AH95" s="1137"/>
      <c r="AI95" s="1135"/>
      <c r="AJ95" s="1137">
        <f>AJ94/AF94-1</f>
        <v>0.11163954061861481</v>
      </c>
      <c r="AK95" s="1139"/>
      <c r="AL95" s="1140"/>
      <c r="AM95" s="1135"/>
      <c r="AN95" s="1135"/>
      <c r="AO95" s="1136"/>
      <c r="AP95" s="1140"/>
      <c r="AQ95" s="1135"/>
      <c r="AR95" s="1135"/>
      <c r="AS95" s="1136"/>
      <c r="AT95" s="1120"/>
      <c r="AU95" s="1141"/>
      <c r="AV95" s="1141"/>
      <c r="AW95" s="1141"/>
      <c r="AX95" s="1141" t="s">
        <v>223</v>
      </c>
      <c r="AY95" s="1141">
        <f t="shared" ref="AY95:AZ95" si="142">AY94/AX94-1</f>
        <v>0.16876988871573095</v>
      </c>
      <c r="AZ95" s="1141">
        <f t="shared" si="142"/>
        <v>0.21899116599555102</v>
      </c>
      <c r="BA95" s="1142">
        <f>BA94/AZ94-1</f>
        <v>0.14821085381477728</v>
      </c>
      <c r="BB95" s="1142">
        <f>BB94/BA94-1</f>
        <v>0.10635522507315764</v>
      </c>
      <c r="BC95" s="1143"/>
      <c r="BD95" s="1143"/>
      <c r="BE95" s="1143"/>
    </row>
    <row r="96" spans="1:57" s="1121" customFormat="1" ht="12" customHeight="1">
      <c r="A96" s="1134" t="s">
        <v>221</v>
      </c>
      <c r="B96" s="1135"/>
      <c r="C96" s="1135"/>
      <c r="D96" s="1135"/>
      <c r="E96" s="1136"/>
      <c r="F96" s="1135"/>
      <c r="G96" s="1135"/>
      <c r="H96" s="1135"/>
      <c r="I96" s="1136"/>
      <c r="J96" s="1135"/>
      <c r="K96" s="1135"/>
      <c r="L96" s="1135"/>
      <c r="M96" s="1136"/>
      <c r="N96" s="1135"/>
      <c r="O96" s="1135"/>
      <c r="P96" s="1135"/>
      <c r="Q96" s="1136"/>
      <c r="R96" s="1135"/>
      <c r="S96" s="1135"/>
      <c r="T96" s="1135"/>
      <c r="U96" s="1136"/>
      <c r="V96" s="1137" t="s">
        <v>223</v>
      </c>
      <c r="W96" s="1137">
        <f t="shared" ref="W96:AD96" si="143">W94/V94-1</f>
        <v>4.9618874016651437E-2</v>
      </c>
      <c r="X96" s="1137">
        <f t="shared" si="143"/>
        <v>6.3952391673410602E-2</v>
      </c>
      <c r="Y96" s="1137">
        <f t="shared" si="143"/>
        <v>-1.2615352600464091E-2</v>
      </c>
      <c r="Z96" s="1138">
        <f t="shared" si="143"/>
        <v>7.460875036684067E-2</v>
      </c>
      <c r="AA96" s="1137">
        <f t="shared" si="143"/>
        <v>1.4373165954671752E-2</v>
      </c>
      <c r="AB96" s="1137">
        <f t="shared" si="143"/>
        <v>3.3291289813162761E-2</v>
      </c>
      <c r="AC96" s="1137">
        <f t="shared" si="143"/>
        <v>4.1401305203537131E-2</v>
      </c>
      <c r="AD96" s="1138">
        <f t="shared" si="143"/>
        <v>1.0300883020700535E-2</v>
      </c>
      <c r="AE96" s="1137">
        <f>AE94/AD94-1</f>
        <v>2.4448858821731978E-2</v>
      </c>
      <c r="AF96" s="1137">
        <f>AF94/AE94-1</f>
        <v>2.6428193689234769E-2</v>
      </c>
      <c r="AG96" s="1139">
        <f>AG94/AF94-1</f>
        <v>3.8060135277953711E-2</v>
      </c>
      <c r="AH96" s="1137"/>
      <c r="AI96" s="1135"/>
      <c r="AJ96" s="1137"/>
      <c r="AK96" s="1139"/>
      <c r="AL96" s="1140"/>
      <c r="AM96" s="1135"/>
      <c r="AN96" s="1135"/>
      <c r="AO96" s="1136"/>
      <c r="AP96" s="1140"/>
      <c r="AQ96" s="1135"/>
      <c r="AR96" s="1135"/>
      <c r="AS96" s="1136"/>
      <c r="AT96" s="1120"/>
      <c r="AU96" s="1141"/>
      <c r="AV96" s="1141"/>
      <c r="AW96" s="1141"/>
      <c r="AX96" s="1141"/>
      <c r="AY96" s="1141"/>
      <c r="AZ96" s="1141"/>
      <c r="BA96" s="1142"/>
      <c r="BB96" s="1142"/>
      <c r="BC96" s="1143"/>
      <c r="BD96" s="1143"/>
      <c r="BE96" s="1143"/>
    </row>
    <row r="97" spans="1:57" s="1121" customFormat="1" ht="12" customHeight="1">
      <c r="A97" s="1134" t="s">
        <v>179</v>
      </c>
      <c r="B97" s="1135"/>
      <c r="C97" s="1135"/>
      <c r="D97" s="1135"/>
      <c r="E97" s="1136"/>
      <c r="F97" s="1135"/>
      <c r="G97" s="1135"/>
      <c r="H97" s="1135"/>
      <c r="I97" s="1136"/>
      <c r="J97" s="1135"/>
      <c r="K97" s="1135"/>
      <c r="L97" s="1135"/>
      <c r="M97" s="1136"/>
      <c r="N97" s="1135"/>
      <c r="O97" s="1135"/>
      <c r="P97" s="1135"/>
      <c r="Q97" s="1136"/>
      <c r="R97" s="1135"/>
      <c r="S97" s="1135"/>
      <c r="T97" s="1135"/>
      <c r="U97" s="1136"/>
      <c r="V97" s="1144">
        <v>0.56000000000000005</v>
      </c>
      <c r="W97" s="1144">
        <v>0.56999999999999995</v>
      </c>
      <c r="X97" s="1144">
        <v>0.56999999999999995</v>
      </c>
      <c r="Y97" s="1144">
        <f>((AZ97*AZ5)-(57%*SUM(V5:X5)))/Y5</f>
        <v>0.53299695067458908</v>
      </c>
      <c r="Z97" s="1145">
        <v>0.56000000000000005</v>
      </c>
      <c r="AA97" s="1144">
        <v>0.55000000000000004</v>
      </c>
      <c r="AB97" s="1144">
        <v>0.55000000000000004</v>
      </c>
      <c r="AC97" s="1135">
        <f>AC94/AC5</f>
        <v>0.54114703758919114</v>
      </c>
      <c r="AD97" s="1145">
        <v>0.54</v>
      </c>
      <c r="AE97" s="1144">
        <v>0.54</v>
      </c>
      <c r="AF97" s="1144">
        <v>0.54</v>
      </c>
      <c r="AG97" s="1136">
        <f>AG94/AG5</f>
        <v>0.53999999999999992</v>
      </c>
      <c r="AH97" s="1144"/>
      <c r="AI97" s="1144"/>
      <c r="AJ97" s="1144">
        <v>0.54</v>
      </c>
      <c r="AK97" s="1136"/>
      <c r="AL97" s="1145"/>
      <c r="AM97" s="1144"/>
      <c r="AN97" s="1144"/>
      <c r="AO97" s="1146"/>
      <c r="AP97" s="1145"/>
      <c r="AQ97" s="1144"/>
      <c r="AR97" s="1144"/>
      <c r="AS97" s="1146"/>
      <c r="AT97" s="1120"/>
      <c r="AU97" s="1141"/>
      <c r="AV97" s="1141"/>
      <c r="AW97" s="1141"/>
      <c r="AX97" s="1147">
        <v>0.61</v>
      </c>
      <c r="AY97" s="1147">
        <v>0.57999999999999996</v>
      </c>
      <c r="AZ97" s="1147">
        <v>0.56000000000000005</v>
      </c>
      <c r="BA97" s="1148">
        <v>0.55000000000000004</v>
      </c>
      <c r="BB97" s="1148">
        <v>0.54</v>
      </c>
      <c r="BC97" s="1143"/>
      <c r="BD97" s="1143"/>
      <c r="BE97" s="1143"/>
    </row>
    <row r="98" spans="1:57" s="1106" customFormat="1" ht="12" customHeight="1">
      <c r="A98" s="1102" t="s">
        <v>224</v>
      </c>
      <c r="B98" s="846">
        <v>7.032</v>
      </c>
      <c r="C98" s="846">
        <v>7.798</v>
      </c>
      <c r="D98" s="846">
        <v>8.7810000000000006</v>
      </c>
      <c r="E98" s="904">
        <v>10.510000000000002</v>
      </c>
      <c r="F98" s="846">
        <v>11.666</v>
      </c>
      <c r="G98" s="846">
        <v>12.55</v>
      </c>
      <c r="H98" s="846">
        <v>14.002000000000001</v>
      </c>
      <c r="I98" s="904">
        <v>15.620999999999995</v>
      </c>
      <c r="J98" s="846">
        <v>17.306999999999999</v>
      </c>
      <c r="K98" s="846">
        <v>18.847999999999999</v>
      </c>
      <c r="L98" s="846">
        <v>19.968</v>
      </c>
      <c r="M98" s="904">
        <v>21.552999999999997</v>
      </c>
      <c r="N98" s="846">
        <v>23.55</v>
      </c>
      <c r="O98" s="846">
        <v>24.641999999999999</v>
      </c>
      <c r="P98" s="846">
        <v>26.193000000000001</v>
      </c>
      <c r="Q98" s="904">
        <v>27.769999999999996</v>
      </c>
      <c r="R98" s="846">
        <v>29.265999999999998</v>
      </c>
      <c r="S98" s="846">
        <v>31.946999999999999</v>
      </c>
      <c r="T98" s="846">
        <v>34.923000000000002</v>
      </c>
      <c r="U98" s="904">
        <f>135.176-SUM(R98:T98)</f>
        <v>39.039999999999992</v>
      </c>
      <c r="V98" s="846">
        <v>43.139000000000003</v>
      </c>
      <c r="W98" s="846">
        <v>41.523000000000003</v>
      </c>
      <c r="X98" s="843">
        <v>44.116999999999997</v>
      </c>
      <c r="Y98" s="904">
        <f>175.767-SUM(V98:X98)</f>
        <v>46.988</v>
      </c>
      <c r="Z98" s="912">
        <v>48.259</v>
      </c>
      <c r="AA98" s="843">
        <v>50.780999999999999</v>
      </c>
      <c r="AB98" s="843">
        <v>51.396999999999998</v>
      </c>
      <c r="AC98" s="904">
        <f>205.851-SUM(Z98:AB98)</f>
        <v>55.414000000000016</v>
      </c>
      <c r="AD98" s="817">
        <v>57.037999999999997</v>
      </c>
      <c r="AE98" s="804">
        <v>59.32</v>
      </c>
      <c r="AF98" s="804">
        <v>59.042880000000004</v>
      </c>
      <c r="AG98" s="1149">
        <f>BB98-SUM(AD98:AF98)</f>
        <v>64.340120000000013</v>
      </c>
      <c r="AH98" s="804">
        <v>61.247999999999998</v>
      </c>
      <c r="AI98" s="804">
        <v>66.924000000000007</v>
      </c>
      <c r="AJ98" s="804">
        <v>68.260999999999996</v>
      </c>
      <c r="AK98" s="1149"/>
      <c r="AL98" s="912"/>
      <c r="AM98" s="843"/>
      <c r="AN98" s="843"/>
      <c r="AO98" s="911"/>
      <c r="AP98" s="912"/>
      <c r="AQ98" s="843"/>
      <c r="AR98" s="843"/>
      <c r="AS98" s="911"/>
      <c r="AT98" s="1104"/>
      <c r="AU98" s="1105">
        <f>SUM(B98:E98)</f>
        <v>34.121000000000002</v>
      </c>
      <c r="AV98" s="1105">
        <f>SUM(F98:I98)</f>
        <v>53.838999999999999</v>
      </c>
      <c r="AW98" s="1105">
        <f>SUM(J98:M98)</f>
        <v>77.676000000000002</v>
      </c>
      <c r="AX98" s="1105">
        <f>SUM(N98:Q98)</f>
        <v>102.155</v>
      </c>
      <c r="AY98" s="1105">
        <f>SUM(R98:U98)</f>
        <v>135.17599999999999</v>
      </c>
      <c r="AZ98" s="1105">
        <f>SUM(V98:Y98)</f>
        <v>175.767</v>
      </c>
      <c r="BA98" s="660">
        <f t="shared" ref="BA98" si="144">SUM(Z98:AC98)</f>
        <v>205.851</v>
      </c>
      <c r="BB98" s="660">
        <v>239.74100000000001</v>
      </c>
      <c r="BC98" s="1105"/>
      <c r="BD98" s="1105"/>
      <c r="BE98" s="1105"/>
    </row>
    <row r="99" spans="1:57" s="1052" customFormat="1" ht="12" customHeight="1">
      <c r="A99" s="797" t="s">
        <v>117</v>
      </c>
      <c r="B99" s="798"/>
      <c r="C99" s="798"/>
      <c r="D99" s="798"/>
      <c r="E99" s="890"/>
      <c r="F99" s="798">
        <f t="shared" ref="F99:Q99" si="145">F98/B98-1</f>
        <v>0.65898748577929478</v>
      </c>
      <c r="G99" s="798">
        <f t="shared" si="145"/>
        <v>0.60938702231341368</v>
      </c>
      <c r="H99" s="978">
        <f t="shared" si="145"/>
        <v>0.59457920510192452</v>
      </c>
      <c r="I99" s="889">
        <f t="shared" si="145"/>
        <v>0.48629876308277753</v>
      </c>
      <c r="J99" s="798">
        <f t="shared" si="145"/>
        <v>0.48354191668095292</v>
      </c>
      <c r="K99" s="798">
        <f t="shared" si="145"/>
        <v>0.50183266932270909</v>
      </c>
      <c r="L99" s="978">
        <f t="shared" si="145"/>
        <v>0.42608198828738741</v>
      </c>
      <c r="M99" s="889">
        <f t="shared" si="145"/>
        <v>0.37974521477498269</v>
      </c>
      <c r="N99" s="978">
        <f t="shared" si="145"/>
        <v>0.36072109551048714</v>
      </c>
      <c r="O99" s="798">
        <f t="shared" si="145"/>
        <v>0.30740662139219022</v>
      </c>
      <c r="P99" s="798">
        <f t="shared" si="145"/>
        <v>0.31174879807692313</v>
      </c>
      <c r="Q99" s="890">
        <f t="shared" si="145"/>
        <v>0.28845172365795935</v>
      </c>
      <c r="R99" s="978">
        <f>R98/N98-1</f>
        <v>0.24271762208067926</v>
      </c>
      <c r="S99" s="798">
        <f t="shared" ref="S99:U99" si="146">S98/O98-1</f>
        <v>0.29644509374239103</v>
      </c>
      <c r="T99" s="798">
        <f t="shared" si="146"/>
        <v>0.33329515519413588</v>
      </c>
      <c r="U99" s="890">
        <f t="shared" si="146"/>
        <v>0.40583363341735668</v>
      </c>
      <c r="V99" s="978">
        <f>V98/R98-1</f>
        <v>0.47403129911843123</v>
      </c>
      <c r="W99" s="798">
        <f t="shared" ref="W99:AJ99" si="147">W98/S98-1</f>
        <v>0.29974645506620345</v>
      </c>
      <c r="X99" s="798">
        <f t="shared" si="147"/>
        <v>0.26326489705924438</v>
      </c>
      <c r="Y99" s="890">
        <f t="shared" si="147"/>
        <v>0.20358606557377068</v>
      </c>
      <c r="Z99" s="798">
        <f t="shared" si="147"/>
        <v>0.11868610769837029</v>
      </c>
      <c r="AA99" s="798">
        <f t="shared" si="147"/>
        <v>0.22296076873058301</v>
      </c>
      <c r="AB99" s="798">
        <f t="shared" si="147"/>
        <v>0.16501575356438569</v>
      </c>
      <c r="AC99" s="890">
        <f t="shared" si="147"/>
        <v>0.17932238018217461</v>
      </c>
      <c r="AD99" s="798">
        <f t="shared" si="147"/>
        <v>0.18191425433597863</v>
      </c>
      <c r="AE99" s="798">
        <f t="shared" si="147"/>
        <v>0.16815344321695136</v>
      </c>
      <c r="AF99" s="798">
        <f t="shared" si="147"/>
        <v>0.14876121174387613</v>
      </c>
      <c r="AG99" s="890">
        <f t="shared" si="147"/>
        <v>0.16108059335186042</v>
      </c>
      <c r="AH99" s="798">
        <f t="shared" si="147"/>
        <v>7.3810442161366119E-2</v>
      </c>
      <c r="AI99" s="798">
        <f t="shared" si="147"/>
        <v>0.1281861092380312</v>
      </c>
      <c r="AJ99" s="798">
        <f t="shared" si="147"/>
        <v>0.15612585293942294</v>
      </c>
      <c r="AK99" s="890"/>
      <c r="AL99" s="800"/>
      <c r="AM99" s="798"/>
      <c r="AN99" s="798"/>
      <c r="AO99" s="890"/>
      <c r="AP99" s="800"/>
      <c r="AQ99" s="798"/>
      <c r="AR99" s="798"/>
      <c r="AS99" s="890"/>
      <c r="AT99" s="1107"/>
      <c r="AU99" s="1108"/>
      <c r="AV99" s="1109">
        <f>AV98/AU98-1</f>
        <v>0.57788458720436076</v>
      </c>
      <c r="AW99" s="1109">
        <f>AW98/AV98-1</f>
        <v>0.44274596482104056</v>
      </c>
      <c r="AX99" s="1109">
        <f>AX98/AW98-1</f>
        <v>0.31514238632267366</v>
      </c>
      <c r="AY99" s="1109">
        <f t="shared" ref="AY99:BA99" si="148">AY98/AX98-1</f>
        <v>0.32324408986344277</v>
      </c>
      <c r="AZ99" s="1109">
        <f t="shared" si="148"/>
        <v>0.30028259454341022</v>
      </c>
      <c r="BA99" s="1110">
        <f t="shared" si="148"/>
        <v>0.17115840857498843</v>
      </c>
      <c r="BB99" s="1110">
        <f>BB98/BA98-1</f>
        <v>0.16463364278045778</v>
      </c>
      <c r="BC99" s="1111"/>
      <c r="BD99" s="1111"/>
      <c r="BE99" s="1111"/>
    </row>
    <row r="100" spans="1:57" s="1052" customFormat="1" ht="12" customHeight="1">
      <c r="A100" s="797" t="s">
        <v>221</v>
      </c>
      <c r="B100" s="798"/>
      <c r="C100" s="798">
        <f>C98/B98-1</f>
        <v>0.10893060295790669</v>
      </c>
      <c r="D100" s="978">
        <f t="shared" ref="D100:AJ100" si="149">D98/C98-1</f>
        <v>0.12605796358040533</v>
      </c>
      <c r="E100" s="889">
        <f t="shared" si="149"/>
        <v>0.19690240291538563</v>
      </c>
      <c r="F100" s="798">
        <f t="shared" si="149"/>
        <v>0.10999048525214072</v>
      </c>
      <c r="G100" s="798">
        <f t="shared" si="149"/>
        <v>7.5775758614778033E-2</v>
      </c>
      <c r="H100" s="978">
        <f t="shared" si="149"/>
        <v>0.11569721115537845</v>
      </c>
      <c r="I100" s="889">
        <f t="shared" si="149"/>
        <v>0.11562633909441478</v>
      </c>
      <c r="J100" s="798">
        <f t="shared" si="149"/>
        <v>0.10793163049740762</v>
      </c>
      <c r="K100" s="798">
        <f t="shared" si="149"/>
        <v>8.9039117120240485E-2</v>
      </c>
      <c r="L100" s="978">
        <f t="shared" si="149"/>
        <v>5.9422750424448223E-2</v>
      </c>
      <c r="M100" s="889">
        <f t="shared" si="149"/>
        <v>7.9377003205127972E-2</v>
      </c>
      <c r="N100" s="978">
        <f t="shared" si="149"/>
        <v>9.2655314805363709E-2</v>
      </c>
      <c r="O100" s="798">
        <f t="shared" si="149"/>
        <v>4.6369426751592391E-2</v>
      </c>
      <c r="P100" s="798">
        <f t="shared" si="149"/>
        <v>6.2941319698076592E-2</v>
      </c>
      <c r="Q100" s="890">
        <f t="shared" si="149"/>
        <v>6.0206925514450171E-2</v>
      </c>
      <c r="R100" s="978">
        <f t="shared" si="149"/>
        <v>5.3871083903493044E-2</v>
      </c>
      <c r="S100" s="798">
        <f t="shared" si="149"/>
        <v>9.1608009294061432E-2</v>
      </c>
      <c r="T100" s="798">
        <f t="shared" si="149"/>
        <v>9.3154286787491936E-2</v>
      </c>
      <c r="U100" s="890">
        <f t="shared" si="149"/>
        <v>0.11788792486327027</v>
      </c>
      <c r="V100" s="978">
        <f t="shared" si="149"/>
        <v>0.10499487704918065</v>
      </c>
      <c r="W100" s="798">
        <f t="shared" si="149"/>
        <v>-3.7460302742298168E-2</v>
      </c>
      <c r="X100" s="798">
        <f t="shared" si="149"/>
        <v>6.2471401391999359E-2</v>
      </c>
      <c r="Y100" s="890">
        <f t="shared" si="149"/>
        <v>6.5076954461998904E-2</v>
      </c>
      <c r="Z100" s="798">
        <f t="shared" si="149"/>
        <v>2.7049459436451873E-2</v>
      </c>
      <c r="AA100" s="798">
        <f t="shared" si="149"/>
        <v>5.2259682131830409E-2</v>
      </c>
      <c r="AB100" s="798">
        <f t="shared" si="149"/>
        <v>1.2130521257950777E-2</v>
      </c>
      <c r="AC100" s="890">
        <f t="shared" si="149"/>
        <v>7.8156312625250912E-2</v>
      </c>
      <c r="AD100" s="798">
        <f t="shared" si="149"/>
        <v>2.9306673403832528E-2</v>
      </c>
      <c r="AE100" s="798">
        <f t="shared" si="149"/>
        <v>4.0008415442336798E-2</v>
      </c>
      <c r="AF100" s="798">
        <f t="shared" si="149"/>
        <v>-4.6716115981119133E-3</v>
      </c>
      <c r="AG100" s="890">
        <f t="shared" si="149"/>
        <v>8.9718523215669865E-2</v>
      </c>
      <c r="AH100" s="798">
        <f t="shared" si="149"/>
        <v>-4.8058971602788714E-2</v>
      </c>
      <c r="AI100" s="798">
        <f t="shared" si="149"/>
        <v>9.2672413793103647E-2</v>
      </c>
      <c r="AJ100" s="798">
        <f t="shared" si="149"/>
        <v>1.9977885362500558E-2</v>
      </c>
      <c r="AK100" s="890"/>
      <c r="AL100" s="800"/>
      <c r="AM100" s="798"/>
      <c r="AN100" s="798"/>
      <c r="AO100" s="890"/>
      <c r="AP100" s="800"/>
      <c r="AQ100" s="798"/>
      <c r="AR100" s="798"/>
      <c r="AS100" s="890"/>
      <c r="AT100" s="1107"/>
      <c r="AU100" s="1112"/>
      <c r="AV100" s="1113"/>
      <c r="AW100" s="1113"/>
      <c r="AX100" s="1114"/>
      <c r="AY100" s="1114"/>
      <c r="AZ100" s="1114"/>
      <c r="BA100" s="1115"/>
      <c r="BB100" s="1115"/>
      <c r="BC100" s="1116"/>
      <c r="BD100" s="1116"/>
      <c r="BE100" s="1116"/>
    </row>
    <row r="101" spans="1:57" s="1121" customFormat="1" ht="12" customHeight="1">
      <c r="A101" s="797" t="s">
        <v>179</v>
      </c>
      <c r="B101" s="1117">
        <f>B98/B$5</f>
        <v>0.17371112373706182</v>
      </c>
      <c r="C101" s="1117">
        <f t="shared" ref="C101:Y101" si="150">C98/C$5</f>
        <v>0.17662914222292692</v>
      </c>
      <c r="D101" s="1117">
        <f t="shared" si="150"/>
        <v>0.17927725602286648</v>
      </c>
      <c r="E101" s="1118">
        <f t="shared" si="150"/>
        <v>0.19420884380139328</v>
      </c>
      <c r="F101" s="1117">
        <f t="shared" si="150"/>
        <v>0.19737086977853724</v>
      </c>
      <c r="G101" s="1117">
        <f t="shared" si="150"/>
        <v>0.19735186815951694</v>
      </c>
      <c r="H101" s="1117">
        <f t="shared" si="150"/>
        <v>0.20164170506912443</v>
      </c>
      <c r="I101" s="1118">
        <f t="shared" si="150"/>
        <v>0.20766807141622678</v>
      </c>
      <c r="J101" s="1117">
        <f t="shared" si="150"/>
        <v>0.21552658123809165</v>
      </c>
      <c r="K101" s="1117">
        <f t="shared" si="150"/>
        <v>0.22074393328960928</v>
      </c>
      <c r="L101" s="1117">
        <f t="shared" si="150"/>
        <v>0.21739319775290683</v>
      </c>
      <c r="M101" s="1118">
        <f t="shared" si="150"/>
        <v>0.22208368968253153</v>
      </c>
      <c r="N101" s="1117">
        <f t="shared" si="150"/>
        <v>0.2294248304886603</v>
      </c>
      <c r="O101" s="1117">
        <f t="shared" si="150"/>
        <v>0.22985010586797749</v>
      </c>
      <c r="P101" s="1117">
        <f t="shared" si="150"/>
        <v>0.23327870896492758</v>
      </c>
      <c r="Q101" s="1118">
        <f t="shared" si="150"/>
        <v>0.23517555596958042</v>
      </c>
      <c r="R101" s="1117">
        <f t="shared" si="150"/>
        <v>0.23756991289806717</v>
      </c>
      <c r="S101" s="1117">
        <f t="shared" si="150"/>
        <v>0.24525752539171955</v>
      </c>
      <c r="T101" s="1117">
        <f t="shared" si="150"/>
        <v>0.25185340102694287</v>
      </c>
      <c r="U101" s="1118">
        <f t="shared" si="150"/>
        <v>0.26198177401387746</v>
      </c>
      <c r="V101" s="1117">
        <f>V98/V$5</f>
        <v>0.27068796747151253</v>
      </c>
      <c r="W101" s="1117">
        <f t="shared" si="150"/>
        <v>0.25266366883492253</v>
      </c>
      <c r="X101" s="1117">
        <f t="shared" si="150"/>
        <v>0.25231196847601672</v>
      </c>
      <c r="Y101" s="1118">
        <f t="shared" si="150"/>
        <v>0.25449680714506229</v>
      </c>
      <c r="Z101" s="1119">
        <f>Z98/Z$5</f>
        <v>0.25555632046346355</v>
      </c>
      <c r="AA101" s="1117">
        <v>0.26</v>
      </c>
      <c r="AB101" s="1117">
        <v>0.26</v>
      </c>
      <c r="AC101" s="1118">
        <f t="shared" ref="AC101" si="151">AC98/AC$5</f>
        <v>0.2597864101337985</v>
      </c>
      <c r="AD101" s="1024">
        <f>AD98/AD$5</f>
        <v>0.26411250179430545</v>
      </c>
      <c r="AE101" s="981">
        <f>AE98/AE$5</f>
        <v>0.26812390108524187</v>
      </c>
      <c r="AF101" s="981">
        <v>0.26</v>
      </c>
      <c r="AG101" s="982">
        <v>0.26</v>
      </c>
      <c r="AH101" s="981">
        <f t="shared" ref="AH101:AI101" si="152">AH98/AH$5</f>
        <v>0.25612096831523351</v>
      </c>
      <c r="AI101" s="981">
        <f t="shared" si="152"/>
        <v>0.27062415333912937</v>
      </c>
      <c r="AJ101" s="981">
        <v>0.26</v>
      </c>
      <c r="AK101" s="982"/>
      <c r="AL101" s="1119"/>
      <c r="AM101" s="1117"/>
      <c r="AN101" s="1117"/>
      <c r="AO101" s="1118"/>
      <c r="AP101" s="1119"/>
      <c r="AQ101" s="1117"/>
      <c r="AR101" s="1117"/>
      <c r="AS101" s="1118"/>
      <c r="AT101" s="1120"/>
      <c r="AU101" s="1109">
        <f t="shared" ref="AU101:AV101" si="153">AU98/AU$5</f>
        <v>0.18175861756699888</v>
      </c>
      <c r="AV101" s="1109">
        <f t="shared" si="153"/>
        <v>0.20137268102932374</v>
      </c>
      <c r="AW101" s="1109">
        <f>AW98/AW$5</f>
        <v>0.21906110224317937</v>
      </c>
      <c r="AX101" s="1109">
        <f>AX98/AX$5</f>
        <v>0.23205390020012676</v>
      </c>
      <c r="AY101" s="1109">
        <f t="shared" ref="AY101:BB101" si="154">AY98/AY$5</f>
        <v>0.24980318962171749</v>
      </c>
      <c r="AZ101" s="1109">
        <f t="shared" si="154"/>
        <v>0.2572735882059336</v>
      </c>
      <c r="BA101" s="1110">
        <f t="shared" si="154"/>
        <v>0.25772933855842545</v>
      </c>
      <c r="BB101" s="1110">
        <f t="shared" si="154"/>
        <v>0.26637267352650662</v>
      </c>
      <c r="BC101" s="1111"/>
      <c r="BD101" s="1111"/>
      <c r="BE101" s="1111"/>
    </row>
    <row r="102" spans="1:57" s="1121" customFormat="1" ht="12" customHeight="1">
      <c r="A102" s="1102" t="s">
        <v>225</v>
      </c>
      <c r="B102" s="846">
        <v>2.9750000000000005</v>
      </c>
      <c r="C102" s="846">
        <v>3.2589999999999999</v>
      </c>
      <c r="D102" s="846">
        <v>3.7909999999999999</v>
      </c>
      <c r="E102" s="904">
        <v>4.7050000000000001</v>
      </c>
      <c r="F102" s="846">
        <v>4.6790000000000003</v>
      </c>
      <c r="G102" s="846">
        <v>5.327</v>
      </c>
      <c r="H102" s="846">
        <v>6.0469999999999997</v>
      </c>
      <c r="I102" s="904">
        <v>6.2639999999999993</v>
      </c>
      <c r="J102" s="846">
        <v>6.9029999999999996</v>
      </c>
      <c r="K102" s="846">
        <v>7.6479999999999997</v>
      </c>
      <c r="L102" s="846">
        <v>9.4710000000000001</v>
      </c>
      <c r="M102" s="904">
        <v>9.2719999999999985</v>
      </c>
      <c r="N102" s="846">
        <v>9.7840000000000007</v>
      </c>
      <c r="O102" s="846">
        <v>10.621</v>
      </c>
      <c r="P102" s="846">
        <v>11.52</v>
      </c>
      <c r="Q102" s="904">
        <v>12.407</v>
      </c>
      <c r="R102" s="846">
        <v>13.327999999999999</v>
      </c>
      <c r="S102" s="846">
        <v>13.85</v>
      </c>
      <c r="T102" s="846">
        <v>14.958</v>
      </c>
      <c r="U102" s="904">
        <f>58.23-SUM(R102:T102)</f>
        <v>16.094000000000001</v>
      </c>
      <c r="V102" s="846">
        <v>16.728999999999999</v>
      </c>
      <c r="W102" s="846">
        <v>17.838999999999999</v>
      </c>
      <c r="X102" s="843">
        <v>19.507000000000001</v>
      </c>
      <c r="Y102" s="904">
        <f>74.69-SUM(V102:X102)</f>
        <v>20.614999999999995</v>
      </c>
      <c r="Z102" s="912">
        <v>21.295999999999999</v>
      </c>
      <c r="AA102" s="843">
        <v>22.045000000000002</v>
      </c>
      <c r="AB102" s="843">
        <v>23.116</v>
      </c>
      <c r="AC102" s="904">
        <f>92.347-SUM(Z102:AB102)</f>
        <v>25.89</v>
      </c>
      <c r="AD102" s="817">
        <v>24.44</v>
      </c>
      <c r="AE102" s="804">
        <v>25.167000000000002</v>
      </c>
      <c r="AF102" s="804">
        <v>27.250559999999997</v>
      </c>
      <c r="AG102" s="1149">
        <f>BB102-SUM(AD102:AF102)</f>
        <v>25.354440000000011</v>
      </c>
      <c r="AH102" s="804">
        <v>27.298999999999999</v>
      </c>
      <c r="AI102" s="804">
        <v>28.158000000000001</v>
      </c>
      <c r="AJ102" s="804">
        <v>29.260999999999999</v>
      </c>
      <c r="AK102" s="1149"/>
      <c r="AL102" s="912"/>
      <c r="AM102" s="843"/>
      <c r="AN102" s="843"/>
      <c r="AO102" s="911"/>
      <c r="AP102" s="912"/>
      <c r="AQ102" s="843"/>
      <c r="AR102" s="843"/>
      <c r="AS102" s="911"/>
      <c r="AT102" s="1120"/>
      <c r="AU102" s="1105">
        <f>SUM(B102:E102)</f>
        <v>14.73</v>
      </c>
      <c r="AV102" s="1105">
        <f>SUM(F102:I102)</f>
        <v>22.317</v>
      </c>
      <c r="AW102" s="1105">
        <f>SUM(J102:M102)</f>
        <v>33.293999999999997</v>
      </c>
      <c r="AX102" s="1105">
        <f>SUM(N102:Q102)</f>
        <v>44.332000000000001</v>
      </c>
      <c r="AY102" s="1105">
        <f>SUM(R102:U102)</f>
        <v>58.23</v>
      </c>
      <c r="AZ102" s="1105">
        <f>SUM(V102:Y102)</f>
        <v>74.69</v>
      </c>
      <c r="BA102" s="660">
        <f t="shared" ref="BA102" si="155">SUM(Z102:AC102)</f>
        <v>92.346999999999994</v>
      </c>
      <c r="BB102" s="660">
        <v>102.212</v>
      </c>
      <c r="BC102" s="1105"/>
      <c r="BD102" s="1105"/>
      <c r="BE102" s="1105"/>
    </row>
    <row r="103" spans="1:57" s="1121" customFormat="1" ht="12" customHeight="1">
      <c r="A103" s="797" t="s">
        <v>117</v>
      </c>
      <c r="B103" s="1117"/>
      <c r="C103" s="1117"/>
      <c r="D103" s="1117"/>
      <c r="E103" s="1118"/>
      <c r="F103" s="798">
        <f t="shared" ref="F103:Q103" si="156">F102/B102-1</f>
        <v>0.5727731092436974</v>
      </c>
      <c r="G103" s="798">
        <f t="shared" si="156"/>
        <v>0.63455047560601407</v>
      </c>
      <c r="H103" s="978">
        <f t="shared" si="156"/>
        <v>0.59509364283830113</v>
      </c>
      <c r="I103" s="889">
        <f t="shared" si="156"/>
        <v>0.33134962805526014</v>
      </c>
      <c r="J103" s="798">
        <f t="shared" si="156"/>
        <v>0.47531523829878153</v>
      </c>
      <c r="K103" s="798">
        <f t="shared" si="156"/>
        <v>0.43570489956823732</v>
      </c>
      <c r="L103" s="978">
        <f t="shared" si="156"/>
        <v>0.56623118901934855</v>
      </c>
      <c r="M103" s="889">
        <f t="shared" si="156"/>
        <v>0.48020434227330777</v>
      </c>
      <c r="N103" s="978">
        <f t="shared" si="156"/>
        <v>0.4173547732869769</v>
      </c>
      <c r="O103" s="798">
        <f t="shared" si="156"/>
        <v>0.38872907949790814</v>
      </c>
      <c r="P103" s="798">
        <f t="shared" si="156"/>
        <v>0.21634463097877732</v>
      </c>
      <c r="Q103" s="890">
        <f t="shared" si="156"/>
        <v>0.33811475409836089</v>
      </c>
      <c r="R103" s="978">
        <f>R102/N102-1</f>
        <v>0.36222403924775137</v>
      </c>
      <c r="S103" s="798">
        <f t="shared" ref="S103:U103" si="157">S102/O102-1</f>
        <v>0.30402033706807252</v>
      </c>
      <c r="T103" s="798">
        <f t="shared" si="157"/>
        <v>0.29843750000000013</v>
      </c>
      <c r="U103" s="890">
        <f t="shared" si="157"/>
        <v>0.29717095188200227</v>
      </c>
      <c r="V103" s="978">
        <f>V102/R102-1</f>
        <v>0.25517707082833141</v>
      </c>
      <c r="W103" s="798">
        <f t="shared" ref="W103:AJ103" si="158">W102/S102-1</f>
        <v>0.288014440433213</v>
      </c>
      <c r="X103" s="798">
        <f t="shared" si="158"/>
        <v>0.30411819762000269</v>
      </c>
      <c r="Y103" s="890">
        <f t="shared" si="158"/>
        <v>0.28091214117062213</v>
      </c>
      <c r="Z103" s="798">
        <f t="shared" si="158"/>
        <v>0.27299898380058574</v>
      </c>
      <c r="AA103" s="798">
        <f t="shared" si="158"/>
        <v>0.23577554795672429</v>
      </c>
      <c r="AB103" s="798">
        <f t="shared" si="158"/>
        <v>0.18501050904803384</v>
      </c>
      <c r="AC103" s="890">
        <f t="shared" si="158"/>
        <v>0.25588163958282828</v>
      </c>
      <c r="AD103" s="798">
        <f t="shared" si="158"/>
        <v>0.14763335837716007</v>
      </c>
      <c r="AE103" s="798">
        <f t="shared" si="158"/>
        <v>0.14161941483329543</v>
      </c>
      <c r="AF103" s="798">
        <f t="shared" si="158"/>
        <v>0.1788613947049662</v>
      </c>
      <c r="AG103" s="890">
        <f t="shared" si="158"/>
        <v>-2.0685979142525679E-2</v>
      </c>
      <c r="AH103" s="798">
        <f t="shared" si="158"/>
        <v>0.11698036006546642</v>
      </c>
      <c r="AI103" s="798">
        <f t="shared" si="158"/>
        <v>0.11884610799856943</v>
      </c>
      <c r="AJ103" s="798">
        <f t="shared" si="158"/>
        <v>7.3776098546231905E-2</v>
      </c>
      <c r="AK103" s="890"/>
      <c r="AL103" s="800"/>
      <c r="AM103" s="798"/>
      <c r="AN103" s="798"/>
      <c r="AO103" s="890"/>
      <c r="AP103" s="800"/>
      <c r="AQ103" s="798"/>
      <c r="AR103" s="798"/>
      <c r="AS103" s="890"/>
      <c r="AT103" s="1120"/>
      <c r="AU103" s="1150"/>
      <c r="AV103" s="1109">
        <f>AV102/AU102-1</f>
        <v>0.51507128309572292</v>
      </c>
      <c r="AW103" s="1109">
        <f>AW102/AV102-1</f>
        <v>0.49186718644979144</v>
      </c>
      <c r="AX103" s="1109">
        <f>AX102/AW102-1</f>
        <v>0.33153120682405257</v>
      </c>
      <c r="AY103" s="1109">
        <f t="shared" ref="AY103:BB103" si="159">AY102/AX102-1</f>
        <v>0.31349815032031025</v>
      </c>
      <c r="AZ103" s="1109">
        <f t="shared" si="159"/>
        <v>0.28267216211574797</v>
      </c>
      <c r="BA103" s="1110">
        <f t="shared" si="159"/>
        <v>0.23640380238318381</v>
      </c>
      <c r="BB103" s="1110">
        <f t="shared" si="159"/>
        <v>0.10682534354120876</v>
      </c>
      <c r="BC103" s="1111"/>
      <c r="BD103" s="1111"/>
      <c r="BE103" s="1111"/>
    </row>
    <row r="104" spans="1:57" s="1121" customFormat="1" ht="12" customHeight="1">
      <c r="A104" s="797" t="s">
        <v>221</v>
      </c>
      <c r="B104" s="1117"/>
      <c r="C104" s="798">
        <f>C102/B102-1</f>
        <v>9.5462184873949418E-2</v>
      </c>
      <c r="D104" s="978">
        <f t="shared" ref="D104:AJ104" si="160">D102/C102-1</f>
        <v>0.1632402577477754</v>
      </c>
      <c r="E104" s="889">
        <f t="shared" si="160"/>
        <v>0.24109733579530479</v>
      </c>
      <c r="F104" s="798">
        <f t="shared" si="160"/>
        <v>-5.5260361317747142E-3</v>
      </c>
      <c r="G104" s="798">
        <f t="shared" si="160"/>
        <v>0.13849113058345797</v>
      </c>
      <c r="H104" s="978">
        <f t="shared" si="160"/>
        <v>0.13516050309742811</v>
      </c>
      <c r="I104" s="889">
        <f t="shared" si="160"/>
        <v>3.5885563089135042E-2</v>
      </c>
      <c r="J104" s="798">
        <f t="shared" si="160"/>
        <v>0.10201149425287359</v>
      </c>
      <c r="K104" s="798">
        <f t="shared" si="160"/>
        <v>0.10792409097493838</v>
      </c>
      <c r="L104" s="978">
        <f t="shared" si="160"/>
        <v>0.23836297071129708</v>
      </c>
      <c r="M104" s="889">
        <f t="shared" si="160"/>
        <v>-2.1011508816387026E-2</v>
      </c>
      <c r="N104" s="978">
        <f t="shared" si="160"/>
        <v>5.5220017256255582E-2</v>
      </c>
      <c r="O104" s="798">
        <f t="shared" si="160"/>
        <v>8.5547833197056278E-2</v>
      </c>
      <c r="P104" s="798">
        <f t="shared" si="160"/>
        <v>8.4643630543263182E-2</v>
      </c>
      <c r="Q104" s="890">
        <f t="shared" si="160"/>
        <v>7.6996527777777768E-2</v>
      </c>
      <c r="R104" s="978">
        <f t="shared" si="160"/>
        <v>7.423228822438932E-2</v>
      </c>
      <c r="S104" s="798">
        <f t="shared" si="160"/>
        <v>3.9165666266506527E-2</v>
      </c>
      <c r="T104" s="798">
        <f t="shared" si="160"/>
        <v>8.0000000000000071E-2</v>
      </c>
      <c r="U104" s="890">
        <f t="shared" si="160"/>
        <v>7.5945982083166275E-2</v>
      </c>
      <c r="V104" s="978">
        <f t="shared" si="160"/>
        <v>3.9455697775568455E-2</v>
      </c>
      <c r="W104" s="798">
        <f t="shared" si="160"/>
        <v>6.6351844103054614E-2</v>
      </c>
      <c r="X104" s="798">
        <f t="shared" si="160"/>
        <v>9.3502999047031965E-2</v>
      </c>
      <c r="Y104" s="890">
        <f t="shared" si="160"/>
        <v>5.6800123032757055E-2</v>
      </c>
      <c r="Z104" s="798">
        <f t="shared" si="160"/>
        <v>3.3034198399224168E-2</v>
      </c>
      <c r="AA104" s="798">
        <f t="shared" si="160"/>
        <v>3.5170924117205127E-2</v>
      </c>
      <c r="AB104" s="798">
        <f t="shared" si="160"/>
        <v>4.8582444998865881E-2</v>
      </c>
      <c r="AC104" s="890">
        <f t="shared" si="160"/>
        <v>0.12000346080636803</v>
      </c>
      <c r="AD104" s="798">
        <f t="shared" si="160"/>
        <v>-5.6006179992274974E-2</v>
      </c>
      <c r="AE104" s="798">
        <f t="shared" si="160"/>
        <v>2.9746317512274967E-2</v>
      </c>
      <c r="AF104" s="798">
        <f t="shared" si="160"/>
        <v>8.2789367028251126E-2</v>
      </c>
      <c r="AG104" s="890">
        <f t="shared" si="160"/>
        <v>-6.9580955400549094E-2</v>
      </c>
      <c r="AH104" s="798">
        <f t="shared" si="160"/>
        <v>7.669504828345608E-2</v>
      </c>
      <c r="AI104" s="798">
        <f t="shared" si="160"/>
        <v>3.1466354078903969E-2</v>
      </c>
      <c r="AJ104" s="798">
        <f t="shared" si="160"/>
        <v>3.917181618012644E-2</v>
      </c>
      <c r="AK104" s="890"/>
      <c r="AL104" s="800"/>
      <c r="AM104" s="798"/>
      <c r="AN104" s="798"/>
      <c r="AO104" s="890"/>
      <c r="AP104" s="800"/>
      <c r="AQ104" s="798"/>
      <c r="AR104" s="798"/>
      <c r="AS104" s="890"/>
      <c r="AT104" s="1120"/>
      <c r="AU104" s="1150"/>
      <c r="AV104" s="1151"/>
      <c r="AW104" s="1152"/>
      <c r="AX104" s="1153"/>
      <c r="AY104" s="1153"/>
      <c r="AZ104" s="1153"/>
      <c r="BA104" s="1154"/>
      <c r="BB104" s="1154"/>
      <c r="BC104" s="1155"/>
      <c r="BD104" s="1155"/>
      <c r="BE104" s="1155"/>
    </row>
    <row r="105" spans="1:57" s="1121" customFormat="1" ht="12" customHeight="1">
      <c r="A105" s="797" t="s">
        <v>179</v>
      </c>
      <c r="B105" s="1117">
        <f>B102/B$5</f>
        <v>7.3491267508213734E-2</v>
      </c>
      <c r="C105" s="1117">
        <f t="shared" ref="C105:AE105" si="161">C102/C$5</f>
        <v>7.381820652789417E-2</v>
      </c>
      <c r="D105" s="1117">
        <f t="shared" si="161"/>
        <v>7.7398938342180479E-2</v>
      </c>
      <c r="E105" s="1118">
        <f t="shared" si="161"/>
        <v>8.6941256906332573E-2</v>
      </c>
      <c r="F105" s="1117">
        <f t="shared" si="161"/>
        <v>7.9161520632074045E-2</v>
      </c>
      <c r="G105" s="1117">
        <f t="shared" si="161"/>
        <v>8.3768398540696939E-2</v>
      </c>
      <c r="H105" s="1117">
        <f t="shared" si="161"/>
        <v>8.7082373271889404E-2</v>
      </c>
      <c r="I105" s="1118">
        <f t="shared" si="161"/>
        <v>8.3274617460549566E-2</v>
      </c>
      <c r="J105" s="1117">
        <f t="shared" si="161"/>
        <v>8.5964060223409411E-2</v>
      </c>
      <c r="K105" s="1117">
        <f t="shared" si="161"/>
        <v>8.95718167338143E-2</v>
      </c>
      <c r="L105" s="1117">
        <f t="shared" si="161"/>
        <v>0.10311152723947219</v>
      </c>
      <c r="M105" s="1118">
        <f t="shared" si="161"/>
        <v>9.5539366711661119E-2</v>
      </c>
      <c r="N105" s="1117">
        <f t="shared" si="161"/>
        <v>9.5316031486244263E-2</v>
      </c>
      <c r="O105" s="1117">
        <f t="shared" si="161"/>
        <v>9.9068175246481177E-2</v>
      </c>
      <c r="P105" s="1117">
        <f t="shared" si="161"/>
        <v>0.10259881370121657</v>
      </c>
      <c r="Q105" s="1118">
        <f t="shared" si="161"/>
        <v>0.10507105231957453</v>
      </c>
      <c r="R105" s="1117">
        <f t="shared" si="161"/>
        <v>0.1081914781352231</v>
      </c>
      <c r="S105" s="1117">
        <f t="shared" si="161"/>
        <v>0.10632662618321957</v>
      </c>
      <c r="T105" s="1117">
        <f t="shared" si="161"/>
        <v>0.10787226677436106</v>
      </c>
      <c r="U105" s="1118">
        <f t="shared" si="161"/>
        <v>0.10800037579352831</v>
      </c>
      <c r="V105" s="1117">
        <f t="shared" si="161"/>
        <v>0.10497088499573315</v>
      </c>
      <c r="W105" s="1117">
        <f t="shared" si="161"/>
        <v>0.10854868839790434</v>
      </c>
      <c r="X105" s="1117">
        <f t="shared" si="161"/>
        <v>0.11156355983094178</v>
      </c>
      <c r="Y105" s="1118">
        <f t="shared" si="161"/>
        <v>0.11165513916947856</v>
      </c>
      <c r="Z105" s="1117">
        <f t="shared" si="161"/>
        <v>0.11277331483432976</v>
      </c>
      <c r="AA105" s="1117">
        <f t="shared" si="161"/>
        <v>0.11303041489776247</v>
      </c>
      <c r="AB105" s="1117">
        <f t="shared" si="161"/>
        <v>0.11470309483994859</v>
      </c>
      <c r="AC105" s="1118">
        <f t="shared" si="161"/>
        <v>0.12137492616241458</v>
      </c>
      <c r="AD105" s="981">
        <f t="shared" si="161"/>
        <v>0.11316858136422782</v>
      </c>
      <c r="AE105" s="981">
        <f t="shared" si="161"/>
        <v>0.11375377981477212</v>
      </c>
      <c r="AF105" s="981">
        <v>0.12</v>
      </c>
      <c r="AG105" s="982">
        <v>0.12</v>
      </c>
      <c r="AH105" s="981">
        <f t="shared" ref="AH105:AI105" si="162">AH102/AH$5</f>
        <v>0.11415632043556623</v>
      </c>
      <c r="AI105" s="981">
        <f t="shared" si="162"/>
        <v>0.11386400857275723</v>
      </c>
      <c r="AJ105" s="981">
        <v>0.12</v>
      </c>
      <c r="AK105" s="982"/>
      <c r="AL105" s="1119"/>
      <c r="AM105" s="1117"/>
      <c r="AN105" s="1117"/>
      <c r="AO105" s="1118"/>
      <c r="AP105" s="1119"/>
      <c r="AQ105" s="1117"/>
      <c r="AR105" s="1117"/>
      <c r="AS105" s="1118"/>
      <c r="AT105" s="1120"/>
      <c r="AU105" s="1109">
        <f t="shared" ref="AU105:AV105" si="163">AU102/AU$5</f>
        <v>7.8465005033905605E-2</v>
      </c>
      <c r="AV105" s="1109">
        <f t="shared" si="163"/>
        <v>8.3471723518850988E-2</v>
      </c>
      <c r="AW105" s="1109">
        <f>AW102/AW$5</f>
        <v>9.3895416062675902E-2</v>
      </c>
      <c r="AX105" s="1109">
        <f>AX102/AX$5</f>
        <v>0.10070396459959884</v>
      </c>
      <c r="AY105" s="1109">
        <f t="shared" ref="AY105:BA105" si="164">AY102/AY$5</f>
        <v>0.10760815330881673</v>
      </c>
      <c r="AZ105" s="1109">
        <f t="shared" si="164"/>
        <v>0.10932521066583137</v>
      </c>
      <c r="BA105" s="1110">
        <f t="shared" si="164"/>
        <v>0.11562018755242828</v>
      </c>
      <c r="BB105" s="1110">
        <f>BB102/BB$5</f>
        <v>0.11356623900997867</v>
      </c>
      <c r="BC105" s="1155"/>
      <c r="BD105" s="1155"/>
      <c r="BE105" s="1155"/>
    </row>
    <row r="106" spans="1:57" s="1052" customFormat="1" ht="12" customHeight="1">
      <c r="A106" s="1156"/>
      <c r="B106" s="1099"/>
      <c r="C106" s="1099"/>
      <c r="D106" s="1099"/>
      <c r="E106" s="1116"/>
      <c r="F106" s="1099"/>
      <c r="G106" s="1099"/>
      <c r="H106" s="1099"/>
      <c r="I106" s="1157"/>
      <c r="J106" s="1158"/>
      <c r="K106" s="1099"/>
      <c r="L106" s="1099"/>
      <c r="M106" s="1116"/>
      <c r="N106" s="1099"/>
      <c r="O106" s="1099"/>
      <c r="P106" s="1099"/>
      <c r="Q106" s="1116"/>
      <c r="R106" s="1099"/>
      <c r="S106" s="1099"/>
      <c r="T106" s="1099"/>
      <c r="U106" s="1116"/>
      <c r="V106" s="1099"/>
      <c r="W106" s="1099"/>
      <c r="X106" s="1099"/>
      <c r="Y106" s="1099"/>
      <c r="Z106" s="1159"/>
      <c r="AA106" s="1099"/>
      <c r="AB106" s="1099"/>
      <c r="AC106" s="1099"/>
      <c r="AD106" s="1160"/>
      <c r="AE106" s="953"/>
      <c r="AF106" s="953"/>
      <c r="AG106" s="1161"/>
      <c r="AH106" s="953"/>
      <c r="AI106" s="1099"/>
      <c r="AJ106" s="1099"/>
      <c r="AK106" s="1161"/>
      <c r="AL106" s="1159"/>
      <c r="AM106" s="1099"/>
      <c r="AN106" s="1099"/>
      <c r="AO106" s="1116"/>
      <c r="AP106" s="1159"/>
      <c r="AQ106" s="1099"/>
      <c r="AR106" s="1099"/>
      <c r="AS106" s="1116"/>
      <c r="AU106" s="1115"/>
      <c r="AV106" s="1116"/>
      <c r="AW106" s="1114"/>
      <c r="AX106" s="1114"/>
      <c r="AY106" s="1114"/>
      <c r="AZ106" s="1115"/>
      <c r="BA106" s="1115"/>
      <c r="BB106" s="1115"/>
      <c r="BC106" s="1116"/>
      <c r="BD106" s="1116"/>
      <c r="BE106" s="1116"/>
    </row>
    <row r="107" spans="1:57" s="1052" customFormat="1" ht="12" customHeight="1">
      <c r="A107" s="1156" t="s">
        <v>226</v>
      </c>
      <c r="B107" s="1099"/>
      <c r="C107" s="1099"/>
      <c r="D107" s="1099"/>
      <c r="E107" s="1116"/>
      <c r="F107" s="1099"/>
      <c r="G107" s="1099"/>
      <c r="H107" s="1099"/>
      <c r="I107" s="1099"/>
      <c r="J107" s="1099"/>
      <c r="K107" s="1099"/>
      <c r="L107" s="1099"/>
      <c r="M107" s="1116"/>
      <c r="N107" s="1099"/>
      <c r="O107" s="1099"/>
      <c r="P107" s="1099"/>
      <c r="Q107" s="1099"/>
      <c r="R107" s="1099"/>
      <c r="S107" s="1099"/>
      <c r="T107" s="1099"/>
      <c r="U107" s="1099"/>
      <c r="V107" s="952"/>
      <c r="W107" s="952"/>
      <c r="X107" s="952"/>
      <c r="Y107" s="952"/>
      <c r="Z107" s="1162"/>
      <c r="AB107" s="952">
        <v>0.2</v>
      </c>
      <c r="AC107" s="952">
        <v>0.22</v>
      </c>
      <c r="AD107" s="1163">
        <v>0.26</v>
      </c>
      <c r="AE107" s="1164">
        <v>0.3</v>
      </c>
      <c r="AF107" s="1164">
        <v>0.3</v>
      </c>
      <c r="AG107" s="1165">
        <v>0.4</v>
      </c>
      <c r="AH107" s="1164">
        <v>0.26</v>
      </c>
      <c r="AI107" s="1099"/>
      <c r="AJ107" s="1099"/>
      <c r="AK107" s="1165"/>
      <c r="AL107" s="1159"/>
      <c r="AM107" s="1099"/>
      <c r="AN107" s="1099"/>
      <c r="AO107" s="1116"/>
      <c r="AP107" s="1159"/>
      <c r="AQ107" s="1099"/>
      <c r="AR107" s="1099"/>
      <c r="AS107" s="1116"/>
      <c r="AU107" s="1115"/>
      <c r="AV107" s="1116"/>
      <c r="AW107" s="1114"/>
      <c r="AX107" s="1114"/>
      <c r="AY107" s="1114"/>
      <c r="AZ107" s="1115"/>
      <c r="BA107" s="1115"/>
      <c r="BB107" s="1115"/>
      <c r="BC107" s="1116"/>
      <c r="BD107" s="1116"/>
      <c r="BE107" s="1116"/>
    </row>
    <row r="108" spans="1:57" s="1052" customFormat="1" ht="12" customHeight="1">
      <c r="A108" s="1156" t="s">
        <v>227</v>
      </c>
      <c r="B108" s="1099"/>
      <c r="C108" s="1099"/>
      <c r="D108" s="1099"/>
      <c r="E108" s="1116"/>
      <c r="F108" s="1099"/>
      <c r="G108" s="1099"/>
      <c r="H108" s="1099"/>
      <c r="I108" s="1099"/>
      <c r="J108" s="1099"/>
      <c r="K108" s="1099"/>
      <c r="L108" s="1099"/>
      <c r="M108" s="1116"/>
      <c r="N108" s="1099"/>
      <c r="O108" s="1099"/>
      <c r="P108" s="1099"/>
      <c r="Q108" s="1099"/>
      <c r="R108" s="1099"/>
      <c r="S108" s="1099"/>
      <c r="T108" s="1099"/>
      <c r="U108" s="1099"/>
      <c r="V108" s="1099"/>
      <c r="W108" s="1099"/>
      <c r="X108" s="1099"/>
      <c r="Y108" s="1099"/>
      <c r="Z108" s="1159"/>
      <c r="AA108" s="1099"/>
      <c r="AB108" s="952"/>
      <c r="AC108" s="952">
        <v>0.5</v>
      </c>
      <c r="AD108" s="1163">
        <v>0.5</v>
      </c>
      <c r="AE108" s="1164">
        <v>0.5</v>
      </c>
      <c r="AF108" s="1164">
        <v>0.5</v>
      </c>
      <c r="AG108" s="1165"/>
      <c r="AH108" s="1164">
        <v>0.5</v>
      </c>
      <c r="AI108" s="1099"/>
      <c r="AJ108" s="1099"/>
      <c r="AK108" s="1165"/>
      <c r="AL108" s="1159"/>
      <c r="AM108" s="1099"/>
      <c r="AN108" s="1099"/>
      <c r="AO108" s="1116"/>
      <c r="AP108" s="1159"/>
      <c r="AQ108" s="1099"/>
      <c r="AR108" s="1099"/>
      <c r="AS108" s="1116"/>
      <c r="AU108" s="1115"/>
      <c r="AV108" s="1116"/>
      <c r="AW108" s="1114"/>
      <c r="AX108" s="1114"/>
      <c r="AY108" s="1114"/>
      <c r="AZ108" s="1115"/>
      <c r="BA108" s="1115"/>
      <c r="BB108" s="1115"/>
      <c r="BC108" s="1116"/>
      <c r="BD108" s="1116"/>
      <c r="BE108" s="1116"/>
    </row>
    <row r="109" spans="1:57" s="1052" customFormat="1" ht="12" customHeight="1">
      <c r="A109" s="1156"/>
      <c r="B109" s="1099"/>
      <c r="C109" s="1099"/>
      <c r="D109" s="1099"/>
      <c r="E109" s="1116"/>
      <c r="F109" s="1099"/>
      <c r="G109" s="1099"/>
      <c r="H109" s="1099"/>
      <c r="I109" s="1099"/>
      <c r="J109" s="1099"/>
      <c r="K109" s="1099"/>
      <c r="L109" s="1099"/>
      <c r="M109" s="1116"/>
      <c r="N109" s="1099"/>
      <c r="O109" s="1099"/>
      <c r="P109" s="1099"/>
      <c r="Q109" s="1099"/>
      <c r="R109" s="1099"/>
      <c r="S109" s="1099"/>
      <c r="T109" s="1099"/>
      <c r="U109" s="1099"/>
      <c r="V109" s="1099"/>
      <c r="W109" s="1099"/>
      <c r="X109" s="1099"/>
      <c r="Y109" s="1099"/>
      <c r="Z109" s="1159"/>
      <c r="AA109" s="1099"/>
      <c r="AB109" s="1099"/>
      <c r="AC109" s="1099"/>
      <c r="AD109" s="1160"/>
      <c r="AE109" s="953"/>
      <c r="AF109" s="953"/>
      <c r="AG109" s="953"/>
      <c r="AH109" s="1160"/>
      <c r="AI109" s="1099"/>
      <c r="AJ109" s="1099"/>
      <c r="AK109" s="953"/>
      <c r="AL109" s="1159"/>
      <c r="AM109" s="1099"/>
      <c r="AN109" s="1099"/>
      <c r="AO109" s="1116"/>
      <c r="AP109" s="1159"/>
      <c r="AQ109" s="1099"/>
      <c r="AR109" s="1099"/>
      <c r="AS109" s="1116"/>
      <c r="AU109" s="1115"/>
      <c r="AV109" s="1116"/>
      <c r="AW109" s="1114"/>
      <c r="AX109" s="1114"/>
      <c r="AY109" s="1114"/>
      <c r="AZ109" s="1115"/>
      <c r="BA109" s="1115"/>
      <c r="BB109" s="1115"/>
      <c r="BC109" s="1116"/>
      <c r="BD109" s="1116"/>
      <c r="BE109" s="1116"/>
    </row>
    <row r="110" spans="1:57" s="1171" customFormat="1" ht="12" customHeight="1">
      <c r="A110" s="960" t="s">
        <v>228</v>
      </c>
      <c r="B110" s="961"/>
      <c r="C110" s="961"/>
      <c r="D110" s="961"/>
      <c r="E110" s="1166">
        <v>984</v>
      </c>
      <c r="F110" s="961"/>
      <c r="G110" s="963">
        <v>1152</v>
      </c>
      <c r="H110" s="963">
        <v>1205</v>
      </c>
      <c r="I110" s="1167">
        <v>1252</v>
      </c>
      <c r="J110" s="963">
        <v>1298</v>
      </c>
      <c r="K110" s="963">
        <v>1314</v>
      </c>
      <c r="L110" s="963">
        <v>1401</v>
      </c>
      <c r="M110" s="1167">
        <v>1477</v>
      </c>
      <c r="N110" s="1168">
        <v>1493</v>
      </c>
      <c r="O110" s="1168">
        <v>1397</v>
      </c>
      <c r="P110" s="1168">
        <v>1373</v>
      </c>
      <c r="Q110" s="1169">
        <v>1367</v>
      </c>
      <c r="R110" s="970"/>
      <c r="S110" s="961"/>
      <c r="T110" s="967"/>
      <c r="U110" s="968">
        <v>1617</v>
      </c>
      <c r="V110" s="970"/>
      <c r="W110" s="967"/>
      <c r="X110" s="967"/>
      <c r="Y110" s="968">
        <v>1900</v>
      </c>
      <c r="Z110" s="971"/>
      <c r="AA110" s="967"/>
      <c r="AB110" s="967"/>
      <c r="AC110" s="968">
        <v>1999</v>
      </c>
      <c r="AD110" s="971"/>
      <c r="AE110" s="967"/>
      <c r="AF110" s="967"/>
      <c r="AG110" s="967">
        <v>1872</v>
      </c>
      <c r="AH110" s="971"/>
      <c r="AI110" s="967"/>
      <c r="AJ110" s="967"/>
      <c r="AK110" s="967"/>
      <c r="AL110" s="971"/>
      <c r="AM110" s="967"/>
      <c r="AN110" s="967"/>
      <c r="AO110" s="1170"/>
      <c r="AP110" s="971"/>
      <c r="AQ110" s="967"/>
      <c r="AR110" s="967"/>
      <c r="AS110" s="1170"/>
      <c r="AU110" s="1172">
        <f>E110</f>
        <v>984</v>
      </c>
      <c r="AV110" s="1173">
        <f>I110</f>
        <v>1252</v>
      </c>
      <c r="AW110" s="1173">
        <f>M110</f>
        <v>1477</v>
      </c>
      <c r="AX110" s="1173">
        <f>Q110</f>
        <v>1367</v>
      </c>
      <c r="AY110" s="1173">
        <f>U110</f>
        <v>1617</v>
      </c>
      <c r="AZ110" s="1172">
        <f>Y110</f>
        <v>1900</v>
      </c>
      <c r="BA110" s="1172">
        <f>AC110</f>
        <v>1999</v>
      </c>
      <c r="BB110" s="1172">
        <f>AG110</f>
        <v>1872</v>
      </c>
      <c r="BC110" s="1174"/>
      <c r="BD110" s="1174"/>
      <c r="BE110" s="1174"/>
    </row>
    <row r="111" spans="1:57" s="949" customFormat="1" ht="12" customHeight="1">
      <c r="A111" s="1175" t="s">
        <v>117</v>
      </c>
      <c r="B111" s="952"/>
      <c r="C111" s="952"/>
      <c r="D111" s="952"/>
      <c r="E111" s="1111">
        <f>E110/751-1</f>
        <v>0.31025299600532619</v>
      </c>
      <c r="F111" s="952"/>
      <c r="G111" s="952"/>
      <c r="H111" s="952"/>
      <c r="I111" s="685">
        <f t="shared" ref="I111:Q111" si="165">I110/E110-1</f>
        <v>0.27235772357723587</v>
      </c>
      <c r="J111" s="1176"/>
      <c r="K111" s="685">
        <f t="shared" si="165"/>
        <v>0.140625</v>
      </c>
      <c r="L111" s="685">
        <f t="shared" si="165"/>
        <v>0.16265560165975113</v>
      </c>
      <c r="M111" s="890">
        <f t="shared" si="165"/>
        <v>0.17971246006389774</v>
      </c>
      <c r="N111" s="1177">
        <f t="shared" si="165"/>
        <v>0.15023112480739598</v>
      </c>
      <c r="O111" s="672">
        <f t="shared" si="165"/>
        <v>6.3165905631659136E-2</v>
      </c>
      <c r="P111" s="672">
        <f t="shared" si="165"/>
        <v>-1.9985724482512457E-2</v>
      </c>
      <c r="Q111" s="890">
        <f t="shared" si="165"/>
        <v>-7.4475287745429886E-2</v>
      </c>
      <c r="R111" s="1178"/>
      <c r="S111" s="953"/>
      <c r="T111" s="953"/>
      <c r="U111" s="890">
        <f>U110/Q110-1</f>
        <v>0.18288222384784203</v>
      </c>
      <c r="V111" s="1178"/>
      <c r="W111" s="953"/>
      <c r="X111" s="953"/>
      <c r="Y111" s="890">
        <f>Y110/U110-1</f>
        <v>0.1750154607297465</v>
      </c>
      <c r="Z111" s="1160"/>
      <c r="AA111" s="953"/>
      <c r="AB111" s="953"/>
      <c r="AC111" s="890">
        <f>AC110/Y110-1</f>
        <v>5.2105263157894655E-2</v>
      </c>
      <c r="AD111" s="1160"/>
      <c r="AE111" s="953"/>
      <c r="AF111" s="953"/>
      <c r="AG111" s="798">
        <f>AG110/AC110-1</f>
        <v>-6.3531765882941515E-2</v>
      </c>
      <c r="AH111" s="1160"/>
      <c r="AI111" s="953"/>
      <c r="AJ111" s="953"/>
      <c r="AK111" s="798"/>
      <c r="AL111" s="1160"/>
      <c r="AM111" s="953"/>
      <c r="AN111" s="953"/>
      <c r="AO111" s="1161"/>
      <c r="AP111" s="1160"/>
      <c r="AQ111" s="953"/>
      <c r="AR111" s="953"/>
      <c r="AS111" s="1161"/>
      <c r="AU111" s="1179">
        <f>AU110/751-1</f>
        <v>0.31025299600532619</v>
      </c>
      <c r="AV111" s="1180">
        <f t="shared" ref="AV111:BB111" si="166">AV110/AU110-1</f>
        <v>0.27235772357723587</v>
      </c>
      <c r="AW111" s="1180">
        <f t="shared" si="166"/>
        <v>0.17971246006389774</v>
      </c>
      <c r="AX111" s="1180">
        <f t="shared" si="166"/>
        <v>-7.4475287745429886E-2</v>
      </c>
      <c r="AY111" s="1180">
        <f t="shared" si="166"/>
        <v>0.18288222384784203</v>
      </c>
      <c r="AZ111" s="1181">
        <f t="shared" si="166"/>
        <v>0.1750154607297465</v>
      </c>
      <c r="BA111" s="1181">
        <f t="shared" si="166"/>
        <v>5.2105263157894655E-2</v>
      </c>
      <c r="BB111" s="1181">
        <f t="shared" si="166"/>
        <v>-6.3531765882941515E-2</v>
      </c>
      <c r="BC111" s="1182"/>
      <c r="BD111" s="1182"/>
      <c r="BE111" s="1182"/>
    </row>
    <row r="112" spans="1:57" s="949" customFormat="1" ht="12" customHeight="1">
      <c r="A112" s="1183" t="s">
        <v>229</v>
      </c>
      <c r="B112" s="952"/>
      <c r="C112" s="952"/>
      <c r="D112" s="952"/>
      <c r="E112" s="1184"/>
      <c r="F112" s="952"/>
      <c r="G112" s="952"/>
      <c r="H112" s="952"/>
      <c r="I112" s="1185">
        <f>I110-I114</f>
        <v>923</v>
      </c>
      <c r="J112" s="1186"/>
      <c r="K112" s="1187"/>
      <c r="L112" s="1187"/>
      <c r="M112" s="1185">
        <f>M110-M114</f>
        <v>1001</v>
      </c>
      <c r="N112" s="1188"/>
      <c r="O112" s="1189"/>
      <c r="P112" s="1189"/>
      <c r="Q112" s="1190">
        <f>Q110-Q114</f>
        <v>912</v>
      </c>
      <c r="R112" s="1188"/>
      <c r="S112" s="1189"/>
      <c r="T112" s="1189"/>
      <c r="U112" s="1190">
        <f>U110-U114</f>
        <v>982</v>
      </c>
      <c r="V112" s="1178"/>
      <c r="W112" s="953"/>
      <c r="X112" s="953"/>
      <c r="Y112" s="1185">
        <f>Y110-Y114</f>
        <v>1104</v>
      </c>
      <c r="Z112" s="1160"/>
      <c r="AA112" s="953"/>
      <c r="AB112" s="953"/>
      <c r="AC112" s="1185">
        <f>AC110-AC114</f>
        <v>1101</v>
      </c>
      <c r="AD112" s="1160"/>
      <c r="AE112" s="953"/>
      <c r="AF112" s="953"/>
      <c r="AG112" s="1191">
        <v>854</v>
      </c>
      <c r="AH112" s="1160"/>
      <c r="AI112" s="953"/>
      <c r="AJ112" s="953"/>
      <c r="AK112" s="1191"/>
      <c r="AL112" s="1160"/>
      <c r="AM112" s="953"/>
      <c r="AN112" s="953"/>
      <c r="AO112" s="1161"/>
      <c r="AP112" s="1160"/>
      <c r="AQ112" s="953"/>
      <c r="AR112" s="953"/>
      <c r="AS112" s="1161"/>
      <c r="AT112" s="1192"/>
      <c r="AU112" s="1193"/>
      <c r="AV112" s="1193">
        <f>I112</f>
        <v>923</v>
      </c>
      <c r="AW112" s="1193">
        <f>M112</f>
        <v>1001</v>
      </c>
      <c r="AX112" s="1193">
        <f t="shared" ref="AX112:AX114" si="167">Q112</f>
        <v>912</v>
      </c>
      <c r="AY112" s="1193">
        <f t="shared" ref="AY112:AY114" si="168">U112</f>
        <v>982</v>
      </c>
      <c r="AZ112" s="1194">
        <f>Y112</f>
        <v>1104</v>
      </c>
      <c r="BA112" s="1194">
        <f t="shared" ref="BA112:BA114" si="169">AC112</f>
        <v>1101</v>
      </c>
      <c r="BB112" s="1194">
        <f>AG112</f>
        <v>854</v>
      </c>
      <c r="BC112" s="1161"/>
      <c r="BD112" s="1161"/>
      <c r="BE112" s="1161"/>
    </row>
    <row r="113" spans="1:57" s="949" customFormat="1" ht="12" customHeight="1">
      <c r="A113" s="1195" t="s">
        <v>117</v>
      </c>
      <c r="B113" s="952"/>
      <c r="C113" s="952"/>
      <c r="D113" s="952"/>
      <c r="E113" s="1184"/>
      <c r="F113" s="952"/>
      <c r="G113" s="952"/>
      <c r="H113" s="952"/>
      <c r="I113" s="1191"/>
      <c r="J113" s="1186"/>
      <c r="K113" s="1187"/>
      <c r="L113" s="1187"/>
      <c r="M113" s="1191"/>
      <c r="N113" s="1189"/>
      <c r="O113" s="1189"/>
      <c r="P113" s="1189"/>
      <c r="Q113" s="1189"/>
      <c r="R113" s="1189"/>
      <c r="S113" s="1189"/>
      <c r="T113" s="1189"/>
      <c r="U113" s="1190"/>
      <c r="V113" s="1178"/>
      <c r="W113" s="953"/>
      <c r="X113" s="953"/>
      <c r="Y113" s="1185"/>
      <c r="Z113" s="1160"/>
      <c r="AA113" s="953"/>
      <c r="AB113" s="953"/>
      <c r="AC113" s="799">
        <f>AC112/Y112-1</f>
        <v>-2.7173913043477826E-3</v>
      </c>
      <c r="AD113" s="1160"/>
      <c r="AE113" s="953"/>
      <c r="AF113" s="953"/>
      <c r="AG113" s="798">
        <f>AG112/AC112-1</f>
        <v>-0.2243415077202543</v>
      </c>
      <c r="AH113" s="1160"/>
      <c r="AI113" s="953"/>
      <c r="AJ113" s="953"/>
      <c r="AK113" s="798"/>
      <c r="AL113" s="1160"/>
      <c r="AM113" s="953"/>
      <c r="AN113" s="953"/>
      <c r="AO113" s="1196"/>
      <c r="AP113" s="1160"/>
      <c r="AQ113" s="953"/>
      <c r="AR113" s="953"/>
      <c r="AS113" s="1196"/>
      <c r="AT113" s="1197"/>
      <c r="AU113" s="1193"/>
      <c r="AV113" s="1193"/>
      <c r="AW113" s="1181">
        <f t="shared" ref="AW113:BA113" si="170">AW112/AV112-1</f>
        <v>8.4507042253521236E-2</v>
      </c>
      <c r="AX113" s="1181">
        <f t="shared" si="170"/>
        <v>-8.8911088911088898E-2</v>
      </c>
      <c r="AY113" s="1181">
        <f t="shared" si="170"/>
        <v>7.6754385964912242E-2</v>
      </c>
      <c r="AZ113" s="1181">
        <f t="shared" si="170"/>
        <v>0.12423625254582493</v>
      </c>
      <c r="BA113" s="1181">
        <f t="shared" si="170"/>
        <v>-2.7173913043477826E-3</v>
      </c>
      <c r="BB113" s="1181">
        <f>BB112/BA112-1</f>
        <v>-0.2243415077202543</v>
      </c>
      <c r="BC113" s="1196"/>
      <c r="BD113" s="1196"/>
      <c r="BE113" s="1196"/>
    </row>
    <row r="114" spans="1:57" s="949" customFormat="1" ht="12" customHeight="1">
      <c r="A114" s="1183" t="s">
        <v>230</v>
      </c>
      <c r="B114" s="952"/>
      <c r="C114" s="952"/>
      <c r="D114" s="952"/>
      <c r="E114" s="1198"/>
      <c r="F114" s="952"/>
      <c r="G114" s="952"/>
      <c r="H114" s="952"/>
      <c r="I114" s="1198">
        <v>329</v>
      </c>
      <c r="J114" s="1186"/>
      <c r="K114" s="1187"/>
      <c r="L114" s="1187"/>
      <c r="M114" s="1199">
        <v>476</v>
      </c>
      <c r="N114" s="1189"/>
      <c r="O114" s="1189"/>
      <c r="P114" s="1189"/>
      <c r="Q114" s="1199">
        <v>455</v>
      </c>
      <c r="R114" s="1189"/>
      <c r="S114" s="1189"/>
      <c r="T114" s="1189"/>
      <c r="U114" s="1190">
        <v>635</v>
      </c>
      <c r="V114" s="1178"/>
      <c r="W114" s="953"/>
      <c r="X114" s="953"/>
      <c r="Y114" s="1190">
        <v>796</v>
      </c>
      <c r="Z114" s="1160"/>
      <c r="AA114" s="953"/>
      <c r="AB114" s="953"/>
      <c r="AC114" s="1190">
        <v>898</v>
      </c>
      <c r="AD114" s="1160"/>
      <c r="AE114" s="953"/>
      <c r="AF114" s="953"/>
      <c r="AG114" s="1191">
        <f>AG110-AG112</f>
        <v>1018</v>
      </c>
      <c r="AH114" s="1160"/>
      <c r="AI114" s="953"/>
      <c r="AJ114" s="953"/>
      <c r="AK114" s="1191"/>
      <c r="AL114" s="1160"/>
      <c r="AM114" s="953"/>
      <c r="AN114" s="953"/>
      <c r="AO114" s="1161"/>
      <c r="AP114" s="1160"/>
      <c r="AQ114" s="953"/>
      <c r="AR114" s="953"/>
      <c r="AS114" s="1161"/>
      <c r="AT114" s="1192"/>
      <c r="AU114" s="1193"/>
      <c r="AV114" s="1193">
        <f>I114</f>
        <v>329</v>
      </c>
      <c r="AW114" s="1193">
        <f>M114</f>
        <v>476</v>
      </c>
      <c r="AX114" s="1193">
        <f t="shared" si="167"/>
        <v>455</v>
      </c>
      <c r="AY114" s="1193">
        <f t="shared" si="168"/>
        <v>635</v>
      </c>
      <c r="AZ114" s="1194">
        <f>Y114</f>
        <v>796</v>
      </c>
      <c r="BA114" s="1194">
        <f t="shared" si="169"/>
        <v>898</v>
      </c>
      <c r="BB114" s="1194">
        <f>AG114</f>
        <v>1018</v>
      </c>
      <c r="BC114" s="1161"/>
      <c r="BD114" s="1161"/>
      <c r="BE114" s="1161"/>
    </row>
    <row r="115" spans="1:57" s="949" customFormat="1" ht="12" customHeight="1">
      <c r="A115" s="1195" t="s">
        <v>117</v>
      </c>
      <c r="B115" s="952"/>
      <c r="C115" s="952"/>
      <c r="D115" s="952"/>
      <c r="E115" s="1184"/>
      <c r="F115" s="952"/>
      <c r="G115" s="952"/>
      <c r="H115" s="952"/>
      <c r="I115" s="989"/>
      <c r="J115" s="1186"/>
      <c r="K115" s="1187"/>
      <c r="L115" s="1187"/>
      <c r="M115" s="1200"/>
      <c r="N115" s="1189"/>
      <c r="O115" s="1189"/>
      <c r="P115" s="1189"/>
      <c r="Q115" s="1200"/>
      <c r="R115" s="1189"/>
      <c r="S115" s="1189"/>
      <c r="T115" s="1189"/>
      <c r="U115" s="1189"/>
      <c r="V115" s="953"/>
      <c r="W115" s="953"/>
      <c r="X115" s="953"/>
      <c r="Y115" s="1189"/>
      <c r="Z115" s="1160"/>
      <c r="AA115" s="953"/>
      <c r="AB115" s="953"/>
      <c r="AC115" s="1201">
        <f>AC114/Y114-1</f>
        <v>0.12814070351758788</v>
      </c>
      <c r="AD115" s="1160"/>
      <c r="AE115" s="953"/>
      <c r="AF115" s="953"/>
      <c r="AG115" s="1201">
        <f>AG114/AC114-1</f>
        <v>0.13363028953229406</v>
      </c>
      <c r="AH115" s="1160"/>
      <c r="AI115" s="953"/>
      <c r="AJ115" s="953"/>
      <c r="AK115" s="1201"/>
      <c r="AL115" s="1160"/>
      <c r="AM115" s="953"/>
      <c r="AN115" s="953"/>
      <c r="AO115" s="1161"/>
      <c r="AP115" s="1160"/>
      <c r="AQ115" s="953"/>
      <c r="AR115" s="953"/>
      <c r="AS115" s="1161"/>
      <c r="AT115" s="1192"/>
      <c r="AU115" s="1202"/>
      <c r="AV115" s="1202"/>
      <c r="AW115" s="1203">
        <f t="shared" ref="AW115:BA115" si="171">AW114/AV114-1</f>
        <v>0.44680851063829796</v>
      </c>
      <c r="AX115" s="1203">
        <f t="shared" si="171"/>
        <v>-4.4117647058823484E-2</v>
      </c>
      <c r="AY115" s="1203">
        <f t="shared" si="171"/>
        <v>0.39560439560439553</v>
      </c>
      <c r="AZ115" s="1203">
        <f t="shared" si="171"/>
        <v>0.25354330708661421</v>
      </c>
      <c r="BA115" s="1203">
        <f t="shared" si="171"/>
        <v>0.12814070351758788</v>
      </c>
      <c r="BB115" s="1204">
        <f>BB114/BA114-1</f>
        <v>0.13363028953229406</v>
      </c>
      <c r="BC115" s="1161"/>
      <c r="BD115" s="1161"/>
      <c r="BE115" s="1161"/>
    </row>
    <row r="116" spans="1:57" s="949" customFormat="1" ht="12" customHeight="1">
      <c r="A116" s="1175"/>
      <c r="B116" s="952"/>
      <c r="C116" s="952"/>
      <c r="D116" s="952"/>
      <c r="E116" s="1184"/>
      <c r="F116" s="952"/>
      <c r="G116" s="952"/>
      <c r="H116" s="952"/>
      <c r="I116" s="989"/>
      <c r="J116" s="1176"/>
      <c r="K116" s="952"/>
      <c r="L116" s="952"/>
      <c r="M116" s="1205"/>
      <c r="N116" s="953"/>
      <c r="O116" s="953"/>
      <c r="P116" s="953"/>
      <c r="Q116" s="1161"/>
      <c r="R116" s="953"/>
      <c r="S116" s="953"/>
      <c r="T116" s="953"/>
      <c r="U116" s="1161"/>
      <c r="V116" s="953"/>
      <c r="W116" s="953"/>
      <c r="X116" s="953"/>
      <c r="Y116" s="953"/>
      <c r="Z116" s="1160"/>
      <c r="AA116" s="953"/>
      <c r="AB116" s="953"/>
      <c r="AC116" s="953"/>
      <c r="AD116" s="1160"/>
      <c r="AE116" s="953"/>
      <c r="AF116" s="953"/>
      <c r="AG116" s="953"/>
      <c r="AH116" s="1160"/>
      <c r="AI116" s="953"/>
      <c r="AJ116" s="953"/>
      <c r="AK116" s="953"/>
      <c r="AL116" s="1160"/>
      <c r="AM116" s="953"/>
      <c r="AN116" s="953"/>
      <c r="AO116" s="1161"/>
      <c r="AP116" s="1160"/>
      <c r="AQ116" s="953"/>
      <c r="AR116" s="953"/>
      <c r="AS116" s="1161"/>
      <c r="AT116" s="1192"/>
      <c r="AU116" s="1202"/>
      <c r="AV116" s="1202"/>
      <c r="AW116" s="1193"/>
      <c r="AX116" s="1193"/>
      <c r="AY116" s="1193"/>
      <c r="AZ116" s="1206"/>
      <c r="BA116" s="1206"/>
      <c r="BB116" s="1161"/>
      <c r="BC116" s="1161"/>
      <c r="BD116" s="1161"/>
      <c r="BE116" s="1161"/>
    </row>
    <row r="117" spans="1:57" s="1171" customFormat="1" ht="12" customHeight="1">
      <c r="A117" s="960" t="s">
        <v>231</v>
      </c>
      <c r="B117" s="961"/>
      <c r="C117" s="1117">
        <v>0.81</v>
      </c>
      <c r="D117" s="1117">
        <v>0.82</v>
      </c>
      <c r="E117" s="1118">
        <v>0.83</v>
      </c>
      <c r="F117" s="1117">
        <v>0.86</v>
      </c>
      <c r="G117" s="1117">
        <v>0.87</v>
      </c>
      <c r="H117" s="1117">
        <v>0.87</v>
      </c>
      <c r="I117" s="1118">
        <v>0.88</v>
      </c>
      <c r="J117" s="1117">
        <v>0.9</v>
      </c>
      <c r="K117" s="1117">
        <v>0.9</v>
      </c>
      <c r="L117" s="1117">
        <v>0.9</v>
      </c>
      <c r="M117" s="1118">
        <v>0.9</v>
      </c>
      <c r="N117" s="1117">
        <v>0.91</v>
      </c>
      <c r="O117" s="1117">
        <v>0.91</v>
      </c>
      <c r="P117" s="1117">
        <v>0.91</v>
      </c>
      <c r="Q117" s="1118">
        <v>0.91</v>
      </c>
      <c r="R117" s="1117">
        <v>0.92</v>
      </c>
      <c r="S117" s="1117">
        <v>0.92</v>
      </c>
      <c r="T117" s="1117">
        <v>0.92</v>
      </c>
      <c r="U117" s="1118">
        <f>((AY117*AY$5)-SUMPRODUCT(R117:T117,R$5:T$5))/U$5</f>
        <v>0.92</v>
      </c>
      <c r="V117" s="1117">
        <v>0.92</v>
      </c>
      <c r="W117" s="1117">
        <v>0.92</v>
      </c>
      <c r="X117" s="1117">
        <v>0.92</v>
      </c>
      <c r="Y117" s="1118">
        <f>((AZ117*AZ$5)-SUMPRODUCT(V117:X117,V$5:X$5))/Y$5</f>
        <v>0.92000000000000037</v>
      </c>
      <c r="Z117" s="1117">
        <v>0.93</v>
      </c>
      <c r="AA117" s="1117">
        <v>0.93</v>
      </c>
      <c r="AB117" s="1117">
        <v>0.93</v>
      </c>
      <c r="AC117" s="1118">
        <f>((BA117*BA$5)-SUMPRODUCT(Z117:AB117,Z$5:AB$5))/AC$5</f>
        <v>0.93000000000000027</v>
      </c>
      <c r="AD117" s="981">
        <v>0.93</v>
      </c>
      <c r="AE117" s="981">
        <v>0.94</v>
      </c>
      <c r="AF117" s="981">
        <v>0.94</v>
      </c>
      <c r="AG117" s="1117">
        <v>0.94</v>
      </c>
      <c r="AH117" s="1024">
        <v>0.94</v>
      </c>
      <c r="AI117" s="981">
        <v>0.94</v>
      </c>
      <c r="AJ117" s="981">
        <v>0.94</v>
      </c>
      <c r="AK117" s="1117"/>
      <c r="AL117" s="971"/>
      <c r="AM117" s="967"/>
      <c r="AN117" s="967"/>
      <c r="AO117" s="1170"/>
      <c r="AP117" s="971"/>
      <c r="AQ117" s="967"/>
      <c r="AR117" s="967"/>
      <c r="AS117" s="1170"/>
      <c r="AU117" s="1173"/>
      <c r="AV117" s="1173"/>
      <c r="AW117" s="1173"/>
      <c r="AX117" s="1173"/>
      <c r="AY117" s="1207">
        <v>0.92</v>
      </c>
      <c r="AZ117" s="1207">
        <v>0.92</v>
      </c>
      <c r="BA117" s="1208">
        <v>0.93</v>
      </c>
      <c r="BB117" s="1208">
        <v>0.94</v>
      </c>
      <c r="BC117" s="1174"/>
      <c r="BD117" s="1174"/>
      <c r="BE117" s="1174"/>
    </row>
    <row r="118" spans="1:57" s="1171" customFormat="1" ht="12" customHeight="1">
      <c r="A118" s="1209" t="s">
        <v>232</v>
      </c>
      <c r="B118" s="961"/>
      <c r="C118" s="1117">
        <v>0.42</v>
      </c>
      <c r="D118" s="1117">
        <v>0.42</v>
      </c>
      <c r="E118" s="1118"/>
      <c r="F118" s="1117">
        <v>0.45</v>
      </c>
      <c r="G118" s="1117">
        <v>0.46</v>
      </c>
      <c r="H118" s="1117">
        <v>0.46</v>
      </c>
      <c r="I118" s="1118">
        <v>0.46</v>
      </c>
      <c r="J118" s="1117">
        <v>0.44</v>
      </c>
      <c r="K118" s="1117">
        <v>0.43</v>
      </c>
      <c r="L118" s="1117">
        <v>0.43</v>
      </c>
      <c r="M118" s="1118">
        <v>0.43</v>
      </c>
      <c r="N118" s="1117">
        <v>0.43</v>
      </c>
      <c r="O118" s="1117">
        <v>0.43</v>
      </c>
      <c r="P118" s="1117">
        <v>0.43</v>
      </c>
      <c r="Q118" s="1118">
        <v>0.43</v>
      </c>
      <c r="R118" s="1117">
        <v>0.41</v>
      </c>
      <c r="S118" s="1117">
        <v>0.4</v>
      </c>
      <c r="T118" s="1117">
        <v>0.4</v>
      </c>
      <c r="U118" s="1118">
        <f>((AY118*AY$5)-SUMPRODUCT(R118:T118,R$5:T$5))/U$5</f>
        <v>0.35542021769182269</v>
      </c>
      <c r="V118" s="1117">
        <v>0.37</v>
      </c>
      <c r="W118" s="1117">
        <v>0.38</v>
      </c>
      <c r="X118" s="1117">
        <v>0.38</v>
      </c>
      <c r="Y118" s="1118">
        <f>((AZ118*AZ$5)-SUMPRODUCT(V118:X118,V$5:X$5))/Y$5</f>
        <v>0.38863170323510149</v>
      </c>
      <c r="Z118" s="1117">
        <v>0.37</v>
      </c>
      <c r="AA118" s="1117">
        <v>0.36</v>
      </c>
      <c r="AB118" s="1117">
        <v>0.36</v>
      </c>
      <c r="AC118" s="1118">
        <f>((BA118*BA$5)-SUMPRODUCT(Z118:AB118,Z$5:AB$5))/AC$5</f>
        <v>0.35114703758919114</v>
      </c>
      <c r="AD118" s="981">
        <v>0.34</v>
      </c>
      <c r="AE118" s="981">
        <v>0.34</v>
      </c>
      <c r="AF118" s="981">
        <v>0.34</v>
      </c>
      <c r="AG118" s="1117">
        <v>0.34</v>
      </c>
      <c r="AH118" s="1210">
        <v>0.32</v>
      </c>
      <c r="AI118" s="981">
        <v>0.32</v>
      </c>
      <c r="AJ118" s="981">
        <v>0.32</v>
      </c>
      <c r="AK118" s="1117"/>
      <c r="AL118" s="971"/>
      <c r="AM118" s="967"/>
      <c r="AN118" s="967"/>
      <c r="AO118" s="1170"/>
      <c r="AP118" s="971"/>
      <c r="AQ118" s="967"/>
      <c r="AR118" s="967"/>
      <c r="AS118" s="1170"/>
      <c r="AT118" s="1211"/>
      <c r="AU118" s="1174"/>
      <c r="AV118" s="1174"/>
      <c r="AW118" s="1173"/>
      <c r="AX118" s="1173"/>
      <c r="AY118" s="1207">
        <v>0.39</v>
      </c>
      <c r="AZ118" s="1207">
        <v>0.38</v>
      </c>
      <c r="BA118" s="1212">
        <v>0.36</v>
      </c>
      <c r="BB118" s="1212">
        <v>0.34</v>
      </c>
      <c r="BC118" s="1213"/>
      <c r="BD118" s="1213"/>
      <c r="BE118" s="1213"/>
    </row>
    <row r="119" spans="1:57" s="1216" customFormat="1" ht="12" customHeight="1">
      <c r="A119" s="945" t="s">
        <v>130</v>
      </c>
      <c r="B119" s="1214"/>
      <c r="C119" s="1214"/>
      <c r="D119" s="1214"/>
      <c r="E119" s="1214"/>
      <c r="F119" s="1214"/>
      <c r="G119" s="1214"/>
      <c r="H119" s="1214"/>
      <c r="I119" s="1214"/>
      <c r="J119" s="1214"/>
      <c r="K119" s="1214"/>
      <c r="L119" s="1214"/>
      <c r="M119" s="1214"/>
      <c r="N119" s="1214"/>
      <c r="O119" s="1214"/>
      <c r="P119" s="1214"/>
      <c r="Q119" s="1214"/>
      <c r="R119" s="1214"/>
      <c r="S119" s="1214"/>
      <c r="T119" s="1214"/>
      <c r="U119" s="1214"/>
      <c r="V119" s="1214"/>
      <c r="W119" s="1214"/>
      <c r="X119" s="1214"/>
      <c r="Y119" s="1214"/>
      <c r="Z119" s="1214"/>
      <c r="AA119" s="1214"/>
      <c r="AB119" s="1214"/>
      <c r="AC119" s="1214"/>
      <c r="AD119" s="1214"/>
      <c r="AE119" s="1214"/>
      <c r="AF119" s="1214"/>
      <c r="AG119" s="1214"/>
      <c r="AH119" s="1214"/>
      <c r="AI119" s="1214"/>
      <c r="AJ119" s="1214"/>
      <c r="AK119" s="1214"/>
      <c r="AL119" s="1214"/>
      <c r="AM119" s="1214"/>
      <c r="AN119" s="1214"/>
      <c r="AO119" s="1214"/>
      <c r="AP119" s="1214"/>
      <c r="AQ119" s="1214"/>
      <c r="AR119" s="1214"/>
      <c r="AS119" s="1214"/>
      <c r="AT119" s="1215"/>
      <c r="AU119" s="1214"/>
      <c r="AV119" s="1214"/>
      <c r="AW119" s="1214"/>
      <c r="AX119" s="1214"/>
      <c r="AY119" s="1214"/>
      <c r="AZ119" s="1214"/>
      <c r="BA119" s="1214"/>
      <c r="BB119" s="1214"/>
      <c r="BC119" s="1214"/>
      <c r="BD119" s="1214"/>
      <c r="BE119" s="1214"/>
    </row>
    <row r="120" spans="1:57" s="1218" customFormat="1" ht="12" customHeight="1">
      <c r="A120" s="45"/>
      <c r="B120" s="1217"/>
      <c r="C120" s="1217"/>
      <c r="D120" s="1217"/>
      <c r="E120" s="1217"/>
      <c r="F120" s="1217"/>
      <c r="G120" s="1217"/>
      <c r="H120" s="1217"/>
      <c r="I120" s="1217"/>
      <c r="J120" s="1217"/>
      <c r="K120" s="1217"/>
      <c r="L120" s="1217"/>
      <c r="M120" s="1217"/>
      <c r="N120" s="1217"/>
      <c r="O120" s="1217"/>
      <c r="P120" s="1217"/>
      <c r="Q120" s="1217"/>
      <c r="R120" s="1217"/>
      <c r="S120" s="1217"/>
      <c r="T120" s="1217"/>
      <c r="U120" s="1217"/>
      <c r="V120" s="1217"/>
      <c r="W120" s="1217"/>
      <c r="X120" s="1217"/>
      <c r="Y120" s="1217"/>
      <c r="Z120" s="1217"/>
      <c r="AA120" s="1217"/>
      <c r="AB120" s="1217"/>
      <c r="AC120" s="1217"/>
      <c r="AD120" s="1217"/>
      <c r="AE120" s="1217"/>
      <c r="AF120" s="1217"/>
      <c r="AG120" s="1217"/>
      <c r="AH120" s="1217"/>
      <c r="AI120" s="1217"/>
      <c r="AJ120" s="1217"/>
      <c r="AK120" s="1217"/>
      <c r="AL120" s="1217"/>
      <c r="AM120" s="1217"/>
      <c r="AN120" s="1217"/>
      <c r="AO120" s="1217"/>
      <c r="AP120" s="1217"/>
      <c r="AQ120" s="1217"/>
      <c r="AR120" s="1217"/>
      <c r="AS120" s="1217"/>
      <c r="AT120" s="1217"/>
    </row>
    <row r="121" spans="1:57" s="1218" customFormat="1" ht="12" customHeight="1">
      <c r="A121" s="1217"/>
      <c r="B121" s="1217"/>
      <c r="C121" s="1217"/>
      <c r="D121" s="1217"/>
      <c r="E121" s="1217"/>
      <c r="F121" s="1217"/>
      <c r="G121" s="1217"/>
      <c r="H121" s="1217"/>
      <c r="I121" s="1217"/>
      <c r="J121" s="1217"/>
      <c r="K121" s="1217"/>
      <c r="L121" s="1217"/>
      <c r="M121" s="1217"/>
      <c r="N121" s="1217"/>
      <c r="O121" s="1217"/>
      <c r="P121" s="1217"/>
      <c r="Q121" s="1217"/>
      <c r="R121" s="1217"/>
      <c r="S121" s="1217"/>
      <c r="T121" s="1217"/>
      <c r="U121" s="1217"/>
      <c r="V121" s="1217"/>
      <c r="W121" s="1217"/>
      <c r="X121" s="1217"/>
      <c r="Y121" s="1217"/>
      <c r="Z121" s="1217"/>
      <c r="AA121" s="1217"/>
      <c r="AB121" s="1217"/>
      <c r="AC121" s="1217"/>
      <c r="AD121" s="1217"/>
      <c r="AE121" s="1217"/>
      <c r="AF121" s="1217"/>
      <c r="AG121" s="1217"/>
      <c r="AH121" s="1217"/>
      <c r="AI121" s="1217"/>
      <c r="AJ121" s="1217"/>
      <c r="AK121" s="1217"/>
      <c r="AL121" s="1217"/>
      <c r="AM121" s="1217"/>
      <c r="AN121" s="1217"/>
      <c r="AO121" s="1217"/>
      <c r="AP121" s="1217"/>
      <c r="AQ121" s="1217"/>
      <c r="AR121" s="1217"/>
      <c r="AS121" s="1217"/>
      <c r="AT121" s="1217"/>
    </row>
    <row r="122" spans="1:57" s="1218" customFormat="1" ht="12.75" customHeight="1">
      <c r="A122" s="1217"/>
      <c r="B122" s="1217"/>
      <c r="C122" s="1217"/>
      <c r="D122" s="1217"/>
      <c r="E122" s="1217"/>
      <c r="F122" s="1217"/>
      <c r="G122" s="1217"/>
      <c r="H122" s="1217"/>
      <c r="I122" s="1217"/>
      <c r="J122" s="1217"/>
      <c r="K122" s="1217"/>
      <c r="L122" s="1217"/>
      <c r="M122" s="1217"/>
      <c r="N122" s="1217"/>
      <c r="O122" s="1217"/>
      <c r="P122" s="1217"/>
      <c r="Q122" s="1217"/>
      <c r="R122" s="1217"/>
      <c r="S122" s="1217"/>
      <c r="T122" s="1217"/>
      <c r="U122" s="1217"/>
      <c r="V122" s="1217"/>
      <c r="W122" s="1217"/>
      <c r="X122" s="1217"/>
      <c r="Y122" s="1217"/>
      <c r="Z122" s="1217"/>
      <c r="AA122" s="1217"/>
      <c r="AB122" s="1217"/>
      <c r="AC122" s="1217"/>
      <c r="AD122" s="1217"/>
      <c r="AE122" s="1217"/>
      <c r="AF122" s="1217"/>
      <c r="AG122" s="1217"/>
      <c r="AH122" s="1217"/>
      <c r="AI122" s="1217"/>
      <c r="AJ122" s="1217"/>
      <c r="AK122" s="1217"/>
      <c r="AL122" s="1217"/>
      <c r="AM122" s="1217"/>
      <c r="AN122" s="1217"/>
      <c r="AO122" s="1217"/>
      <c r="AP122" s="1217"/>
      <c r="AQ122" s="1217"/>
      <c r="AR122" s="1217"/>
      <c r="AS122" s="1217"/>
      <c r="AT122" s="1217"/>
    </row>
    <row r="123" spans="1:57" s="1218" customFormat="1" ht="12.75" customHeight="1">
      <c r="A123" s="1217"/>
      <c r="B123" s="1217"/>
      <c r="C123" s="1217"/>
      <c r="D123" s="1217"/>
      <c r="E123" s="1217"/>
      <c r="F123" s="1217"/>
      <c r="G123" s="1217"/>
      <c r="H123" s="1217"/>
      <c r="I123" s="1217"/>
      <c r="J123" s="1217"/>
      <c r="K123" s="1217"/>
      <c r="L123" s="1217"/>
      <c r="M123" s="1217"/>
      <c r="N123" s="1217"/>
      <c r="O123" s="1217"/>
      <c r="P123" s="1217"/>
      <c r="Q123" s="1217"/>
      <c r="R123" s="1217"/>
      <c r="S123" s="1217"/>
      <c r="T123" s="1217"/>
      <c r="U123" s="1217"/>
      <c r="V123" s="1217"/>
      <c r="W123" s="1217"/>
      <c r="X123" s="1217"/>
      <c r="Y123" s="1217"/>
      <c r="Z123" s="1217"/>
      <c r="AA123" s="1217"/>
      <c r="AB123" s="1217"/>
      <c r="AC123" s="1217"/>
      <c r="AD123" s="1217"/>
      <c r="AE123" s="1217"/>
      <c r="AF123" s="1217"/>
      <c r="AG123" s="1217"/>
      <c r="AH123" s="1217"/>
      <c r="AI123" s="1217"/>
      <c r="AJ123" s="1217"/>
      <c r="AK123" s="1217"/>
      <c r="AL123" s="1217"/>
      <c r="AM123" s="1217"/>
      <c r="AN123" s="1217"/>
      <c r="AO123" s="1217"/>
      <c r="AP123" s="1217"/>
      <c r="AQ123" s="1217"/>
      <c r="AR123" s="1217"/>
      <c r="AS123" s="1217"/>
      <c r="AT123" s="1217"/>
    </row>
    <row r="124" spans="1:57" s="1218" customFormat="1" ht="12.75" customHeight="1">
      <c r="A124" s="1217"/>
      <c r="B124" s="1217"/>
      <c r="C124" s="1217"/>
      <c r="D124" s="1217"/>
      <c r="E124" s="1217"/>
      <c r="F124" s="1217"/>
      <c r="G124" s="1217"/>
      <c r="H124" s="1217"/>
      <c r="I124" s="1217"/>
      <c r="J124" s="1217"/>
      <c r="K124" s="1217"/>
      <c r="L124" s="1217"/>
      <c r="M124" s="1217"/>
      <c r="N124" s="1217"/>
      <c r="O124" s="1217"/>
      <c r="P124" s="1217"/>
      <c r="Q124" s="1217"/>
      <c r="R124" s="1217"/>
      <c r="S124" s="1217"/>
      <c r="T124" s="1217"/>
      <c r="U124" s="1217"/>
      <c r="V124" s="1217"/>
      <c r="W124" s="1217"/>
      <c r="X124" s="1217"/>
      <c r="Y124" s="1217"/>
      <c r="Z124" s="1217"/>
      <c r="AA124" s="1217"/>
      <c r="AB124" s="1217"/>
      <c r="AC124" s="1217"/>
      <c r="AD124" s="1217"/>
      <c r="AE124" s="1217"/>
      <c r="AF124" s="1217"/>
      <c r="AG124" s="1217"/>
      <c r="AH124" s="1217"/>
      <c r="AI124" s="1217"/>
      <c r="AJ124" s="1217"/>
      <c r="AK124" s="1217"/>
      <c r="AL124" s="1217"/>
      <c r="AM124" s="1217"/>
      <c r="AN124" s="1217"/>
      <c r="AO124" s="1217"/>
      <c r="AP124" s="1217"/>
      <c r="AQ124" s="1217"/>
      <c r="AR124" s="1217"/>
      <c r="AS124" s="1217"/>
      <c r="AT124" s="1217"/>
    </row>
    <row r="125" spans="1:57" s="1218" customFormat="1" ht="12.75" customHeight="1">
      <c r="A125" s="1217"/>
      <c r="B125" s="1217"/>
      <c r="C125" s="1217"/>
      <c r="D125" s="1217"/>
      <c r="E125" s="1217"/>
      <c r="F125" s="1217"/>
      <c r="G125" s="1217"/>
      <c r="H125" s="1217"/>
      <c r="I125" s="1217"/>
      <c r="J125" s="1217"/>
      <c r="K125" s="1217"/>
      <c r="L125" s="1217"/>
      <c r="M125" s="1217"/>
      <c r="N125" s="1217"/>
      <c r="O125" s="1217"/>
      <c r="P125" s="1217"/>
      <c r="Q125" s="1217"/>
      <c r="R125" s="1217"/>
      <c r="S125" s="1217"/>
      <c r="T125" s="1217"/>
      <c r="U125" s="1217"/>
      <c r="V125" s="1217"/>
      <c r="W125" s="1217"/>
      <c r="X125" s="1217"/>
      <c r="Y125" s="1217"/>
      <c r="Z125" s="1217"/>
      <c r="AA125" s="1217"/>
      <c r="AB125" s="1217"/>
      <c r="AC125" s="1217"/>
      <c r="AD125" s="1217"/>
      <c r="AE125" s="1217"/>
      <c r="AF125" s="1217"/>
      <c r="AG125" s="1217"/>
      <c r="AH125" s="1217"/>
      <c r="AI125" s="1217"/>
      <c r="AJ125" s="1217"/>
      <c r="AK125" s="1217"/>
      <c r="AL125" s="1217"/>
      <c r="AM125" s="1217"/>
      <c r="AN125" s="1217"/>
      <c r="AO125" s="1217"/>
      <c r="AP125" s="1217"/>
      <c r="AQ125" s="1217"/>
      <c r="AR125" s="1217"/>
      <c r="AS125" s="1217"/>
      <c r="AT125" s="1217"/>
    </row>
    <row r="126" spans="1:57" s="1218" customFormat="1" ht="12.75" customHeight="1">
      <c r="A126" s="1217"/>
      <c r="B126" s="1217"/>
      <c r="C126" s="1217"/>
      <c r="D126" s="1217"/>
      <c r="E126" s="1217"/>
      <c r="F126" s="1217"/>
      <c r="G126" s="1217"/>
      <c r="H126" s="1217"/>
      <c r="I126" s="1217"/>
      <c r="J126" s="1217"/>
      <c r="K126" s="1217"/>
      <c r="L126" s="1217"/>
      <c r="M126" s="1217"/>
      <c r="N126" s="1217"/>
      <c r="O126" s="1217"/>
      <c r="P126" s="1217"/>
      <c r="Q126" s="1217"/>
      <c r="R126" s="1217"/>
      <c r="S126" s="1217"/>
      <c r="T126" s="1217"/>
      <c r="U126" s="1217"/>
      <c r="V126" s="1217"/>
      <c r="W126" s="1217"/>
      <c r="X126" s="1217"/>
      <c r="Y126" s="1217"/>
      <c r="Z126" s="1217"/>
      <c r="AA126" s="1217"/>
      <c r="AB126" s="1217"/>
      <c r="AC126" s="1217"/>
      <c r="AD126" s="1217"/>
      <c r="AE126" s="1217"/>
      <c r="AF126" s="1217"/>
      <c r="AG126" s="1217"/>
      <c r="AH126" s="1217"/>
      <c r="AI126" s="1217"/>
      <c r="AJ126" s="1217"/>
      <c r="AK126" s="1217"/>
      <c r="AL126" s="1217"/>
      <c r="AM126" s="1217"/>
      <c r="AN126" s="1217"/>
      <c r="AO126" s="1217"/>
      <c r="AP126" s="1217"/>
      <c r="AQ126" s="1217"/>
      <c r="AR126" s="1217"/>
      <c r="AS126" s="1217"/>
      <c r="AT126" s="1217"/>
    </row>
    <row r="127" spans="1:57" s="1218" customFormat="1" ht="12.75" customHeight="1">
      <c r="A127" s="1217"/>
      <c r="B127" s="1217"/>
      <c r="C127" s="1217"/>
      <c r="D127" s="1217"/>
      <c r="E127" s="1217"/>
      <c r="F127" s="1217"/>
      <c r="G127" s="1217"/>
      <c r="H127" s="1217"/>
      <c r="I127" s="1217"/>
      <c r="J127" s="1217"/>
      <c r="K127" s="1217"/>
      <c r="L127" s="1217"/>
      <c r="M127" s="1217"/>
      <c r="N127" s="1217"/>
      <c r="O127" s="1217"/>
      <c r="P127" s="1217"/>
      <c r="Q127" s="1217"/>
      <c r="R127" s="1217"/>
      <c r="S127" s="1217"/>
      <c r="T127" s="1217"/>
      <c r="U127" s="1217"/>
      <c r="V127" s="1217"/>
      <c r="W127" s="1217"/>
      <c r="X127" s="1217"/>
      <c r="Y127" s="1217"/>
      <c r="Z127" s="1217"/>
      <c r="AA127" s="1217"/>
      <c r="AB127" s="1217"/>
      <c r="AC127" s="1217"/>
      <c r="AD127" s="1217"/>
      <c r="AE127" s="1217"/>
      <c r="AF127" s="1217"/>
      <c r="AG127" s="1217"/>
      <c r="AH127" s="1217"/>
      <c r="AI127" s="1217"/>
      <c r="AJ127" s="1217"/>
      <c r="AK127" s="1217"/>
      <c r="AL127" s="1217"/>
      <c r="AM127" s="1217"/>
      <c r="AN127" s="1217"/>
      <c r="AO127" s="1217"/>
      <c r="AP127" s="1217"/>
      <c r="AQ127" s="1217"/>
      <c r="AR127" s="1217"/>
      <c r="AS127" s="1217"/>
      <c r="AT127" s="1217"/>
    </row>
    <row r="128" spans="1:57" s="1218" customFormat="1" ht="12.75" customHeight="1">
      <c r="A128" s="1217"/>
      <c r="B128" s="1217"/>
      <c r="C128" s="1217"/>
      <c r="D128" s="1217"/>
      <c r="E128" s="1217"/>
      <c r="F128" s="1217"/>
      <c r="G128" s="1217"/>
      <c r="H128" s="1217"/>
      <c r="I128" s="1217"/>
      <c r="J128" s="1217"/>
      <c r="K128" s="1217"/>
      <c r="L128" s="1217"/>
      <c r="M128" s="1217"/>
      <c r="N128" s="1217"/>
      <c r="O128" s="1217"/>
      <c r="P128" s="1217"/>
      <c r="Q128" s="1217"/>
      <c r="R128" s="1217"/>
      <c r="S128" s="1217"/>
      <c r="T128" s="1217"/>
      <c r="U128" s="1217"/>
      <c r="V128" s="1217"/>
      <c r="W128" s="1217"/>
      <c r="X128" s="1217"/>
      <c r="Y128" s="1217"/>
      <c r="Z128" s="1217"/>
      <c r="AA128" s="1217"/>
      <c r="AB128" s="1217"/>
      <c r="AC128" s="1217"/>
      <c r="AD128" s="1217"/>
      <c r="AE128" s="1217"/>
      <c r="AF128" s="1217"/>
      <c r="AG128" s="1217"/>
      <c r="AH128" s="1217"/>
      <c r="AI128" s="1217"/>
      <c r="AJ128" s="1217"/>
      <c r="AK128" s="1217"/>
      <c r="AL128" s="1217"/>
      <c r="AM128" s="1217"/>
      <c r="AN128" s="1217"/>
      <c r="AO128" s="1217"/>
      <c r="AP128" s="1217"/>
      <c r="AQ128" s="1217"/>
      <c r="AR128" s="1217"/>
      <c r="AS128" s="1217"/>
      <c r="AT128" s="1217"/>
    </row>
    <row r="129" spans="1:46" s="1218" customFormat="1" ht="12.75" customHeight="1">
      <c r="A129" s="1217"/>
      <c r="B129" s="1217"/>
      <c r="C129" s="1217"/>
      <c r="D129" s="1217"/>
      <c r="E129" s="1217"/>
      <c r="F129" s="1217"/>
      <c r="G129" s="1217"/>
      <c r="H129" s="1217"/>
      <c r="I129" s="1217"/>
      <c r="J129" s="1217"/>
      <c r="K129" s="1217"/>
      <c r="L129" s="1217"/>
      <c r="M129" s="1217"/>
      <c r="N129" s="1217"/>
      <c r="O129" s="1217"/>
      <c r="P129" s="1217"/>
      <c r="Q129" s="1217"/>
      <c r="R129" s="1217"/>
      <c r="S129" s="1217"/>
      <c r="T129" s="1217"/>
      <c r="U129" s="1217"/>
      <c r="V129" s="1217"/>
      <c r="W129" s="1217"/>
      <c r="X129" s="1217"/>
      <c r="Y129" s="1217"/>
      <c r="Z129" s="1217"/>
      <c r="AA129" s="1217"/>
      <c r="AB129" s="1217"/>
      <c r="AC129" s="1217"/>
      <c r="AD129" s="1217"/>
      <c r="AE129" s="1217"/>
      <c r="AF129" s="1217"/>
      <c r="AG129" s="1217"/>
      <c r="AH129" s="1217"/>
      <c r="AI129" s="1217"/>
      <c r="AJ129" s="1217"/>
      <c r="AK129" s="1217"/>
      <c r="AL129" s="1217"/>
      <c r="AM129" s="1217"/>
      <c r="AN129" s="1217"/>
      <c r="AO129" s="1217"/>
      <c r="AP129" s="1217"/>
      <c r="AQ129" s="1217"/>
      <c r="AR129" s="1217"/>
      <c r="AS129" s="1217"/>
      <c r="AT129" s="1217"/>
    </row>
    <row r="130" spans="1:46" s="1218" customFormat="1" ht="12.75" customHeight="1">
      <c r="A130" s="1217"/>
      <c r="B130" s="1217"/>
      <c r="C130" s="1217"/>
      <c r="D130" s="1217"/>
      <c r="E130" s="1217"/>
      <c r="F130" s="1217"/>
      <c r="G130" s="1217"/>
      <c r="H130" s="1217"/>
      <c r="I130" s="1217"/>
      <c r="J130" s="1217"/>
      <c r="K130" s="1217"/>
      <c r="L130" s="1217"/>
      <c r="M130" s="1217"/>
      <c r="N130" s="1217"/>
      <c r="O130" s="1217"/>
      <c r="P130" s="1217"/>
      <c r="Q130" s="1217"/>
      <c r="R130" s="1217"/>
      <c r="S130" s="1217"/>
      <c r="T130" s="1217"/>
      <c r="U130" s="1217"/>
      <c r="V130" s="1217"/>
      <c r="W130" s="1217"/>
      <c r="X130" s="1217"/>
      <c r="Y130" s="1217"/>
      <c r="Z130" s="1217"/>
      <c r="AA130" s="1217"/>
      <c r="AB130" s="1217"/>
      <c r="AC130" s="1217"/>
      <c r="AD130" s="1217"/>
      <c r="AE130" s="1217"/>
      <c r="AF130" s="1217"/>
      <c r="AG130" s="1217"/>
      <c r="AH130" s="1217"/>
      <c r="AI130" s="1217"/>
      <c r="AJ130" s="1217"/>
      <c r="AK130" s="1217"/>
      <c r="AL130" s="1217"/>
      <c r="AM130" s="1217"/>
      <c r="AN130" s="1217"/>
      <c r="AO130" s="1217"/>
      <c r="AP130" s="1217"/>
      <c r="AQ130" s="1217"/>
      <c r="AR130" s="1217"/>
      <c r="AS130" s="1217"/>
      <c r="AT130" s="1217"/>
    </row>
    <row r="131" spans="1:46" s="1218" customFormat="1" ht="12.75" customHeight="1">
      <c r="A131" s="1217"/>
      <c r="B131" s="1217"/>
      <c r="C131" s="1217"/>
      <c r="D131" s="1217"/>
      <c r="E131" s="1217"/>
      <c r="F131" s="1217"/>
      <c r="G131" s="1217"/>
      <c r="H131" s="1217"/>
      <c r="I131" s="1217"/>
      <c r="J131" s="1217"/>
      <c r="K131" s="1217"/>
      <c r="L131" s="1217"/>
      <c r="M131" s="1217"/>
      <c r="N131" s="1217"/>
      <c r="O131" s="1217"/>
      <c r="P131" s="1217"/>
      <c r="Q131" s="1217"/>
      <c r="R131" s="1217"/>
      <c r="S131" s="1217"/>
      <c r="T131" s="1217"/>
      <c r="U131" s="1217"/>
      <c r="V131" s="1217"/>
      <c r="W131" s="1217"/>
      <c r="X131" s="1217"/>
      <c r="Y131" s="1217"/>
      <c r="Z131" s="1217"/>
      <c r="AA131" s="1217"/>
      <c r="AB131" s="1217"/>
      <c r="AC131" s="1217"/>
      <c r="AD131" s="1217"/>
      <c r="AE131" s="1217"/>
      <c r="AF131" s="1217"/>
      <c r="AG131" s="1217"/>
      <c r="AH131" s="1217"/>
      <c r="AI131" s="1217"/>
      <c r="AJ131" s="1217"/>
      <c r="AK131" s="1217"/>
      <c r="AL131" s="1217"/>
      <c r="AM131" s="1217"/>
      <c r="AN131" s="1217"/>
      <c r="AO131" s="1217"/>
      <c r="AP131" s="1217"/>
      <c r="AQ131" s="1217"/>
      <c r="AR131" s="1217"/>
      <c r="AS131" s="1217"/>
      <c r="AT131" s="1217"/>
    </row>
    <row r="132" spans="1:46" s="1218" customFormat="1" ht="12.75" customHeight="1">
      <c r="A132" s="1217"/>
      <c r="B132" s="1217"/>
      <c r="C132" s="1217"/>
      <c r="D132" s="1217"/>
      <c r="E132" s="1217"/>
      <c r="F132" s="1217"/>
      <c r="G132" s="1217"/>
      <c r="H132" s="1217"/>
      <c r="I132" s="1217"/>
      <c r="J132" s="1217"/>
      <c r="K132" s="1217"/>
      <c r="L132" s="1217"/>
      <c r="M132" s="1217"/>
      <c r="N132" s="1217"/>
      <c r="O132" s="1217"/>
      <c r="P132" s="1217"/>
      <c r="Q132" s="1217"/>
      <c r="R132" s="1217"/>
      <c r="S132" s="1217"/>
      <c r="T132" s="1217"/>
      <c r="U132" s="1217"/>
      <c r="V132" s="1217"/>
      <c r="W132" s="1217"/>
      <c r="X132" s="1217"/>
      <c r="Y132" s="1217"/>
      <c r="Z132" s="1217"/>
      <c r="AA132" s="1217"/>
      <c r="AB132" s="1217"/>
      <c r="AC132" s="1217"/>
      <c r="AD132" s="1217"/>
      <c r="AE132" s="1217"/>
      <c r="AF132" s="1217"/>
      <c r="AG132" s="1217"/>
      <c r="AH132" s="1217"/>
      <c r="AI132" s="1217"/>
      <c r="AJ132" s="1217"/>
      <c r="AK132" s="1217"/>
      <c r="AL132" s="1217"/>
      <c r="AM132" s="1217"/>
      <c r="AN132" s="1217"/>
      <c r="AO132" s="1217"/>
      <c r="AP132" s="1217"/>
      <c r="AQ132" s="1217"/>
      <c r="AR132" s="1217"/>
      <c r="AS132" s="1217"/>
      <c r="AT132" s="1217"/>
    </row>
    <row r="133" spans="1:46" s="1218" customFormat="1" ht="12.75" customHeight="1">
      <c r="A133" s="1217"/>
      <c r="B133" s="1217"/>
      <c r="C133" s="1217"/>
      <c r="D133" s="1217"/>
      <c r="E133" s="1217"/>
      <c r="F133" s="1217"/>
      <c r="G133" s="1217"/>
      <c r="H133" s="1217"/>
      <c r="I133" s="1217"/>
      <c r="J133" s="1217"/>
      <c r="K133" s="1217"/>
      <c r="L133" s="1217"/>
      <c r="M133" s="1217"/>
      <c r="N133" s="1217"/>
      <c r="O133" s="1217"/>
      <c r="P133" s="1217"/>
      <c r="Q133" s="1217"/>
      <c r="R133" s="1217"/>
      <c r="S133" s="1217"/>
      <c r="T133" s="1217"/>
      <c r="U133" s="1217"/>
      <c r="V133" s="1217"/>
      <c r="W133" s="1217"/>
      <c r="X133" s="1217"/>
      <c r="Y133" s="1217"/>
      <c r="Z133" s="1217"/>
      <c r="AA133" s="1217"/>
      <c r="AB133" s="1217"/>
      <c r="AC133" s="1217"/>
      <c r="AD133" s="1217"/>
      <c r="AE133" s="1217"/>
      <c r="AF133" s="1217"/>
      <c r="AG133" s="1217"/>
      <c r="AH133" s="1217"/>
      <c r="AI133" s="1217"/>
      <c r="AJ133" s="1217"/>
      <c r="AK133" s="1217"/>
      <c r="AL133" s="1217"/>
      <c r="AM133" s="1217"/>
      <c r="AN133" s="1217"/>
      <c r="AO133" s="1217"/>
      <c r="AP133" s="1217"/>
      <c r="AQ133" s="1217"/>
      <c r="AR133" s="1217"/>
      <c r="AS133" s="1217"/>
      <c r="AT133" s="1217"/>
    </row>
    <row r="134" spans="1:46" s="1218" customFormat="1" ht="12.75" customHeight="1">
      <c r="A134" s="1217"/>
      <c r="B134" s="1217"/>
      <c r="C134" s="1217"/>
      <c r="D134" s="1217"/>
      <c r="E134" s="1217"/>
      <c r="F134" s="1217"/>
      <c r="G134" s="1217"/>
      <c r="H134" s="1217"/>
      <c r="I134" s="1217"/>
      <c r="J134" s="1217"/>
      <c r="K134" s="1217"/>
      <c r="L134" s="1217"/>
      <c r="M134" s="1217"/>
      <c r="N134" s="1217"/>
      <c r="O134" s="1217"/>
      <c r="P134" s="1217"/>
      <c r="Q134" s="1217"/>
      <c r="R134" s="1217"/>
      <c r="S134" s="1217"/>
      <c r="T134" s="1217"/>
      <c r="U134" s="1217"/>
      <c r="V134" s="1217"/>
      <c r="W134" s="1217"/>
      <c r="X134" s="1217"/>
      <c r="Y134" s="1217"/>
      <c r="Z134" s="1217"/>
      <c r="AA134" s="1217"/>
      <c r="AB134" s="1217"/>
      <c r="AC134" s="1217"/>
      <c r="AD134" s="1217"/>
      <c r="AE134" s="1217"/>
      <c r="AF134" s="1217"/>
      <c r="AG134" s="1217"/>
      <c r="AH134" s="1217"/>
      <c r="AI134" s="1217"/>
      <c r="AJ134" s="1217"/>
      <c r="AK134" s="1217"/>
      <c r="AL134" s="1217"/>
      <c r="AM134" s="1217"/>
      <c r="AN134" s="1217"/>
      <c r="AO134" s="1217"/>
      <c r="AP134" s="1217"/>
      <c r="AQ134" s="1217"/>
      <c r="AR134" s="1217"/>
      <c r="AS134" s="1217"/>
      <c r="AT134" s="1217"/>
    </row>
    <row r="135" spans="1:46" s="1218" customFormat="1" ht="12.75" customHeight="1">
      <c r="A135" s="1217"/>
      <c r="B135" s="1217"/>
      <c r="C135" s="1217"/>
      <c r="D135" s="1217"/>
      <c r="E135" s="1217"/>
      <c r="F135" s="1217"/>
      <c r="G135" s="1217"/>
      <c r="H135" s="1217"/>
      <c r="I135" s="1217"/>
      <c r="J135" s="1217"/>
      <c r="K135" s="1217"/>
      <c r="L135" s="1217"/>
      <c r="M135" s="1217"/>
      <c r="N135" s="1217"/>
      <c r="O135" s="1217"/>
      <c r="P135" s="1217"/>
      <c r="Q135" s="1217"/>
      <c r="R135" s="1217"/>
      <c r="S135" s="1217"/>
      <c r="T135" s="1217"/>
      <c r="U135" s="1217"/>
      <c r="V135" s="1217"/>
      <c r="W135" s="1217"/>
      <c r="X135" s="1217"/>
      <c r="Y135" s="1217"/>
      <c r="Z135" s="1217"/>
      <c r="AA135" s="1217"/>
      <c r="AB135" s="1217"/>
      <c r="AC135" s="1217"/>
      <c r="AD135" s="1217"/>
      <c r="AE135" s="1217"/>
      <c r="AF135" s="1217"/>
      <c r="AG135" s="1217"/>
      <c r="AH135" s="1217"/>
      <c r="AI135" s="1217"/>
      <c r="AJ135" s="1217"/>
      <c r="AK135" s="1217"/>
      <c r="AL135" s="1217"/>
      <c r="AM135" s="1217"/>
      <c r="AN135" s="1217"/>
      <c r="AO135" s="1217"/>
      <c r="AP135" s="1217"/>
      <c r="AQ135" s="1217"/>
      <c r="AR135" s="1217"/>
      <c r="AS135" s="1217"/>
      <c r="AT135" s="1217"/>
    </row>
    <row r="136" spans="1:46" s="1218" customFormat="1" ht="12.75" customHeight="1">
      <c r="A136" s="1217"/>
      <c r="B136" s="1217"/>
      <c r="C136" s="1217"/>
      <c r="D136" s="1217"/>
      <c r="E136" s="1217"/>
      <c r="F136" s="1217"/>
      <c r="G136" s="1217"/>
      <c r="H136" s="1217"/>
      <c r="I136" s="1217"/>
      <c r="J136" s="1217"/>
      <c r="K136" s="1217"/>
      <c r="L136" s="1217"/>
      <c r="M136" s="1217"/>
      <c r="N136" s="1217"/>
      <c r="O136" s="1217"/>
      <c r="P136" s="1217"/>
      <c r="Q136" s="1217"/>
      <c r="R136" s="1217"/>
      <c r="S136" s="1217"/>
      <c r="T136" s="1217"/>
      <c r="U136" s="1217"/>
      <c r="V136" s="1217"/>
      <c r="W136" s="1217"/>
      <c r="X136" s="1217"/>
      <c r="Y136" s="1217"/>
      <c r="Z136" s="1217"/>
      <c r="AA136" s="1217"/>
      <c r="AB136" s="1217"/>
      <c r="AC136" s="1217"/>
      <c r="AD136" s="1217"/>
      <c r="AE136" s="1217"/>
      <c r="AF136" s="1217"/>
      <c r="AG136" s="1217"/>
      <c r="AH136" s="1217"/>
      <c r="AI136" s="1217"/>
      <c r="AJ136" s="1217"/>
      <c r="AK136" s="1217"/>
      <c r="AL136" s="1217"/>
      <c r="AM136" s="1217"/>
      <c r="AN136" s="1217"/>
      <c r="AO136" s="1217"/>
      <c r="AP136" s="1217"/>
      <c r="AQ136" s="1217"/>
      <c r="AR136" s="1217"/>
      <c r="AS136" s="1217"/>
      <c r="AT136" s="1217"/>
    </row>
    <row r="137" spans="1:46" s="1218" customFormat="1" ht="12.75" customHeight="1">
      <c r="A137" s="1217"/>
      <c r="B137" s="1217"/>
      <c r="C137" s="1217"/>
      <c r="D137" s="1217"/>
      <c r="E137" s="1217"/>
      <c r="F137" s="1217"/>
      <c r="G137" s="1217"/>
      <c r="H137" s="1217"/>
      <c r="I137" s="1217"/>
      <c r="J137" s="1217"/>
      <c r="K137" s="1217"/>
      <c r="L137" s="1217"/>
      <c r="M137" s="1217"/>
      <c r="N137" s="1217"/>
      <c r="O137" s="1217"/>
      <c r="P137" s="1217"/>
      <c r="Q137" s="1217"/>
      <c r="R137" s="1217"/>
      <c r="S137" s="1217"/>
      <c r="T137" s="1217"/>
      <c r="U137" s="1217"/>
      <c r="V137" s="1217"/>
      <c r="W137" s="1217"/>
      <c r="X137" s="1217"/>
      <c r="Y137" s="1217"/>
      <c r="Z137" s="1217"/>
      <c r="AA137" s="1217"/>
      <c r="AB137" s="1217"/>
      <c r="AC137" s="1217"/>
      <c r="AD137" s="1217"/>
      <c r="AE137" s="1217"/>
      <c r="AF137" s="1217"/>
      <c r="AG137" s="1217"/>
      <c r="AH137" s="1217"/>
      <c r="AI137" s="1217"/>
      <c r="AJ137" s="1217"/>
      <c r="AK137" s="1217"/>
      <c r="AL137" s="1217"/>
      <c r="AM137" s="1217"/>
      <c r="AN137" s="1217"/>
      <c r="AO137" s="1217"/>
      <c r="AP137" s="1217"/>
      <c r="AQ137" s="1217"/>
      <c r="AR137" s="1217"/>
      <c r="AS137" s="1217"/>
      <c r="AT137" s="1217"/>
    </row>
    <row r="138" spans="1:46" s="1218" customFormat="1" ht="12.75" customHeight="1">
      <c r="A138" s="1217"/>
      <c r="B138" s="1217"/>
      <c r="C138" s="1217"/>
      <c r="D138" s="1217"/>
      <c r="E138" s="1217"/>
      <c r="F138" s="1217"/>
      <c r="G138" s="1217"/>
      <c r="H138" s="1217"/>
      <c r="I138" s="1217"/>
      <c r="J138" s="1217"/>
      <c r="K138" s="1217"/>
      <c r="L138" s="1217"/>
      <c r="M138" s="1217"/>
      <c r="N138" s="1217"/>
      <c r="O138" s="1217"/>
      <c r="P138" s="1217"/>
      <c r="Q138" s="1217"/>
      <c r="R138" s="1217"/>
      <c r="S138" s="1217"/>
      <c r="T138" s="1217"/>
      <c r="U138" s="1217"/>
      <c r="V138" s="1217"/>
      <c r="W138" s="1217"/>
      <c r="X138" s="1217"/>
      <c r="Y138" s="1217"/>
      <c r="Z138" s="1217"/>
      <c r="AA138" s="1217"/>
      <c r="AB138" s="1217"/>
      <c r="AC138" s="1217"/>
      <c r="AD138" s="1217"/>
      <c r="AE138" s="1217"/>
      <c r="AF138" s="1217"/>
      <c r="AG138" s="1217"/>
      <c r="AH138" s="1217"/>
      <c r="AI138" s="1217"/>
      <c r="AJ138" s="1217"/>
      <c r="AK138" s="1217"/>
      <c r="AL138" s="1217"/>
      <c r="AM138" s="1217"/>
      <c r="AN138" s="1217"/>
      <c r="AO138" s="1217"/>
      <c r="AP138" s="1217"/>
      <c r="AQ138" s="1217"/>
      <c r="AR138" s="1217"/>
      <c r="AS138" s="1217"/>
      <c r="AT138" s="1217"/>
    </row>
    <row r="139" spans="1:46" s="1218" customFormat="1" ht="12.75" customHeight="1">
      <c r="A139" s="1217"/>
      <c r="B139" s="1217"/>
      <c r="C139" s="1217"/>
      <c r="D139" s="1217"/>
      <c r="E139" s="1217"/>
      <c r="F139" s="1217"/>
      <c r="G139" s="1217"/>
      <c r="H139" s="1217"/>
      <c r="I139" s="1217"/>
      <c r="J139" s="1217"/>
      <c r="K139" s="1217"/>
      <c r="L139" s="1217"/>
      <c r="M139" s="1217"/>
      <c r="N139" s="1217"/>
      <c r="O139" s="1217"/>
      <c r="P139" s="1217"/>
      <c r="Q139" s="1217"/>
      <c r="R139" s="1217"/>
      <c r="S139" s="1217"/>
      <c r="T139" s="1217"/>
      <c r="U139" s="1217"/>
      <c r="V139" s="1217"/>
      <c r="W139" s="1217"/>
      <c r="X139" s="1217"/>
      <c r="Y139" s="1217"/>
      <c r="Z139" s="1217"/>
      <c r="AA139" s="1217"/>
      <c r="AB139" s="1217"/>
      <c r="AC139" s="1217"/>
      <c r="AD139" s="1217"/>
      <c r="AE139" s="1217"/>
      <c r="AF139" s="1217"/>
      <c r="AG139" s="1217"/>
      <c r="AH139" s="1217"/>
      <c r="AI139" s="1217"/>
      <c r="AJ139" s="1217"/>
      <c r="AK139" s="1217"/>
      <c r="AL139" s="1217"/>
      <c r="AM139" s="1217"/>
      <c r="AN139" s="1217"/>
      <c r="AO139" s="1217"/>
      <c r="AP139" s="1217"/>
      <c r="AQ139" s="1217"/>
      <c r="AR139" s="1217"/>
      <c r="AS139" s="1217"/>
      <c r="AT139" s="1217"/>
    </row>
    <row r="140" spans="1:46" s="1218" customFormat="1" ht="12.75" customHeight="1">
      <c r="A140" s="1217"/>
      <c r="B140" s="1217"/>
      <c r="C140" s="1217"/>
      <c r="D140" s="1217"/>
      <c r="E140" s="1217"/>
      <c r="F140" s="1217"/>
      <c r="G140" s="1217"/>
      <c r="H140" s="1217"/>
      <c r="I140" s="1217"/>
      <c r="J140" s="1217"/>
      <c r="K140" s="1217"/>
      <c r="L140" s="1217"/>
      <c r="M140" s="1217"/>
      <c r="N140" s="1217"/>
      <c r="O140" s="1217"/>
      <c r="P140" s="1217"/>
      <c r="Q140" s="1217"/>
      <c r="R140" s="1217"/>
      <c r="S140" s="1217"/>
      <c r="T140" s="1217"/>
      <c r="U140" s="1217"/>
      <c r="V140" s="1217"/>
      <c r="W140" s="1217"/>
      <c r="X140" s="1217"/>
      <c r="Y140" s="1217"/>
      <c r="Z140" s="1217"/>
      <c r="AA140" s="1217"/>
      <c r="AB140" s="1217"/>
      <c r="AC140" s="1217"/>
      <c r="AD140" s="1217"/>
      <c r="AE140" s="1217"/>
      <c r="AF140" s="1217"/>
      <c r="AG140" s="1217"/>
      <c r="AH140" s="1217"/>
      <c r="AI140" s="1217"/>
      <c r="AJ140" s="1217"/>
      <c r="AK140" s="1217"/>
      <c r="AL140" s="1217"/>
      <c r="AM140" s="1217"/>
      <c r="AN140" s="1217"/>
      <c r="AO140" s="1217"/>
      <c r="AP140" s="1217"/>
      <c r="AQ140" s="1217"/>
      <c r="AR140" s="1217"/>
      <c r="AS140" s="1217"/>
      <c r="AT140" s="1217"/>
    </row>
    <row r="141" spans="1:46" s="1218" customFormat="1" ht="12.75" customHeight="1">
      <c r="A141" s="1217"/>
      <c r="B141" s="1217"/>
      <c r="C141" s="1217"/>
      <c r="D141" s="1217"/>
      <c r="E141" s="1217"/>
      <c r="F141" s="1217"/>
      <c r="G141" s="1217"/>
      <c r="H141" s="1217"/>
      <c r="I141" s="1217"/>
      <c r="J141" s="1217"/>
      <c r="K141" s="1217"/>
      <c r="L141" s="1217"/>
      <c r="M141" s="1217"/>
      <c r="N141" s="1217"/>
      <c r="O141" s="1217"/>
      <c r="P141" s="1217"/>
      <c r="Q141" s="1217"/>
      <c r="R141" s="1217"/>
      <c r="S141" s="1217"/>
      <c r="T141" s="1217"/>
      <c r="U141" s="1217"/>
      <c r="V141" s="1217"/>
      <c r="W141" s="1217"/>
      <c r="X141" s="1217"/>
      <c r="Y141" s="1217"/>
      <c r="Z141" s="1217"/>
      <c r="AA141" s="1217"/>
      <c r="AB141" s="1217"/>
      <c r="AC141" s="1217"/>
      <c r="AD141" s="1217"/>
      <c r="AE141" s="1217"/>
      <c r="AF141" s="1217"/>
      <c r="AG141" s="1217"/>
      <c r="AH141" s="1217"/>
      <c r="AI141" s="1217"/>
      <c r="AJ141" s="1217"/>
      <c r="AK141" s="1217"/>
      <c r="AL141" s="1217"/>
      <c r="AM141" s="1217"/>
      <c r="AN141" s="1217"/>
      <c r="AO141" s="1217"/>
      <c r="AP141" s="1217"/>
      <c r="AQ141" s="1217"/>
      <c r="AR141" s="1217"/>
      <c r="AS141" s="1217"/>
      <c r="AT141" s="1217"/>
    </row>
    <row r="142" spans="1:46" s="1218" customFormat="1" ht="12.75" customHeight="1">
      <c r="A142" s="1217"/>
      <c r="B142" s="1217"/>
      <c r="C142" s="1217"/>
      <c r="D142" s="1217"/>
      <c r="E142" s="1217"/>
      <c r="F142" s="1217"/>
      <c r="G142" s="1217"/>
      <c r="H142" s="1217"/>
      <c r="I142" s="1217"/>
      <c r="J142" s="1217"/>
      <c r="K142" s="1217"/>
      <c r="L142" s="1217"/>
      <c r="M142" s="1217"/>
      <c r="N142" s="1217"/>
      <c r="O142" s="1217"/>
      <c r="P142" s="1217"/>
      <c r="Q142" s="1217"/>
      <c r="R142" s="1217"/>
      <c r="S142" s="1217"/>
      <c r="T142" s="1217"/>
      <c r="U142" s="1217"/>
      <c r="V142" s="1217"/>
      <c r="W142" s="1217"/>
      <c r="X142" s="1217"/>
      <c r="Y142" s="1217"/>
      <c r="Z142" s="1217"/>
      <c r="AA142" s="1217"/>
      <c r="AB142" s="1217"/>
      <c r="AC142" s="1217"/>
      <c r="AD142" s="1217"/>
      <c r="AE142" s="1217"/>
      <c r="AF142" s="1217"/>
      <c r="AG142" s="1217"/>
      <c r="AH142" s="1217"/>
      <c r="AI142" s="1217"/>
      <c r="AJ142" s="1217"/>
      <c r="AK142" s="1217"/>
      <c r="AL142" s="1217"/>
      <c r="AM142" s="1217"/>
      <c r="AN142" s="1217"/>
      <c r="AO142" s="1217"/>
      <c r="AP142" s="1217"/>
      <c r="AQ142" s="1217"/>
      <c r="AR142" s="1217"/>
      <c r="AS142" s="1217"/>
      <c r="AT142" s="1217"/>
    </row>
    <row r="143" spans="1:46" s="1218" customFormat="1" ht="12.75" customHeight="1">
      <c r="A143" s="1217"/>
      <c r="B143" s="1217"/>
      <c r="C143" s="1217"/>
      <c r="D143" s="1217"/>
      <c r="E143" s="1217"/>
      <c r="F143" s="1217"/>
      <c r="G143" s="1217"/>
      <c r="H143" s="1217"/>
      <c r="I143" s="1217"/>
      <c r="J143" s="1217"/>
      <c r="K143" s="1217"/>
      <c r="L143" s="1217"/>
      <c r="M143" s="1217"/>
      <c r="N143" s="1217"/>
      <c r="O143" s="1217"/>
      <c r="P143" s="1217"/>
      <c r="Q143" s="1217"/>
      <c r="R143" s="1217"/>
      <c r="S143" s="1217"/>
      <c r="T143" s="1217"/>
      <c r="U143" s="1217"/>
      <c r="V143" s="1217"/>
      <c r="W143" s="1217"/>
      <c r="X143" s="1217"/>
      <c r="Y143" s="1217"/>
      <c r="Z143" s="1217"/>
      <c r="AA143" s="1217"/>
      <c r="AB143" s="1217"/>
      <c r="AC143" s="1217"/>
      <c r="AD143" s="1217"/>
      <c r="AE143" s="1217"/>
      <c r="AF143" s="1217"/>
      <c r="AG143" s="1217"/>
      <c r="AH143" s="1217"/>
      <c r="AI143" s="1217"/>
      <c r="AJ143" s="1217"/>
      <c r="AK143" s="1217"/>
      <c r="AL143" s="1217"/>
      <c r="AM143" s="1217"/>
      <c r="AN143" s="1217"/>
      <c r="AO143" s="1217"/>
      <c r="AP143" s="1217"/>
      <c r="AQ143" s="1217"/>
      <c r="AR143" s="1217"/>
      <c r="AS143" s="1217"/>
      <c r="AT143" s="1217"/>
    </row>
    <row r="144" spans="1:46" s="1218" customFormat="1" ht="12.75" customHeight="1">
      <c r="A144" s="1217"/>
      <c r="B144" s="1217"/>
      <c r="C144" s="1217"/>
      <c r="D144" s="1217"/>
      <c r="E144" s="1217"/>
      <c r="F144" s="1217"/>
      <c r="G144" s="1217"/>
      <c r="H144" s="1217"/>
      <c r="I144" s="1217"/>
      <c r="J144" s="1217"/>
      <c r="K144" s="1217"/>
      <c r="L144" s="1217"/>
      <c r="M144" s="1217"/>
      <c r="N144" s="1217"/>
      <c r="O144" s="1217"/>
      <c r="P144" s="1217"/>
      <c r="Q144" s="1217"/>
      <c r="R144" s="1217"/>
      <c r="S144" s="1217"/>
      <c r="T144" s="1217"/>
      <c r="U144" s="1217"/>
      <c r="V144" s="1217"/>
      <c r="W144" s="1217"/>
      <c r="X144" s="1217"/>
      <c r="Y144" s="1217"/>
      <c r="Z144" s="1217"/>
      <c r="AA144" s="1217"/>
      <c r="AB144" s="1217"/>
      <c r="AC144" s="1217"/>
      <c r="AD144" s="1217"/>
      <c r="AE144" s="1217"/>
      <c r="AF144" s="1217"/>
      <c r="AG144" s="1217"/>
      <c r="AH144" s="1217"/>
      <c r="AI144" s="1217"/>
      <c r="AJ144" s="1217"/>
      <c r="AK144" s="1217"/>
      <c r="AL144" s="1217"/>
      <c r="AM144" s="1217"/>
      <c r="AN144" s="1217"/>
      <c r="AO144" s="1217"/>
      <c r="AP144" s="1217"/>
      <c r="AQ144" s="1217"/>
      <c r="AR144" s="1217"/>
      <c r="AS144" s="1217"/>
      <c r="AT144" s="1217"/>
    </row>
    <row r="145" spans="1:46" s="1218" customFormat="1" ht="12.75" customHeight="1">
      <c r="A145" s="1217"/>
      <c r="B145" s="1217"/>
      <c r="C145" s="1217"/>
      <c r="D145" s="1217"/>
      <c r="E145" s="1217"/>
      <c r="F145" s="1217"/>
      <c r="G145" s="1217"/>
      <c r="H145" s="1217"/>
      <c r="I145" s="1217"/>
      <c r="J145" s="1217"/>
      <c r="K145" s="1217"/>
      <c r="L145" s="1217"/>
      <c r="M145" s="1217"/>
      <c r="N145" s="1217"/>
      <c r="O145" s="1217"/>
      <c r="P145" s="1217"/>
      <c r="Q145" s="1217"/>
      <c r="R145" s="1217"/>
      <c r="S145" s="1217"/>
      <c r="T145" s="1217"/>
      <c r="U145" s="1217"/>
      <c r="V145" s="1217"/>
      <c r="W145" s="1217"/>
      <c r="X145" s="1217"/>
      <c r="Y145" s="1217"/>
      <c r="Z145" s="1217"/>
      <c r="AA145" s="1217"/>
      <c r="AB145" s="1217"/>
      <c r="AC145" s="1217"/>
      <c r="AD145" s="1217"/>
      <c r="AE145" s="1217"/>
      <c r="AF145" s="1217"/>
      <c r="AG145" s="1217"/>
      <c r="AH145" s="1217"/>
      <c r="AI145" s="1217"/>
      <c r="AJ145" s="1217"/>
      <c r="AK145" s="1217"/>
      <c r="AL145" s="1217"/>
      <c r="AM145" s="1217"/>
      <c r="AN145" s="1217"/>
      <c r="AO145" s="1217"/>
      <c r="AP145" s="1217"/>
      <c r="AQ145" s="1217"/>
      <c r="AR145" s="1217"/>
      <c r="AS145" s="1217"/>
      <c r="AT145" s="1217"/>
    </row>
    <row r="146" spans="1:46" s="1218" customFormat="1" ht="12.75" customHeight="1">
      <c r="A146" s="1217"/>
      <c r="B146" s="1217"/>
      <c r="C146" s="1217"/>
      <c r="D146" s="1217"/>
      <c r="E146" s="1217"/>
      <c r="F146" s="1217"/>
      <c r="G146" s="1217"/>
      <c r="H146" s="1217"/>
      <c r="I146" s="1217"/>
      <c r="J146" s="1217"/>
      <c r="K146" s="1217"/>
      <c r="L146" s="1217"/>
      <c r="M146" s="1217"/>
      <c r="N146" s="1217"/>
      <c r="O146" s="1217"/>
      <c r="P146" s="1217"/>
      <c r="Q146" s="1217"/>
      <c r="R146" s="1217"/>
      <c r="S146" s="1217"/>
      <c r="T146" s="1217"/>
      <c r="U146" s="1217"/>
      <c r="V146" s="1217"/>
      <c r="W146" s="1217"/>
      <c r="X146" s="1217"/>
      <c r="Y146" s="1217"/>
      <c r="Z146" s="1217"/>
      <c r="AA146" s="1217"/>
      <c r="AB146" s="1217"/>
      <c r="AC146" s="1217"/>
      <c r="AD146" s="1217"/>
      <c r="AE146" s="1217"/>
      <c r="AF146" s="1217"/>
      <c r="AG146" s="1217"/>
      <c r="AH146" s="1217"/>
      <c r="AI146" s="1217"/>
      <c r="AJ146" s="1217"/>
      <c r="AK146" s="1217"/>
      <c r="AL146" s="1217"/>
      <c r="AM146" s="1217"/>
      <c r="AN146" s="1217"/>
      <c r="AO146" s="1217"/>
      <c r="AP146" s="1217"/>
      <c r="AQ146" s="1217"/>
      <c r="AR146" s="1217"/>
      <c r="AS146" s="1217"/>
      <c r="AT146" s="1217"/>
    </row>
    <row r="147" spans="1:46" s="1218" customFormat="1" ht="12.75" customHeight="1">
      <c r="A147" s="1217"/>
      <c r="B147" s="1217"/>
      <c r="C147" s="1217"/>
      <c r="D147" s="1217"/>
      <c r="E147" s="1217"/>
      <c r="F147" s="1217"/>
      <c r="G147" s="1217"/>
      <c r="H147" s="1217"/>
      <c r="I147" s="1217"/>
      <c r="J147" s="1217"/>
      <c r="K147" s="1217"/>
      <c r="L147" s="1217"/>
      <c r="M147" s="1217"/>
      <c r="N147" s="1217"/>
      <c r="O147" s="1217"/>
      <c r="P147" s="1217"/>
      <c r="Q147" s="1217"/>
      <c r="R147" s="1217"/>
      <c r="S147" s="1217"/>
      <c r="T147" s="1217"/>
      <c r="U147" s="1217"/>
      <c r="V147" s="1217"/>
      <c r="W147" s="1217"/>
      <c r="X147" s="1217"/>
      <c r="Y147" s="1217"/>
      <c r="Z147" s="1217"/>
      <c r="AA147" s="1217"/>
      <c r="AB147" s="1217"/>
      <c r="AC147" s="1217"/>
      <c r="AD147" s="1217"/>
      <c r="AE147" s="1217"/>
      <c r="AF147" s="1217"/>
      <c r="AG147" s="1217"/>
      <c r="AH147" s="1217"/>
      <c r="AI147" s="1217"/>
      <c r="AJ147" s="1217"/>
      <c r="AK147" s="1217"/>
      <c r="AL147" s="1217"/>
      <c r="AM147" s="1217"/>
      <c r="AN147" s="1217"/>
      <c r="AO147" s="1217"/>
      <c r="AP147" s="1217"/>
      <c r="AQ147" s="1217"/>
      <c r="AR147" s="1217"/>
      <c r="AS147" s="1217"/>
      <c r="AT147" s="1217"/>
    </row>
    <row r="148" spans="1:46" s="1218" customFormat="1" ht="12.75" customHeight="1">
      <c r="A148" s="1217"/>
      <c r="B148" s="1217"/>
      <c r="C148" s="1217"/>
      <c r="D148" s="1217"/>
      <c r="E148" s="1217"/>
      <c r="F148" s="1217"/>
      <c r="G148" s="1217"/>
      <c r="H148" s="1217"/>
      <c r="I148" s="1217"/>
      <c r="J148" s="1217"/>
      <c r="K148" s="1217"/>
      <c r="L148" s="1217"/>
      <c r="M148" s="1217"/>
      <c r="N148" s="1217"/>
      <c r="O148" s="1217"/>
      <c r="P148" s="1217"/>
      <c r="Q148" s="1217"/>
      <c r="R148" s="1217"/>
      <c r="S148" s="1217"/>
      <c r="T148" s="1217"/>
      <c r="U148" s="1217"/>
      <c r="V148" s="1217"/>
      <c r="W148" s="1217"/>
      <c r="X148" s="1217"/>
      <c r="Y148" s="1217"/>
      <c r="Z148" s="1217"/>
      <c r="AA148" s="1217"/>
      <c r="AB148" s="1217"/>
      <c r="AC148" s="1217"/>
      <c r="AD148" s="1217"/>
      <c r="AE148" s="1217"/>
      <c r="AF148" s="1217"/>
      <c r="AG148" s="1217"/>
      <c r="AH148" s="1217"/>
      <c r="AI148" s="1217"/>
      <c r="AJ148" s="1217"/>
      <c r="AK148" s="1217"/>
      <c r="AL148" s="1217"/>
      <c r="AM148" s="1217"/>
      <c r="AN148" s="1217"/>
      <c r="AO148" s="1217"/>
      <c r="AP148" s="1217"/>
      <c r="AQ148" s="1217"/>
      <c r="AR148" s="1217"/>
      <c r="AS148" s="1217"/>
      <c r="AT148" s="1217"/>
    </row>
    <row r="149" spans="1:46" s="1218" customFormat="1" ht="12.75" customHeight="1">
      <c r="A149" s="1217"/>
      <c r="B149" s="1217"/>
      <c r="C149" s="1217"/>
      <c r="D149" s="1217"/>
      <c r="E149" s="1217"/>
      <c r="F149" s="1217"/>
      <c r="G149" s="1217"/>
      <c r="H149" s="1217"/>
      <c r="I149" s="1217"/>
      <c r="J149" s="1217"/>
      <c r="K149" s="1217"/>
      <c r="L149" s="1217"/>
      <c r="M149" s="1217"/>
      <c r="N149" s="1217"/>
      <c r="O149" s="1217"/>
      <c r="P149" s="1217"/>
      <c r="Q149" s="1217"/>
      <c r="R149" s="1217"/>
      <c r="S149" s="1217"/>
      <c r="T149" s="1217"/>
      <c r="U149" s="1217"/>
      <c r="V149" s="1217"/>
      <c r="W149" s="1217"/>
      <c r="X149" s="1217"/>
      <c r="Y149" s="1217"/>
      <c r="Z149" s="1217"/>
      <c r="AA149" s="1217"/>
      <c r="AB149" s="1217"/>
      <c r="AC149" s="1217"/>
      <c r="AD149" s="1217"/>
      <c r="AE149" s="1217"/>
      <c r="AF149" s="1217"/>
      <c r="AG149" s="1217"/>
      <c r="AH149" s="1217"/>
      <c r="AI149" s="1217"/>
      <c r="AJ149" s="1217"/>
      <c r="AK149" s="1217"/>
      <c r="AL149" s="1217"/>
      <c r="AM149" s="1217"/>
      <c r="AN149" s="1217"/>
      <c r="AO149" s="1217"/>
      <c r="AP149" s="1217"/>
      <c r="AQ149" s="1217"/>
      <c r="AR149" s="1217"/>
      <c r="AS149" s="1217"/>
      <c r="AT149" s="1217"/>
    </row>
    <row r="150" spans="1:46" s="1218" customFormat="1" ht="12.75" customHeight="1">
      <c r="A150" s="1217"/>
      <c r="B150" s="1217"/>
      <c r="C150" s="1217"/>
      <c r="D150" s="1217"/>
      <c r="E150" s="1217"/>
      <c r="F150" s="1217"/>
      <c r="G150" s="1217"/>
      <c r="H150" s="1217"/>
      <c r="I150" s="1217"/>
      <c r="J150" s="1217"/>
      <c r="K150" s="1217"/>
      <c r="L150" s="1217"/>
      <c r="M150" s="1217"/>
      <c r="N150" s="1217"/>
      <c r="O150" s="1217"/>
      <c r="P150" s="1217"/>
      <c r="Q150" s="1217"/>
      <c r="R150" s="1217"/>
      <c r="S150" s="1217"/>
      <c r="T150" s="1217"/>
      <c r="U150" s="1217"/>
      <c r="V150" s="1217"/>
      <c r="W150" s="1217"/>
      <c r="X150" s="1217"/>
      <c r="Y150" s="1217"/>
      <c r="Z150" s="1217"/>
      <c r="AA150" s="1217"/>
      <c r="AB150" s="1217"/>
      <c r="AC150" s="1217"/>
      <c r="AD150" s="1217"/>
      <c r="AE150" s="1217"/>
      <c r="AF150" s="1217"/>
      <c r="AG150" s="1217"/>
      <c r="AH150" s="1217"/>
      <c r="AI150" s="1217"/>
      <c r="AJ150" s="1217"/>
      <c r="AK150" s="1217"/>
      <c r="AL150" s="1217"/>
      <c r="AM150" s="1217"/>
      <c r="AN150" s="1217"/>
      <c r="AO150" s="1217"/>
      <c r="AP150" s="1217"/>
      <c r="AQ150" s="1217"/>
      <c r="AR150" s="1217"/>
      <c r="AS150" s="1217"/>
      <c r="AT150" s="1217"/>
    </row>
    <row r="151" spans="1:46" s="1218" customFormat="1" ht="12.75" customHeight="1">
      <c r="A151" s="1217"/>
      <c r="B151" s="1217"/>
      <c r="C151" s="1217"/>
      <c r="D151" s="1217"/>
      <c r="E151" s="1217"/>
      <c r="F151" s="1217"/>
      <c r="G151" s="1217"/>
      <c r="H151" s="1217"/>
      <c r="I151" s="1217"/>
      <c r="J151" s="1217"/>
      <c r="K151" s="1217"/>
      <c r="L151" s="1217"/>
      <c r="M151" s="1217"/>
      <c r="N151" s="1217"/>
      <c r="O151" s="1217"/>
      <c r="P151" s="1217"/>
      <c r="Q151" s="1217"/>
      <c r="R151" s="1217"/>
      <c r="S151" s="1217"/>
      <c r="T151" s="1217"/>
      <c r="U151" s="1217"/>
      <c r="V151" s="1217"/>
      <c r="W151" s="1217"/>
      <c r="X151" s="1217"/>
      <c r="Y151" s="1217"/>
      <c r="Z151" s="1217"/>
      <c r="AA151" s="1217"/>
      <c r="AB151" s="1217"/>
      <c r="AC151" s="1217"/>
      <c r="AD151" s="1217"/>
      <c r="AE151" s="1217"/>
      <c r="AF151" s="1217"/>
      <c r="AG151" s="1217"/>
      <c r="AH151" s="1217"/>
      <c r="AI151" s="1217"/>
      <c r="AJ151" s="1217"/>
      <c r="AK151" s="1217"/>
      <c r="AL151" s="1217"/>
      <c r="AM151" s="1217"/>
      <c r="AN151" s="1217"/>
      <c r="AO151" s="1217"/>
      <c r="AP151" s="1217"/>
      <c r="AQ151" s="1217"/>
      <c r="AR151" s="1217"/>
      <c r="AS151" s="1217"/>
      <c r="AT151" s="1217"/>
    </row>
    <row r="152" spans="1:46" s="1218" customFormat="1" ht="12.75" customHeight="1">
      <c r="A152" s="1217"/>
      <c r="B152" s="1217"/>
      <c r="C152" s="1217"/>
      <c r="D152" s="1217"/>
      <c r="E152" s="1217"/>
      <c r="F152" s="1217"/>
      <c r="G152" s="1217"/>
      <c r="H152" s="1217"/>
      <c r="I152" s="1217"/>
      <c r="J152" s="1217"/>
      <c r="K152" s="1217"/>
      <c r="L152" s="1217"/>
      <c r="M152" s="1217"/>
      <c r="N152" s="1217"/>
      <c r="O152" s="1217"/>
      <c r="P152" s="1217"/>
      <c r="Q152" s="1217"/>
      <c r="R152" s="1217"/>
      <c r="S152" s="1217"/>
      <c r="T152" s="1217"/>
      <c r="U152" s="1217"/>
      <c r="V152" s="1217"/>
      <c r="W152" s="1217"/>
      <c r="X152" s="1217"/>
      <c r="Y152" s="1217"/>
      <c r="Z152" s="1217"/>
      <c r="AA152" s="1217"/>
      <c r="AB152" s="1217"/>
      <c r="AC152" s="1217"/>
      <c r="AD152" s="1217"/>
      <c r="AE152" s="1217"/>
      <c r="AF152" s="1217"/>
      <c r="AG152" s="1217"/>
      <c r="AH152" s="1217"/>
      <c r="AI152" s="1217"/>
      <c r="AJ152" s="1217"/>
      <c r="AK152" s="1217"/>
      <c r="AL152" s="1217"/>
      <c r="AM152" s="1217"/>
      <c r="AN152" s="1217"/>
      <c r="AO152" s="1217"/>
      <c r="AP152" s="1217"/>
      <c r="AQ152" s="1217"/>
      <c r="AR152" s="1217"/>
      <c r="AS152" s="1217"/>
      <c r="AT152" s="1217"/>
    </row>
    <row r="153" spans="1:46" s="1218" customFormat="1" ht="12.75" customHeight="1">
      <c r="A153" s="1217"/>
      <c r="B153" s="1217"/>
      <c r="C153" s="1217"/>
      <c r="D153" s="1217"/>
      <c r="E153" s="1217"/>
      <c r="F153" s="1217"/>
      <c r="G153" s="1217"/>
      <c r="H153" s="1217"/>
      <c r="I153" s="1217"/>
      <c r="J153" s="1217"/>
      <c r="K153" s="1217"/>
      <c r="L153" s="1217"/>
      <c r="M153" s="1217"/>
      <c r="N153" s="1217"/>
      <c r="O153" s="1217"/>
      <c r="P153" s="1217"/>
      <c r="Q153" s="1217"/>
      <c r="R153" s="1217"/>
      <c r="S153" s="1217"/>
      <c r="T153" s="1217"/>
      <c r="U153" s="1217"/>
      <c r="V153" s="1217"/>
      <c r="W153" s="1217"/>
      <c r="X153" s="1217"/>
      <c r="Y153" s="1217"/>
      <c r="Z153" s="1217"/>
      <c r="AA153" s="1217"/>
      <c r="AB153" s="1217"/>
      <c r="AC153" s="1217"/>
      <c r="AD153" s="1217"/>
      <c r="AE153" s="1217"/>
      <c r="AF153" s="1217"/>
      <c r="AG153" s="1217"/>
      <c r="AH153" s="1217"/>
      <c r="AI153" s="1217"/>
      <c r="AJ153" s="1217"/>
      <c r="AK153" s="1217"/>
      <c r="AL153" s="1217"/>
      <c r="AM153" s="1217"/>
      <c r="AN153" s="1217"/>
      <c r="AO153" s="1217"/>
      <c r="AP153" s="1217"/>
      <c r="AQ153" s="1217"/>
      <c r="AR153" s="1217"/>
      <c r="AS153" s="1217"/>
      <c r="AT153" s="1217"/>
    </row>
    <row r="154" spans="1:46" s="1218" customFormat="1" ht="12.75" customHeight="1">
      <c r="A154" s="1217"/>
      <c r="B154" s="1217"/>
      <c r="C154" s="1217"/>
      <c r="D154" s="1217"/>
      <c r="E154" s="1217"/>
      <c r="F154" s="1217"/>
      <c r="G154" s="1217"/>
      <c r="H154" s="1217"/>
      <c r="I154" s="1217"/>
      <c r="J154" s="1217"/>
      <c r="K154" s="1217"/>
      <c r="L154" s="1217"/>
      <c r="M154" s="1217"/>
      <c r="N154" s="1217"/>
      <c r="O154" s="1217"/>
      <c r="P154" s="1217"/>
      <c r="Q154" s="1217"/>
      <c r="R154" s="1217"/>
      <c r="S154" s="1217"/>
      <c r="T154" s="1217"/>
      <c r="U154" s="1217"/>
      <c r="V154" s="1217"/>
      <c r="W154" s="1217"/>
      <c r="X154" s="1217"/>
      <c r="Y154" s="1217"/>
      <c r="Z154" s="1217"/>
      <c r="AA154" s="1217"/>
      <c r="AB154" s="1217"/>
      <c r="AC154" s="1217"/>
      <c r="AD154" s="1217"/>
      <c r="AE154" s="1217"/>
      <c r="AF154" s="1217"/>
      <c r="AG154" s="1217"/>
      <c r="AH154" s="1217"/>
      <c r="AI154" s="1217"/>
      <c r="AJ154" s="1217"/>
      <c r="AK154" s="1217"/>
      <c r="AL154" s="1217"/>
      <c r="AM154" s="1217"/>
      <c r="AN154" s="1217"/>
      <c r="AO154" s="1217"/>
      <c r="AP154" s="1217"/>
      <c r="AQ154" s="1217"/>
      <c r="AR154" s="1217"/>
      <c r="AS154" s="1217"/>
      <c r="AT154" s="1217"/>
    </row>
    <row r="155" spans="1:46" s="1218" customFormat="1" ht="12.75" customHeight="1">
      <c r="A155" s="1217"/>
      <c r="B155" s="1217"/>
      <c r="C155" s="1217"/>
      <c r="D155" s="1217"/>
      <c r="E155" s="1217"/>
      <c r="F155" s="1217"/>
      <c r="G155" s="1217"/>
      <c r="H155" s="1217"/>
      <c r="I155" s="1217"/>
      <c r="J155" s="1217"/>
      <c r="K155" s="1217"/>
      <c r="L155" s="1217"/>
      <c r="M155" s="1217"/>
      <c r="N155" s="1217"/>
      <c r="O155" s="1217"/>
      <c r="P155" s="1217"/>
      <c r="Q155" s="1217"/>
      <c r="R155" s="1217"/>
      <c r="S155" s="1217"/>
      <c r="T155" s="1217"/>
      <c r="U155" s="1217"/>
      <c r="V155" s="1217"/>
      <c r="W155" s="1217"/>
      <c r="X155" s="1217"/>
      <c r="Y155" s="1217"/>
      <c r="Z155" s="1217"/>
      <c r="AA155" s="1217"/>
      <c r="AB155" s="1217"/>
      <c r="AC155" s="1217"/>
      <c r="AD155" s="1217"/>
      <c r="AE155" s="1217"/>
      <c r="AF155" s="1217"/>
      <c r="AG155" s="1217"/>
      <c r="AH155" s="1217"/>
      <c r="AI155" s="1217"/>
      <c r="AJ155" s="1217"/>
      <c r="AK155" s="1217"/>
      <c r="AL155" s="1217"/>
      <c r="AM155" s="1217"/>
      <c r="AN155" s="1217"/>
      <c r="AO155" s="1217"/>
      <c r="AP155" s="1217"/>
      <c r="AQ155" s="1217"/>
      <c r="AR155" s="1217"/>
      <c r="AS155" s="1217"/>
      <c r="AT155" s="1217"/>
    </row>
    <row r="156" spans="1:46" s="1218" customFormat="1" ht="12.75" customHeight="1">
      <c r="A156" s="1217"/>
      <c r="B156" s="1217"/>
      <c r="C156" s="1217"/>
      <c r="D156" s="1217"/>
      <c r="E156" s="1217"/>
      <c r="F156" s="1217"/>
      <c r="G156" s="1217"/>
      <c r="H156" s="1217"/>
      <c r="I156" s="1217"/>
      <c r="J156" s="1217"/>
      <c r="K156" s="1217"/>
      <c r="L156" s="1217"/>
      <c r="M156" s="1217"/>
      <c r="N156" s="1217"/>
      <c r="O156" s="1217"/>
      <c r="P156" s="1217"/>
      <c r="Q156" s="1217"/>
      <c r="R156" s="1217"/>
      <c r="S156" s="1217"/>
      <c r="T156" s="1217"/>
      <c r="U156" s="1217"/>
      <c r="V156" s="1217"/>
      <c r="W156" s="1217"/>
      <c r="X156" s="1217"/>
      <c r="Y156" s="1217"/>
      <c r="Z156" s="1217"/>
      <c r="AA156" s="1217"/>
      <c r="AB156" s="1217"/>
      <c r="AC156" s="1217"/>
      <c r="AD156" s="1217"/>
      <c r="AE156" s="1217"/>
      <c r="AF156" s="1217"/>
      <c r="AG156" s="1217"/>
      <c r="AH156" s="1217"/>
      <c r="AI156" s="1217"/>
      <c r="AJ156" s="1217"/>
      <c r="AK156" s="1217"/>
      <c r="AL156" s="1217"/>
      <c r="AM156" s="1217"/>
      <c r="AN156" s="1217"/>
      <c r="AO156" s="1217"/>
      <c r="AP156" s="1217"/>
      <c r="AQ156" s="1217"/>
      <c r="AR156" s="1217"/>
      <c r="AS156" s="1217"/>
      <c r="AT156" s="1217"/>
    </row>
    <row r="157" spans="1:46" s="1218" customFormat="1" ht="12.75" customHeight="1">
      <c r="A157" s="1217"/>
      <c r="B157" s="1217"/>
      <c r="C157" s="1217"/>
      <c r="D157" s="1217"/>
      <c r="E157" s="1217"/>
      <c r="F157" s="1217"/>
      <c r="G157" s="1217"/>
      <c r="H157" s="1217"/>
      <c r="I157" s="1217"/>
      <c r="J157" s="1217"/>
      <c r="K157" s="1217"/>
      <c r="L157" s="1217"/>
      <c r="M157" s="1217"/>
      <c r="N157" s="1217"/>
      <c r="O157" s="1217"/>
      <c r="P157" s="1217"/>
      <c r="Q157" s="1217"/>
      <c r="R157" s="1217"/>
      <c r="S157" s="1217"/>
      <c r="T157" s="1217"/>
      <c r="U157" s="1217"/>
      <c r="V157" s="1217"/>
      <c r="W157" s="1217"/>
      <c r="X157" s="1217"/>
      <c r="Y157" s="1217"/>
      <c r="Z157" s="1217"/>
      <c r="AA157" s="1217"/>
      <c r="AB157" s="1217"/>
      <c r="AC157" s="1217"/>
      <c r="AD157" s="1217"/>
      <c r="AE157" s="1217"/>
      <c r="AF157" s="1217"/>
      <c r="AG157" s="1217"/>
      <c r="AH157" s="1217"/>
      <c r="AI157" s="1217"/>
      <c r="AJ157" s="1217"/>
      <c r="AK157" s="1217"/>
      <c r="AL157" s="1217"/>
      <c r="AM157" s="1217"/>
      <c r="AN157" s="1217"/>
      <c r="AO157" s="1217"/>
      <c r="AP157" s="1217"/>
      <c r="AQ157" s="1217"/>
      <c r="AR157" s="1217"/>
      <c r="AS157" s="1217"/>
      <c r="AT157" s="1217"/>
    </row>
    <row r="158" spans="1:46" s="1218" customFormat="1" ht="12.75" customHeight="1">
      <c r="A158" s="1217"/>
      <c r="B158" s="1217"/>
      <c r="C158" s="1217"/>
      <c r="D158" s="1217"/>
      <c r="E158" s="1217"/>
      <c r="F158" s="1217"/>
      <c r="G158" s="1217"/>
      <c r="H158" s="1217"/>
      <c r="I158" s="1217"/>
      <c r="J158" s="1217"/>
      <c r="K158" s="1217"/>
      <c r="L158" s="1217"/>
      <c r="M158" s="1217"/>
      <c r="N158" s="1217"/>
      <c r="O158" s="1217"/>
      <c r="P158" s="1217"/>
      <c r="Q158" s="1217"/>
      <c r="R158" s="1217"/>
      <c r="S158" s="1217"/>
      <c r="T158" s="1217"/>
      <c r="U158" s="1217"/>
      <c r="V158" s="1217"/>
      <c r="W158" s="1217"/>
      <c r="X158" s="1217"/>
      <c r="Y158" s="1217"/>
      <c r="Z158" s="1217"/>
      <c r="AA158" s="1217"/>
      <c r="AB158" s="1217"/>
      <c r="AC158" s="1217"/>
      <c r="AD158" s="1217"/>
      <c r="AE158" s="1217"/>
      <c r="AF158" s="1217"/>
      <c r="AG158" s="1217"/>
      <c r="AH158" s="1217"/>
      <c r="AI158" s="1217"/>
      <c r="AJ158" s="1217"/>
      <c r="AK158" s="1217"/>
      <c r="AL158" s="1217"/>
      <c r="AM158" s="1217"/>
      <c r="AN158" s="1217"/>
      <c r="AO158" s="1217"/>
      <c r="AP158" s="1217"/>
      <c r="AQ158" s="1217"/>
      <c r="AR158" s="1217"/>
      <c r="AS158" s="1217"/>
      <c r="AT158" s="1217"/>
    </row>
    <row r="159" spans="1:46" s="1218" customFormat="1" ht="12.75" customHeight="1">
      <c r="A159" s="1217"/>
      <c r="B159" s="1217"/>
      <c r="C159" s="1217"/>
      <c r="D159" s="1217"/>
      <c r="E159" s="1217"/>
      <c r="F159" s="1217"/>
      <c r="G159" s="1217"/>
      <c r="H159" s="1217"/>
      <c r="I159" s="1217"/>
      <c r="J159" s="1217"/>
      <c r="K159" s="1217"/>
      <c r="L159" s="1217"/>
      <c r="M159" s="1217"/>
      <c r="N159" s="1217"/>
      <c r="O159" s="1217"/>
      <c r="P159" s="1217"/>
      <c r="Q159" s="1217"/>
      <c r="R159" s="1217"/>
      <c r="S159" s="1217"/>
      <c r="T159" s="1217"/>
      <c r="U159" s="1217"/>
      <c r="V159" s="1217"/>
      <c r="W159" s="1217"/>
      <c r="X159" s="1217"/>
      <c r="Y159" s="1217"/>
      <c r="Z159" s="1217"/>
      <c r="AA159" s="1217"/>
      <c r="AB159" s="1217"/>
      <c r="AC159" s="1217"/>
      <c r="AD159" s="1217"/>
      <c r="AE159" s="1217"/>
      <c r="AF159" s="1217"/>
      <c r="AG159" s="1217"/>
      <c r="AH159" s="1217"/>
      <c r="AI159" s="1217"/>
      <c r="AJ159" s="1217"/>
      <c r="AK159" s="1217"/>
      <c r="AL159" s="1217"/>
      <c r="AM159" s="1217"/>
      <c r="AN159" s="1217"/>
      <c r="AO159" s="1217"/>
      <c r="AP159" s="1217"/>
      <c r="AQ159" s="1217"/>
      <c r="AR159" s="1217"/>
      <c r="AS159" s="1217"/>
      <c r="AT159" s="1217"/>
    </row>
    <row r="160" spans="1:46" s="1218" customFormat="1" ht="12.75" customHeight="1">
      <c r="A160" s="1217"/>
      <c r="B160" s="1217"/>
      <c r="C160" s="1217"/>
      <c r="D160" s="1217"/>
      <c r="E160" s="1217"/>
      <c r="F160" s="1217"/>
      <c r="G160" s="1217"/>
      <c r="H160" s="1217"/>
      <c r="I160" s="1217"/>
      <c r="J160" s="1217"/>
      <c r="K160" s="1217"/>
      <c r="L160" s="1217"/>
      <c r="M160" s="1217"/>
      <c r="N160" s="1217"/>
      <c r="O160" s="1217"/>
      <c r="P160" s="1217"/>
      <c r="Q160" s="1217"/>
      <c r="R160" s="1217"/>
      <c r="S160" s="1217"/>
      <c r="T160" s="1217"/>
      <c r="U160" s="1217"/>
      <c r="V160" s="1217"/>
      <c r="W160" s="1217"/>
      <c r="X160" s="1217"/>
      <c r="Y160" s="1217"/>
      <c r="Z160" s="1217"/>
      <c r="AA160" s="1217"/>
      <c r="AB160" s="1217"/>
      <c r="AC160" s="1217"/>
      <c r="AD160" s="1217"/>
      <c r="AE160" s="1217"/>
      <c r="AF160" s="1217"/>
      <c r="AG160" s="1217"/>
      <c r="AH160" s="1217"/>
      <c r="AI160" s="1217"/>
      <c r="AJ160" s="1217"/>
      <c r="AK160" s="1217"/>
      <c r="AL160" s="1217"/>
      <c r="AM160" s="1217"/>
      <c r="AN160" s="1217"/>
      <c r="AO160" s="1217"/>
      <c r="AP160" s="1217"/>
      <c r="AQ160" s="1217"/>
      <c r="AR160" s="1217"/>
      <c r="AS160" s="1217"/>
      <c r="AT160" s="1217"/>
    </row>
    <row r="161" spans="1:46" s="1218" customFormat="1" ht="12.75" customHeight="1">
      <c r="A161" s="1217"/>
      <c r="B161" s="1217"/>
      <c r="C161" s="1217"/>
      <c r="D161" s="1217"/>
      <c r="E161" s="1217"/>
      <c r="F161" s="1217"/>
      <c r="G161" s="1217"/>
      <c r="H161" s="1217"/>
      <c r="I161" s="1217"/>
      <c r="J161" s="1217"/>
      <c r="K161" s="1217"/>
      <c r="L161" s="1217"/>
      <c r="M161" s="1217"/>
      <c r="N161" s="1217"/>
      <c r="O161" s="1217"/>
      <c r="P161" s="1217"/>
      <c r="Q161" s="1217"/>
      <c r="R161" s="1217"/>
      <c r="S161" s="1217"/>
      <c r="T161" s="1217"/>
      <c r="U161" s="1217"/>
      <c r="V161" s="1217"/>
      <c r="W161" s="1217"/>
      <c r="X161" s="1217"/>
      <c r="Y161" s="1217"/>
      <c r="Z161" s="1217"/>
      <c r="AA161" s="1217"/>
      <c r="AB161" s="1217"/>
      <c r="AC161" s="1217"/>
      <c r="AD161" s="1217"/>
      <c r="AE161" s="1217"/>
      <c r="AF161" s="1217"/>
      <c r="AG161" s="1217"/>
      <c r="AH161" s="1217"/>
      <c r="AI161" s="1217"/>
      <c r="AJ161" s="1217"/>
      <c r="AK161" s="1217"/>
      <c r="AL161" s="1217"/>
      <c r="AM161" s="1217"/>
      <c r="AN161" s="1217"/>
      <c r="AO161" s="1217"/>
      <c r="AP161" s="1217"/>
      <c r="AQ161" s="1217"/>
      <c r="AR161" s="1217"/>
      <c r="AS161" s="1217"/>
      <c r="AT161" s="1217"/>
    </row>
    <row r="169" spans="1:46" ht="12.75" customHeight="1">
      <c r="A169" s="1218"/>
      <c r="B169" s="1218"/>
      <c r="C169" s="1218"/>
      <c r="D169" s="1218"/>
      <c r="E169" s="1218"/>
      <c r="F169" s="1218"/>
      <c r="G169" s="1218"/>
      <c r="H169" s="1218"/>
      <c r="I169" s="1218"/>
      <c r="J169" s="1218"/>
      <c r="K169" s="1218"/>
      <c r="L169" s="1218"/>
      <c r="M169" s="1218"/>
      <c r="N169" s="1218"/>
      <c r="O169" s="1218"/>
      <c r="P169" s="1218"/>
      <c r="Q169" s="1218"/>
      <c r="R169" s="1218"/>
      <c r="S169" s="1218"/>
      <c r="T169" s="1218"/>
      <c r="U169" s="1218"/>
      <c r="V169" s="1218"/>
      <c r="W169" s="1218"/>
      <c r="X169" s="1218"/>
      <c r="Y169" s="1218"/>
      <c r="Z169" s="1218"/>
      <c r="AA169" s="1218"/>
      <c r="AB169" s="1218"/>
      <c r="AC169" s="1218"/>
      <c r="AD169" s="1218"/>
      <c r="AE169" s="1218"/>
      <c r="AF169" s="1218"/>
      <c r="AG169" s="1218"/>
      <c r="AH169" s="1218"/>
      <c r="AI169" s="1218"/>
      <c r="AJ169" s="1218"/>
      <c r="AK169" s="1218"/>
      <c r="AL169" s="1218"/>
      <c r="AM169" s="1218"/>
      <c r="AN169" s="1218"/>
      <c r="AO169" s="1218"/>
      <c r="AP169" s="1218"/>
      <c r="AQ169" s="1218"/>
      <c r="AR169" s="1218"/>
      <c r="AS169" s="1218"/>
      <c r="AT169" s="1218"/>
    </row>
    <row r="170" spans="1:46" ht="12.75" customHeight="1">
      <c r="A170" s="1218"/>
      <c r="B170" s="1218"/>
      <c r="C170" s="1218"/>
      <c r="D170" s="1218"/>
      <c r="E170" s="1218"/>
      <c r="F170" s="1218"/>
      <c r="G170" s="1218"/>
      <c r="H170" s="1218"/>
      <c r="I170" s="1218"/>
      <c r="J170" s="1218"/>
      <c r="K170" s="1218"/>
      <c r="L170" s="1218"/>
      <c r="M170" s="1218"/>
      <c r="N170" s="1218"/>
      <c r="O170" s="1218"/>
      <c r="P170" s="1218"/>
      <c r="Q170" s="1218"/>
      <c r="R170" s="1218"/>
      <c r="S170" s="1218"/>
      <c r="T170" s="1218"/>
      <c r="U170" s="1218"/>
      <c r="V170" s="1218"/>
      <c r="W170" s="1218"/>
      <c r="X170" s="1218"/>
      <c r="Y170" s="1218"/>
      <c r="Z170" s="1218"/>
      <c r="AA170" s="1218"/>
      <c r="AB170" s="1218"/>
      <c r="AC170" s="1218"/>
      <c r="AD170" s="1218"/>
      <c r="AE170" s="1218"/>
      <c r="AF170" s="1218"/>
      <c r="AG170" s="1218"/>
      <c r="AH170" s="1218"/>
      <c r="AI170" s="1218"/>
      <c r="AJ170" s="1218"/>
      <c r="AK170" s="1218"/>
      <c r="AL170" s="1218"/>
      <c r="AM170" s="1218"/>
      <c r="AN170" s="1218"/>
      <c r="AO170" s="1218"/>
      <c r="AP170" s="1218"/>
      <c r="AQ170" s="1218"/>
      <c r="AR170" s="1218"/>
      <c r="AS170" s="1218"/>
      <c r="AT170" s="1218"/>
    </row>
    <row r="171" spans="1:46" ht="12.75" customHeight="1">
      <c r="A171" s="1218"/>
      <c r="B171" s="1218"/>
      <c r="C171" s="1218"/>
      <c r="D171" s="1218"/>
      <c r="E171" s="1218"/>
      <c r="F171" s="1218"/>
      <c r="G171" s="1218"/>
      <c r="H171" s="1218"/>
      <c r="I171" s="1218"/>
      <c r="J171" s="1218"/>
      <c r="K171" s="1218"/>
      <c r="L171" s="1218"/>
      <c r="M171" s="1218"/>
      <c r="N171" s="1218"/>
      <c r="O171" s="1218"/>
      <c r="P171" s="1218"/>
      <c r="Q171" s="1218"/>
      <c r="R171" s="1218"/>
      <c r="S171" s="1218"/>
      <c r="T171" s="1218"/>
      <c r="U171" s="1218"/>
      <c r="V171" s="1218"/>
      <c r="W171" s="1218"/>
      <c r="X171" s="1218"/>
      <c r="Y171" s="1218"/>
      <c r="Z171" s="1218"/>
      <c r="AA171" s="1218"/>
      <c r="AB171" s="1218"/>
      <c r="AC171" s="1218"/>
      <c r="AD171" s="1218"/>
      <c r="AE171" s="1218"/>
      <c r="AF171" s="1218"/>
      <c r="AG171" s="1218"/>
      <c r="AH171" s="1218"/>
      <c r="AI171" s="1218"/>
      <c r="AJ171" s="1218"/>
      <c r="AK171" s="1218"/>
      <c r="AL171" s="1218"/>
      <c r="AM171" s="1218"/>
      <c r="AN171" s="1218"/>
      <c r="AO171" s="1218"/>
      <c r="AP171" s="1218"/>
      <c r="AQ171" s="1218"/>
      <c r="AR171" s="1218"/>
      <c r="AS171" s="1218"/>
      <c r="AT171" s="1218"/>
    </row>
    <row r="172" spans="1:46" ht="12.75" customHeight="1">
      <c r="A172" s="1218"/>
      <c r="B172" s="1218"/>
      <c r="C172" s="1218"/>
      <c r="D172" s="1218"/>
      <c r="E172" s="1218"/>
      <c r="F172" s="1218"/>
      <c r="G172" s="1218"/>
      <c r="H172" s="1218"/>
      <c r="I172" s="1218"/>
      <c r="J172" s="1218"/>
      <c r="K172" s="1218"/>
      <c r="L172" s="1218"/>
      <c r="M172" s="1218"/>
      <c r="N172" s="1218"/>
      <c r="O172" s="1218"/>
      <c r="P172" s="1218"/>
      <c r="Q172" s="1218"/>
      <c r="R172" s="1218"/>
      <c r="S172" s="1218"/>
      <c r="T172" s="1218"/>
      <c r="U172" s="1218"/>
      <c r="V172" s="1218"/>
      <c r="W172" s="1218"/>
      <c r="X172" s="1218"/>
      <c r="Y172" s="1218"/>
      <c r="Z172" s="1218"/>
      <c r="AA172" s="1218"/>
      <c r="AB172" s="1218"/>
      <c r="AC172" s="1218"/>
      <c r="AD172" s="1218"/>
      <c r="AE172" s="1218"/>
      <c r="AF172" s="1218"/>
      <c r="AG172" s="1218"/>
      <c r="AH172" s="1218"/>
      <c r="AI172" s="1218"/>
      <c r="AJ172" s="1218"/>
      <c r="AK172" s="1218"/>
      <c r="AL172" s="1218"/>
      <c r="AM172" s="1218"/>
      <c r="AN172" s="1218"/>
      <c r="AO172" s="1218"/>
      <c r="AP172" s="1218"/>
      <c r="AQ172" s="1218"/>
      <c r="AR172" s="1218"/>
      <c r="AS172" s="1218"/>
      <c r="AT172" s="1218"/>
    </row>
    <row r="173" spans="1:46" ht="12.75" customHeight="1">
      <c r="A173" s="1218"/>
      <c r="B173" s="1218"/>
      <c r="C173" s="1218"/>
      <c r="D173" s="1218"/>
      <c r="E173" s="1218"/>
      <c r="F173" s="1218"/>
      <c r="G173" s="1218"/>
      <c r="H173" s="1218"/>
      <c r="I173" s="1218"/>
      <c r="J173" s="1218"/>
      <c r="K173" s="1218"/>
      <c r="L173" s="1218"/>
      <c r="M173" s="1218"/>
      <c r="N173" s="1218"/>
      <c r="O173" s="1218"/>
      <c r="P173" s="1218"/>
      <c r="Q173" s="1218"/>
      <c r="R173" s="1218"/>
      <c r="S173" s="1218"/>
      <c r="T173" s="1218"/>
      <c r="U173" s="1218"/>
      <c r="V173" s="1218"/>
      <c r="W173" s="1218"/>
      <c r="X173" s="1218"/>
      <c r="Y173" s="1218"/>
      <c r="Z173" s="1218"/>
      <c r="AA173" s="1218"/>
      <c r="AB173" s="1218"/>
      <c r="AC173" s="1218"/>
      <c r="AD173" s="1218"/>
      <c r="AE173" s="1218"/>
      <c r="AF173" s="1218"/>
      <c r="AG173" s="1218"/>
      <c r="AH173" s="1218"/>
      <c r="AI173" s="1218"/>
      <c r="AJ173" s="1218"/>
      <c r="AK173" s="1218"/>
      <c r="AL173" s="1218"/>
      <c r="AM173" s="1218"/>
      <c r="AN173" s="1218"/>
      <c r="AO173" s="1218"/>
      <c r="AP173" s="1218"/>
      <c r="AQ173" s="1218"/>
      <c r="AR173" s="1218"/>
      <c r="AS173" s="1218"/>
      <c r="AT173" s="1218"/>
    </row>
    <row r="174" spans="1:46" ht="12.75" customHeight="1">
      <c r="A174" s="1218"/>
      <c r="B174" s="1218"/>
      <c r="C174" s="1218"/>
      <c r="D174" s="1218"/>
      <c r="E174" s="1218"/>
      <c r="F174" s="1218"/>
      <c r="G174" s="1218"/>
      <c r="H174" s="1218"/>
      <c r="I174" s="1218"/>
      <c r="J174" s="1218"/>
      <c r="K174" s="1218"/>
      <c r="L174" s="1218"/>
      <c r="M174" s="1218"/>
      <c r="N174" s="1218"/>
      <c r="O174" s="1218"/>
      <c r="P174" s="1218"/>
      <c r="Q174" s="1218"/>
      <c r="R174" s="1218"/>
      <c r="S174" s="1218"/>
      <c r="T174" s="1218"/>
      <c r="U174" s="1218"/>
      <c r="V174" s="1218"/>
      <c r="W174" s="1218"/>
      <c r="X174" s="1218"/>
      <c r="Y174" s="1218"/>
      <c r="Z174" s="1218"/>
      <c r="AA174" s="1218"/>
      <c r="AB174" s="1218"/>
      <c r="AC174" s="1218"/>
      <c r="AD174" s="1218"/>
      <c r="AE174" s="1218"/>
      <c r="AF174" s="1218"/>
      <c r="AG174" s="1218"/>
      <c r="AH174" s="1218"/>
      <c r="AI174" s="1218"/>
      <c r="AJ174" s="1218"/>
      <c r="AK174" s="1218"/>
      <c r="AL174" s="1218"/>
      <c r="AM174" s="1218"/>
      <c r="AN174" s="1218"/>
      <c r="AO174" s="1218"/>
      <c r="AP174" s="1218"/>
      <c r="AQ174" s="1218"/>
      <c r="AR174" s="1218"/>
      <c r="AS174" s="1218"/>
      <c r="AT174" s="1218"/>
    </row>
    <row r="175" spans="1:46" ht="12.75" customHeight="1">
      <c r="A175" s="1218"/>
      <c r="B175" s="1218"/>
      <c r="C175" s="1218"/>
      <c r="D175" s="1218"/>
      <c r="E175" s="1218"/>
      <c r="F175" s="1218"/>
      <c r="G175" s="1218"/>
      <c r="H175" s="1218"/>
      <c r="I175" s="1218"/>
      <c r="J175" s="1218"/>
      <c r="K175" s="1218"/>
      <c r="L175" s="1218"/>
      <c r="M175" s="1218"/>
      <c r="N175" s="1218"/>
      <c r="O175" s="1218"/>
      <c r="P175" s="1218"/>
      <c r="Q175" s="1218"/>
      <c r="R175" s="1218"/>
      <c r="S175" s="1218"/>
      <c r="T175" s="1218"/>
      <c r="U175" s="1218"/>
      <c r="V175" s="1218"/>
      <c r="W175" s="1218"/>
      <c r="X175" s="1218"/>
      <c r="Y175" s="1218"/>
      <c r="Z175" s="1218"/>
      <c r="AA175" s="1218"/>
      <c r="AB175" s="1218"/>
      <c r="AC175" s="1218"/>
      <c r="AD175" s="1218"/>
      <c r="AE175" s="1218"/>
      <c r="AF175" s="1218"/>
      <c r="AG175" s="1218"/>
      <c r="AH175" s="1218"/>
      <c r="AI175" s="1218"/>
      <c r="AJ175" s="1218"/>
      <c r="AK175" s="1218"/>
      <c r="AL175" s="1218"/>
      <c r="AM175" s="1218"/>
      <c r="AN175" s="1218"/>
      <c r="AO175" s="1218"/>
      <c r="AP175" s="1218"/>
      <c r="AQ175" s="1218"/>
      <c r="AR175" s="1218"/>
      <c r="AS175" s="1218"/>
      <c r="AT175" s="1218"/>
    </row>
    <row r="176" spans="1:46" ht="12.75" customHeight="1">
      <c r="A176" s="1218"/>
      <c r="B176" s="1218"/>
      <c r="C176" s="1218"/>
      <c r="D176" s="1218"/>
      <c r="E176" s="1218"/>
      <c r="F176" s="1218"/>
      <c r="G176" s="1218"/>
      <c r="H176" s="1218"/>
      <c r="I176" s="1218"/>
      <c r="J176" s="1218"/>
      <c r="K176" s="1218"/>
      <c r="L176" s="1218"/>
      <c r="M176" s="1218"/>
      <c r="N176" s="1218"/>
      <c r="O176" s="1218"/>
      <c r="P176" s="1218"/>
      <c r="Q176" s="1218"/>
      <c r="R176" s="1218"/>
      <c r="S176" s="1218"/>
      <c r="T176" s="1218"/>
      <c r="U176" s="1218"/>
      <c r="V176" s="1218"/>
      <c r="W176" s="1218"/>
      <c r="X176" s="1218"/>
      <c r="Y176" s="1218"/>
      <c r="Z176" s="1218"/>
      <c r="AA176" s="1218"/>
      <c r="AB176" s="1218"/>
      <c r="AC176" s="1218"/>
      <c r="AD176" s="1218"/>
      <c r="AE176" s="1218"/>
      <c r="AF176" s="1218"/>
      <c r="AG176" s="1218"/>
      <c r="AH176" s="1218"/>
      <c r="AI176" s="1218"/>
      <c r="AJ176" s="1218"/>
      <c r="AK176" s="1218"/>
      <c r="AL176" s="1218"/>
      <c r="AM176" s="1218"/>
      <c r="AN176" s="1218"/>
      <c r="AO176" s="1218"/>
      <c r="AP176" s="1218"/>
      <c r="AQ176" s="1218"/>
      <c r="AR176" s="1218"/>
      <c r="AS176" s="1218"/>
      <c r="AT176" s="1218"/>
    </row>
    <row r="177" s="1218" customFormat="1" ht="12.75" customHeight="1"/>
    <row r="178" s="1218" customFormat="1" ht="12.75" customHeight="1"/>
    <row r="179" s="1218" customFormat="1" ht="12.75" customHeight="1"/>
    <row r="180" s="1218" customFormat="1" ht="12.75" customHeight="1"/>
    <row r="181" s="1218" customFormat="1" ht="12.75" customHeight="1"/>
    <row r="182" s="1218" customFormat="1" ht="12.75" customHeight="1"/>
    <row r="183" s="1218" customFormat="1" ht="12.75" customHeight="1"/>
    <row r="184" s="1218" customFormat="1" ht="12.75" customHeight="1"/>
    <row r="185" s="1218" customFormat="1" ht="12.75" customHeight="1"/>
    <row r="186" s="1218" customFormat="1" ht="12.75" customHeight="1"/>
    <row r="187" s="1218" customFormat="1" ht="12.75" customHeight="1"/>
    <row r="188" s="1218" customFormat="1" ht="12.75" customHeight="1"/>
    <row r="189" s="1218" customFormat="1" ht="12.75" customHeight="1"/>
    <row r="190" s="1218" customFormat="1" ht="12.75" customHeight="1"/>
    <row r="191" s="1218" customFormat="1" ht="12.75" customHeight="1"/>
    <row r="192" s="1218" customFormat="1" ht="12.75" customHeight="1"/>
    <row r="193" s="1218" customFormat="1" ht="12.75" customHeight="1"/>
    <row r="194" s="1218" customFormat="1" ht="12.75" customHeight="1"/>
    <row r="195" s="1218" customFormat="1" ht="12.75" customHeight="1"/>
    <row r="196" s="1218" customFormat="1" ht="12.75" customHeight="1"/>
    <row r="197" s="1218" customFormat="1" ht="12.75" customHeight="1"/>
    <row r="198" s="1218" customFormat="1" ht="12.75" customHeight="1"/>
    <row r="199" s="1218" customFormat="1" ht="12.75" customHeight="1"/>
    <row r="200" s="1218" customFormat="1" ht="12.75" customHeight="1"/>
    <row r="201" s="1218" customFormat="1" ht="12.75" customHeight="1"/>
    <row r="202" s="1218" customFormat="1" ht="12.75" customHeight="1"/>
    <row r="203" s="1218" customFormat="1" ht="12.75" customHeight="1"/>
    <row r="204" s="1218" customFormat="1" ht="12.75" customHeight="1"/>
    <row r="205" s="1218" customFormat="1" ht="12.75" customHeight="1"/>
    <row r="206" s="1218" customFormat="1" ht="12.75" customHeight="1"/>
    <row r="207" s="1218" customFormat="1" ht="12.75" customHeight="1"/>
    <row r="208" s="1218" customFormat="1" ht="12.75" customHeight="1"/>
    <row r="209" s="1218" customFormat="1" ht="12.75" customHeight="1"/>
    <row r="210" s="1218" customFormat="1" ht="12.75" customHeight="1"/>
    <row r="211" s="1218" customFormat="1" ht="12.75" customHeight="1"/>
    <row r="212" s="1218" customFormat="1" ht="12.75" customHeight="1"/>
    <row r="213" s="1218" customFormat="1" ht="12.75" customHeight="1"/>
    <row r="214" s="1218" customFormat="1" ht="12.75" customHeight="1"/>
    <row r="215" s="1218" customFormat="1" ht="12.75" customHeight="1"/>
    <row r="216" s="1218" customFormat="1" ht="12.75" customHeight="1"/>
    <row r="217" s="1218" customFormat="1" ht="12.75" customHeight="1"/>
    <row r="218" s="1218" customFormat="1" ht="12.75" customHeight="1"/>
    <row r="219" s="1218" customFormat="1" ht="12.75" customHeight="1"/>
    <row r="220" s="1218" customFormat="1" ht="12.75" customHeight="1"/>
    <row r="221" s="1218" customFormat="1" ht="12.75" customHeight="1"/>
    <row r="222" s="1218" customFormat="1" ht="12.75" customHeight="1"/>
    <row r="223" s="1218" customFormat="1" ht="12.75" customHeight="1"/>
    <row r="224" s="1218" customFormat="1" ht="12.75" customHeight="1"/>
    <row r="225" s="1218" customFormat="1" ht="12.75" customHeight="1"/>
    <row r="226" s="1218" customFormat="1" ht="12.75" customHeight="1"/>
    <row r="227" s="1218" customFormat="1" ht="12.75" customHeight="1"/>
    <row r="228" s="1218" customFormat="1" ht="12.75" customHeight="1"/>
    <row r="229" s="1218" customFormat="1" ht="12.75" customHeight="1"/>
    <row r="230" s="1218" customFormat="1" ht="12.75" customHeight="1"/>
    <row r="231" s="1218" customFormat="1" ht="12.75" customHeight="1"/>
    <row r="232" s="1218" customFormat="1" ht="12.75" customHeight="1"/>
    <row r="233" s="1218" customFormat="1" ht="12.75" customHeight="1"/>
    <row r="234" s="1218" customFormat="1" ht="12.75" customHeight="1"/>
    <row r="235" s="1218" customFormat="1" ht="12.75" customHeight="1"/>
    <row r="236" s="1218" customFormat="1" ht="12.75" customHeight="1"/>
    <row r="237" s="1218" customFormat="1" ht="12.75" customHeight="1"/>
    <row r="238" s="1218" customFormat="1" ht="12.75" customHeight="1"/>
    <row r="239" s="1218" customFormat="1" ht="12.75" customHeight="1"/>
    <row r="240" s="1218" customFormat="1" ht="12.75" customHeight="1"/>
    <row r="241" s="1218" customFormat="1" ht="12.75" customHeight="1"/>
    <row r="242" s="1218" customFormat="1" ht="12.75" customHeight="1"/>
    <row r="243" s="1218" customFormat="1" ht="12.75" customHeight="1"/>
    <row r="244" s="1218" customFormat="1" ht="12.75" customHeight="1"/>
    <row r="245" s="1218" customFormat="1" ht="12.75" customHeight="1"/>
    <row r="246" s="1218" customFormat="1" ht="12.75" customHeight="1"/>
    <row r="247" s="1218" customFormat="1" ht="12.75" customHeight="1"/>
    <row r="248" s="1218" customFormat="1" ht="12.75" customHeight="1"/>
    <row r="249" s="1218" customFormat="1" ht="12.75" customHeight="1"/>
    <row r="250" s="1218" customFormat="1" ht="12.75" customHeight="1"/>
    <row r="251" s="1218" customFormat="1" ht="12.75" customHeight="1"/>
    <row r="252" s="1218" customFormat="1" ht="12.75" customHeight="1"/>
    <row r="253" s="1218" customFormat="1" ht="12.75" customHeight="1"/>
    <row r="254" s="1218" customFormat="1" ht="12.75" customHeight="1"/>
    <row r="255" s="1218" customFormat="1" ht="12.75" customHeight="1"/>
    <row r="256" s="1218" customFormat="1" ht="12.75" customHeight="1"/>
    <row r="257" s="1218" customFormat="1" ht="12.75" customHeight="1"/>
    <row r="258" s="1218" customFormat="1" ht="12.75" customHeight="1"/>
    <row r="259" s="1218" customFormat="1" ht="12.75" customHeight="1"/>
    <row r="260" s="1218" customFormat="1" ht="12.75" customHeight="1"/>
    <row r="261" s="1218" customFormat="1" ht="12.75" customHeight="1"/>
    <row r="262" s="1218" customFormat="1" ht="12.75" customHeight="1"/>
    <row r="263" s="1218" customFormat="1" ht="12.75" customHeight="1"/>
    <row r="264" s="1218" customFormat="1" ht="12.75" customHeight="1"/>
    <row r="265" s="1218" customFormat="1" ht="12.75" customHeight="1"/>
    <row r="266" s="1218" customFormat="1" ht="12.75" customHeight="1"/>
    <row r="267" s="1218" customFormat="1" ht="12.75" customHeight="1"/>
    <row r="268" s="1218" customFormat="1" ht="12.75" customHeight="1"/>
    <row r="269" s="1218" customFormat="1" ht="12.75" customHeight="1"/>
    <row r="270" s="1218" customFormat="1" ht="12.75" customHeight="1"/>
    <row r="271" s="1218" customFormat="1" ht="12.75" customHeight="1"/>
    <row r="272" s="1218" customFormat="1" ht="12.75" customHeight="1"/>
    <row r="273" s="1218" customFormat="1" ht="12.75" customHeight="1"/>
    <row r="274" s="1218" customFormat="1" ht="12.75" customHeight="1"/>
    <row r="275" s="1218" customFormat="1" ht="12.75" customHeight="1"/>
    <row r="276" s="1218" customFormat="1" ht="12.75" customHeight="1"/>
    <row r="277" s="1218" customFormat="1" ht="12.75" customHeight="1"/>
    <row r="278" s="1218" customFormat="1" ht="12.75" customHeight="1"/>
    <row r="279" s="1218" customFormat="1" ht="12.75" customHeight="1"/>
    <row r="280" s="1218" customFormat="1" ht="12.75" customHeight="1"/>
    <row r="281" s="1218" customFormat="1" ht="12.75" customHeight="1"/>
    <row r="282" s="1218" customFormat="1" ht="12.75" customHeight="1"/>
    <row r="283" s="1218" customFormat="1" ht="12.75" customHeight="1"/>
    <row r="284" s="1218" customFormat="1" ht="12.75" customHeight="1"/>
    <row r="285" s="1218" customFormat="1" ht="12.75" customHeight="1"/>
    <row r="286" s="1218" customFormat="1" ht="12.75" customHeight="1"/>
    <row r="287" s="1218" customFormat="1" ht="12.75" customHeight="1"/>
    <row r="288" s="1218" customFormat="1" ht="12.75" customHeight="1"/>
    <row r="289" s="1218" customFormat="1" ht="12.75" customHeight="1"/>
    <row r="290" s="1218" customFormat="1" ht="12.75" customHeight="1"/>
    <row r="291" s="1218" customFormat="1" ht="12.75" customHeight="1"/>
    <row r="292" s="1218" customFormat="1" ht="12.75" customHeight="1"/>
    <row r="293" s="1218" customFormat="1" ht="12.75" customHeight="1"/>
    <row r="294" s="1218" customFormat="1" ht="12.75" customHeight="1"/>
    <row r="295" s="1218" customFormat="1" ht="12.75" customHeight="1"/>
    <row r="296" s="1218" customFormat="1" ht="12.75" customHeight="1"/>
    <row r="297" s="1218" customFormat="1" ht="12.75" customHeight="1"/>
    <row r="298" s="1218" customFormat="1" ht="12.75" customHeight="1"/>
    <row r="299" s="1218" customFormat="1" ht="12.75" customHeight="1"/>
    <row r="300" s="1218" customFormat="1" ht="12.75" customHeight="1"/>
    <row r="301" s="1218" customFormat="1" ht="12.75" customHeight="1"/>
    <row r="302" s="1218" customFormat="1" ht="12.75" customHeight="1"/>
    <row r="303" s="1218" customFormat="1" ht="12.75" customHeight="1"/>
    <row r="304" s="1218" customFormat="1" ht="12.75" customHeight="1"/>
    <row r="305" s="1218" customFormat="1" ht="12.75" customHeight="1"/>
    <row r="306" s="1218" customFormat="1" ht="12.75" customHeight="1"/>
    <row r="307" s="1218" customFormat="1" ht="12.75" customHeight="1"/>
    <row r="308" s="1218" customFormat="1" ht="12.75" customHeight="1"/>
    <row r="309" s="1218" customFormat="1" ht="12.75" customHeight="1"/>
    <row r="310" s="1218" customFormat="1" ht="12.75" customHeight="1"/>
    <row r="311" s="1218" customFormat="1" ht="12.75" customHeight="1"/>
    <row r="312" s="1218" customFormat="1" ht="12.75" customHeight="1"/>
    <row r="313" s="1218" customFormat="1" ht="12.75" customHeight="1"/>
    <row r="314" s="1218" customFormat="1" ht="12.75" customHeight="1"/>
    <row r="315" s="1218" customFormat="1" ht="12.75" customHeight="1"/>
    <row r="316" s="1218" customFormat="1" ht="12.75" customHeight="1"/>
    <row r="317" s="1218" customFormat="1" ht="12.75" customHeight="1"/>
    <row r="318" s="1218" customFormat="1" ht="12.75" customHeight="1"/>
    <row r="319" s="1218" customFormat="1" ht="12.75" customHeight="1"/>
    <row r="320" s="1218" customFormat="1" ht="12.75" customHeight="1"/>
    <row r="321" s="1218" customFormat="1" ht="12.75" customHeight="1"/>
    <row r="322" s="1218" customFormat="1" ht="12.75" customHeight="1"/>
    <row r="323" s="1218" customFormat="1" ht="12.75" customHeight="1"/>
    <row r="324" s="1218" customFormat="1" ht="12.75" customHeight="1"/>
    <row r="325" s="1218" customFormat="1" ht="12.75" customHeight="1"/>
    <row r="326" s="1218" customFormat="1" ht="12.75" customHeight="1"/>
    <row r="327" s="1218" customFormat="1" ht="12.75" customHeight="1"/>
    <row r="328" s="1218" customFormat="1" ht="12.75" customHeight="1"/>
    <row r="329" s="1218" customFormat="1" ht="12.75" customHeight="1"/>
    <row r="330" s="1218" customFormat="1" ht="12.75" customHeight="1"/>
    <row r="331" s="1218" customFormat="1" ht="12.75" customHeight="1"/>
    <row r="332" s="1218" customFormat="1" ht="12.75" customHeight="1"/>
    <row r="333" s="1218" customFormat="1" ht="12.75" customHeight="1"/>
    <row r="334" s="1218" customFormat="1" ht="12.75" customHeight="1"/>
    <row r="335" s="1218" customFormat="1" ht="12.75" customHeight="1"/>
    <row r="336" s="1218" customFormat="1" ht="12.75" customHeight="1"/>
    <row r="337" s="1218" customFormat="1" ht="12.75" customHeight="1"/>
    <row r="338" s="1218" customFormat="1" ht="12.75" customHeight="1"/>
    <row r="339" s="1218" customFormat="1" ht="12.75" customHeight="1"/>
    <row r="340" s="1218" customFormat="1" ht="12.75" customHeight="1"/>
    <row r="341" s="1218" customFormat="1" ht="12.75" customHeight="1"/>
    <row r="342" s="1218" customFormat="1" ht="12.75" customHeight="1"/>
    <row r="343" s="1218" customFormat="1" ht="12.75" customHeight="1"/>
    <row r="344" s="1218" customFormat="1" ht="12.75" customHeight="1"/>
    <row r="345" s="1218" customFormat="1" ht="12.75" customHeight="1"/>
    <row r="346" s="1218" customFormat="1" ht="12.75" customHeight="1"/>
    <row r="347" s="1218" customFormat="1" ht="12.75" customHeight="1"/>
    <row r="348" s="1218" customFormat="1" ht="12.75" customHeight="1"/>
    <row r="349" s="1218" customFormat="1" ht="12.75" customHeight="1"/>
    <row r="350" s="1218" customFormat="1" ht="12.75" customHeight="1"/>
    <row r="351" s="1218" customFormat="1" ht="12.75" customHeight="1"/>
    <row r="352" s="1218" customFormat="1" ht="12.75" customHeight="1"/>
    <row r="353" s="1218" customFormat="1" ht="12.75" customHeight="1"/>
    <row r="354" s="1218" customFormat="1" ht="12.75" customHeight="1"/>
    <row r="355" s="1218" customFormat="1" ht="12.75" customHeight="1"/>
    <row r="356" s="1218" customFormat="1" ht="12.75" customHeight="1"/>
    <row r="357" s="1218" customFormat="1" ht="12.75" customHeight="1"/>
    <row r="358" s="1218" customFormat="1" ht="12.75" customHeight="1"/>
    <row r="359" s="1218" customFormat="1" ht="12.75" customHeight="1"/>
    <row r="360" s="1218" customFormat="1" ht="12.75" customHeight="1"/>
    <row r="361" s="1218" customFormat="1" ht="12.75" customHeight="1"/>
    <row r="362" s="1218" customFormat="1" ht="12.75" customHeight="1"/>
    <row r="363" s="1218" customFormat="1" ht="12.75" customHeight="1"/>
    <row r="364" s="1218" customFormat="1" ht="12.75" customHeight="1"/>
    <row r="365" s="1218" customFormat="1" ht="12.75" customHeight="1"/>
    <row r="366" s="1218" customFormat="1" ht="12.75" customHeight="1"/>
    <row r="367" s="1218" customFormat="1" ht="12.75" customHeight="1"/>
    <row r="368" s="1218" customFormat="1" ht="12.75" customHeight="1"/>
    <row r="369" s="1218" customFormat="1" ht="12.75" customHeight="1"/>
    <row r="370" s="1218" customFormat="1" ht="12.75" customHeight="1"/>
    <row r="371" s="1218" customFormat="1" ht="12.75" customHeight="1"/>
    <row r="372" s="1218" customFormat="1" ht="12.75" customHeight="1"/>
    <row r="373" s="1218" customFormat="1" ht="12.75" customHeight="1"/>
    <row r="374" s="1218" customFormat="1" ht="12.75" customHeight="1"/>
    <row r="375" s="1218" customFormat="1" ht="12.75" customHeight="1"/>
    <row r="376" s="1218" customFormat="1" ht="12.75" customHeight="1"/>
    <row r="377" s="1218" customFormat="1" ht="12.75" customHeight="1"/>
    <row r="378" s="1218" customFormat="1" ht="12.75" customHeight="1"/>
    <row r="379" s="1218" customFormat="1" ht="12.75" customHeight="1"/>
    <row r="380" s="1218" customFormat="1" ht="12.75" customHeight="1"/>
    <row r="381" s="1218" customFormat="1" ht="12.75" customHeight="1"/>
    <row r="382" s="1218" customFormat="1" ht="12.75" customHeight="1"/>
    <row r="383" s="1218" customFormat="1" ht="12.75" customHeight="1"/>
    <row r="384" s="1218" customFormat="1" ht="12.75" customHeight="1"/>
    <row r="385" s="1218" customFormat="1" ht="12.75" customHeight="1"/>
    <row r="386" s="1218" customFormat="1" ht="12.75" customHeight="1"/>
    <row r="387" s="1218" customFormat="1" ht="12.75" customHeight="1"/>
    <row r="388" s="1218" customFormat="1" ht="12.75" customHeight="1"/>
    <row r="389" s="1218" customFormat="1" ht="12.75" customHeight="1"/>
    <row r="390" s="1218" customFormat="1" ht="12.75" customHeight="1"/>
    <row r="391" s="1218" customFormat="1" ht="12.75" customHeight="1"/>
    <row r="392" s="1218" customFormat="1" ht="12.75" customHeight="1"/>
    <row r="393" s="1218" customFormat="1" ht="12.75" customHeight="1"/>
    <row r="394" s="1218" customFormat="1" ht="12.75" customHeight="1"/>
    <row r="395" s="1218" customFormat="1" ht="12.75" customHeight="1"/>
    <row r="396" s="1218" customFormat="1" ht="12.75" customHeight="1"/>
    <row r="397" s="1218" customFormat="1" ht="12.75" customHeight="1"/>
    <row r="398" s="1218" customFormat="1" ht="12.75" customHeight="1"/>
    <row r="399" s="1218" customFormat="1" ht="12.75" customHeight="1"/>
    <row r="400" s="1218" customFormat="1" ht="12.75" customHeight="1"/>
    <row r="401" s="1218" customFormat="1" ht="12.75" customHeight="1"/>
    <row r="402" s="1218" customFormat="1" ht="12.75" customHeight="1"/>
    <row r="403" s="1218" customFormat="1" ht="12.75" customHeight="1"/>
    <row r="404" s="1218" customFormat="1" ht="12.75" customHeight="1"/>
    <row r="405" s="1218" customFormat="1" ht="12.75" customHeight="1"/>
    <row r="406" s="1218" customFormat="1" ht="12.75" customHeight="1"/>
    <row r="407" s="1218" customFormat="1" ht="12.75" customHeight="1"/>
    <row r="408" s="1218" customFormat="1" ht="12.75" customHeight="1"/>
    <row r="409" s="1218" customFormat="1" ht="12.75" customHeight="1"/>
    <row r="410" s="1218" customFormat="1" ht="12.75" customHeight="1"/>
    <row r="411" s="1218" customFormat="1" ht="12.75" customHeight="1"/>
    <row r="412" s="1218" customFormat="1" ht="12.75" customHeight="1"/>
    <row r="413" s="1218" customFormat="1" ht="12.75" customHeight="1"/>
    <row r="414" s="1218" customFormat="1" ht="12.75" customHeight="1"/>
    <row r="415" s="1218" customFormat="1" ht="12.75" customHeight="1"/>
    <row r="416" s="1218" customFormat="1" ht="12.75" customHeight="1"/>
    <row r="417" s="1218" customFormat="1" ht="12.75" customHeight="1"/>
    <row r="418" s="1218" customFormat="1" ht="12.75" customHeight="1"/>
    <row r="419" s="1218" customFormat="1" ht="12.75" customHeight="1"/>
    <row r="420" s="1218" customFormat="1" ht="12.75" customHeight="1"/>
    <row r="421" s="1218" customFormat="1" ht="12.75" customHeight="1"/>
    <row r="422" s="1218" customFormat="1" ht="12.75" customHeight="1"/>
    <row r="423" s="1218" customFormat="1" ht="12.75" customHeight="1"/>
    <row r="424" s="1218" customFormat="1" ht="12.75" customHeight="1"/>
    <row r="425" s="1218" customFormat="1" ht="12.75" customHeight="1"/>
    <row r="426" s="1218" customFormat="1" ht="12.75" customHeight="1"/>
    <row r="427" s="1218" customFormat="1" ht="12.75" customHeight="1"/>
    <row r="428" s="1218" customFormat="1" ht="12.75" customHeight="1"/>
    <row r="429" s="1218" customFormat="1" ht="12.75" customHeight="1"/>
    <row r="430" s="1218" customFormat="1" ht="12.75" customHeight="1"/>
    <row r="431" s="1218" customFormat="1" ht="12.75" customHeight="1"/>
    <row r="432" s="1218" customFormat="1" ht="12.75" customHeight="1"/>
    <row r="433" s="1218" customFormat="1" ht="12.75" customHeight="1"/>
    <row r="434" s="1218" customFormat="1" ht="12.75" customHeight="1"/>
    <row r="435" s="1218" customFormat="1" ht="12.75" customHeight="1"/>
    <row r="436" s="1218" customFormat="1" ht="12.75" customHeight="1"/>
    <row r="437" s="1218" customFormat="1" ht="12.75" customHeight="1"/>
    <row r="438" s="1218" customFormat="1" ht="12.75" customHeight="1"/>
    <row r="439" s="1218" customFormat="1" ht="12.75" customHeight="1"/>
    <row r="440" s="1218" customFormat="1" ht="12.75" customHeight="1"/>
    <row r="441" s="1218" customFormat="1" ht="12.75" customHeight="1"/>
    <row r="442" s="1218" customFormat="1" ht="12.75" customHeight="1"/>
    <row r="443" s="1218" customFormat="1" ht="12.75" customHeight="1"/>
    <row r="444" s="1218" customFormat="1" ht="12.75" customHeight="1"/>
    <row r="445" s="1218" customFormat="1" ht="12.75" customHeight="1"/>
    <row r="446" s="1218" customFormat="1" ht="12.75" customHeight="1"/>
    <row r="447" s="1218" customFormat="1" ht="12.75" customHeight="1"/>
    <row r="448" s="1218" customFormat="1" ht="12.75" customHeight="1"/>
    <row r="449" s="1218" customFormat="1" ht="12.75" customHeight="1"/>
    <row r="450" s="1218" customFormat="1" ht="12.75" customHeight="1"/>
    <row r="451" s="1218" customFormat="1" ht="12.75" customHeight="1"/>
    <row r="452" s="1218" customFormat="1" ht="12.75" customHeight="1"/>
    <row r="453" s="1218" customFormat="1" ht="12.75" customHeight="1"/>
    <row r="454" s="1218" customFormat="1" ht="12.75" customHeight="1"/>
    <row r="455" s="1218" customFormat="1" ht="12.75" customHeight="1"/>
    <row r="456" s="1218" customFormat="1" ht="12.75" customHeight="1"/>
    <row r="457" s="1218" customFormat="1" ht="12.75" customHeight="1"/>
    <row r="458" s="1218" customFormat="1" ht="12.75" customHeight="1"/>
    <row r="459" s="1218" customFormat="1" ht="12.75" customHeight="1"/>
    <row r="460" s="1218" customFormat="1" ht="12.75" customHeight="1"/>
    <row r="461" s="1218" customFormat="1" ht="12.75" customHeight="1"/>
    <row r="462" s="1218" customFormat="1" ht="12.75" customHeight="1"/>
    <row r="463" s="1218" customFormat="1" ht="12.75" customHeight="1"/>
    <row r="464" s="1218" customFormat="1" ht="12.75" customHeight="1"/>
    <row r="465" s="1218" customFormat="1" ht="12.75" customHeight="1"/>
    <row r="466" s="1218" customFormat="1" ht="12.75" customHeight="1"/>
    <row r="467" s="1218" customFormat="1" ht="12.75" customHeight="1"/>
    <row r="468" s="1218" customFormat="1" ht="12.75" customHeight="1"/>
    <row r="469" s="1218" customFormat="1" ht="12.75" customHeight="1"/>
    <row r="470" s="1218" customFormat="1" ht="12.75" customHeight="1"/>
    <row r="471" s="1218" customFormat="1" ht="12.75" customHeight="1"/>
    <row r="472" s="1218" customFormat="1" ht="12.75" customHeight="1"/>
    <row r="473" s="1218" customFormat="1" ht="12.75" customHeight="1"/>
    <row r="474" s="1218" customFormat="1" ht="12.75" customHeight="1"/>
    <row r="475" s="1218" customFormat="1" ht="12.75" customHeight="1"/>
    <row r="476" s="1218" customFormat="1" ht="12.75" customHeight="1"/>
    <row r="477" s="1218" customFormat="1" ht="12.75" customHeight="1"/>
    <row r="478" s="1218" customFormat="1" ht="12.75" customHeight="1"/>
    <row r="479" s="1218" customFormat="1" ht="12.75" customHeight="1"/>
    <row r="480" s="1218" customFormat="1" ht="12.75" customHeight="1"/>
    <row r="481" s="1218" customFormat="1" ht="12.75" customHeight="1"/>
    <row r="482" s="1218" customFormat="1" ht="12.75" customHeight="1"/>
    <row r="483" s="1218" customFormat="1" ht="12.75" customHeight="1"/>
    <row r="484" s="1218" customFormat="1" ht="12.75" customHeight="1"/>
    <row r="485" s="1218" customFormat="1" ht="12.75" customHeight="1"/>
    <row r="486" s="1218" customFormat="1" ht="12.75" customHeight="1"/>
    <row r="487" s="1218" customFormat="1" ht="12.75" customHeight="1"/>
    <row r="488" s="1218" customFormat="1" ht="12.75" customHeight="1"/>
    <row r="489" s="1218" customFormat="1" ht="12.75" customHeight="1"/>
    <row r="490" s="1218" customFormat="1" ht="12.75" customHeight="1"/>
    <row r="491" s="1218" customFormat="1" ht="12.75" customHeight="1"/>
    <row r="492" s="1218" customFormat="1" ht="12.75" customHeight="1"/>
    <row r="493" s="1218" customFormat="1" ht="12.75" customHeight="1"/>
    <row r="494" s="1218" customFormat="1" ht="12.75" customHeight="1"/>
    <row r="495" s="1218" customFormat="1" ht="12.75" customHeight="1"/>
    <row r="496" s="1218" customFormat="1" ht="12.75" customHeight="1"/>
    <row r="497" s="1218" customFormat="1" ht="12.75" customHeight="1"/>
    <row r="498" s="1218" customFormat="1" ht="12.75" customHeight="1"/>
    <row r="499" s="1218" customFormat="1" ht="12.75" customHeight="1"/>
    <row r="500" s="1218" customFormat="1" ht="12.75" customHeight="1"/>
    <row r="501" s="1218" customFormat="1" ht="12.75" customHeight="1"/>
    <row r="502" s="1218" customFormat="1" ht="12.75" customHeight="1"/>
    <row r="503" s="1218" customFormat="1" ht="12.75" customHeight="1"/>
    <row r="504" s="1218" customFormat="1" ht="12.75" customHeight="1"/>
    <row r="505" s="1218" customFormat="1" ht="12.75" customHeight="1"/>
    <row r="506" s="1218" customFormat="1" ht="12.75" customHeight="1"/>
    <row r="507" s="1218" customFormat="1" ht="12.75" customHeight="1"/>
    <row r="508" s="1218" customFormat="1" ht="12.75" customHeight="1"/>
    <row r="509" s="1218" customFormat="1" ht="12.75" customHeight="1"/>
    <row r="510" s="1218" customFormat="1" ht="12.75" customHeight="1"/>
    <row r="511" s="1218" customFormat="1" ht="12.75" customHeight="1"/>
    <row r="512" s="1218" customFormat="1" ht="12.75" customHeight="1"/>
    <row r="513" s="1218" customFormat="1" ht="12.75" customHeight="1"/>
    <row r="514" s="1218" customFormat="1" ht="12.75" customHeight="1"/>
    <row r="515" s="1218" customFormat="1" ht="12.75" customHeight="1"/>
    <row r="516" s="1218" customFormat="1" ht="12.75" customHeight="1"/>
    <row r="517" s="1218" customFormat="1" ht="12.75" customHeight="1"/>
    <row r="518" s="1218" customFormat="1" ht="12.75" customHeight="1"/>
    <row r="519" s="1218" customFormat="1" ht="12.75" customHeight="1"/>
    <row r="520" s="1218" customFormat="1" ht="12.75" customHeight="1"/>
    <row r="521" s="1218" customFormat="1" ht="12.75" customHeight="1"/>
    <row r="522" s="1218" customFormat="1" ht="12.75" customHeight="1"/>
    <row r="523" s="1218" customFormat="1" ht="12.75" customHeight="1"/>
    <row r="524" s="1218" customFormat="1" ht="12.75" customHeight="1"/>
    <row r="525" s="1218" customFormat="1" ht="12.75" customHeight="1"/>
    <row r="526" s="1218" customFormat="1" ht="12.75" customHeight="1"/>
    <row r="527" s="1218" customFormat="1" ht="12.75" customHeight="1"/>
    <row r="528" s="1218" customFormat="1" ht="12.75" customHeight="1"/>
    <row r="529" s="1218" customFormat="1" ht="12.75" customHeight="1"/>
    <row r="530" s="1218" customFormat="1" ht="12.75" customHeight="1"/>
    <row r="531" s="1218" customFormat="1" ht="12.75" customHeight="1"/>
    <row r="532" s="1218" customFormat="1" ht="12.75" customHeight="1"/>
    <row r="533" s="1218" customFormat="1" ht="12.75" customHeight="1"/>
    <row r="534" s="1218" customFormat="1" ht="12.75" customHeight="1"/>
    <row r="535" s="1218" customFormat="1" ht="12.75" customHeight="1"/>
    <row r="536" s="1218" customFormat="1" ht="12.75" customHeight="1"/>
    <row r="537" s="1218" customFormat="1" ht="12.75" customHeight="1"/>
    <row r="538" s="1218" customFormat="1" ht="12.75" customHeight="1"/>
    <row r="539" s="1218" customFormat="1" ht="12.75" customHeight="1"/>
    <row r="540" s="1218" customFormat="1" ht="12.75" customHeight="1"/>
    <row r="541" s="1218" customFormat="1" ht="12.75" customHeight="1"/>
    <row r="542" s="1218" customFormat="1" ht="12.75" customHeight="1"/>
    <row r="543" s="1218" customFormat="1" ht="12.75" customHeight="1"/>
    <row r="544" s="1218" customFormat="1" ht="12.75" customHeight="1"/>
    <row r="545" s="1218" customFormat="1" ht="12.75" customHeight="1"/>
    <row r="546" s="1218" customFormat="1" ht="12.75" customHeight="1"/>
    <row r="547" s="1218" customFormat="1" ht="12.75" customHeight="1"/>
    <row r="548" s="1218" customFormat="1" ht="12.75" customHeight="1"/>
    <row r="549" s="1218" customFormat="1" ht="12.75" customHeight="1"/>
    <row r="550" s="1218" customFormat="1" ht="12.75" customHeight="1"/>
    <row r="551" s="1218" customFormat="1" ht="12.75" customHeight="1"/>
    <row r="552" s="1218" customFormat="1" ht="12.75" customHeight="1"/>
    <row r="553" s="1218" customFormat="1" ht="12.75" customHeight="1"/>
    <row r="554" s="1218" customFormat="1" ht="12.75" customHeight="1"/>
    <row r="555" s="1218" customFormat="1" ht="12.75" customHeight="1"/>
    <row r="556" s="1218" customFormat="1" ht="12.75" customHeight="1"/>
    <row r="557" s="1218" customFormat="1" ht="12.75" customHeight="1"/>
    <row r="558" s="1218" customFormat="1" ht="12.75" customHeight="1"/>
    <row r="559" s="1218" customFormat="1" ht="12.75" customHeight="1"/>
    <row r="560" s="1218" customFormat="1" ht="12.75" customHeight="1"/>
    <row r="561" s="1218" customFormat="1" ht="12.75" customHeight="1"/>
    <row r="562" s="1218" customFormat="1" ht="12.75" customHeight="1"/>
    <row r="563" s="1218" customFormat="1" ht="12.75" customHeight="1"/>
    <row r="564" s="1218" customFormat="1" ht="12.75" customHeight="1"/>
    <row r="565" s="1218" customFormat="1" ht="12.75" customHeight="1"/>
    <row r="566" s="1218" customFormat="1" ht="12.75" customHeight="1"/>
    <row r="567" s="1218" customFormat="1" ht="12.75" customHeight="1"/>
    <row r="568" s="1218" customFormat="1" ht="12.75" customHeight="1"/>
    <row r="569" s="1218" customFormat="1" ht="12.75" customHeight="1"/>
    <row r="570" s="1218" customFormat="1" ht="12.75" customHeight="1"/>
    <row r="571" s="1218" customFormat="1" ht="12.75" customHeight="1"/>
    <row r="572" s="1218" customFormat="1" ht="12.75" customHeight="1"/>
    <row r="573" s="1218" customFormat="1" ht="12.75" customHeight="1"/>
    <row r="574" s="1218" customFormat="1" ht="12.75" customHeight="1"/>
    <row r="575" s="1218" customFormat="1" ht="12.75" customHeight="1"/>
    <row r="576" s="1218" customFormat="1" ht="12.75" customHeight="1"/>
    <row r="577" s="1218" customFormat="1" ht="12.75" customHeight="1"/>
    <row r="578" s="1218" customFormat="1" ht="12.75" customHeight="1"/>
    <row r="579" s="1218" customFormat="1" ht="12.75" customHeight="1"/>
    <row r="580" s="1218" customFormat="1" ht="12.75" customHeight="1"/>
    <row r="581" s="1218" customFormat="1" ht="12.75" customHeight="1"/>
    <row r="582" s="1218" customFormat="1" ht="12.75" customHeight="1"/>
    <row r="583" s="1218" customFormat="1" ht="12.75" customHeight="1"/>
    <row r="584" s="1218" customFormat="1" ht="12.75" customHeight="1"/>
    <row r="585" s="1218" customFormat="1" ht="12.75" customHeight="1"/>
    <row r="586" s="1218" customFormat="1" ht="12.75" customHeight="1"/>
    <row r="587" s="1218" customFormat="1" ht="12.75" customHeight="1"/>
    <row r="588" s="1218" customFormat="1" ht="12.75" customHeight="1"/>
    <row r="589" s="1218" customFormat="1" ht="12.75" customHeight="1"/>
    <row r="590" s="1218" customFormat="1" ht="12.75" customHeight="1"/>
    <row r="591" s="1218" customFormat="1" ht="12.75" customHeight="1"/>
    <row r="592" s="1218" customFormat="1" ht="12.75" customHeight="1"/>
    <row r="593" s="1218" customFormat="1" ht="12.75" customHeight="1"/>
    <row r="594" s="1218" customFormat="1" ht="12.75" customHeight="1"/>
    <row r="595" s="1218" customFormat="1" ht="12.75" customHeight="1"/>
    <row r="596" s="1218" customFormat="1" ht="12.75" customHeight="1"/>
    <row r="597" s="1218" customFormat="1" ht="12.75" customHeight="1"/>
    <row r="598" s="1218" customFormat="1" ht="12.75" customHeight="1"/>
    <row r="599" s="1218" customFormat="1" ht="12.75" customHeight="1"/>
    <row r="600" s="1218" customFormat="1" ht="12.75" customHeight="1"/>
    <row r="601" s="1218" customFormat="1" ht="12.75" customHeight="1"/>
    <row r="602" s="1218" customFormat="1" ht="12.75" customHeight="1"/>
    <row r="603" s="1218" customFormat="1" ht="12.75" customHeight="1"/>
    <row r="604" s="1218" customFormat="1" ht="12.75" customHeight="1"/>
    <row r="605" s="1218" customFormat="1" ht="12.75" customHeight="1"/>
    <row r="606" s="1218" customFormat="1" ht="12.75" customHeight="1"/>
    <row r="607" s="1218" customFormat="1" ht="12.75" customHeight="1"/>
    <row r="608" s="1218" customFormat="1" ht="12.75" customHeight="1"/>
    <row r="609" s="1218" customFormat="1" ht="12.75" customHeight="1"/>
    <row r="610" s="1218" customFormat="1" ht="12.75" customHeight="1"/>
    <row r="611" s="1218" customFormat="1" ht="12.75" customHeight="1"/>
    <row r="612" s="1218" customFormat="1" ht="12.75" customHeight="1"/>
    <row r="613" s="1218" customFormat="1" ht="12.75" customHeight="1"/>
    <row r="614" s="1218" customFormat="1" ht="12.75" customHeight="1"/>
    <row r="615" s="1218" customFormat="1" ht="12.75" customHeight="1"/>
    <row r="616" s="1218" customFormat="1" ht="12.75" customHeight="1"/>
    <row r="617" s="1218" customFormat="1" ht="12.75" customHeight="1"/>
    <row r="618" s="1218" customFormat="1" ht="12.75" customHeight="1"/>
    <row r="619" s="1218" customFormat="1" ht="12.75" customHeight="1"/>
    <row r="620" s="1218" customFormat="1" ht="12.75" customHeight="1"/>
    <row r="621" s="1218" customFormat="1" ht="12.75" customHeight="1"/>
    <row r="622" s="1218" customFormat="1" ht="12.75" customHeight="1"/>
    <row r="623" s="1218" customFormat="1" ht="12.75" customHeight="1"/>
    <row r="624" s="1218" customFormat="1" ht="12.75" customHeight="1"/>
    <row r="625" s="1218" customFormat="1" ht="12.75" customHeight="1"/>
    <row r="626" s="1218" customFormat="1" ht="12.75" customHeight="1"/>
    <row r="627" s="1218" customFormat="1" ht="12.75" customHeight="1"/>
    <row r="628" s="1218" customFormat="1" ht="12.75" customHeight="1"/>
    <row r="629" s="1218" customFormat="1" ht="12.75" customHeight="1"/>
    <row r="630" s="1218" customFormat="1" ht="12.75" customHeight="1"/>
    <row r="631" s="1218" customFormat="1" ht="12.75" customHeight="1"/>
    <row r="632" s="1218" customFormat="1" ht="12.75" customHeight="1"/>
    <row r="633" s="1218" customFormat="1" ht="12.75" customHeight="1"/>
    <row r="634" s="1218" customFormat="1" ht="12.75" customHeight="1"/>
    <row r="635" s="1218" customFormat="1" ht="12.75" customHeight="1"/>
    <row r="636" s="1218" customFormat="1" ht="12.75" customHeight="1"/>
    <row r="637" s="1218" customFormat="1" ht="12.75" customHeight="1"/>
    <row r="638" s="1218" customFormat="1" ht="12.75" customHeight="1"/>
    <row r="639" s="1218" customFormat="1" ht="12.75" customHeight="1"/>
    <row r="640" s="1218" customFormat="1" ht="12.75" customHeight="1"/>
    <row r="641" s="1218" customFormat="1" ht="12.75" customHeight="1"/>
    <row r="642" s="1218" customFormat="1" ht="12.75" customHeight="1"/>
    <row r="643" s="1218" customFormat="1" ht="12.75" customHeight="1"/>
    <row r="644" s="1218" customFormat="1" ht="12.75" customHeight="1"/>
    <row r="645" s="1218" customFormat="1" ht="12.75" customHeight="1"/>
    <row r="646" s="1218" customFormat="1" ht="12.75" customHeight="1"/>
    <row r="647" s="1218" customFormat="1" ht="12.75" customHeight="1"/>
    <row r="648" s="1218" customFormat="1" ht="12.75" customHeight="1"/>
    <row r="649" s="1218" customFormat="1" ht="12.75" customHeight="1"/>
    <row r="650" s="1218" customFormat="1" ht="12.75" customHeight="1"/>
    <row r="651" s="1218" customFormat="1" ht="12.75" customHeight="1"/>
    <row r="652" s="1218" customFormat="1" ht="12.75" customHeight="1"/>
    <row r="653" s="1218" customFormat="1" ht="12.75" customHeight="1"/>
    <row r="654" s="1218" customFormat="1" ht="12.75" customHeight="1"/>
    <row r="655" s="1218" customFormat="1" ht="12.75" customHeight="1"/>
    <row r="656" s="1218" customFormat="1" ht="12.75" customHeight="1"/>
    <row r="657" s="1218" customFormat="1" ht="12.75" customHeight="1"/>
    <row r="658" s="1218" customFormat="1" ht="12.75" customHeight="1"/>
    <row r="659" s="1218" customFormat="1" ht="12.75" customHeight="1"/>
    <row r="660" s="1218" customFormat="1" ht="12.75" customHeight="1"/>
    <row r="661" s="1218" customFormat="1" ht="12.75" customHeight="1"/>
    <row r="662" s="1218" customFormat="1" ht="12.75" customHeight="1"/>
    <row r="663" s="1218" customFormat="1" ht="12.75" customHeight="1"/>
    <row r="664" s="1218" customFormat="1" ht="12.75" customHeight="1"/>
    <row r="665" s="1218" customFormat="1" ht="12.75" customHeight="1"/>
    <row r="666" s="1218" customFormat="1" ht="12.75" customHeight="1"/>
    <row r="667" s="1218" customFormat="1" ht="12.75" customHeight="1"/>
    <row r="668" s="1218" customFormat="1" ht="12.75" customHeight="1"/>
    <row r="669" s="1218" customFormat="1" ht="12.75" customHeight="1"/>
    <row r="670" s="1218" customFormat="1" ht="12.75" customHeight="1"/>
    <row r="671" s="1218" customFormat="1" ht="12.75" customHeight="1"/>
    <row r="672" s="1218" customFormat="1" ht="12.75" customHeight="1"/>
    <row r="673" s="1218" customFormat="1" ht="12.75" customHeight="1"/>
    <row r="674" s="1218" customFormat="1" ht="12.75" customHeight="1"/>
    <row r="675" s="1218" customFormat="1" ht="12.75" customHeight="1"/>
    <row r="676" s="1218" customFormat="1" ht="12.75" customHeight="1"/>
    <row r="677" s="1218" customFormat="1" ht="12.75" customHeight="1"/>
    <row r="678" s="1218" customFormat="1" ht="12.75" customHeight="1"/>
    <row r="679" s="1218" customFormat="1" ht="12.75" customHeight="1"/>
    <row r="680" s="1218" customFormat="1" ht="12.75" customHeight="1"/>
    <row r="681" s="1218" customFormat="1" ht="12.75" customHeight="1"/>
    <row r="682" s="1218" customFormat="1" ht="12.75" customHeight="1"/>
    <row r="683" s="1218" customFormat="1" ht="12.75" customHeight="1"/>
    <row r="684" s="1218" customFormat="1" ht="12.75" customHeight="1"/>
    <row r="685" s="1218" customFormat="1" ht="12.75" customHeight="1"/>
    <row r="686" s="1218" customFormat="1" ht="12.75" customHeight="1"/>
    <row r="687" s="1218" customFormat="1" ht="12.75" customHeight="1"/>
    <row r="688" s="1218" customFormat="1" ht="12.75" customHeight="1"/>
    <row r="689" s="1218" customFormat="1" ht="12.75" customHeight="1"/>
    <row r="690" s="1218" customFormat="1" ht="12.75" customHeight="1"/>
    <row r="691" s="1218" customFormat="1" ht="12.75" customHeight="1"/>
    <row r="692" s="1218" customFormat="1" ht="12.75" customHeight="1"/>
    <row r="693" s="1218" customFormat="1" ht="12.75" customHeight="1"/>
    <row r="694" s="1218" customFormat="1" ht="12.75" customHeight="1"/>
    <row r="695" s="1218" customFormat="1" ht="12.75" customHeight="1"/>
    <row r="696" s="1218" customFormat="1" ht="12.75" customHeight="1"/>
    <row r="697" s="1218" customFormat="1" ht="12.75" customHeight="1"/>
    <row r="698" s="1218" customFormat="1" ht="12.75" customHeight="1"/>
    <row r="699" s="1218" customFormat="1" ht="12.75" customHeight="1"/>
    <row r="700" s="1218" customFormat="1" ht="12.75" customHeight="1"/>
    <row r="701" s="1218" customFormat="1" ht="12.75" customHeight="1"/>
    <row r="702" s="1218" customFormat="1" ht="12.75" customHeight="1"/>
    <row r="703" s="1218" customFormat="1" ht="12.75" customHeight="1"/>
    <row r="704" s="1218" customFormat="1" ht="12.75" customHeight="1"/>
    <row r="705" s="1218" customFormat="1" ht="12.75" customHeight="1"/>
    <row r="706" s="1218" customFormat="1" ht="12.75" customHeight="1"/>
    <row r="707" s="1218" customFormat="1" ht="12.75" customHeight="1"/>
    <row r="708" s="1218" customFormat="1" ht="12.75" customHeight="1"/>
    <row r="709" s="1218" customFormat="1" ht="12.75" customHeight="1"/>
    <row r="710" s="1218" customFormat="1" ht="12.75" customHeight="1"/>
    <row r="711" s="1218" customFormat="1" ht="12.75" customHeight="1"/>
    <row r="712" s="1218" customFormat="1" ht="12.75" customHeight="1"/>
    <row r="713" s="1218" customFormat="1" ht="12.75" customHeight="1"/>
    <row r="714" s="1218" customFormat="1" ht="12.75" customHeight="1"/>
    <row r="715" s="1218" customFormat="1" ht="12.75" customHeight="1"/>
    <row r="716" s="1218" customFormat="1" ht="12.75" customHeight="1"/>
    <row r="717" s="1218" customFormat="1" ht="12.75" customHeight="1"/>
    <row r="718" s="1218" customFormat="1" ht="12.75" customHeight="1"/>
    <row r="719" s="1218" customFormat="1" ht="12.75" customHeight="1"/>
    <row r="720" s="1218" customFormat="1" ht="12.75" customHeight="1"/>
    <row r="721" s="1218" customFormat="1" ht="12.75" customHeight="1"/>
    <row r="722" s="1218" customFormat="1" ht="12.75" customHeight="1"/>
    <row r="723" s="1218" customFormat="1" ht="12.75" customHeight="1"/>
    <row r="724" s="1218" customFormat="1" ht="12.75" customHeight="1"/>
    <row r="725" s="1218" customFormat="1" ht="12.75" customHeight="1"/>
    <row r="726" s="1218" customFormat="1" ht="12.75" customHeight="1"/>
    <row r="727" s="1218" customFormat="1" ht="12.75" customHeight="1"/>
    <row r="728" s="1218" customFormat="1" ht="12.75" customHeight="1"/>
    <row r="729" s="1218" customFormat="1" ht="12.75" customHeight="1"/>
    <row r="730" s="1218" customFormat="1" ht="12.75" customHeight="1"/>
    <row r="731" s="1218" customFormat="1" ht="12.75" customHeight="1"/>
    <row r="732" s="1218" customFormat="1" ht="12.75" customHeight="1"/>
    <row r="733" s="1218" customFormat="1" ht="12.75" customHeight="1"/>
    <row r="734" s="1218" customFormat="1" ht="12.75" customHeight="1"/>
    <row r="735" s="1218" customFormat="1" ht="12.75" customHeight="1"/>
    <row r="736" s="1218" customFormat="1" ht="12.75" customHeight="1"/>
    <row r="737" s="1218" customFormat="1" ht="12.75" customHeight="1"/>
    <row r="738" s="1218" customFormat="1" ht="12.75" customHeight="1"/>
    <row r="739" s="1218" customFormat="1" ht="12.75" customHeight="1"/>
    <row r="740" s="1218" customFormat="1" ht="12.75" customHeight="1"/>
    <row r="741" s="1218" customFormat="1" ht="12.75" customHeight="1"/>
    <row r="742" s="1218" customFormat="1" ht="12.75" customHeight="1"/>
    <row r="743" s="1218" customFormat="1" ht="12.75" customHeight="1"/>
    <row r="744" s="1218" customFormat="1" ht="12.75" customHeight="1"/>
    <row r="745" s="1218" customFormat="1" ht="12.75" customHeight="1"/>
    <row r="746" s="1218" customFormat="1" ht="12.75" customHeight="1"/>
    <row r="747" s="1218" customFormat="1" ht="12.75" customHeight="1"/>
    <row r="748" s="1218" customFormat="1" ht="12.75" customHeight="1"/>
    <row r="749" s="1218" customFormat="1" ht="12.75" customHeight="1"/>
    <row r="750" s="1218" customFormat="1" ht="12.75" customHeight="1"/>
    <row r="751" s="1218" customFormat="1" ht="12.75" customHeight="1"/>
    <row r="752" s="1218" customFormat="1" ht="12.75" customHeight="1"/>
    <row r="753" s="1218" customFormat="1" ht="12.75" customHeight="1"/>
    <row r="754" s="1218" customFormat="1" ht="12.75" customHeight="1"/>
    <row r="755" s="1218" customFormat="1" ht="12.75" customHeight="1"/>
    <row r="756" s="1218" customFormat="1" ht="12.75" customHeight="1"/>
    <row r="757" s="1218" customFormat="1" ht="12.75" customHeight="1"/>
    <row r="758" s="1218" customFormat="1" ht="12.75" customHeight="1"/>
    <row r="759" s="1218" customFormat="1" ht="12.75" customHeight="1"/>
    <row r="760" s="1218" customFormat="1" ht="12.75" customHeight="1"/>
    <row r="761" s="1218" customFormat="1" ht="12.75" customHeight="1"/>
    <row r="762" s="1218" customFormat="1" ht="12.75" customHeight="1"/>
    <row r="763" s="1218" customFormat="1" ht="12.75" customHeight="1"/>
    <row r="764" s="1218" customFormat="1" ht="12.75" customHeight="1"/>
    <row r="765" s="1218" customFormat="1" ht="12.75" customHeight="1"/>
    <row r="766" s="1218" customFormat="1" ht="12.75" customHeight="1"/>
    <row r="767" s="1218" customFormat="1" ht="12.75" customHeight="1"/>
    <row r="768" s="1218" customFormat="1" ht="12.75" customHeight="1"/>
    <row r="769" s="1218" customFormat="1" ht="12.75" customHeight="1"/>
    <row r="770" s="1218" customFormat="1" ht="12.75" customHeight="1"/>
    <row r="771" s="1218" customFormat="1" ht="12.75" customHeight="1"/>
    <row r="772" s="1218" customFormat="1" ht="12.75" customHeight="1"/>
    <row r="773" s="1218" customFormat="1" ht="12.75" customHeight="1"/>
    <row r="774" s="1218" customFormat="1" ht="12.75" customHeight="1"/>
    <row r="775" s="1218" customFormat="1" ht="12.75" customHeight="1"/>
    <row r="776" s="1218" customFormat="1" ht="12.75" customHeight="1"/>
    <row r="777" s="1218" customFormat="1" ht="12.75" customHeight="1"/>
    <row r="778" s="1218" customFormat="1" ht="12.75" customHeight="1"/>
    <row r="779" s="1218" customFormat="1" ht="12.75" customHeight="1"/>
    <row r="780" s="1218" customFormat="1" ht="12.75" customHeight="1"/>
    <row r="781" s="1218" customFormat="1" ht="12.75" customHeight="1"/>
    <row r="782" s="1218" customFormat="1" ht="12.75" customHeight="1"/>
    <row r="783" s="1218" customFormat="1" ht="12.75" customHeight="1"/>
    <row r="784" s="1218" customFormat="1" ht="12.75" customHeight="1"/>
    <row r="785" s="1218" customFormat="1" ht="12.75" customHeight="1"/>
    <row r="786" s="1218" customFormat="1" ht="12.75" customHeight="1"/>
    <row r="787" s="1218" customFormat="1" ht="12.75" customHeight="1"/>
    <row r="788" s="1218" customFormat="1" ht="12.75" customHeight="1"/>
    <row r="789" s="1218" customFormat="1" ht="12.75" customHeight="1"/>
    <row r="790" s="1218" customFormat="1" ht="12.75" customHeight="1"/>
    <row r="791" s="1218" customFormat="1" ht="12.75" customHeight="1"/>
    <row r="792" s="1218" customFormat="1" ht="12.75" customHeight="1"/>
    <row r="793" s="1218" customFormat="1" ht="12.75" customHeight="1"/>
    <row r="794" s="1218" customFormat="1" ht="12.75" customHeight="1"/>
    <row r="795" s="1218" customFormat="1" ht="12.75" customHeight="1"/>
    <row r="796" s="1218" customFormat="1" ht="12.75" customHeight="1"/>
    <row r="797" s="1218" customFormat="1" ht="12.75" customHeight="1"/>
    <row r="798" s="1218" customFormat="1" ht="12.75" customHeight="1"/>
    <row r="799" s="1218" customFormat="1" ht="12.75" customHeight="1"/>
    <row r="800" s="1218" customFormat="1" ht="12.75" customHeight="1"/>
    <row r="801" s="1218" customFormat="1" ht="12.75" customHeight="1"/>
    <row r="802" s="1218" customFormat="1" ht="12.75" customHeight="1"/>
    <row r="803" s="1218" customFormat="1" ht="12.75" customHeight="1"/>
    <row r="804" s="1218" customFormat="1" ht="12.75" customHeight="1"/>
    <row r="805" s="1218" customFormat="1" ht="12.75" customHeight="1"/>
    <row r="806" s="1218" customFormat="1" ht="12.75" customHeight="1"/>
    <row r="807" s="1218" customFormat="1" ht="12.75" customHeight="1"/>
    <row r="808" s="1218" customFormat="1" ht="12.75" customHeight="1"/>
    <row r="809" s="1218" customFormat="1" ht="12.75" customHeight="1"/>
    <row r="810" s="1218" customFormat="1" ht="12.75" customHeight="1"/>
    <row r="811" s="1218" customFormat="1" ht="12.75" customHeight="1"/>
    <row r="812" s="1218" customFormat="1" ht="12.75" customHeight="1"/>
    <row r="813" s="1218" customFormat="1" ht="12.75" customHeight="1"/>
    <row r="814" s="1218" customFormat="1" ht="12.75" customHeight="1"/>
    <row r="815" s="1218" customFormat="1" ht="12.75" customHeight="1"/>
    <row r="816" s="1218" customFormat="1" ht="12.75" customHeight="1"/>
    <row r="817" s="1218" customFormat="1" ht="12.75" customHeight="1"/>
    <row r="818" s="1218" customFormat="1" ht="12.75" customHeight="1"/>
    <row r="819" s="1218" customFormat="1" ht="12.75" customHeight="1"/>
    <row r="820" s="1218" customFormat="1" ht="12.75" customHeight="1"/>
    <row r="821" s="1218" customFormat="1" ht="12.75" customHeight="1"/>
    <row r="822" s="1218" customFormat="1" ht="12.75" customHeight="1"/>
    <row r="823" s="1218" customFormat="1" ht="12.75" customHeight="1"/>
    <row r="824" s="1218" customFormat="1" ht="12.75" customHeight="1"/>
    <row r="825" s="1218" customFormat="1" ht="12.75" customHeight="1"/>
    <row r="826" s="1218" customFormat="1" ht="12.75" customHeight="1"/>
    <row r="827" s="1218" customFormat="1" ht="12.75" customHeight="1"/>
    <row r="828" s="1218" customFormat="1" ht="12.75" customHeight="1"/>
    <row r="829" s="1218" customFormat="1" ht="12.75" customHeight="1"/>
    <row r="830" s="1218" customFormat="1" ht="12.75" customHeight="1"/>
    <row r="831" s="1218" customFormat="1" ht="12.75" customHeight="1"/>
    <row r="832" s="1218" customFormat="1" ht="12.75" customHeight="1"/>
    <row r="833" s="1218" customFormat="1" ht="12.75" customHeight="1"/>
    <row r="834" s="1218" customFormat="1" ht="12.75" customHeight="1"/>
    <row r="835" s="1218" customFormat="1" ht="12.75" customHeight="1"/>
    <row r="836" s="1218" customFormat="1" ht="12.75" customHeight="1"/>
    <row r="837" s="1218" customFormat="1" ht="12.75" customHeight="1"/>
    <row r="838" s="1218" customFormat="1" ht="12.75" customHeight="1"/>
    <row r="839" s="1218" customFormat="1" ht="12.75" customHeight="1"/>
    <row r="840" s="1218" customFormat="1" ht="12.75" customHeight="1"/>
    <row r="841" s="1218" customFormat="1" ht="12.75" customHeight="1"/>
    <row r="842" s="1218" customFormat="1" ht="12.75" customHeight="1"/>
    <row r="843" s="1218" customFormat="1" ht="12.75" customHeight="1"/>
    <row r="844" s="1218" customFormat="1" ht="12.75" customHeight="1"/>
    <row r="845" s="1218" customFormat="1" ht="12.75" customHeight="1"/>
    <row r="846" s="1218" customFormat="1" ht="12.75" customHeight="1"/>
    <row r="847" s="1218" customFormat="1" ht="12.75" customHeight="1"/>
    <row r="848" s="1218" customFormat="1" ht="12.75" customHeight="1"/>
    <row r="849" s="1218" customFormat="1" ht="12.75" customHeight="1"/>
    <row r="850" s="1218" customFormat="1" ht="12.75" customHeight="1"/>
    <row r="851" s="1218" customFormat="1" ht="12.75" customHeight="1"/>
    <row r="852" s="1218" customFormat="1" ht="12.75" customHeight="1"/>
    <row r="853" s="1218" customFormat="1" ht="12.75" customHeight="1"/>
    <row r="854" s="1218" customFormat="1" ht="12.75" customHeight="1"/>
    <row r="855" s="1218" customFormat="1" ht="12.75" customHeight="1"/>
    <row r="856" s="1218" customFormat="1" ht="12.75" customHeight="1"/>
    <row r="857" s="1218" customFormat="1" ht="12.75" customHeight="1"/>
    <row r="858" s="1218" customFormat="1" ht="12.75" customHeight="1"/>
    <row r="859" s="1218" customFormat="1" ht="12.75" customHeight="1"/>
    <row r="860" s="1218" customFormat="1" ht="12.75" customHeight="1"/>
    <row r="861" s="1218" customFormat="1" ht="12.75" customHeight="1"/>
    <row r="862" s="1218" customFormat="1" ht="12.75" customHeight="1"/>
    <row r="863" s="1218" customFormat="1" ht="12.75" customHeight="1"/>
    <row r="864" s="1218" customFormat="1" ht="12.75" customHeight="1"/>
    <row r="865" s="1218" customFormat="1" ht="12.75" customHeight="1"/>
    <row r="866" s="1218" customFormat="1" ht="12.75" customHeight="1"/>
    <row r="867" s="1218" customFormat="1" ht="12.75" customHeight="1"/>
    <row r="868" s="1218" customFormat="1" ht="12.75" customHeight="1"/>
    <row r="869" s="1218" customFormat="1" ht="12.75" customHeight="1"/>
    <row r="870" s="1218" customFormat="1" ht="12.75" customHeight="1"/>
    <row r="871" s="1218" customFormat="1" ht="12.75" customHeight="1"/>
    <row r="872" s="1218" customFormat="1" ht="12.75" customHeight="1"/>
    <row r="873" s="1218" customFormat="1" ht="12.75" customHeight="1"/>
    <row r="874" s="1218" customFormat="1" ht="12.75" customHeight="1"/>
    <row r="875" s="1218" customFormat="1" ht="12.75" customHeight="1"/>
    <row r="876" s="1218" customFormat="1" ht="12.75" customHeight="1"/>
    <row r="877" s="1218" customFormat="1" ht="12.75" customHeight="1"/>
    <row r="878" s="1218" customFormat="1" ht="12.75" customHeight="1"/>
    <row r="879" s="1218" customFormat="1" ht="12.75" customHeight="1"/>
    <row r="880" s="1218" customFormat="1" ht="12.75" customHeight="1"/>
    <row r="881" s="1218" customFormat="1" ht="12.75" customHeight="1"/>
    <row r="882" s="1218" customFormat="1" ht="12.75" customHeight="1"/>
    <row r="883" s="1218" customFormat="1" ht="12.75" customHeight="1"/>
    <row r="884" s="1218" customFormat="1" ht="12.75" customHeight="1"/>
    <row r="885" s="1218" customFormat="1" ht="12.75" customHeight="1"/>
    <row r="886" s="1218" customFormat="1" ht="12.75" customHeight="1"/>
    <row r="887" s="1218" customFormat="1" ht="12.75" customHeight="1"/>
    <row r="888" s="1218" customFormat="1" ht="12.75" customHeight="1"/>
    <row r="889" s="1218" customFormat="1" ht="12.75" customHeight="1"/>
    <row r="890" s="1218" customFormat="1" ht="12.75" customHeight="1"/>
    <row r="891" s="1218" customFormat="1" ht="12.75" customHeight="1"/>
    <row r="892" s="1218" customFormat="1" ht="12.75" customHeight="1"/>
    <row r="893" s="1218" customFormat="1" ht="12.75" customHeight="1"/>
    <row r="894" s="1218" customFormat="1" ht="12.75" customHeight="1"/>
    <row r="895" s="1218" customFormat="1" ht="12.75" customHeight="1"/>
    <row r="896" s="1218" customFormat="1" ht="12.75" customHeight="1"/>
    <row r="897" s="1218" customFormat="1" ht="12.75" customHeight="1"/>
    <row r="898" s="1218" customFormat="1" ht="12.75" customHeight="1"/>
    <row r="899" s="1218" customFormat="1" ht="12.75" customHeight="1"/>
    <row r="900" s="1218" customFormat="1" ht="12.75" customHeight="1"/>
    <row r="901" s="1218" customFormat="1" ht="12.75" customHeight="1"/>
    <row r="902" s="1218" customFormat="1" ht="12.75" customHeight="1"/>
    <row r="903" s="1218" customFormat="1" ht="12.75" customHeight="1"/>
    <row r="904" s="1218" customFormat="1" ht="12.75" customHeight="1"/>
    <row r="905" s="1218" customFormat="1" ht="12.75" customHeight="1"/>
    <row r="906" s="1218" customFormat="1" ht="12.75" customHeight="1"/>
    <row r="907" s="1218" customFormat="1" ht="12.75" customHeight="1"/>
    <row r="908" s="1218" customFormat="1" ht="12.75" customHeight="1"/>
    <row r="909" s="1218" customFormat="1" ht="12.75" customHeight="1"/>
    <row r="910" s="1218" customFormat="1" ht="12.75" customHeight="1"/>
    <row r="911" s="1218" customFormat="1" ht="12.75" customHeight="1"/>
    <row r="912" s="1218" customFormat="1" ht="12.75" customHeight="1"/>
    <row r="913" s="1218" customFormat="1" ht="12.75" customHeight="1"/>
    <row r="914" s="1218" customFormat="1" ht="12.75" customHeight="1"/>
    <row r="915" s="1218" customFormat="1" ht="12.75" customHeight="1"/>
    <row r="916" s="1218" customFormat="1" ht="12.75" customHeight="1"/>
    <row r="917" s="1218" customFormat="1" ht="12.75" customHeight="1"/>
    <row r="918" s="1218" customFormat="1" ht="12.75" customHeight="1"/>
    <row r="919" s="1218" customFormat="1" ht="12.75" customHeight="1"/>
    <row r="920" s="1218" customFormat="1" ht="12.75" customHeight="1"/>
    <row r="921" s="1218" customFormat="1" ht="12.75" customHeight="1"/>
    <row r="922" s="1218" customFormat="1" ht="12.75" customHeight="1"/>
    <row r="923" s="1218" customFormat="1" ht="12.75" customHeight="1"/>
    <row r="924" s="1218" customFormat="1" ht="12.75" customHeight="1"/>
    <row r="925" s="1218" customFormat="1" ht="12.75" customHeight="1"/>
    <row r="926" s="1218" customFormat="1" ht="12.75" customHeight="1"/>
    <row r="927" s="1218" customFormat="1" ht="12.75" customHeight="1"/>
    <row r="928" s="1218" customFormat="1" ht="12.75" customHeight="1"/>
    <row r="929" s="1218" customFormat="1" ht="12.75" customHeight="1"/>
    <row r="930" s="1218" customFormat="1" ht="12.75" customHeight="1"/>
    <row r="931" s="1218" customFormat="1" ht="12.75" customHeight="1"/>
    <row r="932" s="1218" customFormat="1" ht="12.75" customHeight="1"/>
    <row r="933" s="1218" customFormat="1" ht="12.75" customHeight="1"/>
    <row r="934" s="1218" customFormat="1" ht="12.75" customHeight="1"/>
    <row r="935" s="1218" customFormat="1" ht="12.75" customHeight="1"/>
    <row r="936" s="1218" customFormat="1" ht="12.75" customHeight="1"/>
    <row r="937" s="1218" customFormat="1" ht="12.75" customHeight="1"/>
    <row r="938" s="1218" customFormat="1" ht="12.75" customHeight="1"/>
    <row r="939" s="1218" customFormat="1" ht="12.75" customHeight="1"/>
    <row r="940" s="1218" customFormat="1" ht="12.75" customHeight="1"/>
    <row r="941" s="1218" customFormat="1" ht="12.75" customHeight="1"/>
    <row r="942" s="1218" customFormat="1" ht="12.75" customHeight="1"/>
    <row r="943" s="1218" customFormat="1" ht="12.75" customHeight="1"/>
    <row r="944" s="1218" customFormat="1" ht="12.75" customHeight="1"/>
    <row r="945" s="1218" customFormat="1" ht="12.75" customHeight="1"/>
    <row r="946" s="1218" customFormat="1" ht="12.75" customHeight="1"/>
    <row r="947" s="1218" customFormat="1" ht="12.75" customHeight="1"/>
    <row r="948" s="1218" customFormat="1" ht="12.75" customHeight="1"/>
    <row r="949" s="1218" customFormat="1" ht="12.75" customHeight="1"/>
    <row r="950" s="1218" customFormat="1" ht="12.75" customHeight="1"/>
    <row r="951" s="1218" customFormat="1" ht="12.75" customHeight="1"/>
    <row r="952" s="1218" customFormat="1" ht="12.75" customHeight="1"/>
    <row r="953" s="1218" customFormat="1" ht="12.75" customHeight="1"/>
    <row r="954" s="1218" customFormat="1" ht="12.75" customHeight="1"/>
    <row r="955" s="1218" customFormat="1" ht="12.75" customHeight="1"/>
    <row r="956" s="1218" customFormat="1" ht="12.75" customHeight="1"/>
    <row r="957" s="1218" customFormat="1" ht="12.75" customHeight="1"/>
    <row r="958" s="1218" customFormat="1" ht="12.75" customHeight="1"/>
    <row r="959" s="1218" customFormat="1" ht="12.75" customHeight="1"/>
    <row r="960" s="1218" customFormat="1" ht="12.75" customHeight="1"/>
    <row r="961" s="1218" customFormat="1" ht="12.75" customHeight="1"/>
    <row r="962" s="1218" customFormat="1" ht="12.75" customHeight="1"/>
    <row r="963" s="1218" customFormat="1" ht="12.75" customHeight="1"/>
    <row r="964" s="1218" customFormat="1" ht="12.75" customHeight="1"/>
    <row r="965" s="1218" customFormat="1" ht="12.75" customHeight="1"/>
    <row r="966" s="1218" customFormat="1" ht="12.75" customHeight="1"/>
    <row r="967" s="1218" customFormat="1" ht="12.75" customHeight="1"/>
    <row r="968" s="1218" customFormat="1" ht="12.75" customHeight="1"/>
    <row r="969" s="1218" customFormat="1" ht="12.75" customHeight="1"/>
    <row r="970" s="1218" customFormat="1" ht="12.75" customHeight="1"/>
    <row r="971" s="1218" customFormat="1" ht="12.75" customHeight="1"/>
    <row r="972" s="1218" customFormat="1" ht="12.75" customHeight="1"/>
    <row r="973" s="1218" customFormat="1" ht="12.75" customHeight="1"/>
    <row r="974" s="1218" customFormat="1" ht="12.75" customHeight="1"/>
    <row r="975" s="1218" customFormat="1" ht="12.75" customHeight="1"/>
    <row r="976" s="1218" customFormat="1" ht="12.75" customHeight="1"/>
    <row r="977" s="1218" customFormat="1" ht="12.75" customHeight="1"/>
    <row r="978" s="1218" customFormat="1" ht="12.75" customHeight="1"/>
    <row r="979" s="1218" customFormat="1" ht="12.75" customHeight="1"/>
    <row r="980" s="1218" customFormat="1" ht="12.75" customHeight="1"/>
    <row r="981" s="1218" customFormat="1" ht="12.75" customHeight="1"/>
    <row r="982" s="1218" customFormat="1" ht="12.75" customHeight="1"/>
    <row r="983" s="1218" customFormat="1" ht="12.75" customHeight="1"/>
    <row r="984" s="1218" customFormat="1" ht="12.75" customHeight="1"/>
    <row r="985" s="1218" customFormat="1" ht="12.75" customHeight="1"/>
    <row r="986" s="1218" customFormat="1" ht="12.75" customHeight="1"/>
    <row r="987" s="1218" customFormat="1" ht="12.75" customHeight="1"/>
    <row r="988" s="1218" customFormat="1" ht="12.75" customHeight="1"/>
    <row r="989" s="1218" customFormat="1" ht="12.75" customHeight="1"/>
    <row r="990" s="1218" customFormat="1" ht="12.75" customHeight="1"/>
    <row r="991" s="1218" customFormat="1" ht="12.75" customHeight="1"/>
    <row r="992" s="1218" customFormat="1" ht="12.75" customHeight="1"/>
    <row r="993" s="1218" customFormat="1" ht="12.75" customHeight="1"/>
    <row r="994" s="1218" customFormat="1" ht="12.75" customHeight="1"/>
    <row r="995" s="1218" customFormat="1" ht="12.75" customHeight="1"/>
    <row r="996" s="1218" customFormat="1" ht="12.75" customHeight="1"/>
    <row r="997" s="1218" customFormat="1" ht="12.75" customHeight="1"/>
    <row r="998" s="1218" customFormat="1" ht="12.75" customHeight="1"/>
    <row r="999" s="1218" customFormat="1" ht="12.75" customHeight="1"/>
    <row r="1000" s="1218" customFormat="1" ht="12.75" customHeight="1"/>
    <row r="1001" s="1218" customFormat="1" ht="12.75" customHeight="1"/>
    <row r="1002" s="1218" customFormat="1" ht="12.75" customHeight="1"/>
    <row r="1003" s="1218" customFormat="1" ht="12.75" customHeight="1"/>
    <row r="1004" s="1218" customFormat="1" ht="12.75" customHeight="1"/>
    <row r="1005" s="1218" customFormat="1" ht="12.75" customHeight="1"/>
    <row r="1006" s="1218" customFormat="1" ht="12.75" customHeight="1"/>
    <row r="1007" s="1218" customFormat="1" ht="12.75" customHeight="1"/>
    <row r="1008" s="1218" customFormat="1" ht="12.75" customHeight="1"/>
    <row r="1009" s="1218" customFormat="1" ht="12.75" customHeight="1"/>
    <row r="1010" s="1218" customFormat="1" ht="12.75" customHeight="1"/>
    <row r="1011" s="1218" customFormat="1" ht="12.75" customHeight="1"/>
    <row r="1012" s="1218" customFormat="1" ht="12.75" customHeight="1"/>
    <row r="1013" s="1218" customFormat="1" ht="12.75" customHeight="1"/>
    <row r="1014" s="1218" customFormat="1" ht="12.75" customHeight="1"/>
    <row r="1015" s="1218" customFormat="1" ht="12.75" customHeight="1"/>
    <row r="1016" s="1218" customFormat="1" ht="12.75" customHeight="1"/>
    <row r="1017" s="1218" customFormat="1" ht="12.75" customHeight="1"/>
    <row r="1018" s="1218" customFormat="1" ht="12.75" customHeight="1"/>
    <row r="1019" s="1218" customFormat="1" ht="12.75" customHeight="1"/>
    <row r="1020" s="1218" customFormat="1" ht="12.75" customHeight="1"/>
    <row r="1021" s="1218" customFormat="1" ht="12.75" customHeight="1"/>
    <row r="1022" s="1218" customFormat="1" ht="12.75" customHeight="1"/>
    <row r="1023" s="1218" customFormat="1" ht="12.75" customHeight="1"/>
    <row r="1024" s="1218" customFormat="1" ht="12.75" customHeight="1"/>
    <row r="1025" s="1218" customFormat="1" ht="12.75" customHeight="1"/>
    <row r="1026" s="1218" customFormat="1" ht="12.75" customHeight="1"/>
    <row r="1027" s="1218" customFormat="1" ht="12.75" customHeight="1"/>
    <row r="1028" s="1218" customFormat="1" ht="12.75" customHeight="1"/>
    <row r="1029" s="1218" customFormat="1" ht="12.75" customHeight="1"/>
    <row r="1030" s="1218" customFormat="1" ht="12.75" customHeight="1"/>
    <row r="1031" s="1218" customFormat="1" ht="12.75" customHeight="1"/>
    <row r="1032" s="1218" customFormat="1" ht="12.75" customHeight="1"/>
    <row r="1033" s="1218" customFormat="1" ht="12.75" customHeight="1"/>
    <row r="1034" s="1218" customFormat="1" ht="12.75" customHeight="1"/>
    <row r="1035" s="1218" customFormat="1" ht="12.75" customHeight="1"/>
    <row r="1036" s="1218" customFormat="1" ht="12.75" customHeight="1"/>
    <row r="1037" s="1218" customFormat="1" ht="12.75" customHeight="1"/>
    <row r="1038" s="1218" customFormat="1" ht="12.75" customHeight="1"/>
    <row r="1039" s="1218" customFormat="1" ht="12.75" customHeight="1"/>
    <row r="1040" s="1218" customFormat="1" ht="12.75" customHeight="1"/>
    <row r="1041" s="1218" customFormat="1" ht="12.75" customHeight="1"/>
    <row r="1042" s="1218" customFormat="1" ht="12.75" customHeight="1"/>
    <row r="1043" s="1218" customFormat="1" ht="12.75" customHeight="1"/>
    <row r="1044" s="1218" customFormat="1" ht="12.75" customHeight="1"/>
    <row r="1045" s="1218" customFormat="1" ht="12.75" customHeight="1"/>
    <row r="1046" s="1218" customFormat="1" ht="12.75" customHeight="1"/>
    <row r="1047" s="1218" customFormat="1" ht="12.75" customHeight="1"/>
    <row r="1048" s="1218" customFormat="1" ht="12.75" customHeight="1"/>
    <row r="1049" s="1218" customFormat="1" ht="12.75" customHeight="1"/>
    <row r="1050" s="1218" customFormat="1" ht="12.75" customHeight="1"/>
    <row r="1051" s="1218" customFormat="1" ht="12.75" customHeight="1"/>
    <row r="1052" s="1218" customFormat="1" ht="12.75" customHeight="1"/>
    <row r="1053" s="1218" customFormat="1" ht="12.75" customHeight="1"/>
    <row r="1054" s="1218" customFormat="1" ht="12.75" customHeight="1"/>
    <row r="1055" s="1218" customFormat="1" ht="12.75" customHeight="1"/>
    <row r="1056" s="1218" customFormat="1" ht="12.75" customHeight="1"/>
    <row r="1057" s="1218" customFormat="1" ht="12.75" customHeight="1"/>
    <row r="1058" s="1218" customFormat="1" ht="12.75" customHeight="1"/>
    <row r="1059" s="1218" customFormat="1" ht="12.75" customHeight="1"/>
    <row r="1060" s="1218" customFormat="1" ht="12.75" customHeight="1"/>
    <row r="1061" s="1218" customFormat="1" ht="12.75" customHeight="1"/>
    <row r="1062" s="1218" customFormat="1" ht="12.75" customHeight="1"/>
    <row r="1063" s="1218" customFormat="1" ht="12.75" customHeight="1"/>
    <row r="1064" s="1218" customFormat="1" ht="12.75" customHeight="1"/>
    <row r="1065" s="1218" customFormat="1" ht="12.75" customHeight="1"/>
    <row r="1066" s="1218" customFormat="1" ht="12.75" customHeight="1"/>
    <row r="1067" s="1218" customFormat="1" ht="12.75" customHeight="1"/>
    <row r="1068" s="1218" customFormat="1" ht="12.75" customHeight="1"/>
    <row r="1069" s="1218" customFormat="1" ht="12.75" customHeight="1"/>
    <row r="1070" s="1218" customFormat="1" ht="12.75" customHeight="1"/>
    <row r="1071" s="1218" customFormat="1" ht="12.75" customHeight="1"/>
    <row r="1072" s="1218" customFormat="1" ht="12.75" customHeight="1"/>
    <row r="1073" s="1218" customFormat="1" ht="12.75" customHeight="1"/>
    <row r="1074" s="1218" customFormat="1" ht="12.75" customHeight="1"/>
    <row r="1075" s="1218" customFormat="1" ht="12.75" customHeight="1"/>
    <row r="1076" s="1218" customFormat="1" ht="12.75" customHeight="1"/>
    <row r="1077" s="1218" customFormat="1" ht="12.75" customHeight="1"/>
    <row r="1078" s="1218" customFormat="1" ht="12.75" customHeight="1"/>
    <row r="1079" s="1218" customFormat="1" ht="12.75" customHeight="1"/>
    <row r="1080" s="1218" customFormat="1" ht="12.75" customHeight="1"/>
    <row r="1081" s="1218" customFormat="1" ht="12.75" customHeight="1"/>
    <row r="1082" s="1218" customFormat="1" ht="12.75" customHeight="1"/>
    <row r="1083" s="1218" customFormat="1" ht="12.75" customHeight="1"/>
    <row r="1084" s="1218" customFormat="1" ht="12.75" customHeight="1"/>
    <row r="1085" s="1218" customFormat="1" ht="12.75" customHeight="1"/>
    <row r="1086" s="1218" customFormat="1" ht="12.75" customHeight="1"/>
    <row r="1087" s="1218" customFormat="1" ht="12.75" customHeight="1"/>
    <row r="1088" s="1218" customFormat="1" ht="12.75" customHeight="1"/>
    <row r="1089" s="1218" customFormat="1" ht="12.75" customHeight="1"/>
    <row r="1090" s="1218" customFormat="1" ht="12.75" customHeight="1"/>
    <row r="1091" s="1218" customFormat="1" ht="12.75" customHeight="1"/>
    <row r="1092" s="1218" customFormat="1" ht="12.75" customHeight="1"/>
    <row r="1093" s="1218" customFormat="1" ht="12.75" customHeight="1"/>
    <row r="1094" s="1218" customFormat="1" ht="12.75" customHeight="1"/>
    <row r="1095" s="1218" customFormat="1" ht="12.75" customHeight="1"/>
    <row r="1096" s="1218" customFormat="1" ht="12.75" customHeight="1"/>
    <row r="1097" s="1218" customFormat="1" ht="12.75" customHeight="1"/>
    <row r="1098" s="1218" customFormat="1" ht="12.75" customHeight="1"/>
    <row r="1099" s="1218" customFormat="1" ht="12.75" customHeight="1"/>
    <row r="1100" s="1218" customFormat="1" ht="12.75" customHeight="1"/>
    <row r="1101" s="1218" customFormat="1" ht="12.75" customHeight="1"/>
    <row r="1102" s="1218" customFormat="1" ht="12.75" customHeight="1"/>
    <row r="1103" s="1218" customFormat="1" ht="12.75" customHeight="1"/>
    <row r="1104" s="1218" customFormat="1" ht="12.75" customHeight="1"/>
    <row r="1105" s="1218" customFormat="1" ht="12.75" customHeight="1"/>
    <row r="1106" s="1218" customFormat="1" ht="12.75" customHeight="1"/>
    <row r="1107" s="1218" customFormat="1" ht="12.75" customHeight="1"/>
    <row r="1108" s="1218" customFormat="1" ht="12.75" customHeight="1"/>
    <row r="1109" s="1218" customFormat="1" ht="12.75" customHeight="1"/>
    <row r="1110" s="1218" customFormat="1" ht="12.75" customHeight="1"/>
    <row r="1111" s="1218" customFormat="1" ht="12.75" customHeight="1"/>
    <row r="1112" s="1218" customFormat="1" ht="12.75" customHeight="1"/>
    <row r="1113" s="1218" customFormat="1" ht="12.75" customHeight="1"/>
    <row r="1114" s="1218" customFormat="1" ht="12.75" customHeight="1"/>
    <row r="1115" s="1218" customFormat="1" ht="12.75" customHeight="1"/>
    <row r="1116" s="1218" customFormat="1" ht="12.75" customHeight="1"/>
    <row r="1117" s="1218" customFormat="1" ht="12.75" customHeight="1"/>
    <row r="1118" s="1218" customFormat="1" ht="12.75" customHeight="1"/>
    <row r="1119" s="1218" customFormat="1" ht="12.75" customHeight="1"/>
    <row r="1120" s="1218" customFormat="1" ht="12.75" customHeight="1"/>
    <row r="1121" s="1218" customFormat="1" ht="12.75" customHeight="1"/>
    <row r="1122" s="1218" customFormat="1" ht="12.75" customHeight="1"/>
    <row r="1123" s="1218" customFormat="1" ht="12.75" customHeight="1"/>
    <row r="1124" s="1218" customFormat="1" ht="12.75" customHeight="1"/>
    <row r="1125" s="1218" customFormat="1" ht="12.75" customHeight="1"/>
    <row r="1126" s="1218" customFormat="1" ht="12.75" customHeight="1"/>
    <row r="1127" s="1218" customFormat="1" ht="12.75" customHeight="1"/>
    <row r="1128" s="1218" customFormat="1" ht="12.75" customHeight="1"/>
    <row r="1129" s="1218" customFormat="1" ht="12.75" customHeight="1"/>
    <row r="1130" s="1218" customFormat="1" ht="12.75" customHeight="1"/>
    <row r="1131" s="1218" customFormat="1" ht="12.75" customHeight="1"/>
    <row r="1132" s="1218" customFormat="1" ht="12.75" customHeight="1"/>
    <row r="1133" s="1218" customFormat="1" ht="12.75" customHeight="1"/>
    <row r="1134" s="1218" customFormat="1" ht="12.75" customHeight="1"/>
    <row r="1135" s="1218" customFormat="1" ht="12.75" customHeight="1"/>
    <row r="1136" s="1218" customFormat="1" ht="12.75" customHeight="1"/>
    <row r="1137" s="1218" customFormat="1" ht="12.75" customHeight="1"/>
    <row r="1138" s="1218" customFormat="1" ht="12.75" customHeight="1"/>
    <row r="1139" s="1218" customFormat="1" ht="12.75" customHeight="1"/>
    <row r="1140" s="1218" customFormat="1" ht="12.75" customHeight="1"/>
    <row r="1141" s="1218" customFormat="1" ht="12.75" customHeight="1"/>
    <row r="1142" s="1218" customFormat="1" ht="12.75" customHeight="1"/>
    <row r="1143" s="1218" customFormat="1" ht="12.75" customHeight="1"/>
    <row r="1144" s="1218" customFormat="1" ht="12.75" customHeight="1"/>
    <row r="1145" s="1218" customFormat="1" ht="12.75" customHeight="1"/>
    <row r="1146" s="1218" customFormat="1" ht="12.75" customHeight="1"/>
    <row r="1147" s="1218" customFormat="1" ht="12.75" customHeight="1"/>
    <row r="1148" s="1218" customFormat="1" ht="12.75" customHeight="1"/>
    <row r="1149" s="1218" customFormat="1" ht="12.75" customHeight="1"/>
    <row r="1150" s="1218" customFormat="1" ht="12.75" customHeight="1"/>
    <row r="1151" s="1218" customFormat="1" ht="12.75" customHeight="1"/>
    <row r="1152" s="1218" customFormat="1" ht="12.75" customHeight="1"/>
    <row r="1153" s="1218" customFormat="1" ht="12.75" customHeight="1"/>
    <row r="1154" s="1218" customFormat="1" ht="12.75" customHeight="1"/>
    <row r="1155" s="1218" customFormat="1" ht="12.75" customHeight="1"/>
    <row r="1156" s="1218" customFormat="1" ht="12.75" customHeight="1"/>
    <row r="1157" s="1218" customFormat="1" ht="12.75" customHeight="1"/>
    <row r="1158" s="1218" customFormat="1" ht="12.75" customHeight="1"/>
    <row r="1159" s="1218" customFormat="1" ht="12.75" customHeight="1"/>
    <row r="1160" s="1218" customFormat="1" ht="12.75" customHeight="1"/>
    <row r="1161" s="1218" customFormat="1" ht="12.75" customHeight="1"/>
    <row r="1162" s="1218" customFormat="1" ht="12.75" customHeight="1"/>
    <row r="1163" s="1218" customFormat="1" ht="12.75" customHeight="1"/>
    <row r="1164" s="1218" customFormat="1" ht="12.75" customHeight="1"/>
    <row r="1165" s="1218" customFormat="1" ht="12.75" customHeight="1"/>
    <row r="1166" s="1218" customFormat="1" ht="12.75" customHeight="1"/>
    <row r="1167" s="1218" customFormat="1" ht="12.75" customHeight="1"/>
    <row r="1168" s="1218" customFormat="1" ht="12.75" customHeight="1"/>
    <row r="1169" s="1218" customFormat="1" ht="12.75" customHeight="1"/>
    <row r="1170" s="1218" customFormat="1" ht="12.75" customHeight="1"/>
    <row r="1171" s="1218" customFormat="1" ht="12.75" customHeight="1"/>
    <row r="1172" s="1218" customFormat="1" ht="12.75" customHeight="1"/>
    <row r="1173" s="1218" customFormat="1" ht="12.75" customHeight="1"/>
    <row r="1174" s="1218" customFormat="1" ht="12.75" customHeight="1"/>
    <row r="1175" s="1218" customFormat="1" ht="12.75" customHeight="1"/>
    <row r="1176" s="1218" customFormat="1" ht="12.75" customHeight="1"/>
    <row r="1177" s="1218" customFormat="1" ht="12.75" customHeight="1"/>
    <row r="1178" s="1218" customFormat="1" ht="12.75" customHeight="1"/>
    <row r="1179" s="1218" customFormat="1" ht="12.75" customHeight="1"/>
    <row r="1180" s="1218" customFormat="1" ht="12.75" customHeight="1"/>
    <row r="1181" s="1218" customFormat="1" ht="12.75" customHeight="1"/>
    <row r="1182" s="1218" customFormat="1" ht="12.75" customHeight="1"/>
    <row r="1183" s="1218" customFormat="1" ht="12.75" customHeight="1"/>
    <row r="1184" s="1218" customFormat="1" ht="12.75" customHeight="1"/>
    <row r="1185" s="1218" customFormat="1" ht="12.75" customHeight="1"/>
    <row r="1186" s="1218" customFormat="1" ht="12.75" customHeight="1"/>
    <row r="1187" s="1218" customFormat="1" ht="12.75" customHeight="1"/>
    <row r="1188" s="1218" customFormat="1" ht="12.75" customHeight="1"/>
    <row r="1189" s="1218" customFormat="1" ht="12.75" customHeight="1"/>
    <row r="1190" s="1218" customFormat="1" ht="12.75" customHeight="1"/>
    <row r="1191" s="1218" customFormat="1" ht="12.75" customHeight="1"/>
    <row r="1192" s="1218" customFormat="1" ht="12.75" customHeight="1"/>
    <row r="1193" s="1218" customFormat="1" ht="12.75" customHeight="1"/>
    <row r="1194" s="1218" customFormat="1" ht="12.75" customHeight="1"/>
    <row r="1195" s="1218" customFormat="1" ht="12.75" customHeight="1"/>
    <row r="1196" s="1218" customFormat="1" ht="12.75" customHeight="1"/>
    <row r="1197" s="1218" customFormat="1" ht="12.75" customHeight="1"/>
    <row r="1198" s="1218" customFormat="1" ht="12.75" customHeight="1"/>
    <row r="1199" s="1218" customFormat="1" ht="12.75" customHeight="1"/>
    <row r="1200" s="1218" customFormat="1" ht="12.75" customHeight="1"/>
    <row r="1201" s="1218" customFormat="1" ht="12.75" customHeight="1"/>
    <row r="1202" s="1218" customFormat="1" ht="12.75" customHeight="1"/>
    <row r="1203" s="1218" customFormat="1" ht="12.75" customHeight="1"/>
    <row r="1204" s="1218" customFormat="1" ht="12.75" customHeight="1"/>
    <row r="1205" s="1218" customFormat="1" ht="12.75" customHeight="1"/>
    <row r="1206" s="1218" customFormat="1" ht="12.75" customHeight="1"/>
    <row r="1207" s="1218" customFormat="1" ht="12.75" customHeight="1"/>
    <row r="1208" s="1218" customFormat="1" ht="12.75" customHeight="1"/>
    <row r="1209" s="1218" customFormat="1" ht="12.75" customHeight="1"/>
    <row r="1210" s="1218" customFormat="1" ht="12.75" customHeight="1"/>
    <row r="1211" s="1218" customFormat="1" ht="12.75" customHeight="1"/>
    <row r="1212" s="1218" customFormat="1" ht="12.75" customHeight="1"/>
    <row r="1213" s="1218" customFormat="1" ht="12.75" customHeight="1"/>
    <row r="1214" s="1218" customFormat="1" ht="12.75" customHeight="1"/>
    <row r="1215" s="1218" customFormat="1" ht="12.75" customHeight="1"/>
    <row r="1216" s="1218" customFormat="1" ht="12.75" customHeight="1"/>
    <row r="1217" s="1218" customFormat="1" ht="12.75" customHeight="1"/>
    <row r="1218" s="1218" customFormat="1" ht="12.75" customHeight="1"/>
    <row r="1219" s="1218" customFormat="1" ht="12.75" customHeight="1"/>
    <row r="1220" s="1218" customFormat="1" ht="12.75" customHeight="1"/>
    <row r="1221" s="1218" customFormat="1" ht="12.75" customHeight="1"/>
    <row r="1222" s="1218" customFormat="1" ht="12.75" customHeight="1"/>
    <row r="1223" s="1218" customFormat="1" ht="12.75" customHeight="1"/>
    <row r="1224" s="1218" customFormat="1" ht="12.75" customHeight="1"/>
    <row r="1225" s="1218" customFormat="1" ht="12.75" customHeight="1"/>
    <row r="1226" s="1218" customFormat="1" ht="12.75" customHeight="1"/>
    <row r="1227" s="1218" customFormat="1" ht="12.75" customHeight="1"/>
    <row r="1228" s="1218" customFormat="1" ht="12.75" customHeight="1"/>
    <row r="1229" s="1218" customFormat="1" ht="12.75" customHeight="1"/>
    <row r="1230" s="1218" customFormat="1" ht="12.75" customHeight="1"/>
    <row r="1231" s="1218" customFormat="1" ht="12.75" customHeight="1"/>
    <row r="1232" s="1218" customFormat="1" ht="12.75" customHeight="1"/>
    <row r="1233" s="1218" customFormat="1" ht="12.75" customHeight="1"/>
    <row r="1234" s="1218" customFormat="1" ht="12.75" customHeight="1"/>
    <row r="1235" s="1218" customFormat="1" ht="12.75" customHeight="1"/>
    <row r="1236" s="1218" customFormat="1" ht="12.75" customHeight="1"/>
    <row r="1237" s="1218" customFormat="1" ht="12.75" customHeight="1"/>
    <row r="1238" s="1218" customFormat="1" ht="12.75" customHeight="1"/>
    <row r="1239" s="1218" customFormat="1" ht="12.75" customHeight="1"/>
    <row r="1240" s="1218" customFormat="1" ht="12.75" customHeight="1"/>
    <row r="1241" s="1218" customFormat="1" ht="12.75" customHeight="1"/>
    <row r="1242" s="1218" customFormat="1" ht="12.75" customHeight="1"/>
    <row r="1243" s="1218" customFormat="1" ht="12.75" customHeight="1"/>
    <row r="1244" s="1218" customFormat="1" ht="12.75" customHeight="1"/>
    <row r="1245" s="1218" customFormat="1" ht="12.75" customHeight="1"/>
    <row r="1246" s="1218" customFormat="1" ht="12.75" customHeight="1"/>
    <row r="1247" s="1218" customFormat="1" ht="12.75" customHeight="1"/>
    <row r="1248" s="1218" customFormat="1" ht="12.75" customHeight="1"/>
    <row r="1249" s="1218" customFormat="1" ht="12.75" customHeight="1"/>
    <row r="1250" s="1218" customFormat="1" ht="12.75" customHeight="1"/>
    <row r="1251" s="1218" customFormat="1" ht="12.75" customHeight="1"/>
    <row r="1252" s="1218" customFormat="1" ht="12.75" customHeight="1"/>
    <row r="1253" s="1218" customFormat="1" ht="12.75" customHeight="1"/>
    <row r="1254" s="1218" customFormat="1" ht="12.75" customHeight="1"/>
    <row r="1255" s="1218" customFormat="1" ht="12.75" customHeight="1"/>
    <row r="1256" s="1218" customFormat="1" ht="12.75" customHeight="1"/>
    <row r="1257" s="1218" customFormat="1" ht="12.75" customHeight="1"/>
    <row r="1258" s="1218" customFormat="1" ht="12.75" customHeight="1"/>
    <row r="1259" s="1218" customFormat="1" ht="12.75" customHeight="1"/>
    <row r="1260" s="1218" customFormat="1" ht="12.75" customHeight="1"/>
    <row r="1261" s="1218" customFormat="1" ht="12.75" customHeight="1"/>
    <row r="1262" s="1218" customFormat="1" ht="12.75" customHeight="1"/>
    <row r="1263" s="1218" customFormat="1" ht="12.75" customHeight="1"/>
    <row r="1264" s="1218" customFormat="1" ht="12.75" customHeight="1"/>
    <row r="1265" s="1218" customFormat="1" ht="12.75" customHeight="1"/>
    <row r="1266" s="1218" customFormat="1" ht="12.75" customHeight="1"/>
    <row r="1267" s="1218" customFormat="1" ht="12.75" customHeight="1"/>
    <row r="1268" s="1218" customFormat="1" ht="12.75" customHeight="1"/>
    <row r="1269" s="1218" customFormat="1" ht="12.75" customHeight="1"/>
    <row r="1270" s="1218" customFormat="1" ht="12.75" customHeight="1"/>
    <row r="1271" s="1218" customFormat="1" ht="12.75" customHeight="1"/>
    <row r="1272" s="1218" customFormat="1" ht="12.75" customHeight="1"/>
    <row r="1273" s="1218" customFormat="1" ht="12.75" customHeight="1"/>
    <row r="1274" s="1218" customFormat="1" ht="12.75" customHeight="1"/>
    <row r="1275" s="1218" customFormat="1" ht="12.75" customHeight="1"/>
    <row r="1276" s="1218" customFormat="1" ht="12.75" customHeight="1"/>
    <row r="1277" s="1218" customFormat="1" ht="12.75" customHeight="1"/>
    <row r="1278" s="1218" customFormat="1" ht="12.75" customHeight="1"/>
    <row r="1279" s="1218" customFormat="1" ht="12.75" customHeight="1"/>
    <row r="1280" s="1218" customFormat="1" ht="12.75" customHeight="1"/>
    <row r="1281" s="1218" customFormat="1" ht="12.75" customHeight="1"/>
    <row r="1282" s="1218" customFormat="1" ht="12.75" customHeight="1"/>
    <row r="1283" s="1218" customFormat="1" ht="12.75" customHeight="1"/>
    <row r="1284" s="1218" customFormat="1" ht="12.75" customHeight="1"/>
    <row r="1285" s="1218" customFormat="1" ht="12.75" customHeight="1"/>
    <row r="1286" s="1218" customFormat="1" ht="12.75" customHeight="1"/>
    <row r="1287" s="1218" customFormat="1" ht="12.75" customHeight="1"/>
    <row r="1288" s="1218" customFormat="1" ht="12.75" customHeight="1"/>
    <row r="1289" s="1218" customFormat="1" ht="12.75" customHeight="1"/>
    <row r="1290" s="1218" customFormat="1" ht="12.75" customHeight="1"/>
    <row r="1291" s="1218" customFormat="1" ht="12.75" customHeight="1"/>
    <row r="1292" s="1218" customFormat="1" ht="12.75" customHeight="1"/>
    <row r="1293" s="1218" customFormat="1" ht="12.75" customHeight="1"/>
    <row r="1294" s="1218" customFormat="1" ht="12.75" customHeight="1"/>
    <row r="1295" s="1218" customFormat="1" ht="12.75" customHeight="1"/>
    <row r="1296" s="1218" customFormat="1" ht="12.75" customHeight="1"/>
    <row r="1297" s="1218" customFormat="1" ht="12.75" customHeight="1"/>
    <row r="1298" s="1218" customFormat="1" ht="12.75" customHeight="1"/>
    <row r="1299" s="1218" customFormat="1" ht="12.75" customHeight="1"/>
    <row r="1300" s="1218" customFormat="1" ht="12.75" customHeight="1"/>
    <row r="1301" s="1218" customFormat="1" ht="12.75" customHeight="1"/>
    <row r="1302" s="1218" customFormat="1" ht="12.75" customHeight="1"/>
    <row r="1303" s="1218" customFormat="1" ht="12.75" customHeight="1"/>
    <row r="1304" s="1218" customFormat="1" ht="12.75" customHeight="1"/>
    <row r="1305" s="1218" customFormat="1" ht="12.75" customHeight="1"/>
    <row r="1306" s="1218" customFormat="1" ht="12.75" customHeight="1"/>
    <row r="1307" s="1218" customFormat="1" ht="12.75" customHeight="1"/>
    <row r="1308" s="1218" customFormat="1" ht="12.75" customHeight="1"/>
    <row r="1309" s="1218" customFormat="1" ht="12.75" customHeight="1"/>
    <row r="1310" s="1218" customFormat="1" ht="12.75" customHeight="1"/>
    <row r="1311" s="1218" customFormat="1" ht="12.75" customHeight="1"/>
    <row r="1312" s="1218" customFormat="1" ht="12.75" customHeight="1"/>
    <row r="1313" s="1218" customFormat="1" ht="12.75" customHeight="1"/>
    <row r="1314" s="1218" customFormat="1" ht="12.75" customHeight="1"/>
    <row r="1315" s="1218" customFormat="1" ht="12.75" customHeight="1"/>
    <row r="1316" s="1218" customFormat="1" ht="12.75" customHeight="1"/>
    <row r="1317" s="1218" customFormat="1" ht="12.75" customHeight="1"/>
    <row r="1318" s="1218" customFormat="1" ht="12.75" customHeight="1"/>
    <row r="1319" s="1218" customFormat="1" ht="12.75" customHeight="1"/>
    <row r="1320" s="1218" customFormat="1" ht="12.75" customHeight="1"/>
    <row r="1321" s="1218" customFormat="1" ht="12.75" customHeight="1"/>
    <row r="1322" s="1218" customFormat="1" ht="12.75" customHeight="1"/>
    <row r="1323" s="1218" customFormat="1" ht="12.75" customHeight="1"/>
    <row r="1324" s="1218" customFormat="1" ht="12.75" customHeight="1"/>
    <row r="1325" s="1218" customFormat="1" ht="12.75" customHeight="1"/>
    <row r="1326" s="1218" customFormat="1" ht="12.75" customHeight="1"/>
    <row r="1327" s="1218" customFormat="1" ht="12.75" customHeight="1"/>
    <row r="1328" s="1218" customFormat="1" ht="12.75" customHeight="1"/>
    <row r="1329" s="1218" customFormat="1" ht="12.75" customHeight="1"/>
    <row r="1330" s="1218" customFormat="1" ht="12.75" customHeight="1"/>
    <row r="1331" s="1218" customFormat="1" ht="12.75" customHeight="1"/>
    <row r="1332" s="1218" customFormat="1" ht="12.75" customHeight="1"/>
    <row r="1333" s="1218" customFormat="1" ht="12.75" customHeight="1"/>
    <row r="1334" s="1218" customFormat="1" ht="12.75" customHeight="1"/>
    <row r="1335" s="1218" customFormat="1" ht="12.75" customHeight="1"/>
    <row r="1336" s="1218" customFormat="1" ht="12.75" customHeight="1"/>
    <row r="1337" s="1218" customFormat="1" ht="12.75" customHeight="1"/>
    <row r="1338" s="1218" customFormat="1" ht="12.75" customHeight="1"/>
    <row r="1339" s="1218" customFormat="1" ht="12.75" customHeight="1"/>
    <row r="1340" s="1218" customFormat="1" ht="12.75" customHeight="1"/>
    <row r="1341" s="1218" customFormat="1" ht="12.75" customHeight="1"/>
    <row r="1342" s="1218" customFormat="1" ht="12.75" customHeight="1"/>
    <row r="1343" s="1218" customFormat="1" ht="12.75" customHeight="1"/>
    <row r="1344" s="1218" customFormat="1" ht="12.75" customHeight="1"/>
    <row r="1345" s="1218" customFormat="1" ht="12.75" customHeight="1"/>
    <row r="1346" s="1218" customFormat="1" ht="12.75" customHeight="1"/>
    <row r="1347" s="1218" customFormat="1" ht="12.75" customHeight="1"/>
    <row r="1348" s="1218" customFormat="1" ht="12.75" customHeight="1"/>
    <row r="1349" s="1218" customFormat="1" ht="12.75" customHeight="1"/>
    <row r="1350" s="1218" customFormat="1" ht="12.75" customHeight="1"/>
    <row r="1351" s="1218" customFormat="1" ht="12.75" customHeight="1"/>
    <row r="1352" s="1218" customFormat="1" ht="12.75" customHeight="1"/>
    <row r="1353" s="1218" customFormat="1" ht="12.75" customHeight="1"/>
    <row r="1354" s="1218" customFormat="1" ht="12.75" customHeight="1"/>
    <row r="1355" s="1218" customFormat="1" ht="12.75" customHeight="1"/>
    <row r="1356" s="1218" customFormat="1" ht="12.75" customHeight="1"/>
    <row r="1357" s="1218" customFormat="1" ht="12.75" customHeight="1"/>
    <row r="1358" s="1218" customFormat="1" ht="12.75" customHeight="1"/>
    <row r="1359" s="1218" customFormat="1" ht="12.75" customHeight="1"/>
    <row r="1360" s="1218" customFormat="1" ht="12.75" customHeight="1"/>
    <row r="1361" s="1218" customFormat="1" ht="12.75" customHeight="1"/>
    <row r="1362" s="1218" customFormat="1" ht="12.75" customHeight="1"/>
    <row r="1363" s="1218" customFormat="1" ht="12.75" customHeight="1"/>
    <row r="1364" s="1218" customFormat="1" ht="12.75" customHeight="1"/>
    <row r="1365" s="1218" customFormat="1" ht="12.75" customHeight="1"/>
    <row r="1366" s="1218" customFormat="1" ht="12.75" customHeight="1"/>
    <row r="1367" s="1218" customFormat="1" ht="12.75" customHeight="1"/>
    <row r="1368" s="1218" customFormat="1" ht="12.75" customHeight="1"/>
    <row r="1369" s="1218" customFormat="1" ht="12.75" customHeight="1"/>
    <row r="1370" s="1218" customFormat="1" ht="12.75" customHeight="1"/>
    <row r="1371" s="1218" customFormat="1" ht="12.75" customHeight="1"/>
    <row r="1372" s="1218" customFormat="1" ht="12.75" customHeight="1"/>
    <row r="1373" s="1218" customFormat="1" ht="12.75" customHeight="1"/>
    <row r="1374" s="1218" customFormat="1" ht="12.75" customHeight="1"/>
    <row r="1375" s="1218" customFormat="1" ht="12.75" customHeight="1"/>
    <row r="1376" s="1218" customFormat="1" ht="12.75" customHeight="1"/>
    <row r="1377" s="1218" customFormat="1" ht="12.75" customHeight="1"/>
    <row r="1378" s="1218" customFormat="1" ht="12.75" customHeight="1"/>
    <row r="1379" s="1218" customFormat="1" ht="12.75" customHeight="1"/>
    <row r="1380" s="1218" customFormat="1" ht="12.75" customHeight="1"/>
    <row r="1381" s="1218" customFormat="1" ht="12.75" customHeight="1"/>
    <row r="1382" s="1218" customFormat="1" ht="12.75" customHeight="1"/>
    <row r="1383" s="1218" customFormat="1" ht="12.75" customHeight="1"/>
    <row r="1384" s="1218" customFormat="1" ht="12.75" customHeight="1"/>
    <row r="1385" s="1218" customFormat="1" ht="12.75" customHeight="1"/>
    <row r="1386" s="1218" customFormat="1" ht="12.75" customHeight="1"/>
    <row r="1387" s="1218" customFormat="1" ht="12.75" customHeight="1"/>
    <row r="1388" s="1218" customFormat="1" ht="12.75" customHeight="1"/>
    <row r="1389" s="1218" customFormat="1" ht="12.75" customHeight="1"/>
    <row r="1390" s="1218" customFormat="1" ht="12.75" customHeight="1"/>
    <row r="1391" s="1218" customFormat="1" ht="12.75" customHeight="1"/>
    <row r="1392" s="1218" customFormat="1" ht="12.75" customHeight="1"/>
    <row r="1393" s="1218" customFormat="1" ht="12.75" customHeight="1"/>
    <row r="1394" s="1218" customFormat="1" ht="12.75" customHeight="1"/>
    <row r="1395" s="1218" customFormat="1" ht="12.75" customHeight="1"/>
    <row r="1396" s="1218" customFormat="1" ht="12.75" customHeight="1"/>
    <row r="1397" s="1218" customFormat="1" ht="12.75" customHeight="1"/>
    <row r="1398" s="1218" customFormat="1" ht="12.75" customHeight="1"/>
    <row r="1399" s="1218" customFormat="1" ht="12.75" customHeight="1"/>
    <row r="1400" s="1218" customFormat="1" ht="12.75" customHeight="1"/>
    <row r="1401" s="1218" customFormat="1" ht="12.75" customHeight="1"/>
    <row r="1402" s="1218" customFormat="1" ht="12.75" customHeight="1"/>
    <row r="1403" s="1218" customFormat="1" ht="12.75" customHeight="1"/>
    <row r="1404" s="1218" customFormat="1" ht="12.75" customHeight="1"/>
    <row r="1405" s="1218" customFormat="1" ht="12.75" customHeight="1"/>
    <row r="1406" s="1218" customFormat="1" ht="12.75" customHeight="1"/>
    <row r="1407" s="1218" customFormat="1" ht="12.75" customHeight="1"/>
    <row r="1408" s="1218" customFormat="1" ht="12.75" customHeight="1"/>
    <row r="1409" s="1218" customFormat="1" ht="12.75" customHeight="1"/>
    <row r="1410" s="1218" customFormat="1" ht="12.75" customHeight="1"/>
    <row r="1411" s="1218" customFormat="1" ht="12.75" customHeight="1"/>
    <row r="1412" s="1218" customFormat="1" ht="12.75" customHeight="1"/>
    <row r="1413" s="1218" customFormat="1" ht="12.75" customHeight="1"/>
    <row r="1414" s="1218" customFormat="1" ht="12.75" customHeight="1"/>
    <row r="1415" s="1218" customFormat="1" ht="12.75" customHeight="1"/>
    <row r="1416" s="1218" customFormat="1" ht="12.75" customHeight="1"/>
    <row r="1417" s="1218" customFormat="1" ht="12.75" customHeight="1"/>
    <row r="1418" s="1218" customFormat="1" ht="12.75" customHeight="1"/>
    <row r="1419" s="1218" customFormat="1" ht="12.75" customHeight="1"/>
    <row r="1420" s="1218" customFormat="1" ht="12.75" customHeight="1"/>
    <row r="1421" s="1218" customFormat="1" ht="12.75" customHeight="1"/>
    <row r="1422" s="1218" customFormat="1" ht="12.75" customHeight="1"/>
    <row r="1423" s="1218" customFormat="1" ht="12.75" customHeight="1"/>
    <row r="1424" s="1218" customFormat="1" ht="12.75" customHeight="1"/>
    <row r="1425" s="1218" customFormat="1" ht="12.75" customHeight="1"/>
    <row r="1426" s="1218" customFormat="1" ht="12.75" customHeight="1"/>
    <row r="1427" s="1218" customFormat="1" ht="12.75" customHeight="1"/>
    <row r="1428" s="1218" customFormat="1" ht="12.75" customHeight="1"/>
    <row r="1429" s="1218" customFormat="1" ht="12.75" customHeight="1"/>
    <row r="1430" s="1218" customFormat="1" ht="12.75" customHeight="1"/>
    <row r="1431" s="1218" customFormat="1" ht="12.75" customHeight="1"/>
    <row r="1432" s="1218" customFormat="1" ht="12.75" customHeight="1"/>
    <row r="1433" s="1218" customFormat="1" ht="12.75" customHeight="1"/>
    <row r="1434" s="1218" customFormat="1" ht="12.75" customHeight="1"/>
    <row r="1435" s="1218" customFormat="1" ht="12.75" customHeight="1"/>
    <row r="1436" s="1218" customFormat="1" ht="12.75" customHeight="1"/>
    <row r="1437" s="1218" customFormat="1" ht="12.75" customHeight="1"/>
    <row r="1438" s="1218" customFormat="1" ht="12.75" customHeight="1"/>
    <row r="1439" s="1218" customFormat="1" ht="12.75" customHeight="1"/>
    <row r="1440" s="1218" customFormat="1" ht="12.75" customHeight="1"/>
    <row r="1441" s="1218" customFormat="1" ht="12.75" customHeight="1"/>
    <row r="1442" s="1218" customFormat="1" ht="12.75" customHeight="1"/>
    <row r="1443" s="1218" customFormat="1" ht="12.75" customHeight="1"/>
    <row r="1444" s="1218" customFormat="1" ht="12.75" customHeight="1"/>
    <row r="1445" s="1218" customFormat="1" ht="12.75" customHeight="1"/>
    <row r="1446" s="1218" customFormat="1" ht="12.75" customHeight="1"/>
    <row r="1447" s="1218" customFormat="1" ht="12.75" customHeight="1"/>
    <row r="1448" s="1218" customFormat="1" ht="12.75" customHeight="1"/>
    <row r="1449" s="1218" customFormat="1" ht="12.75" customHeight="1"/>
    <row r="1450" s="1218" customFormat="1" ht="12.75" customHeight="1"/>
    <row r="1451" s="1218" customFormat="1" ht="12.75" customHeight="1"/>
    <row r="1452" s="1218" customFormat="1" ht="12.75" customHeight="1"/>
    <row r="1453" s="1218" customFormat="1" ht="12.75" customHeight="1"/>
    <row r="1454" s="1218" customFormat="1" ht="12.75" customHeight="1"/>
    <row r="1455" s="1218" customFormat="1" ht="12.75" customHeight="1"/>
    <row r="1456" s="1218" customFormat="1" ht="12.75" customHeight="1"/>
    <row r="1457" s="1218" customFormat="1" ht="12.75" customHeight="1"/>
    <row r="1458" s="1218" customFormat="1" ht="12.75" customHeight="1"/>
    <row r="1459" s="1218" customFormat="1" ht="12.75" customHeight="1"/>
    <row r="1460" s="1218" customFormat="1" ht="12.75" customHeight="1"/>
    <row r="1461" s="1218" customFormat="1" ht="12.75" customHeight="1"/>
    <row r="1462" s="1218" customFormat="1" ht="12.75" customHeight="1"/>
    <row r="1463" s="1218" customFormat="1" ht="12.75" customHeight="1"/>
    <row r="1464" s="1218" customFormat="1" ht="12.75" customHeight="1"/>
    <row r="1465" s="1218" customFormat="1" ht="12.75" customHeight="1"/>
    <row r="1466" s="1218" customFormat="1" ht="12.75" customHeight="1"/>
    <row r="1467" s="1218" customFormat="1" ht="12.75" customHeight="1"/>
    <row r="1468" s="1218" customFormat="1" ht="12.75" customHeight="1"/>
    <row r="1469" s="1218" customFormat="1" ht="12.75" customHeight="1"/>
    <row r="1470" s="1218" customFormat="1" ht="12.75" customHeight="1"/>
    <row r="1471" s="1218" customFormat="1" ht="12.75" customHeight="1"/>
    <row r="1472" s="1218" customFormat="1" ht="12.75" customHeight="1"/>
    <row r="1473" s="1218" customFormat="1" ht="12.75" customHeight="1"/>
    <row r="1474" s="1218" customFormat="1" ht="12.75" customHeight="1"/>
    <row r="1475" s="1218" customFormat="1" ht="12.75" customHeight="1"/>
    <row r="1476" s="1218" customFormat="1" ht="12.75" customHeight="1"/>
    <row r="1477" s="1218" customFormat="1" ht="12.75" customHeight="1"/>
    <row r="1478" s="1218" customFormat="1" ht="12.75" customHeight="1"/>
    <row r="1479" s="1218" customFormat="1" ht="12.75" customHeight="1"/>
    <row r="1480" s="1218" customFormat="1" ht="12.75" customHeight="1"/>
    <row r="1481" s="1218" customFormat="1" ht="12.75" customHeight="1"/>
    <row r="1482" s="1218" customFormat="1" ht="12.75" customHeight="1"/>
    <row r="1483" s="1218" customFormat="1" ht="12.75" customHeight="1"/>
    <row r="1484" s="1218" customFormat="1" ht="12.75" customHeight="1"/>
    <row r="1485" s="1218" customFormat="1" ht="12.75" customHeight="1"/>
    <row r="1486" s="1218" customFormat="1" ht="12.75" customHeight="1"/>
    <row r="1487" s="1218" customFormat="1" ht="12.75" customHeight="1"/>
    <row r="1488" s="1218" customFormat="1" ht="12.75" customHeight="1"/>
    <row r="1489" s="1218" customFormat="1" ht="12.75" customHeight="1"/>
    <row r="1490" s="1218" customFormat="1" ht="12.75" customHeight="1"/>
    <row r="1491" s="1218" customFormat="1" ht="12.75" customHeight="1"/>
    <row r="1492" s="1218" customFormat="1" ht="12.75" customHeight="1"/>
    <row r="1493" s="1218" customFormat="1" ht="12.75" customHeight="1"/>
    <row r="1494" s="1218" customFormat="1" ht="12.75" customHeight="1"/>
    <row r="1495" s="1218" customFormat="1" ht="12.75" customHeight="1"/>
    <row r="1496" s="1218" customFormat="1" ht="12.75" customHeight="1"/>
    <row r="1497" s="1218" customFormat="1" ht="12.75" customHeight="1"/>
    <row r="1498" s="1218" customFormat="1" ht="12.75" customHeight="1"/>
    <row r="1499" s="1218" customFormat="1" ht="12.75" customHeight="1"/>
    <row r="1500" s="1218" customFormat="1" ht="12.75" customHeight="1"/>
    <row r="1501" s="1218" customFormat="1" ht="12.75" customHeight="1"/>
    <row r="1502" s="1218" customFormat="1" ht="12.75" customHeight="1"/>
    <row r="1503" s="1218" customFormat="1" ht="12.75" customHeight="1"/>
    <row r="1504" s="1218" customFormat="1" ht="12.75" customHeight="1"/>
    <row r="1505" s="1218" customFormat="1" ht="12.75" customHeight="1"/>
    <row r="1506" s="1218" customFormat="1" ht="12.75" customHeight="1"/>
    <row r="1507" s="1218" customFormat="1" ht="12.75" customHeight="1"/>
    <row r="1508" s="1218" customFormat="1" ht="12.75" customHeight="1"/>
    <row r="1509" s="1218" customFormat="1" ht="12.75" customHeight="1"/>
    <row r="1510" s="1218" customFormat="1" ht="12.75" customHeight="1"/>
    <row r="1511" s="1218" customFormat="1" ht="12.75" customHeight="1"/>
    <row r="1512" s="1218" customFormat="1" ht="12.75" customHeight="1"/>
    <row r="1513" s="1218" customFormat="1" ht="12.75" customHeight="1"/>
    <row r="1514" s="1218" customFormat="1" ht="12.75" customHeight="1"/>
    <row r="1515" s="1218" customFormat="1" ht="12.75" customHeight="1"/>
    <row r="1516" s="1218" customFormat="1" ht="12.75" customHeight="1"/>
    <row r="1517" s="1218" customFormat="1" ht="12.75" customHeight="1"/>
    <row r="1518" s="1218" customFormat="1" ht="12.75" customHeight="1"/>
    <row r="1519" s="1218" customFormat="1" ht="12.75" customHeight="1"/>
    <row r="1520" s="1218" customFormat="1" ht="12.75" customHeight="1"/>
    <row r="1521" s="1218" customFormat="1" ht="12.75" customHeight="1"/>
    <row r="1522" s="1218" customFormat="1" ht="12.75" customHeight="1"/>
    <row r="1523" s="1218" customFormat="1" ht="12.75" customHeight="1"/>
    <row r="1524" s="1218" customFormat="1" ht="12.75" customHeight="1"/>
    <row r="1525" s="1218" customFormat="1" ht="12.75" customHeight="1"/>
    <row r="1526" s="1218" customFormat="1" ht="12.75" customHeight="1"/>
    <row r="1527" s="1218" customFormat="1" ht="12.75" customHeight="1"/>
    <row r="1528" s="1218" customFormat="1" ht="12.75" customHeight="1"/>
    <row r="1529" s="1218" customFormat="1" ht="12.75" customHeight="1"/>
    <row r="1530" s="1218" customFormat="1" ht="12.75" customHeight="1"/>
    <row r="1531" s="1218" customFormat="1" ht="12.75" customHeight="1"/>
    <row r="1532" s="1218" customFormat="1" ht="12.75" customHeight="1"/>
    <row r="1533" s="1218" customFormat="1" ht="12.75" customHeight="1"/>
    <row r="1534" s="1218" customFormat="1" ht="12.75" customHeight="1"/>
    <row r="1535" s="1218" customFormat="1" ht="12.75" customHeight="1"/>
    <row r="1536" s="1218" customFormat="1" ht="12.75" customHeight="1"/>
    <row r="1537" s="1218" customFormat="1" ht="12.75" customHeight="1"/>
    <row r="1538" s="1218" customFormat="1" ht="12.75" customHeight="1"/>
    <row r="1539" s="1218" customFormat="1" ht="12.75" customHeight="1"/>
    <row r="1540" s="1218" customFormat="1" ht="12.75" customHeight="1"/>
    <row r="1541" s="1218" customFormat="1" ht="12.75" customHeight="1"/>
    <row r="1542" s="1218" customFormat="1" ht="12.75" customHeight="1"/>
    <row r="1543" s="1218" customFormat="1" ht="12.75" customHeight="1"/>
    <row r="1544" s="1218" customFormat="1" ht="12.75" customHeight="1"/>
    <row r="1545" s="1218" customFormat="1" ht="12.75" customHeight="1"/>
    <row r="1546" s="1218" customFormat="1" ht="12.75" customHeight="1"/>
    <row r="1547" s="1218" customFormat="1" ht="12.75" customHeight="1"/>
    <row r="1548" s="1218" customFormat="1" ht="12.75" customHeight="1"/>
    <row r="1549" s="1218" customFormat="1" ht="12.75" customHeight="1"/>
    <row r="1550" s="1218" customFormat="1" ht="12.75" customHeight="1"/>
    <row r="1551" s="1218" customFormat="1" ht="12.75" customHeight="1"/>
    <row r="1552" s="1218" customFormat="1" ht="12.75" customHeight="1"/>
    <row r="1553" s="1218" customFormat="1" ht="12.75" customHeight="1"/>
    <row r="1554" s="1218" customFormat="1" ht="12.75" customHeight="1"/>
    <row r="1555" s="1218" customFormat="1" ht="12.75" customHeight="1"/>
    <row r="1556" s="1218" customFormat="1" ht="12.75" customHeight="1"/>
    <row r="1557" s="1218" customFormat="1" ht="12.75" customHeight="1"/>
    <row r="1558" s="1218" customFormat="1" ht="12.75" customHeight="1"/>
    <row r="1559" s="1218" customFormat="1" ht="12.75" customHeight="1"/>
    <row r="1560" s="1218" customFormat="1" ht="12.75" customHeight="1"/>
    <row r="1561" s="1218" customFormat="1" ht="12.75" customHeight="1"/>
    <row r="1562" s="1218" customFormat="1" ht="12.75" customHeight="1"/>
    <row r="1563" s="1218" customFormat="1" ht="12.75" customHeight="1"/>
    <row r="1564" s="1218" customFormat="1" ht="12.75" customHeight="1"/>
    <row r="1565" s="1218" customFormat="1" ht="12.75" customHeight="1"/>
    <row r="1566" s="1218" customFormat="1" ht="12.75" customHeight="1"/>
    <row r="1567" s="1218" customFormat="1" ht="12.75" customHeight="1"/>
    <row r="1568" s="1218" customFormat="1" ht="12.75" customHeight="1"/>
    <row r="1569" s="1218" customFormat="1" ht="12.75" customHeight="1"/>
    <row r="1570" s="1218" customFormat="1" ht="12.75" customHeight="1"/>
    <row r="1571" s="1218" customFormat="1" ht="12.75" customHeight="1"/>
    <row r="1572" s="1218" customFormat="1" ht="12.75" customHeight="1"/>
    <row r="1573" s="1218" customFormat="1" ht="12.75" customHeight="1"/>
    <row r="1574" s="1218" customFormat="1" ht="12.75" customHeight="1"/>
    <row r="1575" s="1218" customFormat="1" ht="12.75" customHeight="1"/>
    <row r="1576" s="1218" customFormat="1" ht="12.75" customHeight="1"/>
    <row r="1577" s="1218" customFormat="1" ht="12.75" customHeight="1"/>
    <row r="1578" s="1218" customFormat="1" ht="12.75" customHeight="1"/>
    <row r="1579" s="1218" customFormat="1" ht="12.75" customHeight="1"/>
    <row r="1580" s="1218" customFormat="1" ht="12.75" customHeight="1"/>
    <row r="1581" s="1218" customFormat="1" ht="12.75" customHeight="1"/>
    <row r="1582" s="1218" customFormat="1" ht="12.75" customHeight="1"/>
    <row r="1583" s="1218" customFormat="1" ht="12.75" customHeight="1"/>
    <row r="1584" s="1218" customFormat="1" ht="12.75" customHeight="1"/>
    <row r="1585" s="1218" customFormat="1" ht="12.75" customHeight="1"/>
    <row r="1586" s="1218" customFormat="1" ht="12.75" customHeight="1"/>
    <row r="1587" s="1218" customFormat="1" ht="12.75" customHeight="1"/>
    <row r="1588" s="1218" customFormat="1" ht="12.75" customHeight="1"/>
    <row r="1589" s="1218" customFormat="1" ht="12.75" customHeight="1"/>
    <row r="1590" s="1218" customFormat="1" ht="12.75" customHeight="1"/>
    <row r="1591" s="1218" customFormat="1" ht="12.75" customHeight="1"/>
    <row r="1592" s="1218" customFormat="1" ht="12.75" customHeight="1"/>
    <row r="1593" s="1218" customFormat="1" ht="12.75" customHeight="1"/>
    <row r="1594" s="1218" customFormat="1" ht="12.75" customHeight="1"/>
    <row r="1595" s="1218" customFormat="1" ht="12.75" customHeight="1"/>
    <row r="1596" s="1218" customFormat="1" ht="12.75" customHeight="1"/>
    <row r="1597" s="1218" customFormat="1" ht="12.75" customHeight="1"/>
    <row r="1598" s="1218" customFormat="1" ht="12.75" customHeight="1"/>
    <row r="1599" s="1218" customFormat="1" ht="12.75" customHeight="1"/>
    <row r="1600" s="1218" customFormat="1" ht="12.75" customHeight="1"/>
    <row r="1601" s="1218" customFormat="1" ht="12.75" customHeight="1"/>
    <row r="1602" s="1218" customFormat="1" ht="12.75" customHeight="1"/>
    <row r="1603" s="1218" customFormat="1" ht="12.75" customHeight="1"/>
    <row r="1604" s="1218" customFormat="1" ht="12.75" customHeight="1"/>
    <row r="1605" s="1218" customFormat="1" ht="12.75" customHeight="1"/>
    <row r="1606" s="1218" customFormat="1" ht="12.75" customHeight="1"/>
    <row r="1607" s="1218" customFormat="1" ht="12.75" customHeight="1"/>
    <row r="1608" s="1218" customFormat="1" ht="12.75" customHeight="1"/>
    <row r="1609" s="1218" customFormat="1" ht="12.75" customHeight="1"/>
    <row r="1610" s="1218" customFormat="1" ht="12.75" customHeight="1"/>
    <row r="1611" s="1218" customFormat="1" ht="12.75" customHeight="1"/>
    <row r="1612" s="1218" customFormat="1" ht="12.75" customHeight="1"/>
    <row r="1613" s="1218" customFormat="1" ht="12.75" customHeight="1"/>
    <row r="1614" s="1218" customFormat="1" ht="12.75" customHeight="1"/>
    <row r="1615" s="1218" customFormat="1" ht="12.75" customHeight="1"/>
    <row r="1616" s="1218" customFormat="1" ht="12.75" customHeight="1"/>
    <row r="1617" s="1218" customFormat="1" ht="12.75" customHeight="1"/>
    <row r="1618" s="1218" customFormat="1" ht="12.75" customHeight="1"/>
    <row r="1619" s="1218" customFormat="1" ht="12.75" customHeight="1"/>
    <row r="1620" s="1218" customFormat="1" ht="12.75" customHeight="1"/>
    <row r="1621" s="1218" customFormat="1" ht="12.75" customHeight="1"/>
    <row r="1622" s="1218" customFormat="1" ht="12.75" customHeight="1"/>
    <row r="1623" s="1218" customFormat="1" ht="12.75" customHeight="1"/>
    <row r="1624" s="1218" customFormat="1" ht="12.75" customHeight="1"/>
    <row r="1625" s="1218" customFormat="1" ht="12.75" customHeight="1"/>
    <row r="1626" s="1218" customFormat="1" ht="12.75" customHeight="1"/>
    <row r="1627" s="1218" customFormat="1" ht="12.75" customHeight="1"/>
    <row r="1628" s="1218" customFormat="1" ht="12.75" customHeight="1"/>
    <row r="1629" s="1218" customFormat="1" ht="12.75" customHeight="1"/>
    <row r="1630" s="1218" customFormat="1" ht="12.75" customHeight="1"/>
    <row r="1631" s="1218" customFormat="1" ht="12.75" customHeight="1"/>
    <row r="1632" s="1218" customFormat="1" ht="12.75" customHeight="1"/>
    <row r="1633" s="1218" customFormat="1" ht="12.75" customHeight="1"/>
    <row r="1634" s="1218" customFormat="1" ht="12.75" customHeight="1"/>
    <row r="1635" s="1218" customFormat="1" ht="12.75" customHeight="1"/>
    <row r="1636" s="1218" customFormat="1" ht="12.75" customHeight="1"/>
    <row r="1637" s="1218" customFormat="1" ht="12.75" customHeight="1"/>
    <row r="1638" s="1218" customFormat="1" ht="12.75" customHeight="1"/>
    <row r="1639" s="1218" customFormat="1" ht="12.75" customHeight="1"/>
    <row r="1640" s="1218" customFormat="1" ht="12.75" customHeight="1"/>
    <row r="1641" s="1218" customFormat="1" ht="12.75" customHeight="1"/>
    <row r="1642" s="1218" customFormat="1" ht="12.75" customHeight="1"/>
    <row r="1643" s="1218" customFormat="1" ht="12.75" customHeight="1"/>
    <row r="1644" s="1218" customFormat="1" ht="12.75" customHeight="1"/>
    <row r="1645" s="1218" customFormat="1" ht="12.75" customHeight="1"/>
    <row r="1646" s="1218" customFormat="1" ht="12.75" customHeight="1"/>
    <row r="1647" s="1218" customFormat="1" ht="12.75" customHeight="1"/>
    <row r="1648" s="1218" customFormat="1" ht="12.75" customHeight="1"/>
    <row r="1649" s="1218" customFormat="1" ht="12.75" customHeight="1"/>
    <row r="1650" s="1218" customFormat="1" ht="12.75" customHeight="1"/>
    <row r="1651" s="1218" customFormat="1" ht="12.75" customHeight="1"/>
    <row r="1652" s="1218" customFormat="1" ht="12.75" customHeight="1"/>
    <row r="1653" s="1218" customFormat="1" ht="12.75" customHeight="1"/>
    <row r="1654" s="1218" customFormat="1" ht="12.75" customHeight="1"/>
    <row r="1655" s="1218" customFormat="1" ht="12.75" customHeight="1"/>
    <row r="1656" s="1218" customFormat="1" ht="12.75" customHeight="1"/>
    <row r="1657" s="1218" customFormat="1" ht="12.75" customHeight="1"/>
    <row r="1658" s="1218" customFormat="1" ht="12.75" customHeight="1"/>
    <row r="1659" s="1218" customFormat="1" ht="12.75" customHeight="1"/>
    <row r="1660" s="1218" customFormat="1" ht="12.75" customHeight="1"/>
    <row r="1661" s="1218" customFormat="1" ht="12.75" customHeight="1"/>
    <row r="1662" s="1218" customFormat="1" ht="12.75" customHeight="1"/>
    <row r="1663" s="1218" customFormat="1" ht="12.75" customHeight="1"/>
    <row r="1664" s="1218" customFormat="1" ht="12.75" customHeight="1"/>
    <row r="1665" s="1218" customFormat="1" ht="12.75" customHeight="1"/>
    <row r="1666" s="1218" customFormat="1" ht="12.75" customHeight="1"/>
    <row r="1667" s="1218" customFormat="1" ht="12.75" customHeight="1"/>
    <row r="1668" s="1218" customFormat="1" ht="12.75" customHeight="1"/>
    <row r="1669" s="1218" customFormat="1" ht="12.75" customHeight="1"/>
    <row r="1670" s="1218" customFormat="1" ht="12.75" customHeight="1"/>
    <row r="1671" s="1218" customFormat="1" ht="12.75" customHeight="1"/>
    <row r="1672" s="1218" customFormat="1" ht="12.75" customHeight="1"/>
    <row r="1673" s="1218" customFormat="1" ht="12.75" customHeight="1"/>
    <row r="1674" s="1218" customFormat="1" ht="12.75" customHeight="1"/>
    <row r="1675" s="1218" customFormat="1" ht="12.75" customHeight="1"/>
    <row r="1676" s="1218" customFormat="1" ht="12.75" customHeight="1"/>
    <row r="1677" s="1218" customFormat="1" ht="12.75" customHeight="1"/>
    <row r="1678" s="1218" customFormat="1" ht="12.75" customHeight="1"/>
    <row r="1679" s="1218" customFormat="1" ht="12.75" customHeight="1"/>
    <row r="1680" s="1218" customFormat="1" ht="12.75" customHeight="1"/>
    <row r="1681" s="1218" customFormat="1" ht="12.75" customHeight="1"/>
    <row r="1682" s="1218" customFormat="1" ht="12.75" customHeight="1"/>
    <row r="1683" s="1218" customFormat="1" ht="12.75" customHeight="1"/>
    <row r="1684" s="1218" customFormat="1" ht="12.75" customHeight="1"/>
    <row r="1685" s="1218" customFormat="1" ht="12.75" customHeight="1"/>
    <row r="1686" s="1218" customFormat="1" ht="12.75" customHeight="1"/>
    <row r="1687" s="1218" customFormat="1" ht="12.75" customHeight="1"/>
    <row r="1688" s="1218" customFormat="1" ht="12.75" customHeight="1"/>
    <row r="1689" s="1218" customFormat="1" ht="12.75" customHeight="1"/>
    <row r="1690" s="1218" customFormat="1" ht="12.75" customHeight="1"/>
    <row r="1691" s="1218" customFormat="1" ht="12.75" customHeight="1"/>
    <row r="1692" s="1218" customFormat="1" ht="12.75" customHeight="1"/>
    <row r="1693" s="1218" customFormat="1" ht="12.75" customHeight="1"/>
    <row r="1694" s="1218" customFormat="1" ht="12.75" customHeight="1"/>
    <row r="1695" s="1218" customFormat="1" ht="12.75" customHeight="1"/>
    <row r="1696" s="1218" customFormat="1" ht="12.75" customHeight="1"/>
    <row r="1697" s="1218" customFormat="1" ht="12.75" customHeight="1"/>
    <row r="1698" s="1218" customFormat="1" ht="12.75" customHeight="1"/>
    <row r="1699" s="1218" customFormat="1" ht="12.75" customHeight="1"/>
    <row r="1700" s="1218" customFormat="1" ht="12.75" customHeight="1"/>
    <row r="1701" s="1218" customFormat="1" ht="12.75" customHeight="1"/>
    <row r="1702" s="1218" customFormat="1" ht="12.75" customHeight="1"/>
    <row r="1703" s="1218" customFormat="1" ht="12.75" customHeight="1"/>
    <row r="1704" s="1218" customFormat="1" ht="12.75" customHeight="1"/>
    <row r="1705" s="1218" customFormat="1" ht="12.75" customHeight="1"/>
    <row r="1706" s="1218" customFormat="1" ht="12.75" customHeight="1"/>
    <row r="1707" s="1218" customFormat="1" ht="12.75" customHeight="1"/>
    <row r="1708" s="1218" customFormat="1" ht="12.75" customHeight="1"/>
    <row r="1709" s="1218" customFormat="1" ht="12.75" customHeight="1"/>
    <row r="1710" s="1218" customFormat="1" ht="12.75" customHeight="1"/>
    <row r="1711" s="1218" customFormat="1" ht="12.75" customHeight="1"/>
    <row r="1712" s="1218" customFormat="1" ht="12.75" customHeight="1"/>
    <row r="1713" s="1218" customFormat="1" ht="12.75" customHeight="1"/>
    <row r="1714" s="1218" customFormat="1" ht="12.75" customHeight="1"/>
    <row r="1715" s="1218" customFormat="1" ht="12.75" customHeight="1"/>
    <row r="1716" s="1218" customFormat="1" ht="12.75" customHeight="1"/>
    <row r="1717" s="1218" customFormat="1" ht="12.75" customHeight="1"/>
    <row r="1718" s="1218" customFormat="1" ht="12.75" customHeight="1"/>
    <row r="1719" s="1218" customFormat="1" ht="12.75" customHeight="1"/>
    <row r="1720" s="1218" customFormat="1" ht="12.75" customHeight="1"/>
    <row r="1721" s="1218" customFormat="1" ht="12.75" customHeight="1"/>
    <row r="1722" s="1218" customFormat="1" ht="12.75" customHeight="1"/>
    <row r="1723" s="1218" customFormat="1" ht="12.75" customHeight="1"/>
    <row r="1724" s="1218" customFormat="1" ht="12.75" customHeight="1"/>
    <row r="1725" s="1218" customFormat="1" ht="12.75" customHeight="1"/>
    <row r="1726" s="1218" customFormat="1" ht="12.75" customHeight="1"/>
    <row r="1727" s="1218" customFormat="1" ht="12.75" customHeight="1"/>
    <row r="1728" s="1218" customFormat="1" ht="12.75" customHeight="1"/>
    <row r="1729" s="1218" customFormat="1" ht="12.75" customHeight="1"/>
    <row r="1730" s="1218" customFormat="1" ht="12.75" customHeight="1"/>
    <row r="1731" s="1218" customFormat="1" ht="12.75" customHeight="1"/>
    <row r="1732" s="1218" customFormat="1" ht="12.75" customHeight="1"/>
    <row r="1733" s="1218" customFormat="1" ht="12.75" customHeight="1"/>
    <row r="1734" s="1218" customFormat="1" ht="12.75" customHeight="1"/>
    <row r="1735" s="1218" customFormat="1" ht="12.75" customHeight="1"/>
    <row r="1736" s="1218" customFormat="1" ht="12.75" customHeight="1"/>
    <row r="1737" s="1218" customFormat="1" ht="12.75" customHeight="1"/>
    <row r="1738" s="1218" customFormat="1" ht="12.75" customHeight="1"/>
    <row r="1739" s="1218" customFormat="1" ht="12.75" customHeight="1"/>
    <row r="1740" s="1218" customFormat="1" ht="12.75" customHeight="1"/>
    <row r="1741" s="1218" customFormat="1" ht="12.75" customHeight="1"/>
    <row r="1742" s="1218" customFormat="1" ht="12.75" customHeight="1"/>
    <row r="1743" s="1218" customFormat="1" ht="12.75" customHeight="1"/>
    <row r="1744" s="1218" customFormat="1" ht="12.75" customHeight="1"/>
    <row r="1745" s="1218" customFormat="1" ht="12.75" customHeight="1"/>
    <row r="1746" s="1218" customFormat="1" ht="12.75" customHeight="1"/>
    <row r="1747" s="1218" customFormat="1" ht="12.75" customHeight="1"/>
    <row r="1748" s="1218" customFormat="1" ht="12.75" customHeight="1"/>
    <row r="1749" s="1218" customFormat="1" ht="12.75" customHeight="1"/>
    <row r="1750" s="1218" customFormat="1" ht="12.75" customHeight="1"/>
    <row r="1751" s="1218" customFormat="1" ht="12.75" customHeight="1"/>
    <row r="1752" s="1218" customFormat="1" ht="12.75" customHeight="1"/>
    <row r="1753" s="1218" customFormat="1" ht="12.75" customHeight="1"/>
    <row r="1754" s="1218" customFormat="1" ht="12.75" customHeight="1"/>
    <row r="1755" s="1218" customFormat="1" ht="12.75" customHeight="1"/>
    <row r="1756" s="1218" customFormat="1" ht="12.75" customHeight="1"/>
    <row r="1757" s="1218" customFormat="1" ht="12.75" customHeight="1"/>
    <row r="1758" s="1218" customFormat="1" ht="12.75" customHeight="1"/>
    <row r="1759" s="1218" customFormat="1" ht="12.75" customHeight="1"/>
    <row r="1760" s="1218" customFormat="1" ht="12.75" customHeight="1"/>
    <row r="1761" s="1218" customFormat="1" ht="12.75" customHeight="1"/>
    <row r="1762" s="1218" customFormat="1" ht="12.75" customHeight="1"/>
    <row r="1763" s="1218" customFormat="1" ht="12.75" customHeight="1"/>
    <row r="1764" s="1218" customFormat="1" ht="12.75" customHeight="1"/>
    <row r="1765" s="1218" customFormat="1" ht="12.75" customHeight="1"/>
    <row r="1766" s="1218" customFormat="1" ht="12.75" customHeight="1"/>
    <row r="1767" s="1218" customFormat="1" ht="12.75" customHeight="1"/>
    <row r="1768" s="1218" customFormat="1" ht="12.75" customHeight="1"/>
    <row r="1769" s="1218" customFormat="1" ht="12.75" customHeight="1"/>
    <row r="1770" s="1218" customFormat="1" ht="12.75" customHeight="1"/>
    <row r="1771" s="1218" customFormat="1" ht="12.75" customHeight="1"/>
    <row r="1772" s="1218" customFormat="1" ht="12.75" customHeight="1"/>
    <row r="1773" s="1218" customFormat="1" ht="12.75" customHeight="1"/>
    <row r="1774" s="1218" customFormat="1" ht="12.75" customHeight="1"/>
    <row r="1775" s="1218" customFormat="1" ht="12.75" customHeight="1"/>
    <row r="1776" s="1218" customFormat="1" ht="12.75" customHeight="1"/>
    <row r="1777" s="1218" customFormat="1" ht="12.75" customHeight="1"/>
    <row r="1778" s="1218" customFormat="1" ht="12.75" customHeight="1"/>
    <row r="1779" s="1218" customFormat="1" ht="12.75" customHeight="1"/>
    <row r="1780" s="1218" customFormat="1" ht="12.75" customHeight="1"/>
    <row r="1781" s="1218" customFormat="1" ht="12.75" customHeight="1"/>
    <row r="1782" s="1218" customFormat="1" ht="12.75" customHeight="1"/>
    <row r="1783" s="1218" customFormat="1" ht="12.75" customHeight="1"/>
    <row r="1784" s="1218" customFormat="1" ht="12.75" customHeight="1"/>
    <row r="1785" s="1218" customFormat="1" ht="12.75" customHeight="1"/>
    <row r="1786" s="1218" customFormat="1" ht="12.75" customHeight="1"/>
    <row r="1787" s="1218" customFormat="1" ht="12.75" customHeight="1"/>
    <row r="1788" s="1218" customFormat="1" ht="12.75" customHeight="1"/>
    <row r="1789" s="1218" customFormat="1" ht="12.75" customHeight="1"/>
    <row r="1790" s="1218" customFormat="1" ht="12.75" customHeight="1"/>
    <row r="1791" s="1218" customFormat="1" ht="12.75" customHeight="1"/>
    <row r="1792" s="1218" customFormat="1" ht="12.75" customHeight="1"/>
    <row r="1793" s="1218" customFormat="1" ht="12.75" customHeight="1"/>
    <row r="1794" s="1218" customFormat="1" ht="12.75" customHeight="1"/>
    <row r="1795" s="1218" customFormat="1" ht="12.75" customHeight="1"/>
    <row r="1796" s="1218" customFormat="1" ht="12.75" customHeight="1"/>
    <row r="1797" s="1218" customFormat="1" ht="12.75" customHeight="1"/>
    <row r="1798" s="1218" customFormat="1" ht="12.75" customHeight="1"/>
    <row r="1799" s="1218" customFormat="1" ht="12.75" customHeight="1"/>
    <row r="1800" s="1218" customFormat="1" ht="12.75" customHeight="1"/>
    <row r="1801" s="1218" customFormat="1" ht="12.75" customHeight="1"/>
    <row r="1802" s="1218" customFormat="1" ht="12.75" customHeight="1"/>
    <row r="1803" s="1218" customFormat="1" ht="12.75" customHeight="1"/>
    <row r="1804" s="1218" customFormat="1" ht="12.75" customHeight="1"/>
    <row r="1805" s="1218" customFormat="1" ht="12.75" customHeight="1"/>
    <row r="1806" s="1218" customFormat="1" ht="12.75" customHeight="1"/>
    <row r="1807" s="1218" customFormat="1" ht="12.75" customHeight="1"/>
    <row r="1808" s="1218" customFormat="1" ht="12.75" customHeight="1"/>
    <row r="1809" s="1218" customFormat="1" ht="12.75" customHeight="1"/>
    <row r="1810" s="1218" customFormat="1" ht="12.75" customHeight="1"/>
    <row r="1811" s="1218" customFormat="1" ht="12.75" customHeight="1"/>
    <row r="1812" s="1218" customFormat="1" ht="12.75" customHeight="1"/>
    <row r="1813" s="1218" customFormat="1" ht="12.75" customHeight="1"/>
    <row r="1814" s="1218" customFormat="1" ht="12.75" customHeight="1"/>
    <row r="1815" s="1218" customFormat="1" ht="12.75" customHeight="1"/>
    <row r="1816" s="1218" customFormat="1" ht="12.75" customHeight="1"/>
    <row r="1817" s="1218" customFormat="1" ht="12.75" customHeight="1"/>
    <row r="1818" s="1218" customFormat="1" ht="12.75" customHeight="1"/>
    <row r="1819" s="1218" customFormat="1" ht="12.75" customHeight="1"/>
    <row r="1820" s="1218" customFormat="1" ht="12.75" customHeight="1"/>
    <row r="1821" s="1218" customFormat="1" ht="12.75" customHeight="1"/>
    <row r="1822" s="1218" customFormat="1" ht="12.75" customHeight="1"/>
    <row r="1823" s="1218" customFormat="1" ht="12.75" customHeight="1"/>
    <row r="1824" s="1218" customFormat="1" ht="12.75" customHeight="1"/>
    <row r="1825" s="1218" customFormat="1" ht="12.75" customHeight="1"/>
    <row r="1826" s="1218" customFormat="1" ht="12.75" customHeight="1"/>
    <row r="1827" s="1218" customFormat="1" ht="12.75" customHeight="1"/>
    <row r="1828" s="1218" customFormat="1" ht="12.75" customHeight="1"/>
    <row r="1829" s="1218" customFormat="1" ht="12.75" customHeight="1"/>
    <row r="1830" s="1218" customFormat="1" ht="12.75" customHeight="1"/>
    <row r="1831" s="1218" customFormat="1" ht="12.75" customHeight="1"/>
    <row r="1832" s="1218" customFormat="1" ht="12.75" customHeight="1"/>
    <row r="1833" s="1218" customFormat="1" ht="12.75" customHeight="1"/>
    <row r="1834" s="1218" customFormat="1" ht="12.75" customHeight="1"/>
    <row r="1835" s="1218" customFormat="1" ht="12.75" customHeight="1"/>
    <row r="1836" s="1218" customFormat="1" ht="12.75" customHeight="1"/>
    <row r="1837" s="1218" customFormat="1" ht="12.75" customHeight="1"/>
    <row r="1838" s="1218" customFormat="1" ht="12.75" customHeight="1"/>
    <row r="1839" s="1218" customFormat="1" ht="12.75" customHeight="1"/>
    <row r="1840" s="1218" customFormat="1" ht="12.75" customHeight="1"/>
    <row r="1841" s="1218" customFormat="1" ht="12.75" customHeight="1"/>
    <row r="1842" s="1218" customFormat="1" ht="12.75" customHeight="1"/>
    <row r="1843" s="1218" customFormat="1" ht="12.75" customHeight="1"/>
    <row r="1844" s="1218" customFormat="1" ht="12.75" customHeight="1"/>
    <row r="1845" s="1218" customFormat="1" ht="12.75" customHeight="1"/>
    <row r="1846" s="1218" customFormat="1" ht="12.75" customHeight="1"/>
    <row r="1847" s="1218" customFormat="1" ht="12.75" customHeight="1"/>
    <row r="1848" s="1218" customFormat="1" ht="12.75" customHeight="1"/>
    <row r="1849" s="1218" customFormat="1" ht="12.75" customHeight="1"/>
    <row r="1850" s="1218" customFormat="1" ht="12.75" customHeight="1"/>
    <row r="1851" s="1218" customFormat="1" ht="12.75" customHeight="1"/>
    <row r="1852" s="1218" customFormat="1" ht="12.75" customHeight="1"/>
    <row r="1853" s="1218" customFormat="1" ht="12.75" customHeight="1"/>
    <row r="1854" s="1218" customFormat="1" ht="12.75" customHeight="1"/>
    <row r="1855" s="1218" customFormat="1" ht="12.75" customHeight="1"/>
    <row r="1856" s="1218" customFormat="1" ht="12.75" customHeight="1"/>
    <row r="1857" s="1218" customFormat="1" ht="12.75" customHeight="1"/>
    <row r="1858" s="1218" customFormat="1" ht="12.75" customHeight="1"/>
    <row r="1859" s="1218" customFormat="1" ht="12.75" customHeight="1"/>
    <row r="1860" s="1218" customFormat="1" ht="12.75" customHeight="1"/>
    <row r="1861" s="1218" customFormat="1" ht="12.75" customHeight="1"/>
    <row r="1862" s="1218" customFormat="1" ht="12.75" customHeight="1"/>
    <row r="1863" s="1218" customFormat="1" ht="12.75" customHeight="1"/>
    <row r="1864" s="1218" customFormat="1" ht="12.75" customHeight="1"/>
    <row r="1865" s="1218" customFormat="1" ht="12.75" customHeight="1"/>
    <row r="1866" s="1218" customFormat="1" ht="12.75" customHeight="1"/>
    <row r="1867" s="1218" customFormat="1" ht="12.75" customHeight="1"/>
    <row r="1868" s="1218" customFormat="1" ht="12.75" customHeight="1"/>
    <row r="1869" s="1218" customFormat="1" ht="12.75" customHeight="1"/>
    <row r="1870" s="1218" customFormat="1" ht="12.75" customHeight="1"/>
    <row r="1871" s="1218" customFormat="1" ht="12.75" customHeight="1"/>
    <row r="1872" s="1218" customFormat="1" ht="12.75" customHeight="1"/>
    <row r="1873" s="1218" customFormat="1" ht="12.75" customHeight="1"/>
    <row r="1874" s="1218" customFormat="1" ht="12.75" customHeight="1"/>
    <row r="1875" s="1218" customFormat="1" ht="12.75" customHeight="1"/>
    <row r="1876" s="1218" customFormat="1" ht="12.75" customHeight="1"/>
    <row r="1877" s="1218" customFormat="1" ht="12.75" customHeight="1"/>
    <row r="1878" s="1218" customFormat="1" ht="12.75" customHeight="1"/>
    <row r="1879" s="1218" customFormat="1" ht="12.75" customHeight="1"/>
    <row r="1880" s="1218" customFormat="1" ht="12.75" customHeight="1"/>
    <row r="1881" s="1218" customFormat="1" ht="12.75" customHeight="1"/>
    <row r="1882" s="1218" customFormat="1" ht="12.75" customHeight="1"/>
    <row r="1883" s="1218" customFormat="1" ht="12.75" customHeight="1"/>
    <row r="1884" s="1218" customFormat="1" ht="12.75" customHeight="1"/>
    <row r="1885" s="1218" customFormat="1" ht="12.75" customHeight="1"/>
    <row r="1886" s="1218" customFormat="1" ht="12.75" customHeight="1"/>
    <row r="1887" s="1218" customFormat="1" ht="12.75" customHeight="1"/>
    <row r="1888" s="1218" customFormat="1" ht="12.75" customHeight="1"/>
    <row r="1889" s="1218" customFormat="1" ht="12.75" customHeight="1"/>
    <row r="1890" s="1218" customFormat="1" ht="12.75" customHeight="1"/>
    <row r="1891" s="1218" customFormat="1" ht="12.75" customHeight="1"/>
    <row r="1892" s="1218" customFormat="1" ht="12.75" customHeight="1"/>
    <row r="1893" s="1218" customFormat="1" ht="12.75" customHeight="1"/>
    <row r="1894" s="1218" customFormat="1" ht="12.75" customHeight="1"/>
    <row r="1895" s="1218" customFormat="1" ht="12.75" customHeight="1"/>
    <row r="1896" s="1218" customFormat="1" ht="12.75" customHeight="1"/>
    <row r="1897" s="1218" customFormat="1" ht="12.75" customHeight="1"/>
    <row r="1898" s="1218" customFormat="1" ht="12.75" customHeight="1"/>
    <row r="1899" s="1218" customFormat="1" ht="12.75" customHeight="1"/>
    <row r="1900" s="1218" customFormat="1" ht="12.75" customHeight="1"/>
    <row r="1901" s="1218" customFormat="1" ht="12.75" customHeight="1"/>
    <row r="1902" s="1218" customFormat="1" ht="12.75" customHeight="1"/>
    <row r="1903" s="1218" customFormat="1" ht="12.75" customHeight="1"/>
    <row r="1904" s="1218" customFormat="1" ht="12.75" customHeight="1"/>
    <row r="1905" s="1218" customFormat="1" ht="12.75" customHeight="1"/>
    <row r="1906" s="1218" customFormat="1" ht="12.75" customHeight="1"/>
    <row r="1907" s="1218" customFormat="1" ht="12.75" customHeight="1"/>
    <row r="1908" s="1218" customFormat="1" ht="12.75" customHeight="1"/>
    <row r="1909" s="1218" customFormat="1" ht="12.75" customHeight="1"/>
    <row r="1910" s="1218" customFormat="1" ht="12.75" customHeight="1"/>
    <row r="1911" s="1218" customFormat="1" ht="12.75" customHeight="1"/>
    <row r="1912" s="1218" customFormat="1" ht="12.75" customHeight="1"/>
  </sheetData>
  <mergeCells count="44">
    <mergeCell ref="V88:Y88"/>
    <mergeCell ref="Z88:AC88"/>
    <mergeCell ref="AD88:AG88"/>
    <mergeCell ref="AH88:AK88"/>
    <mergeCell ref="AL88:AO88"/>
    <mergeCell ref="AP88:AS88"/>
    <mergeCell ref="Z64:AC64"/>
    <mergeCell ref="AD64:AG64"/>
    <mergeCell ref="AH64:AK64"/>
    <mergeCell ref="AL64:AO64"/>
    <mergeCell ref="AP64:AS64"/>
    <mergeCell ref="B88:E88"/>
    <mergeCell ref="F88:I88"/>
    <mergeCell ref="J88:M88"/>
    <mergeCell ref="N88:Q88"/>
    <mergeCell ref="R88:U88"/>
    <mergeCell ref="B64:E64"/>
    <mergeCell ref="F64:I64"/>
    <mergeCell ref="J64:M64"/>
    <mergeCell ref="N64:Q64"/>
    <mergeCell ref="R64:U64"/>
    <mergeCell ref="V64:Y64"/>
    <mergeCell ref="V28:Y28"/>
    <mergeCell ref="Z28:AC28"/>
    <mergeCell ref="AD28:AG28"/>
    <mergeCell ref="AH28:AK28"/>
    <mergeCell ref="AL28:AO28"/>
    <mergeCell ref="AP28:AS28"/>
    <mergeCell ref="Z3:AC3"/>
    <mergeCell ref="AD3:AG3"/>
    <mergeCell ref="AH3:AK3"/>
    <mergeCell ref="AL3:AO3"/>
    <mergeCell ref="AP3:AS3"/>
    <mergeCell ref="B28:E28"/>
    <mergeCell ref="F28:I28"/>
    <mergeCell ref="J28:M28"/>
    <mergeCell ref="N28:Q28"/>
    <mergeCell ref="R28:U28"/>
    <mergeCell ref="V3:Y3"/>
    <mergeCell ref="B3:E3"/>
    <mergeCell ref="F3:I3"/>
    <mergeCell ref="J3:M3"/>
    <mergeCell ref="N3:Q3"/>
    <mergeCell ref="R3:U3"/>
  </mergeCells>
  <pageMargins left="0.7" right="0.7" top="0.75" bottom="0.75" header="0.3" footer="0.3"/>
  <pageSetup scale="53" orientation="portrait" r:id="rId1"/>
  <rowBreaks count="1" manualBreakCount="1">
    <brk id="86" max="47"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926F-42AD-4111-A038-F47806F91151}">
  <sheetPr>
    <tabColor rgb="FF008000"/>
    <pageSetUpPr fitToPage="1"/>
  </sheetPr>
  <dimension ref="A1:BM100"/>
  <sheetViews>
    <sheetView showGridLines="0" zoomScaleNormal="100" workbookViewId="0">
      <pane xSplit="1" ySplit="4" topLeftCell="AD20" activePane="bottomRight" state="frozen"/>
      <selection activeCell="N24" sqref="N24"/>
      <selection pane="topRight" activeCell="N24" sqref="N24"/>
      <selection pane="bottomLeft" activeCell="N24" sqref="N24"/>
      <selection pane="bottomRight" activeCell="N24" sqref="N24"/>
    </sheetView>
  </sheetViews>
  <sheetFormatPr defaultColWidth="6.86328125" defaultRowHeight="12.75" outlineLevelRow="1" outlineLevelCol="1"/>
  <cols>
    <col min="1" max="1" width="40" style="33" customWidth="1"/>
    <col min="2" max="17" width="8.86328125" style="454" hidden="1" customWidth="1" outlineLevel="1"/>
    <col min="18" max="18" width="8.86328125" style="454" hidden="1" customWidth="1" outlineLevel="1" collapsed="1"/>
    <col min="19" max="25" width="8.86328125" style="454" hidden="1" customWidth="1" outlineLevel="1"/>
    <col min="26" max="26" width="8.86328125" style="454" hidden="1" customWidth="1" outlineLevel="1" collapsed="1"/>
    <col min="27" max="29" width="8.86328125" style="454" hidden="1" customWidth="1" outlineLevel="1"/>
    <col min="30" max="30" width="8.86328125" style="454" customWidth="1" collapsed="1"/>
    <col min="31" max="45" width="8.86328125" style="454" customWidth="1"/>
    <col min="46" max="46" width="2.59765625" style="454" customWidth="1"/>
    <col min="47" max="47" width="9.1328125" style="454" hidden="1" customWidth="1" outlineLevel="1" collapsed="1"/>
    <col min="48" max="50" width="9.1328125" style="454" hidden="1" customWidth="1" outlineLevel="1"/>
    <col min="51" max="51" width="9.1328125" style="454" hidden="1" customWidth="1" outlineLevel="1" collapsed="1"/>
    <col min="52" max="52" width="9.1328125" style="454" hidden="1" customWidth="1" outlineLevel="1"/>
    <col min="53" max="53" width="9.1328125" style="454" hidden="1" customWidth="1" outlineLevel="1" collapsed="1"/>
    <col min="54" max="54" width="9.1328125" style="454" customWidth="1" collapsed="1"/>
    <col min="55" max="57" width="9.1328125" style="454" customWidth="1"/>
    <col min="58" max="59" width="6.86328125" style="454"/>
    <col min="61" max="16384" width="6.86328125" style="454"/>
  </cols>
  <sheetData>
    <row r="1" spans="1:58" s="33" customFormat="1" ht="15.75">
      <c r="A1" s="28" t="str">
        <f>+'Income Statement'!A1</f>
        <v>Tenable Holdings, Inc. (TENB)</v>
      </c>
    </row>
    <row r="2" spans="1:58" s="33" customFormat="1" ht="15.75">
      <c r="A2" s="28" t="s">
        <v>233</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6"/>
      <c r="AU2" s="39">
        <f>+'Income Statement'!AU2</f>
        <v>2017</v>
      </c>
      <c r="AV2" s="39">
        <f>+'Income Statement'!AV2</f>
        <v>2018</v>
      </c>
      <c r="AW2" s="39">
        <f>+'Income Statement'!AW2</f>
        <v>2019</v>
      </c>
      <c r="AX2" s="39">
        <f>+'Income Statement'!AX2</f>
        <v>2020</v>
      </c>
      <c r="AY2" s="39">
        <f>+'Income Statement'!AY2</f>
        <v>2021</v>
      </c>
      <c r="AZ2" s="39">
        <f>+'Income Statement'!AZ2</f>
        <v>2022</v>
      </c>
      <c r="BA2" s="39">
        <f>+'Income Statement'!BA2</f>
        <v>2023</v>
      </c>
      <c r="BB2" s="39">
        <f>+'Income Statement'!BB2</f>
        <v>2024</v>
      </c>
      <c r="BC2" s="39">
        <f>+'Income Statement'!BC2</f>
        <v>2025</v>
      </c>
      <c r="BD2" s="39">
        <f>+'Income Statement'!BD2</f>
        <v>2026</v>
      </c>
      <c r="BE2" s="39">
        <f>+'Income Statement'!BE2</f>
        <v>2027</v>
      </c>
    </row>
    <row r="3" spans="1:58" s="45" customFormat="1" ht="12" customHeight="1">
      <c r="A3" s="1219"/>
      <c r="B3" s="1733">
        <f>'Income Statement'!B$3</f>
        <v>2017</v>
      </c>
      <c r="C3" s="1733"/>
      <c r="D3" s="1733"/>
      <c r="E3" s="1734"/>
      <c r="F3" s="1733">
        <f>'Income Statement'!F$3</f>
        <v>2018</v>
      </c>
      <c r="G3" s="1733"/>
      <c r="H3" s="1733"/>
      <c r="I3" s="1733"/>
      <c r="J3" s="1726">
        <f>'Income Statement'!J$3</f>
        <v>2019</v>
      </c>
      <c r="K3" s="1733"/>
      <c r="L3" s="1733"/>
      <c r="M3" s="1734"/>
      <c r="N3" s="1726">
        <f>'Income Statement'!N$3</f>
        <v>2020</v>
      </c>
      <c r="O3" s="1733"/>
      <c r="P3" s="1733"/>
      <c r="Q3" s="1734"/>
      <c r="R3" s="1733">
        <f>'Income Statement'!R$3</f>
        <v>2021</v>
      </c>
      <c r="S3" s="1733"/>
      <c r="T3" s="1733"/>
      <c r="U3" s="1733"/>
      <c r="V3" s="1726">
        <f>'Income Statement'!V$3</f>
        <v>2022</v>
      </c>
      <c r="W3" s="1733"/>
      <c r="X3" s="1733"/>
      <c r="Y3" s="1734"/>
      <c r="Z3" s="1726">
        <f>'Income Statement'!Z$3</f>
        <v>2023</v>
      </c>
      <c r="AA3" s="1733"/>
      <c r="AB3" s="1733"/>
      <c r="AC3" s="1734"/>
      <c r="AD3" s="1726">
        <f>'Income Statement'!AD$3</f>
        <v>2024</v>
      </c>
      <c r="AE3" s="1733"/>
      <c r="AF3" s="1733"/>
      <c r="AG3" s="1734"/>
      <c r="AH3" s="1726">
        <f>'Income Statement'!AH$3</f>
        <v>2025</v>
      </c>
      <c r="AI3" s="1733"/>
      <c r="AJ3" s="1733"/>
      <c r="AK3" s="1734"/>
      <c r="AL3" s="1726">
        <f>'Income Statement'!AL$3</f>
        <v>2026</v>
      </c>
      <c r="AM3" s="1733"/>
      <c r="AN3" s="1733"/>
      <c r="AO3" s="1734"/>
      <c r="AP3" s="1726">
        <f>'Income Statement'!AP$3</f>
        <v>2027</v>
      </c>
      <c r="AQ3" s="1733"/>
      <c r="AR3" s="1733"/>
      <c r="AS3" s="1734"/>
      <c r="AT3" s="41"/>
      <c r="AU3" s="750"/>
      <c r="AV3" s="750"/>
      <c r="AW3" s="750"/>
      <c r="AX3" s="750"/>
      <c r="AY3" s="750"/>
      <c r="AZ3" s="750"/>
      <c r="BA3" s="652"/>
      <c r="BB3" s="750"/>
      <c r="BC3" s="750"/>
      <c r="BD3" s="750"/>
      <c r="BE3" s="653"/>
    </row>
    <row r="4" spans="1:58" s="62" customFormat="1" ht="12" customHeight="1">
      <c r="A4" s="654" t="str">
        <f>'Income Statement'!A4</f>
        <v>($ in millions, unless otherwise stated)</v>
      </c>
      <c r="B4" s="48">
        <f>'Income Statement'!B$4</f>
        <v>42825</v>
      </c>
      <c r="C4" s="48">
        <f>'Income Statement'!C$4</f>
        <v>42916</v>
      </c>
      <c r="D4" s="48">
        <f>'Income Statement'!D$4</f>
        <v>43008</v>
      </c>
      <c r="E4" s="50">
        <f>'Income Statement'!E$4</f>
        <v>43100</v>
      </c>
      <c r="F4" s="48">
        <f>'Income Statement'!F$4</f>
        <v>43190</v>
      </c>
      <c r="G4" s="48">
        <f>'Income Statement'!G$4</f>
        <v>43281</v>
      </c>
      <c r="H4" s="48">
        <f>'Income Statement'!H$4</f>
        <v>43373</v>
      </c>
      <c r="I4" s="48">
        <f>'Income Statement'!I$4</f>
        <v>43465</v>
      </c>
      <c r="J4" s="655">
        <f>'Income Statement'!J$4</f>
        <v>43555</v>
      </c>
      <c r="K4" s="48">
        <f>'Income Statement'!K$4</f>
        <v>43646</v>
      </c>
      <c r="L4" s="48">
        <f>'Income Statement'!L$4</f>
        <v>43738</v>
      </c>
      <c r="M4" s="50">
        <f>'Income Statement'!M$4</f>
        <v>43830</v>
      </c>
      <c r="N4" s="655">
        <f>'Income Statement'!N$4</f>
        <v>43921</v>
      </c>
      <c r="O4" s="48">
        <f>'Income Statement'!O$4</f>
        <v>44012</v>
      </c>
      <c r="P4" s="48">
        <f>'Income Statement'!P$4</f>
        <v>44104</v>
      </c>
      <c r="Q4" s="50">
        <f>'Income Statement'!Q$4</f>
        <v>44196</v>
      </c>
      <c r="R4" s="48">
        <f>'Income Statement'!R$4</f>
        <v>44286</v>
      </c>
      <c r="S4" s="48">
        <f>'Income Statement'!S$4</f>
        <v>44377</v>
      </c>
      <c r="T4" s="48">
        <f>'Income Statement'!T$4</f>
        <v>44469</v>
      </c>
      <c r="U4" s="48">
        <f>'Income Statement'!U$4</f>
        <v>44561</v>
      </c>
      <c r="V4" s="655">
        <f>'Income Statement'!V$4</f>
        <v>44651</v>
      </c>
      <c r="W4" s="48">
        <f>'Income Statement'!W$4</f>
        <v>44742</v>
      </c>
      <c r="X4" s="48">
        <f>'Income Statement'!X$4</f>
        <v>44834</v>
      </c>
      <c r="Y4" s="50">
        <f>'Income Statement'!Y$4</f>
        <v>44926</v>
      </c>
      <c r="Z4" s="655">
        <f>'Income Statement'!Z$4</f>
        <v>45016</v>
      </c>
      <c r="AA4" s="48">
        <f>'Income Statement'!AA$4</f>
        <v>45107</v>
      </c>
      <c r="AB4" s="48">
        <f>'Income Statement'!AB$4</f>
        <v>45199</v>
      </c>
      <c r="AC4" s="50">
        <f>'Income Statement'!AC$4</f>
        <v>45291</v>
      </c>
      <c r="AD4" s="655">
        <f>'Income Statement'!AD$4</f>
        <v>45382</v>
      </c>
      <c r="AE4" s="48">
        <f>'Income Statement'!AE$4</f>
        <v>45473</v>
      </c>
      <c r="AF4" s="48" t="str">
        <f>'Income Statement'!AF$4</f>
        <v>Sep-24</v>
      </c>
      <c r="AG4" s="50" t="str">
        <f>'Income Statement'!AG$4</f>
        <v>Dec-24</v>
      </c>
      <c r="AH4" s="655" t="str">
        <f>'Income Statement'!AH$4</f>
        <v>Mar-25</v>
      </c>
      <c r="AI4" s="48" t="str">
        <f>'Income Statement'!AI$4</f>
        <v>Jun-25</v>
      </c>
      <c r="AJ4" s="48" t="str">
        <f>'Income Statement'!AJ$4</f>
        <v>Sep-25</v>
      </c>
      <c r="AK4" s="50" t="str">
        <f>'Income Statement'!AK$4</f>
        <v>Dec-25</v>
      </c>
      <c r="AL4" s="655" t="str">
        <f>'Income Statement'!AL$4</f>
        <v>Mar-26E</v>
      </c>
      <c r="AM4" s="48" t="str">
        <f>'Income Statement'!AM$4</f>
        <v>Jun-26E</v>
      </c>
      <c r="AN4" s="48" t="str">
        <f>'Income Statement'!AN$4</f>
        <v>Sep-26E</v>
      </c>
      <c r="AO4" s="50" t="str">
        <f>'Income Statement'!AO$4</f>
        <v>Dec-26E</v>
      </c>
      <c r="AP4" s="655" t="str">
        <f>'Income Statement'!AP$4</f>
        <v>Mar-27E</v>
      </c>
      <c r="AQ4" s="48" t="str">
        <f>'Income Statement'!AQ$4</f>
        <v>Jun-27E</v>
      </c>
      <c r="AR4" s="48" t="str">
        <f>'Income Statement'!AR$4</f>
        <v>Sep-27E</v>
      </c>
      <c r="AS4" s="50" t="str">
        <f>'Income Statement'!AS$4</f>
        <v>Dec-27E</v>
      </c>
      <c r="AT4" s="48"/>
      <c r="AU4" s="907">
        <f>'Income Statement'!AU$4</f>
        <v>2017</v>
      </c>
      <c r="AV4" s="907">
        <f>'Income Statement'!AV$4</f>
        <v>2018</v>
      </c>
      <c r="AW4" s="907">
        <f>'Income Statement'!AW$4</f>
        <v>2019</v>
      </c>
      <c r="AX4" s="907">
        <f>'Income Statement'!AX$4</f>
        <v>2020</v>
      </c>
      <c r="AY4" s="907" t="str">
        <f>'Income Statement'!AY$4</f>
        <v>CY21</v>
      </c>
      <c r="AZ4" s="906" t="str">
        <f>'Income Statement'!AZ$4</f>
        <v>CY22</v>
      </c>
      <c r="BA4" s="61" t="str">
        <f>'Income Statement'!BA$4</f>
        <v>CY23</v>
      </c>
      <c r="BB4" s="907" t="str">
        <f>'Income Statement'!BB$4</f>
        <v>CY24</v>
      </c>
      <c r="BC4" s="907" t="str">
        <f>'Income Statement'!BC$4</f>
        <v>CY25</v>
      </c>
      <c r="BD4" s="907" t="str">
        <f>'Income Statement'!BD$4</f>
        <v>CY26E</v>
      </c>
      <c r="BE4" s="907" t="str">
        <f>'Income Statement'!BE$4</f>
        <v>CY27E</v>
      </c>
    </row>
    <row r="5" spans="1:58" s="215" customFormat="1" ht="12" customHeight="1">
      <c r="A5" s="1220" t="s">
        <v>234</v>
      </c>
      <c r="B5" s="1221"/>
      <c r="C5" s="1221"/>
      <c r="D5" s="1221"/>
      <c r="E5" s="1222"/>
      <c r="F5" s="1221"/>
      <c r="G5" s="1221"/>
      <c r="H5" s="1221"/>
      <c r="I5" s="1221"/>
      <c r="J5" s="1223"/>
      <c r="K5" s="1221"/>
      <c r="L5" s="1221"/>
      <c r="M5" s="1222"/>
      <c r="N5" s="1223"/>
      <c r="O5" s="1221"/>
      <c r="P5" s="1221"/>
      <c r="Q5" s="1222"/>
      <c r="R5" s="1221"/>
      <c r="S5" s="1221"/>
      <c r="T5" s="1221"/>
      <c r="U5" s="1221"/>
      <c r="V5" s="1223"/>
      <c r="W5" s="1221"/>
      <c r="X5" s="1221"/>
      <c r="Y5" s="1222"/>
      <c r="Z5" s="1223"/>
      <c r="AA5" s="1221"/>
      <c r="AB5" s="1221"/>
      <c r="AC5" s="1222"/>
      <c r="AD5" s="1223"/>
      <c r="AE5" s="1221"/>
      <c r="AF5" s="1221"/>
      <c r="AG5" s="1224"/>
      <c r="AH5" s="1223"/>
      <c r="AI5" s="1221"/>
      <c r="AJ5" s="1221"/>
      <c r="AK5" s="1222"/>
      <c r="AL5" s="1223"/>
      <c r="AM5" s="1221"/>
      <c r="AN5" s="1221"/>
      <c r="AO5" s="1222"/>
      <c r="AP5" s="1223"/>
      <c r="AQ5" s="1221"/>
      <c r="AR5" s="1221"/>
      <c r="AS5" s="1222"/>
      <c r="AT5" s="1225"/>
      <c r="AU5" s="1226"/>
      <c r="AV5" s="1226"/>
      <c r="AW5" s="1226"/>
      <c r="AX5" s="1226"/>
      <c r="AY5" s="1226"/>
      <c r="AZ5" s="1227"/>
      <c r="BA5" s="1228"/>
      <c r="BB5" s="1226"/>
      <c r="BC5" s="1226"/>
      <c r="BD5" s="1229"/>
      <c r="BE5" s="1229"/>
    </row>
    <row r="6" spans="1:58" ht="12.75" customHeight="1">
      <c r="A6" s="1230" t="s">
        <v>235</v>
      </c>
      <c r="B6" s="1231"/>
      <c r="C6" s="1231"/>
      <c r="D6" s="1231"/>
      <c r="E6" s="1232">
        <v>27.21</v>
      </c>
      <c r="F6" s="1231">
        <v>26.423999999999999</v>
      </c>
      <c r="G6" s="1231">
        <v>23.655000000000001</v>
      </c>
      <c r="H6" s="1231">
        <v>253.02600000000001</v>
      </c>
      <c r="I6" s="1231">
        <v>165.11600000000001</v>
      </c>
      <c r="J6" s="1233">
        <v>167.96600000000001</v>
      </c>
      <c r="K6" s="1231">
        <v>185.66300000000001</v>
      </c>
      <c r="L6" s="1231">
        <v>171.303</v>
      </c>
      <c r="M6" s="1232">
        <v>74.363</v>
      </c>
      <c r="N6" s="1233">
        <v>107.76900000000001</v>
      </c>
      <c r="O6" s="1231">
        <v>136.46700000000001</v>
      </c>
      <c r="P6" s="1231">
        <v>141.387</v>
      </c>
      <c r="Q6" s="1232">
        <v>178.22300000000001</v>
      </c>
      <c r="R6" s="1231">
        <v>228.386</v>
      </c>
      <c r="S6" s="1231">
        <v>135.92699999999999</v>
      </c>
      <c r="T6" s="1231">
        <v>435.85399999999998</v>
      </c>
      <c r="U6" s="1231">
        <v>278</v>
      </c>
      <c r="V6" s="1233">
        <v>287.45499999999998</v>
      </c>
      <c r="W6" s="1231">
        <v>267.85899999999998</v>
      </c>
      <c r="X6" s="1231">
        <v>288.17899999999997</v>
      </c>
      <c r="Y6" s="1232">
        <v>300.86599999999999</v>
      </c>
      <c r="Z6" s="1233">
        <v>360.43400000000003</v>
      </c>
      <c r="AA6" s="1231">
        <v>376.05900000000003</v>
      </c>
      <c r="AB6" s="1231">
        <v>445.31599999999997</v>
      </c>
      <c r="AC6" s="1232">
        <v>237.13200000000001</v>
      </c>
      <c r="AD6" s="1233">
        <v>259.97699999999998</v>
      </c>
      <c r="AE6" s="1231">
        <v>233.46700000000001</v>
      </c>
      <c r="AF6" s="1231">
        <v>312.20699999999999</v>
      </c>
      <c r="AG6" s="1232">
        <v>328.64699999999999</v>
      </c>
      <c r="AH6" s="1233">
        <v>233.441</v>
      </c>
      <c r="AI6" s="1231">
        <v>175.02500000000001</v>
      </c>
      <c r="AJ6" s="1231">
        <v>171.852</v>
      </c>
      <c r="AK6" s="1232">
        <v>187.762</v>
      </c>
      <c r="AL6" s="1233">
        <f>AK6+'Cash Flow'!AL42</f>
        <v>260.82048215767668</v>
      </c>
      <c r="AM6" s="1231">
        <f>AL6+'Cash Flow'!AM42</f>
        <v>301.6400992661446</v>
      </c>
      <c r="AN6" s="1231">
        <f>AM6+'Cash Flow'!AN42</f>
        <v>354.3357139045242</v>
      </c>
      <c r="AO6" s="1232">
        <f>AN6+'Cash Flow'!AO42</f>
        <v>449.41875996708188</v>
      </c>
      <c r="AP6" s="1233">
        <f>AO6+'Cash Flow'!AP42</f>
        <v>526.62110289376415</v>
      </c>
      <c r="AQ6" s="1231">
        <f>AP6+'Cash Flow'!AQ42</f>
        <v>573.25010574510634</v>
      </c>
      <c r="AR6" s="1231">
        <f>AQ6+'Cash Flow'!AR42</f>
        <v>632.09771688781109</v>
      </c>
      <c r="AS6" s="1232">
        <f>AR6+'Cash Flow'!AS42</f>
        <v>736.42460647264045</v>
      </c>
      <c r="AT6" s="1231"/>
      <c r="AU6" s="1234">
        <f>E6</f>
        <v>27.21</v>
      </c>
      <c r="AV6" s="1234">
        <f>I6</f>
        <v>165.11600000000001</v>
      </c>
      <c r="AW6" s="1234">
        <f>M6</f>
        <v>74.363</v>
      </c>
      <c r="AX6" s="1234">
        <f>Q6</f>
        <v>178.22300000000001</v>
      </c>
      <c r="AY6" s="1234">
        <f>U6</f>
        <v>278</v>
      </c>
      <c r="AZ6" s="1235">
        <f>Y6</f>
        <v>300.86599999999999</v>
      </c>
      <c r="BA6" s="1236">
        <f>AC6</f>
        <v>237.13200000000001</v>
      </c>
      <c r="BB6" s="1234">
        <f>AG6</f>
        <v>328.64699999999999</v>
      </c>
      <c r="BC6" s="1234">
        <f>AK6</f>
        <v>187.762</v>
      </c>
      <c r="BD6" s="1237">
        <f>AO6</f>
        <v>449.41875996708188</v>
      </c>
      <c r="BE6" s="1237">
        <f t="shared" ref="BE6:BE11" si="0">AS6</f>
        <v>736.42460647264045</v>
      </c>
      <c r="BF6" s="1238"/>
    </row>
    <row r="7" spans="1:58" ht="12.75" customHeight="1">
      <c r="A7" s="1239" t="s">
        <v>236</v>
      </c>
      <c r="B7" s="1231"/>
      <c r="C7" s="1231"/>
      <c r="D7" s="1231"/>
      <c r="E7" s="1232">
        <v>0</v>
      </c>
      <c r="F7" s="1231">
        <v>0</v>
      </c>
      <c r="G7" s="1231">
        <v>0</v>
      </c>
      <c r="H7" s="1231">
        <v>34.125</v>
      </c>
      <c r="I7" s="1231">
        <v>118.119</v>
      </c>
      <c r="J7" s="1233">
        <v>131.01400000000001</v>
      </c>
      <c r="K7" s="1231">
        <v>111.301</v>
      </c>
      <c r="L7" s="1231">
        <v>125.333</v>
      </c>
      <c r="M7" s="1232">
        <v>137.904</v>
      </c>
      <c r="N7" s="1233">
        <v>118.92400000000001</v>
      </c>
      <c r="O7" s="1231">
        <v>105.634</v>
      </c>
      <c r="P7" s="1231">
        <v>127.72</v>
      </c>
      <c r="Q7" s="1232">
        <v>113.623</v>
      </c>
      <c r="R7" s="1231">
        <v>111.94499999999999</v>
      </c>
      <c r="S7" s="1231">
        <v>125.111</v>
      </c>
      <c r="T7" s="1231">
        <v>216.041</v>
      </c>
      <c r="U7" s="1231">
        <v>234.292</v>
      </c>
      <c r="V7" s="1233">
        <v>238.64500000000001</v>
      </c>
      <c r="W7" s="1231">
        <v>243.047</v>
      </c>
      <c r="X7" s="1231">
        <v>259.83199999999999</v>
      </c>
      <c r="Y7" s="1232">
        <v>266.56900000000002</v>
      </c>
      <c r="Z7" s="1233">
        <v>256.25299999999999</v>
      </c>
      <c r="AA7" s="1231">
        <v>269.48700000000002</v>
      </c>
      <c r="AB7" s="1231">
        <v>247.65799999999999</v>
      </c>
      <c r="AC7" s="1232">
        <v>236.84</v>
      </c>
      <c r="AD7" s="1233">
        <v>250.79400000000001</v>
      </c>
      <c r="AE7" s="1231">
        <v>253.536</v>
      </c>
      <c r="AF7" s="1231">
        <v>236.24199999999999</v>
      </c>
      <c r="AG7" s="1232">
        <v>248.547</v>
      </c>
      <c r="AH7" s="1233">
        <v>226.83600000000001</v>
      </c>
      <c r="AI7" s="1231">
        <v>211.489</v>
      </c>
      <c r="AJ7" s="1231">
        <v>211.71899999999999</v>
      </c>
      <c r="AK7" s="1232">
        <v>214.41900000000001</v>
      </c>
      <c r="AL7" s="1233">
        <f t="shared" ref="AL7:AS7" si="1">AK7</f>
        <v>214.41900000000001</v>
      </c>
      <c r="AM7" s="1231">
        <f t="shared" si="1"/>
        <v>214.41900000000001</v>
      </c>
      <c r="AN7" s="1231">
        <f t="shared" si="1"/>
        <v>214.41900000000001</v>
      </c>
      <c r="AO7" s="1232">
        <f t="shared" si="1"/>
        <v>214.41900000000001</v>
      </c>
      <c r="AP7" s="1233">
        <f t="shared" si="1"/>
        <v>214.41900000000001</v>
      </c>
      <c r="AQ7" s="1231">
        <f t="shared" si="1"/>
        <v>214.41900000000001</v>
      </c>
      <c r="AR7" s="1231">
        <f t="shared" si="1"/>
        <v>214.41900000000001</v>
      </c>
      <c r="AS7" s="1232">
        <f t="shared" si="1"/>
        <v>214.41900000000001</v>
      </c>
      <c r="AT7" s="1231"/>
      <c r="AU7" s="1234">
        <f t="shared" ref="AU7:AU11" si="2">E7</f>
        <v>0</v>
      </c>
      <c r="AV7" s="1234">
        <f t="shared" ref="AV7:AV11" si="3">I7</f>
        <v>118.119</v>
      </c>
      <c r="AW7" s="1234">
        <f t="shared" ref="AW7:AW11" si="4">M7</f>
        <v>137.904</v>
      </c>
      <c r="AX7" s="1234">
        <f t="shared" ref="AX7:AX11" si="5">Q7</f>
        <v>113.623</v>
      </c>
      <c r="AY7" s="1234">
        <f t="shared" ref="AY7:AY11" si="6">U7</f>
        <v>234.292</v>
      </c>
      <c r="AZ7" s="1235">
        <f t="shared" ref="AZ7:AZ11" si="7">Y7</f>
        <v>266.56900000000002</v>
      </c>
      <c r="BA7" s="1236">
        <f t="shared" ref="BA7:BA11" si="8">AC7</f>
        <v>236.84</v>
      </c>
      <c r="BB7" s="1234">
        <f t="shared" ref="BB7:BB19" si="9">AG7</f>
        <v>248.547</v>
      </c>
      <c r="BC7" s="1234">
        <f t="shared" ref="BC7:BC11" si="10">AK7</f>
        <v>214.41900000000001</v>
      </c>
      <c r="BD7" s="1237">
        <f t="shared" ref="BD7:BD11" si="11">AO7</f>
        <v>214.41900000000001</v>
      </c>
      <c r="BE7" s="1237">
        <f t="shared" si="0"/>
        <v>214.41900000000001</v>
      </c>
      <c r="BF7" s="1238"/>
    </row>
    <row r="8" spans="1:58" ht="12" customHeight="1">
      <c r="A8" s="1239" t="s">
        <v>237</v>
      </c>
      <c r="B8" s="1231"/>
      <c r="C8" s="1231"/>
      <c r="D8" s="1231"/>
      <c r="E8" s="1232">
        <v>50.881</v>
      </c>
      <c r="F8" s="1231">
        <v>43.088000000000001</v>
      </c>
      <c r="G8" s="1231">
        <v>49.93</v>
      </c>
      <c r="H8" s="1231">
        <v>59.034999999999997</v>
      </c>
      <c r="I8" s="1231">
        <v>68.260999999999996</v>
      </c>
      <c r="J8" s="1233">
        <v>56.975000000000001</v>
      </c>
      <c r="K8" s="1231">
        <v>68.983000000000004</v>
      </c>
      <c r="L8" s="1231">
        <v>81.200999999999993</v>
      </c>
      <c r="M8" s="1232">
        <v>94.826999999999998</v>
      </c>
      <c r="N8" s="1233">
        <v>74.378</v>
      </c>
      <c r="O8" s="1231">
        <v>81.781999999999996</v>
      </c>
      <c r="P8" s="1231">
        <v>87.501999999999995</v>
      </c>
      <c r="Q8" s="1232">
        <v>115.342</v>
      </c>
      <c r="R8" s="1231">
        <v>82.822000000000003</v>
      </c>
      <c r="S8" s="1231">
        <v>100.483</v>
      </c>
      <c r="T8" s="1231">
        <v>115.42100000000001</v>
      </c>
      <c r="U8" s="1231">
        <v>136.601</v>
      </c>
      <c r="V8" s="1233">
        <v>96.381</v>
      </c>
      <c r="W8" s="1231">
        <v>109.354</v>
      </c>
      <c r="X8" s="1231">
        <v>147.94399999999999</v>
      </c>
      <c r="Y8" s="1232">
        <v>187.34100000000001</v>
      </c>
      <c r="Z8" s="1233">
        <v>123.855</v>
      </c>
      <c r="AA8" s="1231">
        <v>154.43600000000001</v>
      </c>
      <c r="AB8" s="1231">
        <v>179.43199999999999</v>
      </c>
      <c r="AC8" s="1232">
        <v>220.06</v>
      </c>
      <c r="AD8" s="1233">
        <v>156.804</v>
      </c>
      <c r="AE8" s="1231">
        <v>179.61199999999999</v>
      </c>
      <c r="AF8" s="1231">
        <v>192.648</v>
      </c>
      <c r="AG8" s="1232">
        <v>258.73399999999998</v>
      </c>
      <c r="AH8" s="1233">
        <v>167.79300000000001</v>
      </c>
      <c r="AI8" s="1231">
        <v>181.114</v>
      </c>
      <c r="AJ8" s="1231">
        <v>200.99299999999999</v>
      </c>
      <c r="AK8" s="1232">
        <v>279.14999999999998</v>
      </c>
      <c r="AL8" s="1233">
        <f t="shared" ref="AL8:AO8" si="12">(AL59*AL66)/(365/4)</f>
        <v>175.75889650969219</v>
      </c>
      <c r="AM8" s="1231">
        <f t="shared" si="12"/>
        <v>188.65376303786419</v>
      </c>
      <c r="AN8" s="1231">
        <f t="shared" si="12"/>
        <v>208.08632512212992</v>
      </c>
      <c r="AO8" s="1232">
        <f t="shared" si="12"/>
        <v>291.13030651610563</v>
      </c>
      <c r="AP8" s="1233">
        <f>(AP59*AP66)/(365/4)</f>
        <v>181.30105760240494</v>
      </c>
      <c r="AQ8" s="1231">
        <f t="shared" ref="AQ8:AS8" si="13">(AQ59*AQ66)/(365/4)</f>
        <v>194.86923631103724</v>
      </c>
      <c r="AR8" s="1231">
        <f t="shared" si="13"/>
        <v>215.47463074346663</v>
      </c>
      <c r="AS8" s="1232">
        <f t="shared" si="13"/>
        <v>303.75607046431639</v>
      </c>
      <c r="AT8" s="1231"/>
      <c r="AU8" s="1234">
        <f t="shared" si="2"/>
        <v>50.881</v>
      </c>
      <c r="AV8" s="1234">
        <f t="shared" si="3"/>
        <v>68.260999999999996</v>
      </c>
      <c r="AW8" s="1234">
        <f t="shared" si="4"/>
        <v>94.826999999999998</v>
      </c>
      <c r="AX8" s="1234">
        <f t="shared" si="5"/>
        <v>115.342</v>
      </c>
      <c r="AY8" s="1234">
        <f t="shared" si="6"/>
        <v>136.601</v>
      </c>
      <c r="AZ8" s="1235">
        <f t="shared" si="7"/>
        <v>187.34100000000001</v>
      </c>
      <c r="BA8" s="1236">
        <f t="shared" si="8"/>
        <v>220.06</v>
      </c>
      <c r="BB8" s="1234">
        <f t="shared" si="9"/>
        <v>258.73399999999998</v>
      </c>
      <c r="BC8" s="1234">
        <f t="shared" si="10"/>
        <v>279.14999999999998</v>
      </c>
      <c r="BD8" s="1237">
        <f t="shared" si="11"/>
        <v>291.13030651610563</v>
      </c>
      <c r="BE8" s="1237">
        <f t="shared" si="0"/>
        <v>303.75607046431639</v>
      </c>
      <c r="BF8" s="1238"/>
    </row>
    <row r="9" spans="1:58" ht="12" customHeight="1">
      <c r="A9" s="1239" t="s">
        <v>238</v>
      </c>
      <c r="B9" s="1231"/>
      <c r="C9" s="1231"/>
      <c r="D9" s="1231"/>
      <c r="E9" s="1232">
        <v>17.170000000000002</v>
      </c>
      <c r="F9" s="1231">
        <v>18.125</v>
      </c>
      <c r="G9" s="1231">
        <v>19.077999999999999</v>
      </c>
      <c r="H9" s="1231">
        <v>20.401</v>
      </c>
      <c r="I9" s="1231">
        <v>23.271999999999998</v>
      </c>
      <c r="J9" s="1233">
        <v>23.838000000000001</v>
      </c>
      <c r="K9" s="1231">
        <v>24.867000000000001</v>
      </c>
      <c r="L9" s="1231">
        <v>26.03</v>
      </c>
      <c r="M9" s="1232">
        <v>28.498999999999999</v>
      </c>
      <c r="N9" s="1233">
        <v>28.751000000000001</v>
      </c>
      <c r="O9" s="1231">
        <v>29.62</v>
      </c>
      <c r="P9" s="1231">
        <v>30.131</v>
      </c>
      <c r="Q9" s="1232">
        <v>32.143000000000001</v>
      </c>
      <c r="R9" s="1231">
        <v>31.936</v>
      </c>
      <c r="S9" s="1231">
        <v>32.686</v>
      </c>
      <c r="T9" s="1231">
        <v>34.247999999999998</v>
      </c>
      <c r="U9" s="1231">
        <v>40.311</v>
      </c>
      <c r="V9" s="1233">
        <v>40.335000000000001</v>
      </c>
      <c r="W9" s="1231">
        <v>40.67</v>
      </c>
      <c r="X9" s="1231">
        <v>41.283000000000001</v>
      </c>
      <c r="Y9" s="1232">
        <v>44.27</v>
      </c>
      <c r="Z9" s="1233">
        <v>44.045000000000002</v>
      </c>
      <c r="AA9" s="1231">
        <v>45.036000000000001</v>
      </c>
      <c r="AB9" s="1231">
        <v>46.131999999999998</v>
      </c>
      <c r="AC9" s="1232">
        <v>49.558999999999997</v>
      </c>
      <c r="AD9" s="1233">
        <v>49.167999999999999</v>
      </c>
      <c r="AE9" s="1231">
        <v>49.387999999999998</v>
      </c>
      <c r="AF9" s="1231">
        <v>49.857999999999997</v>
      </c>
      <c r="AG9" s="1232">
        <v>51.790999999999997</v>
      </c>
      <c r="AH9" s="1233">
        <v>51.247</v>
      </c>
      <c r="AI9" s="1231">
        <v>50.784999999999997</v>
      </c>
      <c r="AJ9" s="1231">
        <v>50.582000000000001</v>
      </c>
      <c r="AK9" s="1232">
        <v>52.914000000000001</v>
      </c>
      <c r="AL9" s="1233">
        <f t="shared" ref="AL9:AS9" si="14">AL59*AL70</f>
        <v>52.825130273648796</v>
      </c>
      <c r="AM9" s="1231">
        <f t="shared" si="14"/>
        <v>51.875753071217567</v>
      </c>
      <c r="AN9" s="1231">
        <f t="shared" si="14"/>
        <v>51.162006926952934</v>
      </c>
      <c r="AO9" s="1232">
        <f t="shared" si="14"/>
        <v>53.563470037047132</v>
      </c>
      <c r="AP9" s="1233">
        <f t="shared" si="14"/>
        <v>53.550342427351275</v>
      </c>
      <c r="AQ9" s="1231">
        <f t="shared" si="14"/>
        <v>52.460432346986018</v>
      </c>
      <c r="AR9" s="1231">
        <f t="shared" si="14"/>
        <v>51.657965324228826</v>
      </c>
      <c r="AS9" s="1232">
        <f t="shared" si="14"/>
        <v>54.122485020137013</v>
      </c>
      <c r="AT9" s="1231"/>
      <c r="AU9" s="1234">
        <f t="shared" si="2"/>
        <v>17.170000000000002</v>
      </c>
      <c r="AV9" s="1234">
        <f t="shared" si="3"/>
        <v>23.271999999999998</v>
      </c>
      <c r="AW9" s="1234">
        <f t="shared" si="4"/>
        <v>28.498999999999999</v>
      </c>
      <c r="AX9" s="1234">
        <f t="shared" si="5"/>
        <v>32.143000000000001</v>
      </c>
      <c r="AY9" s="1234">
        <f t="shared" si="6"/>
        <v>40.311</v>
      </c>
      <c r="AZ9" s="1235">
        <f t="shared" si="7"/>
        <v>44.27</v>
      </c>
      <c r="BA9" s="1236">
        <f t="shared" si="8"/>
        <v>49.558999999999997</v>
      </c>
      <c r="BB9" s="1234">
        <f t="shared" si="9"/>
        <v>51.790999999999997</v>
      </c>
      <c r="BC9" s="1234">
        <f t="shared" si="10"/>
        <v>52.914000000000001</v>
      </c>
      <c r="BD9" s="1237">
        <f t="shared" si="11"/>
        <v>53.563470037047132</v>
      </c>
      <c r="BE9" s="1237">
        <f t="shared" si="0"/>
        <v>54.122485020137013</v>
      </c>
      <c r="BF9" s="1238"/>
    </row>
    <row r="10" spans="1:58" ht="12" customHeight="1">
      <c r="A10" s="1239" t="s">
        <v>239</v>
      </c>
      <c r="B10" s="1231"/>
      <c r="C10" s="1231"/>
      <c r="D10" s="1231"/>
      <c r="E10" s="1232">
        <v>15.994</v>
      </c>
      <c r="F10" s="1231">
        <v>14.795</v>
      </c>
      <c r="G10" s="1231">
        <v>13.324</v>
      </c>
      <c r="H10" s="1231">
        <v>14.718</v>
      </c>
      <c r="I10" s="1231">
        <v>22.02</v>
      </c>
      <c r="J10" s="1233">
        <v>20.635999999999999</v>
      </c>
      <c r="K10" s="1231">
        <v>20.315999999999999</v>
      </c>
      <c r="L10" s="1231">
        <v>21.126000000000001</v>
      </c>
      <c r="M10" s="1232">
        <v>27.369</v>
      </c>
      <c r="N10" s="1233">
        <v>25.632000000000001</v>
      </c>
      <c r="O10" s="1231">
        <v>26.297999999999998</v>
      </c>
      <c r="P10" s="1231">
        <v>34.235999999999997</v>
      </c>
      <c r="Q10" s="1232">
        <v>44.462000000000003</v>
      </c>
      <c r="R10" s="1231">
        <v>42.57</v>
      </c>
      <c r="S10" s="1231">
        <v>42.255000000000003</v>
      </c>
      <c r="T10" s="1231">
        <v>45.194000000000003</v>
      </c>
      <c r="U10" s="1231">
        <v>60.234000000000002</v>
      </c>
      <c r="V10" s="1233">
        <v>59.414999999999999</v>
      </c>
      <c r="W10" s="1231">
        <v>49.444000000000003</v>
      </c>
      <c r="X10" s="1231">
        <v>48.582999999999998</v>
      </c>
      <c r="Y10" s="1232">
        <v>58.121000000000002</v>
      </c>
      <c r="Z10" s="1233">
        <v>66.465999999999994</v>
      </c>
      <c r="AA10" s="1231">
        <v>54.703000000000003</v>
      </c>
      <c r="AB10" s="1231">
        <v>52.529000000000003</v>
      </c>
      <c r="AC10" s="1232">
        <v>61.881999999999998</v>
      </c>
      <c r="AD10" s="1233">
        <v>66.013000000000005</v>
      </c>
      <c r="AE10" s="1231">
        <v>58.886000000000003</v>
      </c>
      <c r="AF10" s="1231">
        <v>52.575000000000003</v>
      </c>
      <c r="AG10" s="1232">
        <v>53.026000000000003</v>
      </c>
      <c r="AH10" s="1233">
        <v>67.105999999999995</v>
      </c>
      <c r="AI10" s="1231">
        <v>54.079000000000001</v>
      </c>
      <c r="AJ10" s="1231">
        <v>44.186</v>
      </c>
      <c r="AK10" s="1232">
        <v>39.338999999999999</v>
      </c>
      <c r="AL10" s="1233">
        <f t="shared" ref="AL10:AS10" si="15">AL59*AL71</f>
        <v>69.972667640576532</v>
      </c>
      <c r="AM10" s="1231">
        <f t="shared" si="15"/>
        <v>55.412732574604213</v>
      </c>
      <c r="AN10" s="1231">
        <f t="shared" si="15"/>
        <v>44.35284050364443</v>
      </c>
      <c r="AO10" s="1232">
        <f t="shared" si="15"/>
        <v>39.110213654938136</v>
      </c>
      <c r="AP10" s="1233">
        <f t="shared" si="15"/>
        <v>71.827936443813897</v>
      </c>
      <c r="AQ10" s="1231">
        <f t="shared" si="15"/>
        <v>56.230241617913507</v>
      </c>
      <c r="AR10" s="1231">
        <f t="shared" si="15"/>
        <v>44.40162607695941</v>
      </c>
      <c r="AS10" s="1232">
        <f t="shared" si="15"/>
        <v>38.72078077577256</v>
      </c>
      <c r="AT10" s="1231"/>
      <c r="AU10" s="1234">
        <f t="shared" si="2"/>
        <v>15.994</v>
      </c>
      <c r="AV10" s="1234">
        <f t="shared" si="3"/>
        <v>22.02</v>
      </c>
      <c r="AW10" s="1240">
        <f t="shared" si="4"/>
        <v>27.369</v>
      </c>
      <c r="AX10" s="1240">
        <f t="shared" si="5"/>
        <v>44.462000000000003</v>
      </c>
      <c r="AY10" s="1240">
        <f t="shared" si="6"/>
        <v>60.234000000000002</v>
      </c>
      <c r="AZ10" s="1241">
        <f t="shared" si="7"/>
        <v>58.121000000000002</v>
      </c>
      <c r="BA10" s="1242">
        <f t="shared" si="8"/>
        <v>61.881999999999998</v>
      </c>
      <c r="BB10" s="1240">
        <f t="shared" si="9"/>
        <v>53.026000000000003</v>
      </c>
      <c r="BC10" s="1240">
        <f t="shared" si="10"/>
        <v>39.338999999999999</v>
      </c>
      <c r="BD10" s="1243">
        <f t="shared" si="11"/>
        <v>39.110213654938136</v>
      </c>
      <c r="BE10" s="1243">
        <f t="shared" si="0"/>
        <v>38.72078077577256</v>
      </c>
      <c r="BF10" s="1238"/>
    </row>
    <row r="11" spans="1:58" s="1252" customFormat="1" ht="12" customHeight="1">
      <c r="A11" s="1244" t="s">
        <v>240</v>
      </c>
      <c r="B11" s="189"/>
      <c r="C11" s="189"/>
      <c r="D11" s="189"/>
      <c r="E11" s="1245">
        <f t="shared" ref="E11:T11" si="16">SUM(E6:E10)</f>
        <v>111.25500000000001</v>
      </c>
      <c r="F11" s="189">
        <f t="shared" si="16"/>
        <v>102.432</v>
      </c>
      <c r="G11" s="189">
        <f t="shared" si="16"/>
        <v>105.98700000000001</v>
      </c>
      <c r="H11" s="189">
        <f t="shared" si="16"/>
        <v>381.30500000000006</v>
      </c>
      <c r="I11" s="189">
        <f t="shared" si="16"/>
        <v>396.78799999999995</v>
      </c>
      <c r="J11" s="1246">
        <f t="shared" si="16"/>
        <v>400.42900000000009</v>
      </c>
      <c r="K11" s="189">
        <f t="shared" si="16"/>
        <v>411.13</v>
      </c>
      <c r="L11" s="189">
        <f t="shared" si="16"/>
        <v>424.99299999999994</v>
      </c>
      <c r="M11" s="1245">
        <f t="shared" si="16"/>
        <v>362.96199999999999</v>
      </c>
      <c r="N11" s="1246">
        <f t="shared" si="16"/>
        <v>355.45400000000001</v>
      </c>
      <c r="O11" s="189">
        <f t="shared" si="16"/>
        <v>379.80099999999999</v>
      </c>
      <c r="P11" s="189">
        <f t="shared" si="16"/>
        <v>420.976</v>
      </c>
      <c r="Q11" s="1245">
        <f t="shared" si="16"/>
        <v>483.79300000000001</v>
      </c>
      <c r="R11" s="189">
        <f t="shared" si="16"/>
        <v>497.65899999999999</v>
      </c>
      <c r="S11" s="189">
        <f t="shared" si="16"/>
        <v>436.46199999999999</v>
      </c>
      <c r="T11" s="189">
        <f t="shared" si="16"/>
        <v>846.75800000000004</v>
      </c>
      <c r="U11" s="189">
        <f t="shared" ref="U11:AS11" si="17">SUM(U6:U10)</f>
        <v>749.4380000000001</v>
      </c>
      <c r="V11" s="1246">
        <f t="shared" si="17"/>
        <v>722.23099999999999</v>
      </c>
      <c r="W11" s="189">
        <f t="shared" si="17"/>
        <v>710.37399999999991</v>
      </c>
      <c r="X11" s="189">
        <f t="shared" si="17"/>
        <v>785.82099999999991</v>
      </c>
      <c r="Y11" s="1245">
        <f t="shared" si="17"/>
        <v>857.16699999999992</v>
      </c>
      <c r="Z11" s="1246">
        <f t="shared" si="17"/>
        <v>851.053</v>
      </c>
      <c r="AA11" s="189">
        <f t="shared" si="17"/>
        <v>899.721</v>
      </c>
      <c r="AB11" s="189">
        <f t="shared" si="17"/>
        <v>971.06699999999989</v>
      </c>
      <c r="AC11" s="1245">
        <f t="shared" si="17"/>
        <v>805.47299999999984</v>
      </c>
      <c r="AD11" s="1246">
        <f t="shared" si="17"/>
        <v>782.75599999999997</v>
      </c>
      <c r="AE11" s="189">
        <f t="shared" si="17"/>
        <v>774.88900000000001</v>
      </c>
      <c r="AF11" s="189">
        <f t="shared" si="17"/>
        <v>843.53</v>
      </c>
      <c r="AG11" s="1245">
        <f t="shared" si="17"/>
        <v>940.74499999999978</v>
      </c>
      <c r="AH11" s="1246">
        <f t="shared" si="17"/>
        <v>746.423</v>
      </c>
      <c r="AI11" s="189">
        <f t="shared" si="17"/>
        <v>672.49199999999996</v>
      </c>
      <c r="AJ11" s="189">
        <f t="shared" si="17"/>
        <v>679.33200000000011</v>
      </c>
      <c r="AK11" s="1245">
        <f t="shared" si="17"/>
        <v>773.58400000000006</v>
      </c>
      <c r="AL11" s="1246">
        <f t="shared" si="17"/>
        <v>773.79617658159418</v>
      </c>
      <c r="AM11" s="189">
        <f t="shared" si="17"/>
        <v>812.00134794983057</v>
      </c>
      <c r="AN11" s="189">
        <f t="shared" si="17"/>
        <v>872.35588645725147</v>
      </c>
      <c r="AO11" s="1245">
        <f t="shared" si="17"/>
        <v>1047.6417501751728</v>
      </c>
      <c r="AP11" s="1246">
        <f t="shared" si="17"/>
        <v>1047.7194393673344</v>
      </c>
      <c r="AQ11" s="189">
        <f t="shared" si="17"/>
        <v>1091.229016021043</v>
      </c>
      <c r="AR11" s="189">
        <f t="shared" si="17"/>
        <v>1158.050939032466</v>
      </c>
      <c r="AS11" s="1245">
        <f t="shared" si="17"/>
        <v>1347.4429427328662</v>
      </c>
      <c r="AT11" s="189"/>
      <c r="AU11" s="1247">
        <f t="shared" si="2"/>
        <v>111.25500000000001</v>
      </c>
      <c r="AV11" s="1247">
        <f t="shared" si="3"/>
        <v>396.78799999999995</v>
      </c>
      <c r="AW11" s="1247">
        <f t="shared" si="4"/>
        <v>362.96199999999999</v>
      </c>
      <c r="AX11" s="1247">
        <f t="shared" si="5"/>
        <v>483.79300000000001</v>
      </c>
      <c r="AY11" s="1247">
        <f t="shared" si="6"/>
        <v>749.4380000000001</v>
      </c>
      <c r="AZ11" s="1248">
        <f t="shared" si="7"/>
        <v>857.16699999999992</v>
      </c>
      <c r="BA11" s="1249">
        <f t="shared" si="8"/>
        <v>805.47299999999984</v>
      </c>
      <c r="BB11" s="1247">
        <f t="shared" si="9"/>
        <v>940.74499999999978</v>
      </c>
      <c r="BC11" s="1247">
        <f t="shared" si="10"/>
        <v>773.58400000000006</v>
      </c>
      <c r="BD11" s="1250">
        <f t="shared" si="11"/>
        <v>1047.6417501751728</v>
      </c>
      <c r="BE11" s="1250">
        <f t="shared" si="0"/>
        <v>1347.4429427328662</v>
      </c>
      <c r="BF11" s="1251"/>
    </row>
    <row r="12" spans="1:58" ht="12" customHeight="1">
      <c r="A12" s="152"/>
      <c r="B12" s="1253"/>
      <c r="C12" s="1253"/>
      <c r="D12" s="1253"/>
      <c r="E12" s="1254"/>
      <c r="F12" s="1253"/>
      <c r="G12" s="1253"/>
      <c r="H12" s="1253"/>
      <c r="I12" s="1253"/>
      <c r="J12" s="1255"/>
      <c r="K12" s="1253"/>
      <c r="L12" s="1253"/>
      <c r="M12" s="1254"/>
      <c r="N12" s="1255"/>
      <c r="O12" s="1253"/>
      <c r="P12" s="1253"/>
      <c r="Q12" s="1254"/>
      <c r="R12" s="1253"/>
      <c r="S12" s="1253"/>
      <c r="T12" s="1231"/>
      <c r="U12" s="1253"/>
      <c r="V12" s="1255"/>
      <c r="W12" s="1253"/>
      <c r="X12" s="1253"/>
      <c r="Y12" s="1254"/>
      <c r="Z12" s="1255"/>
      <c r="AA12" s="1253"/>
      <c r="AB12" s="1253"/>
      <c r="AC12" s="1254"/>
      <c r="AD12" s="1255"/>
      <c r="AE12" s="1231"/>
      <c r="AF12" s="1231"/>
      <c r="AG12" s="1232"/>
      <c r="AH12" s="1233"/>
      <c r="AI12" s="1253"/>
      <c r="AJ12" s="1253"/>
      <c r="AK12" s="1232"/>
      <c r="AL12" s="1255"/>
      <c r="AM12" s="1253"/>
      <c r="AN12" s="1253"/>
      <c r="AO12" s="1254"/>
      <c r="AP12" s="1255"/>
      <c r="AQ12" s="1253"/>
      <c r="AR12" s="1253"/>
      <c r="AS12" s="1254"/>
      <c r="AT12" s="1231"/>
      <c r="AU12" s="1234"/>
      <c r="AV12" s="1234"/>
      <c r="AW12" s="1234"/>
      <c r="AX12" s="1234"/>
      <c r="AY12" s="1234"/>
      <c r="AZ12" s="1235"/>
      <c r="BA12" s="1236"/>
      <c r="BB12" s="1234"/>
      <c r="BC12" s="1234"/>
      <c r="BD12" s="1237"/>
      <c r="BE12" s="1237"/>
      <c r="BF12" s="1238"/>
    </row>
    <row r="13" spans="1:58" s="1256" customFormat="1" ht="12" customHeight="1">
      <c r="A13" s="1230" t="s">
        <v>241</v>
      </c>
      <c r="B13" s="1231"/>
      <c r="C13" s="1231"/>
      <c r="D13" s="1231"/>
      <c r="E13" s="1232">
        <v>10.754</v>
      </c>
      <c r="F13" s="1231">
        <v>11.015000000000001</v>
      </c>
      <c r="G13" s="1231">
        <v>11.24</v>
      </c>
      <c r="H13" s="1231">
        <v>10.872</v>
      </c>
      <c r="I13" s="1231">
        <v>11.348000000000001</v>
      </c>
      <c r="J13" s="1233">
        <v>12.714</v>
      </c>
      <c r="K13" s="1231">
        <v>14.949</v>
      </c>
      <c r="L13" s="1231">
        <v>18.524999999999999</v>
      </c>
      <c r="M13" s="1232">
        <v>26.847000000000001</v>
      </c>
      <c r="N13" s="1233">
        <v>30.533999999999999</v>
      </c>
      <c r="O13" s="1231">
        <v>35.143999999999998</v>
      </c>
      <c r="P13" s="1231">
        <v>39.96</v>
      </c>
      <c r="Q13" s="1232">
        <v>38.92</v>
      </c>
      <c r="R13" s="1231">
        <v>38.909999999999997</v>
      </c>
      <c r="S13" s="1231">
        <v>37.406999999999996</v>
      </c>
      <c r="T13" s="1231">
        <v>36.055</v>
      </c>
      <c r="U13" s="1232">
        <v>36.832999999999998</v>
      </c>
      <c r="V13" s="1231">
        <v>39.597999999999999</v>
      </c>
      <c r="W13" s="1231">
        <v>43.372</v>
      </c>
      <c r="X13" s="1231">
        <v>45.759</v>
      </c>
      <c r="Y13" s="1232">
        <v>46.725999999999999</v>
      </c>
      <c r="Z13" s="1233">
        <v>45.091999999999999</v>
      </c>
      <c r="AA13" s="1231">
        <v>44.764000000000003</v>
      </c>
      <c r="AB13" s="1231">
        <v>44.076000000000001</v>
      </c>
      <c r="AC13" s="1232">
        <v>45.436</v>
      </c>
      <c r="AD13" s="1231">
        <v>45.581000000000003</v>
      </c>
      <c r="AE13" s="1231">
        <v>41.448</v>
      </c>
      <c r="AF13" s="1231">
        <v>39.78</v>
      </c>
      <c r="AG13" s="1231">
        <v>39.265000000000001</v>
      </c>
      <c r="AH13" s="1233">
        <v>41.343000000000004</v>
      </c>
      <c r="AI13" s="1231">
        <v>42.576999999999998</v>
      </c>
      <c r="AJ13" s="1231">
        <v>40.470999999999997</v>
      </c>
      <c r="AK13" s="1231">
        <v>40.061999999999998</v>
      </c>
      <c r="AL13" s="1233">
        <f>AK13+(-'Cash Flow'!AL23-'Cash Flow'!AL24)-'Cash Flow'!AL78</f>
        <v>44.502303007942473</v>
      </c>
      <c r="AM13" s="1231">
        <f>AL13+(-'Cash Flow'!AM23-'Cash Flow'!AM24)-'Cash Flow'!AM78</f>
        <v>46.667366508477258</v>
      </c>
      <c r="AN13" s="1231">
        <f>AM13+(-'Cash Flow'!AN23-'Cash Flow'!AN24)-'Cash Flow'!AN78</f>
        <v>45.346043842200118</v>
      </c>
      <c r="AO13" s="1232">
        <f>AN13+(-'Cash Flow'!AO23-'Cash Flow'!AO24)-'Cash Flow'!AO78</f>
        <v>43.39263997197353</v>
      </c>
      <c r="AP13" s="1233">
        <f>AO13+(-'Cash Flow'!AP23-'Cash Flow'!AP24)-'Cash Flow'!AP78</f>
        <v>48.238974219879537</v>
      </c>
      <c r="AQ13" s="1231">
        <f>AP13+(-'Cash Flow'!AQ23-'Cash Flow'!AQ24)-'Cash Flow'!AQ78</f>
        <v>50.802487095292349</v>
      </c>
      <c r="AR13" s="1231">
        <f>AQ13+(-'Cash Flow'!AR23-'Cash Flow'!AR24)-'Cash Flow'!AR78</f>
        <v>49.876686998066226</v>
      </c>
      <c r="AS13" s="1232">
        <f>AR13+(-'Cash Flow'!AS23-'Cash Flow'!AS24)-'Cash Flow'!AS78</f>
        <v>48.309256589407532</v>
      </c>
      <c r="AT13" s="1231"/>
      <c r="AU13" s="1234">
        <f t="shared" ref="AU13:AU19" si="18">E13</f>
        <v>10.754</v>
      </c>
      <c r="AV13" s="1234">
        <f t="shared" ref="AV13:AV19" si="19">I13</f>
        <v>11.348000000000001</v>
      </c>
      <c r="AW13" s="1234">
        <f t="shared" ref="AW13:AW19" si="20">M13</f>
        <v>26.847000000000001</v>
      </c>
      <c r="AX13" s="1234">
        <f t="shared" ref="AX13:AX19" si="21">Q13</f>
        <v>38.92</v>
      </c>
      <c r="AY13" s="1234">
        <f t="shared" ref="AY13:AY19" si="22">U13</f>
        <v>36.832999999999998</v>
      </c>
      <c r="AZ13" s="1235">
        <f t="shared" ref="AZ13:AZ19" si="23">Y13</f>
        <v>46.725999999999999</v>
      </c>
      <c r="BA13" s="1236">
        <f t="shared" ref="BA13:BA19" si="24">AC13</f>
        <v>45.436</v>
      </c>
      <c r="BB13" s="1234">
        <f t="shared" si="9"/>
        <v>39.265000000000001</v>
      </c>
      <c r="BC13" s="1234">
        <f t="shared" ref="BC13:BC19" si="25">AK13</f>
        <v>40.061999999999998</v>
      </c>
      <c r="BD13" s="1237">
        <f>AO13</f>
        <v>43.39263997197353</v>
      </c>
      <c r="BE13" s="1237">
        <f t="shared" ref="BE13:BE19" si="26">AS13</f>
        <v>48.309256589407532</v>
      </c>
      <c r="BF13" s="1238"/>
    </row>
    <row r="14" spans="1:58" s="1256" customFormat="1" ht="12" customHeight="1">
      <c r="A14" s="1230" t="s">
        <v>238</v>
      </c>
      <c r="B14" s="1231"/>
      <c r="C14" s="1231"/>
      <c r="D14" s="1231"/>
      <c r="E14" s="1232">
        <v>33.006</v>
      </c>
      <c r="F14" s="1231">
        <v>32.326000000000001</v>
      </c>
      <c r="G14" s="1231">
        <v>31.727</v>
      </c>
      <c r="H14" s="1231">
        <v>32.482999999999997</v>
      </c>
      <c r="I14" s="1231">
        <v>36.161999999999999</v>
      </c>
      <c r="J14" s="1233">
        <v>35.972999999999999</v>
      </c>
      <c r="K14" s="1231">
        <v>36.999000000000002</v>
      </c>
      <c r="L14" s="1231">
        <v>38.493000000000002</v>
      </c>
      <c r="M14" s="1232">
        <v>43.765999999999998</v>
      </c>
      <c r="N14" s="1233">
        <v>41.991</v>
      </c>
      <c r="O14" s="1231">
        <v>42.148000000000003</v>
      </c>
      <c r="P14" s="1231">
        <v>41.753</v>
      </c>
      <c r="Q14" s="1232">
        <v>46.732999999999997</v>
      </c>
      <c r="R14" s="1231">
        <v>45.363999999999997</v>
      </c>
      <c r="S14" s="1231">
        <v>45.811</v>
      </c>
      <c r="T14" s="1231">
        <v>46.99</v>
      </c>
      <c r="U14" s="1232">
        <v>59.637999999999998</v>
      </c>
      <c r="V14" s="1231">
        <v>58.927999999999997</v>
      </c>
      <c r="W14" s="1231">
        <v>59.33</v>
      </c>
      <c r="X14" s="1231">
        <v>59.993000000000002</v>
      </c>
      <c r="Y14" s="1232">
        <v>67.238</v>
      </c>
      <c r="Z14" s="1231">
        <v>64.334999999999994</v>
      </c>
      <c r="AA14" s="1231">
        <v>64.546000000000006</v>
      </c>
      <c r="AB14" s="1231">
        <v>65.412000000000006</v>
      </c>
      <c r="AC14" s="1232">
        <v>72.394000000000005</v>
      </c>
      <c r="AD14" s="1231">
        <v>68.447000000000003</v>
      </c>
      <c r="AE14" s="1231">
        <v>66.141000000000005</v>
      </c>
      <c r="AF14" s="1231">
        <v>64.405000000000001</v>
      </c>
      <c r="AG14" s="1231">
        <v>67.914000000000001</v>
      </c>
      <c r="AH14" s="1233">
        <v>65.581999999999994</v>
      </c>
      <c r="AI14" s="1231">
        <v>64.274000000000001</v>
      </c>
      <c r="AJ14" s="1231">
        <v>64.518000000000001</v>
      </c>
      <c r="AK14" s="1231">
        <v>71.715000000000003</v>
      </c>
      <c r="AL14" s="1233">
        <f t="shared" ref="AL14:AS14" si="27">AL59*AL72</f>
        <v>68.324843253969689</v>
      </c>
      <c r="AM14" s="1231">
        <f t="shared" si="27"/>
        <v>66.359759301084722</v>
      </c>
      <c r="AN14" s="1231">
        <f t="shared" si="27"/>
        <v>65.99823945903978</v>
      </c>
      <c r="AO14" s="1231">
        <f t="shared" si="27"/>
        <v>73.580830865042046</v>
      </c>
      <c r="AP14" s="1233">
        <f t="shared" si="27"/>
        <v>70.071517168885521</v>
      </c>
      <c r="AQ14" s="1231">
        <f t="shared" si="27"/>
        <v>67.897881422742188</v>
      </c>
      <c r="AR14" s="1231">
        <f t="shared" si="27"/>
        <v>67.468525635352435</v>
      </c>
      <c r="AS14" s="1231">
        <f t="shared" si="27"/>
        <v>75.453419937138548</v>
      </c>
      <c r="AT14" s="1257"/>
      <c r="AU14" s="1237">
        <f t="shared" si="18"/>
        <v>33.006</v>
      </c>
      <c r="AV14" s="1258">
        <f t="shared" si="19"/>
        <v>36.161999999999999</v>
      </c>
      <c r="AW14" s="1234">
        <f t="shared" si="20"/>
        <v>43.765999999999998</v>
      </c>
      <c r="AX14" s="1234">
        <f t="shared" si="21"/>
        <v>46.732999999999997</v>
      </c>
      <c r="AY14" s="1234">
        <f t="shared" si="22"/>
        <v>59.637999999999998</v>
      </c>
      <c r="AZ14" s="1235">
        <f t="shared" si="23"/>
        <v>67.238</v>
      </c>
      <c r="BA14" s="1236">
        <f t="shared" si="24"/>
        <v>72.394000000000005</v>
      </c>
      <c r="BB14" s="1234">
        <f t="shared" si="9"/>
        <v>67.914000000000001</v>
      </c>
      <c r="BC14" s="1234">
        <f t="shared" si="25"/>
        <v>71.715000000000003</v>
      </c>
      <c r="BD14" s="1237">
        <f t="shared" ref="BD14:BD19" si="28">AO14</f>
        <v>73.580830865042046</v>
      </c>
      <c r="BE14" s="1237">
        <f t="shared" si="26"/>
        <v>75.453419937138548</v>
      </c>
      <c r="BF14" s="1238"/>
    </row>
    <row r="15" spans="1:58" s="1256" customFormat="1" ht="12" customHeight="1">
      <c r="A15" s="1230" t="s">
        <v>242</v>
      </c>
      <c r="B15" s="1231"/>
      <c r="C15" s="1231"/>
      <c r="D15" s="1231"/>
      <c r="E15" s="1232">
        <v>5.774</v>
      </c>
      <c r="F15" s="1231">
        <v>3.5950000000000002</v>
      </c>
      <c r="G15" s="1231">
        <v>12.253</v>
      </c>
      <c r="H15" s="1231">
        <v>23.545999999999999</v>
      </c>
      <c r="I15" s="1231">
        <v>8.5039999999999996</v>
      </c>
      <c r="J15" s="1233">
        <v>9.8290000000000006</v>
      </c>
      <c r="K15" s="1231">
        <v>9.2010000000000005</v>
      </c>
      <c r="L15" s="1231">
        <v>40.345999999999997</v>
      </c>
      <c r="M15" s="1232">
        <v>42.847000000000001</v>
      </c>
      <c r="N15" s="1233">
        <v>41.283000000000001</v>
      </c>
      <c r="O15" s="1231">
        <v>40.475999999999999</v>
      </c>
      <c r="P15" s="1231">
        <v>41.43</v>
      </c>
      <c r="Q15" s="1232">
        <v>39.426000000000002</v>
      </c>
      <c r="R15" s="1231">
        <v>38.363999999999997</v>
      </c>
      <c r="S15" s="1231">
        <v>37.298999999999999</v>
      </c>
      <c r="T15" s="1231">
        <v>38.694000000000003</v>
      </c>
      <c r="U15" s="1232">
        <v>38.53</v>
      </c>
      <c r="V15" s="1231">
        <v>37.521000000000001</v>
      </c>
      <c r="W15" s="1231">
        <v>36.905999999999999</v>
      </c>
      <c r="X15" s="1231">
        <v>39.594000000000001</v>
      </c>
      <c r="Y15" s="1232">
        <v>38.494999999999997</v>
      </c>
      <c r="Z15" s="1231">
        <v>37.377000000000002</v>
      </c>
      <c r="AA15" s="1231">
        <v>37.124000000000002</v>
      </c>
      <c r="AB15" s="1231">
        <v>35.988999999999997</v>
      </c>
      <c r="AC15" s="1232">
        <v>34.835000000000001</v>
      </c>
      <c r="AD15" s="1231">
        <v>33.694000000000003</v>
      </c>
      <c r="AE15" s="1231">
        <v>33.314999999999998</v>
      </c>
      <c r="AF15" s="1231">
        <v>32.127000000000002</v>
      </c>
      <c r="AG15" s="1231">
        <v>45.139000000000003</v>
      </c>
      <c r="AH15" s="1233">
        <v>40.951000000000001</v>
      </c>
      <c r="AI15" s="1231">
        <v>36.880000000000003</v>
      </c>
      <c r="AJ15" s="1231">
        <v>35.488</v>
      </c>
      <c r="AK15" s="1231">
        <v>35.558</v>
      </c>
      <c r="AL15" s="1233">
        <f t="shared" ref="AL15:AS15" si="29">AK15</f>
        <v>35.558</v>
      </c>
      <c r="AM15" s="1231">
        <f t="shared" si="29"/>
        <v>35.558</v>
      </c>
      <c r="AN15" s="1231">
        <f t="shared" si="29"/>
        <v>35.558</v>
      </c>
      <c r="AO15" s="1232">
        <f t="shared" si="29"/>
        <v>35.558</v>
      </c>
      <c r="AP15" s="1233">
        <f t="shared" si="29"/>
        <v>35.558</v>
      </c>
      <c r="AQ15" s="1231">
        <f t="shared" si="29"/>
        <v>35.558</v>
      </c>
      <c r="AR15" s="1231">
        <f t="shared" si="29"/>
        <v>35.558</v>
      </c>
      <c r="AS15" s="1232">
        <f t="shared" si="29"/>
        <v>35.558</v>
      </c>
      <c r="AT15" s="1231"/>
      <c r="AU15" s="1237">
        <f t="shared" si="18"/>
        <v>5.774</v>
      </c>
      <c r="AV15" s="1258">
        <f t="shared" si="19"/>
        <v>8.5039999999999996</v>
      </c>
      <c r="AW15" s="1234">
        <f t="shared" si="20"/>
        <v>42.847000000000001</v>
      </c>
      <c r="AX15" s="1234">
        <f t="shared" si="21"/>
        <v>39.426000000000002</v>
      </c>
      <c r="AY15" s="1234">
        <f t="shared" si="22"/>
        <v>38.53</v>
      </c>
      <c r="AZ15" s="1235">
        <f t="shared" si="23"/>
        <v>38.494999999999997</v>
      </c>
      <c r="BA15" s="1236">
        <f t="shared" si="24"/>
        <v>34.835000000000001</v>
      </c>
      <c r="BB15" s="1234">
        <f t="shared" si="9"/>
        <v>45.139000000000003</v>
      </c>
      <c r="BC15" s="1234">
        <f t="shared" si="25"/>
        <v>35.558</v>
      </c>
      <c r="BD15" s="1237">
        <f t="shared" si="28"/>
        <v>35.558</v>
      </c>
      <c r="BE15" s="1237">
        <f t="shared" si="26"/>
        <v>35.558</v>
      </c>
      <c r="BF15" s="1238"/>
    </row>
    <row r="16" spans="1:58" ht="12" customHeight="1">
      <c r="A16" s="1230" t="s">
        <v>243</v>
      </c>
      <c r="B16" s="1231"/>
      <c r="C16" s="1231"/>
      <c r="D16" s="1231"/>
      <c r="E16" s="1232">
        <v>1.0309999999999999</v>
      </c>
      <c r="F16" s="1231">
        <v>0.88</v>
      </c>
      <c r="G16" s="1231">
        <v>0.72899999999999998</v>
      </c>
      <c r="H16" s="1231">
        <v>0.57799999999999996</v>
      </c>
      <c r="I16" s="1231">
        <v>0</v>
      </c>
      <c r="J16" s="1233">
        <v>0</v>
      </c>
      <c r="K16" s="1231">
        <v>0</v>
      </c>
      <c r="L16" s="1231">
        <v>0</v>
      </c>
      <c r="M16" s="1232">
        <v>15.507999999999999</v>
      </c>
      <c r="N16" s="1233">
        <v>14.929</v>
      </c>
      <c r="O16" s="1231">
        <v>14.35</v>
      </c>
      <c r="P16" s="1231">
        <v>13.771000000000001</v>
      </c>
      <c r="Q16" s="1232">
        <v>13.193</v>
      </c>
      <c r="R16" s="1231">
        <v>12.614000000000001</v>
      </c>
      <c r="S16" s="1231">
        <v>42.61</v>
      </c>
      <c r="T16" s="1231">
        <v>40.889000000000003</v>
      </c>
      <c r="U16" s="1231">
        <v>71.536000000000001</v>
      </c>
      <c r="V16" s="1233">
        <v>73.221000000000004</v>
      </c>
      <c r="W16" s="1231">
        <v>81.536000000000001</v>
      </c>
      <c r="X16" s="1231">
        <v>78.456000000000003</v>
      </c>
      <c r="Y16" s="1232">
        <v>75.376000000000005</v>
      </c>
      <c r="Z16" s="1233">
        <v>72.296000000000006</v>
      </c>
      <c r="AA16" s="1231">
        <v>69.224000000000004</v>
      </c>
      <c r="AB16" s="1231">
        <v>66.168999999999997</v>
      </c>
      <c r="AC16" s="1232">
        <v>107.017</v>
      </c>
      <c r="AD16" s="1231">
        <v>102.349</v>
      </c>
      <c r="AE16" s="1231">
        <v>104.488</v>
      </c>
      <c r="AF16" s="1231">
        <v>99.474000000000004</v>
      </c>
      <c r="AG16" s="1232">
        <v>94.460999999999999</v>
      </c>
      <c r="AH16" s="1231">
        <v>128.59700000000001</v>
      </c>
      <c r="AI16" s="1231">
        <v>128.86000000000001</v>
      </c>
      <c r="AJ16" s="1231">
        <v>122.078</v>
      </c>
      <c r="AK16" s="1232">
        <v>115.29600000000001</v>
      </c>
      <c r="AL16" s="1231">
        <f>AK16-'Cash Flow'!AL77</f>
        <v>108.51400000000001</v>
      </c>
      <c r="AM16" s="1231">
        <f>AL16-'Cash Flow'!AM77</f>
        <v>101.73200000000001</v>
      </c>
      <c r="AN16" s="1231">
        <f>AM16-'Cash Flow'!AN77</f>
        <v>94.950000000000017</v>
      </c>
      <c r="AO16" s="1232">
        <f>AN16-'Cash Flow'!AO77</f>
        <v>88.168000000000021</v>
      </c>
      <c r="AP16" s="1231">
        <f>AO16-'Cash Flow'!AP77</f>
        <v>81.386000000000024</v>
      </c>
      <c r="AQ16" s="1231">
        <f>AP16-'Cash Flow'!AQ77</f>
        <v>74.604000000000028</v>
      </c>
      <c r="AR16" s="1231">
        <f>AQ16-'Cash Flow'!AR77</f>
        <v>67.822000000000031</v>
      </c>
      <c r="AS16" s="1232">
        <f>AR16-'Cash Flow'!AS77</f>
        <v>61.040000000000035</v>
      </c>
      <c r="AT16" s="1231"/>
      <c r="AU16" s="1237">
        <f t="shared" si="18"/>
        <v>1.0309999999999999</v>
      </c>
      <c r="AV16" s="1258">
        <f t="shared" si="19"/>
        <v>0</v>
      </c>
      <c r="AW16" s="1234">
        <f t="shared" si="20"/>
        <v>15.507999999999999</v>
      </c>
      <c r="AX16" s="1234">
        <f t="shared" si="21"/>
        <v>13.193</v>
      </c>
      <c r="AY16" s="1234">
        <f t="shared" si="22"/>
        <v>71.536000000000001</v>
      </c>
      <c r="AZ16" s="1235">
        <f t="shared" si="23"/>
        <v>75.376000000000005</v>
      </c>
      <c r="BA16" s="1236">
        <f t="shared" si="24"/>
        <v>107.017</v>
      </c>
      <c r="BB16" s="1234">
        <f t="shared" si="9"/>
        <v>94.460999999999999</v>
      </c>
      <c r="BC16" s="1234">
        <f t="shared" si="25"/>
        <v>115.29600000000001</v>
      </c>
      <c r="BD16" s="1237">
        <f t="shared" si="28"/>
        <v>88.168000000000021</v>
      </c>
      <c r="BE16" s="1237">
        <f t="shared" si="26"/>
        <v>61.040000000000035</v>
      </c>
      <c r="BF16" s="1238"/>
    </row>
    <row r="17" spans="1:58" ht="12" customHeight="1">
      <c r="A17" s="1230" t="s">
        <v>244</v>
      </c>
      <c r="B17" s="1231"/>
      <c r="C17" s="1231"/>
      <c r="D17" s="1231"/>
      <c r="E17" s="1232">
        <v>0.26500000000000001</v>
      </c>
      <c r="F17" s="1231">
        <v>0.26500000000000001</v>
      </c>
      <c r="G17" s="1231">
        <v>0.26500000000000001</v>
      </c>
      <c r="H17" s="1231">
        <v>0.26500000000000001</v>
      </c>
      <c r="I17" s="1231">
        <v>0</v>
      </c>
      <c r="J17" s="1233">
        <v>0</v>
      </c>
      <c r="K17" s="1231">
        <v>0</v>
      </c>
      <c r="L17" s="1231">
        <v>0</v>
      </c>
      <c r="M17" s="1232">
        <v>54.137999999999998</v>
      </c>
      <c r="N17" s="1233">
        <v>54.137999999999998</v>
      </c>
      <c r="O17" s="1231">
        <v>54.137999999999998</v>
      </c>
      <c r="P17" s="1231">
        <v>54.137999999999998</v>
      </c>
      <c r="Q17" s="1232">
        <v>54.414000000000001</v>
      </c>
      <c r="R17" s="1231">
        <v>54.414000000000001</v>
      </c>
      <c r="S17" s="1231">
        <v>126.705</v>
      </c>
      <c r="T17" s="1231">
        <v>126.705</v>
      </c>
      <c r="U17" s="1231">
        <v>261.61399999999998</v>
      </c>
      <c r="V17" s="1233">
        <v>280.57400000000001</v>
      </c>
      <c r="W17" s="1231">
        <v>316.78699999999998</v>
      </c>
      <c r="X17" s="1231">
        <v>316.78699999999998</v>
      </c>
      <c r="Y17" s="1232">
        <v>316.52</v>
      </c>
      <c r="Z17" s="1233">
        <v>316.52</v>
      </c>
      <c r="AA17" s="1231">
        <v>316.52</v>
      </c>
      <c r="AB17" s="1231">
        <v>316.52</v>
      </c>
      <c r="AC17" s="1232">
        <v>518.53899999999999</v>
      </c>
      <c r="AD17" s="1231">
        <v>518.53899999999999</v>
      </c>
      <c r="AE17" s="1231">
        <v>541.29200000000003</v>
      </c>
      <c r="AF17" s="1231">
        <v>541.29200000000003</v>
      </c>
      <c r="AG17" s="1232">
        <v>541.29200000000003</v>
      </c>
      <c r="AH17" s="1231">
        <v>656.48099999999999</v>
      </c>
      <c r="AI17" s="1231">
        <v>697.76900000000001</v>
      </c>
      <c r="AJ17" s="1231">
        <v>697.88599999999997</v>
      </c>
      <c r="AK17" s="1232">
        <v>697.88599999999997</v>
      </c>
      <c r="AL17" s="1231">
        <f t="shared" ref="AL17:AS17" si="30">AK17</f>
        <v>697.88599999999997</v>
      </c>
      <c r="AM17" s="1231">
        <f t="shared" si="30"/>
        <v>697.88599999999997</v>
      </c>
      <c r="AN17" s="1231">
        <f t="shared" si="30"/>
        <v>697.88599999999997</v>
      </c>
      <c r="AO17" s="1232">
        <f t="shared" si="30"/>
        <v>697.88599999999997</v>
      </c>
      <c r="AP17" s="1231">
        <f t="shared" si="30"/>
        <v>697.88599999999997</v>
      </c>
      <c r="AQ17" s="1231">
        <f t="shared" si="30"/>
        <v>697.88599999999997</v>
      </c>
      <c r="AR17" s="1231">
        <f t="shared" si="30"/>
        <v>697.88599999999997</v>
      </c>
      <c r="AS17" s="1232">
        <f t="shared" si="30"/>
        <v>697.88599999999997</v>
      </c>
      <c r="AT17" s="1231"/>
      <c r="AU17" s="1237">
        <f t="shared" si="18"/>
        <v>0.26500000000000001</v>
      </c>
      <c r="AV17" s="1259">
        <f t="shared" si="19"/>
        <v>0</v>
      </c>
      <c r="AW17" s="1259">
        <f t="shared" si="20"/>
        <v>54.137999999999998</v>
      </c>
      <c r="AX17" s="1259">
        <f t="shared" si="21"/>
        <v>54.414000000000001</v>
      </c>
      <c r="AY17" s="1259">
        <f t="shared" si="22"/>
        <v>261.61399999999998</v>
      </c>
      <c r="AZ17" s="1255">
        <f t="shared" si="23"/>
        <v>316.52</v>
      </c>
      <c r="BA17" s="1259">
        <f t="shared" si="24"/>
        <v>518.53899999999999</v>
      </c>
      <c r="BB17" s="1259">
        <f t="shared" si="9"/>
        <v>541.29200000000003</v>
      </c>
      <c r="BC17" s="1259">
        <f t="shared" si="25"/>
        <v>697.88599999999997</v>
      </c>
      <c r="BD17" s="1259">
        <f t="shared" si="28"/>
        <v>697.88599999999997</v>
      </c>
      <c r="BE17" s="1259">
        <f t="shared" si="26"/>
        <v>697.88599999999997</v>
      </c>
      <c r="BF17" s="1238"/>
    </row>
    <row r="18" spans="1:58">
      <c r="A18" s="1230" t="s">
        <v>245</v>
      </c>
      <c r="B18" s="1231"/>
      <c r="C18" s="1231"/>
      <c r="D18" s="1231"/>
      <c r="E18" s="1232">
        <v>2.2519999999999998</v>
      </c>
      <c r="F18" s="1231">
        <v>5.1319999999999997</v>
      </c>
      <c r="G18" s="1231">
        <v>7.157</v>
      </c>
      <c r="H18" s="1231">
        <v>5.149</v>
      </c>
      <c r="I18" s="1232">
        <v>7.81</v>
      </c>
      <c r="J18" s="1231">
        <v>7.4459999999999997</v>
      </c>
      <c r="K18" s="1231">
        <v>8.49</v>
      </c>
      <c r="L18" s="1231">
        <v>9.8550000000000004</v>
      </c>
      <c r="M18" s="1232">
        <v>12.544</v>
      </c>
      <c r="N18" s="1233">
        <v>11.244999999999999</v>
      </c>
      <c r="O18" s="1231">
        <v>9.7789999999999999</v>
      </c>
      <c r="P18" s="1231">
        <v>11.807</v>
      </c>
      <c r="Q18" s="1232">
        <v>14.11</v>
      </c>
      <c r="R18" s="1231">
        <v>13.522</v>
      </c>
      <c r="S18" s="1231">
        <v>18.472999999999999</v>
      </c>
      <c r="T18" s="1231">
        <v>22.399000000000001</v>
      </c>
      <c r="U18" s="1253">
        <v>31.23</v>
      </c>
      <c r="V18" s="1255">
        <v>25.802</v>
      </c>
      <c r="W18" s="1253">
        <v>26.736999999999998</v>
      </c>
      <c r="X18" s="1253">
        <v>23.327000000000002</v>
      </c>
      <c r="Y18" s="1254">
        <v>38.008000000000003</v>
      </c>
      <c r="Z18" s="1253">
        <v>36.603999999999999</v>
      </c>
      <c r="AA18" s="1253">
        <v>33.94</v>
      </c>
      <c r="AB18" s="1253">
        <v>25.213000000000001</v>
      </c>
      <c r="AC18" s="1254">
        <v>23.177</v>
      </c>
      <c r="AD18" s="1253">
        <v>15.656000000000001</v>
      </c>
      <c r="AE18" s="1231">
        <v>14.776</v>
      </c>
      <c r="AF18" s="1231">
        <v>13.811</v>
      </c>
      <c r="AG18" s="1232">
        <v>13.303000000000001</v>
      </c>
      <c r="AH18" s="1231">
        <v>14.2</v>
      </c>
      <c r="AI18" s="1231">
        <v>13.72</v>
      </c>
      <c r="AJ18" s="1253">
        <v>12.849</v>
      </c>
      <c r="AK18" s="1232">
        <v>13.566000000000001</v>
      </c>
      <c r="AL18" s="1253">
        <f t="shared" ref="AL18:AS18" si="31">AL59*AL73</f>
        <v>15.353744284656914</v>
      </c>
      <c r="AM18" s="1253">
        <f t="shared" si="31"/>
        <v>14.732045776097374</v>
      </c>
      <c r="AN18" s="1253">
        <f t="shared" si="31"/>
        <v>13.679014911365076</v>
      </c>
      <c r="AO18" s="1254">
        <f t="shared" si="31"/>
        <v>14.443674112684382</v>
      </c>
      <c r="AP18" s="1253">
        <f t="shared" si="31"/>
        <v>16.365586419936271</v>
      </c>
      <c r="AQ18" s="1253">
        <f t="shared" si="31"/>
        <v>15.701816392569844</v>
      </c>
      <c r="AR18" s="1253">
        <f t="shared" si="31"/>
        <v>14.577345682952576</v>
      </c>
      <c r="AS18" s="1254">
        <f t="shared" si="31"/>
        <v>15.391493169727294</v>
      </c>
      <c r="AU18" s="1260">
        <f t="shared" si="18"/>
        <v>2.2519999999999998</v>
      </c>
      <c r="AV18" s="1260">
        <f t="shared" si="19"/>
        <v>7.81</v>
      </c>
      <c r="AW18" s="1260">
        <f t="shared" si="20"/>
        <v>12.544</v>
      </c>
      <c r="AX18" s="1260">
        <f t="shared" si="21"/>
        <v>14.11</v>
      </c>
      <c r="AY18" s="1260">
        <f t="shared" si="22"/>
        <v>31.23</v>
      </c>
      <c r="AZ18" s="1261">
        <f t="shared" si="23"/>
        <v>38.008000000000003</v>
      </c>
      <c r="BA18" s="1260">
        <f t="shared" si="24"/>
        <v>23.177</v>
      </c>
      <c r="BB18" s="1260">
        <f t="shared" si="9"/>
        <v>13.303000000000001</v>
      </c>
      <c r="BC18" s="1260">
        <f t="shared" si="25"/>
        <v>13.566000000000001</v>
      </c>
      <c r="BD18" s="1260">
        <f t="shared" si="28"/>
        <v>14.443674112684382</v>
      </c>
      <c r="BE18" s="1260">
        <f t="shared" si="26"/>
        <v>15.391493169727294</v>
      </c>
      <c r="BF18" s="1238"/>
    </row>
    <row r="19" spans="1:58" s="1252" customFormat="1" ht="12" customHeight="1">
      <c r="A19" s="1262" t="s">
        <v>246</v>
      </c>
      <c r="B19" s="1263"/>
      <c r="C19" s="1263"/>
      <c r="D19" s="1263"/>
      <c r="E19" s="1264">
        <f t="shared" ref="E19:T19" si="32">SUM(E11:E18)</f>
        <v>164.33700000000002</v>
      </c>
      <c r="F19" s="1263">
        <f t="shared" si="32"/>
        <v>155.64499999999998</v>
      </c>
      <c r="G19" s="1263">
        <f t="shared" si="32"/>
        <v>169.358</v>
      </c>
      <c r="H19" s="1263">
        <f t="shared" si="32"/>
        <v>454.19800000000004</v>
      </c>
      <c r="I19" s="1263">
        <f t="shared" si="32"/>
        <v>460.61199999999997</v>
      </c>
      <c r="J19" s="1265">
        <f t="shared" si="32"/>
        <v>466.39100000000013</v>
      </c>
      <c r="K19" s="1263">
        <f t="shared" si="32"/>
        <v>480.76900000000006</v>
      </c>
      <c r="L19" s="1263">
        <f t="shared" si="32"/>
        <v>532.21199999999988</v>
      </c>
      <c r="M19" s="1264">
        <f t="shared" si="32"/>
        <v>558.61199999999997</v>
      </c>
      <c r="N19" s="1265">
        <f t="shared" si="32"/>
        <v>549.57399999999996</v>
      </c>
      <c r="O19" s="1263">
        <f t="shared" si="32"/>
        <v>575.83600000000001</v>
      </c>
      <c r="P19" s="1263">
        <f t="shared" si="32"/>
        <v>623.83499999999992</v>
      </c>
      <c r="Q19" s="1264">
        <f t="shared" si="32"/>
        <v>690.58899999999994</v>
      </c>
      <c r="R19" s="1263">
        <f t="shared" si="32"/>
        <v>700.84700000000009</v>
      </c>
      <c r="S19" s="1263">
        <f t="shared" si="32"/>
        <v>744.76699999999994</v>
      </c>
      <c r="T19" s="1266">
        <f t="shared" si="32"/>
        <v>1158.4899999999998</v>
      </c>
      <c r="U19" s="1263">
        <f t="shared" ref="U19:AS19" si="33">SUM(U11:U18)</f>
        <v>1248.8190000000002</v>
      </c>
      <c r="V19" s="1265">
        <f t="shared" si="33"/>
        <v>1237.8749999999998</v>
      </c>
      <c r="W19" s="1263">
        <f t="shared" si="33"/>
        <v>1275.0419999999999</v>
      </c>
      <c r="X19" s="1263">
        <f t="shared" si="33"/>
        <v>1349.7370000000001</v>
      </c>
      <c r="Y19" s="1264">
        <f t="shared" si="33"/>
        <v>1439.53</v>
      </c>
      <c r="Z19" s="1265">
        <f t="shared" si="33"/>
        <v>1423.277</v>
      </c>
      <c r="AA19" s="1263">
        <f t="shared" si="33"/>
        <v>1465.8389999999999</v>
      </c>
      <c r="AB19" s="1263">
        <f t="shared" si="33"/>
        <v>1524.4459999999999</v>
      </c>
      <c r="AC19" s="1264">
        <f t="shared" si="33"/>
        <v>1606.8709999999999</v>
      </c>
      <c r="AD19" s="1265">
        <f t="shared" si="33"/>
        <v>1567.0219999999999</v>
      </c>
      <c r="AE19" s="1263">
        <f t="shared" si="33"/>
        <v>1576.3489999999999</v>
      </c>
      <c r="AF19" s="1266">
        <f t="shared" si="33"/>
        <v>1634.4189999999996</v>
      </c>
      <c r="AG19" s="1267">
        <f t="shared" si="33"/>
        <v>1742.1189999999999</v>
      </c>
      <c r="AH19" s="1268">
        <f t="shared" si="33"/>
        <v>1693.577</v>
      </c>
      <c r="AI19" s="1266">
        <f t="shared" si="33"/>
        <v>1656.5719999999999</v>
      </c>
      <c r="AJ19" s="1263">
        <f t="shared" si="33"/>
        <v>1652.6220000000001</v>
      </c>
      <c r="AK19" s="1267">
        <f t="shared" si="33"/>
        <v>1747.6670000000001</v>
      </c>
      <c r="AL19" s="1265">
        <f t="shared" si="33"/>
        <v>1743.9350671281632</v>
      </c>
      <c r="AM19" s="1263">
        <f t="shared" si="33"/>
        <v>1774.9365195354899</v>
      </c>
      <c r="AN19" s="1263">
        <f t="shared" si="33"/>
        <v>1825.7731846698564</v>
      </c>
      <c r="AO19" s="1264">
        <f t="shared" si="33"/>
        <v>2000.6708951248729</v>
      </c>
      <c r="AP19" s="1265">
        <f t="shared" si="33"/>
        <v>1997.2255171760357</v>
      </c>
      <c r="AQ19" s="1263">
        <f t="shared" si="33"/>
        <v>2033.6792009316473</v>
      </c>
      <c r="AR19" s="1263">
        <f t="shared" si="33"/>
        <v>2091.2394973488372</v>
      </c>
      <c r="AS19" s="1264">
        <f t="shared" si="33"/>
        <v>2281.0811124291395</v>
      </c>
      <c r="AT19" s="189"/>
      <c r="AU19" s="1269">
        <f t="shared" si="18"/>
        <v>164.33700000000002</v>
      </c>
      <c r="AV19" s="1269">
        <f t="shared" si="19"/>
        <v>460.61199999999997</v>
      </c>
      <c r="AW19" s="1269">
        <f t="shared" si="20"/>
        <v>558.61199999999997</v>
      </c>
      <c r="AX19" s="1269">
        <f t="shared" si="21"/>
        <v>690.58899999999994</v>
      </c>
      <c r="AY19" s="1269">
        <f t="shared" si="22"/>
        <v>1248.8190000000002</v>
      </c>
      <c r="AZ19" s="1270">
        <f t="shared" si="23"/>
        <v>1439.53</v>
      </c>
      <c r="BA19" s="1271">
        <f t="shared" si="24"/>
        <v>1606.8709999999999</v>
      </c>
      <c r="BB19" s="1269">
        <f t="shared" si="9"/>
        <v>1742.1189999999999</v>
      </c>
      <c r="BC19" s="1269">
        <f t="shared" si="25"/>
        <v>1747.6670000000001</v>
      </c>
      <c r="BD19" s="1272">
        <f t="shared" si="28"/>
        <v>2000.6708951248729</v>
      </c>
      <c r="BE19" s="1272">
        <f t="shared" si="26"/>
        <v>2281.0811124291395</v>
      </c>
      <c r="BF19" s="1238"/>
    </row>
    <row r="20" spans="1:58" ht="12" customHeight="1">
      <c r="A20" s="152"/>
      <c r="B20" s="1253"/>
      <c r="C20" s="1253"/>
      <c r="D20" s="1253"/>
      <c r="E20" s="1254"/>
      <c r="F20" s="1253"/>
      <c r="G20" s="1253"/>
      <c r="H20" s="1253"/>
      <c r="I20" s="1253"/>
      <c r="J20" s="1255"/>
      <c r="K20" s="1253"/>
      <c r="L20" s="1253"/>
      <c r="M20" s="1254"/>
      <c r="N20" s="1255"/>
      <c r="O20" s="1253"/>
      <c r="P20" s="1253"/>
      <c r="Q20" s="1254"/>
      <c r="R20" s="1253"/>
      <c r="S20" s="1253"/>
      <c r="T20" s="1231"/>
      <c r="U20" s="1253"/>
      <c r="V20" s="1255"/>
      <c r="W20" s="1253"/>
      <c r="X20" s="1253"/>
      <c r="Y20" s="1254"/>
      <c r="Z20" s="1255"/>
      <c r="AA20" s="1253"/>
      <c r="AB20" s="1253"/>
      <c r="AC20" s="1254"/>
      <c r="AD20" s="1255"/>
      <c r="AE20" s="1253"/>
      <c r="AF20" s="1231"/>
      <c r="AG20" s="1232"/>
      <c r="AH20" s="1255"/>
      <c r="AI20" s="1253"/>
      <c r="AJ20" s="1253"/>
      <c r="AK20" s="1232"/>
      <c r="AL20" s="1255"/>
      <c r="AM20" s="1253"/>
      <c r="AN20" s="1253"/>
      <c r="AO20" s="1254"/>
      <c r="AP20" s="1255"/>
      <c r="AQ20" s="1253"/>
      <c r="AR20" s="1253"/>
      <c r="AS20" s="1254"/>
      <c r="AT20" s="1231"/>
      <c r="AU20" s="1234"/>
      <c r="AV20" s="1234"/>
      <c r="AW20" s="1234"/>
      <c r="AX20" s="1234"/>
      <c r="AY20" s="1234"/>
      <c r="AZ20" s="1235"/>
      <c r="BA20" s="1236"/>
      <c r="BB20" s="1234"/>
      <c r="BC20" s="1234"/>
      <c r="BD20" s="1237"/>
      <c r="BE20" s="1237"/>
      <c r="BF20" s="1238"/>
    </row>
    <row r="21" spans="1:58" s="1276" customFormat="1" ht="12" customHeight="1">
      <c r="A21" s="73" t="s">
        <v>247</v>
      </c>
      <c r="B21" s="184"/>
      <c r="C21" s="184"/>
      <c r="D21" s="184"/>
      <c r="E21" s="1273"/>
      <c r="F21" s="184"/>
      <c r="G21" s="184"/>
      <c r="H21" s="184"/>
      <c r="I21" s="184"/>
      <c r="J21" s="1274"/>
      <c r="K21" s="184"/>
      <c r="L21" s="184"/>
      <c r="M21" s="1273"/>
      <c r="N21" s="1274"/>
      <c r="O21" s="184"/>
      <c r="P21" s="184"/>
      <c r="Q21" s="1273"/>
      <c r="R21" s="184"/>
      <c r="S21" s="184"/>
      <c r="T21" s="189"/>
      <c r="U21" s="184"/>
      <c r="V21" s="1274"/>
      <c r="W21" s="184"/>
      <c r="X21" s="184"/>
      <c r="Y21" s="1273"/>
      <c r="Z21" s="1274"/>
      <c r="AA21" s="184"/>
      <c r="AB21" s="184"/>
      <c r="AC21" s="1273"/>
      <c r="AD21" s="1274"/>
      <c r="AE21" s="184"/>
      <c r="AF21" s="189"/>
      <c r="AG21" s="1245"/>
      <c r="AH21" s="1274"/>
      <c r="AI21" s="184"/>
      <c r="AJ21" s="184"/>
      <c r="AK21" s="1245"/>
      <c r="AL21" s="1274"/>
      <c r="AM21" s="184"/>
      <c r="AN21" s="184"/>
      <c r="AO21" s="1273"/>
      <c r="AP21" s="1274"/>
      <c r="AQ21" s="184"/>
      <c r="AR21" s="184"/>
      <c r="AS21" s="1273"/>
      <c r="AT21" s="189"/>
      <c r="AU21" s="1247"/>
      <c r="AV21" s="1247"/>
      <c r="AW21" s="1247"/>
      <c r="AX21" s="1247"/>
      <c r="AY21" s="1247"/>
      <c r="AZ21" s="1248"/>
      <c r="BA21" s="1249"/>
      <c r="BB21" s="1247"/>
      <c r="BC21" s="1247"/>
      <c r="BD21" s="1250"/>
      <c r="BE21" s="1250"/>
      <c r="BF21" s="1275"/>
    </row>
    <row r="22" spans="1:58" ht="12" customHeight="1">
      <c r="A22" s="1230" t="s">
        <v>248</v>
      </c>
      <c r="B22" s="1231"/>
      <c r="C22" s="1231"/>
      <c r="D22" s="1231"/>
      <c r="E22" s="1232">
        <v>0.33800000000000002</v>
      </c>
      <c r="F22" s="1231">
        <v>1.639</v>
      </c>
      <c r="G22" s="1231">
        <v>1.4570000000000001</v>
      </c>
      <c r="H22" s="1231">
        <v>0.53800000000000003</v>
      </c>
      <c r="I22" s="1231">
        <v>0.17100000000000001</v>
      </c>
      <c r="J22" s="1233">
        <v>1.2869999999999999</v>
      </c>
      <c r="K22" s="1231">
        <v>2.2069999999999999</v>
      </c>
      <c r="L22" s="1231">
        <v>0.79500000000000004</v>
      </c>
      <c r="M22" s="1232">
        <v>1.732</v>
      </c>
      <c r="N22" s="1233">
        <v>4.4039999999999999</v>
      </c>
      <c r="O22" s="1231">
        <v>0.42899999999999999</v>
      </c>
      <c r="P22" s="1231">
        <v>6.2480000000000002</v>
      </c>
      <c r="Q22" s="1232">
        <v>5.7309999999999999</v>
      </c>
      <c r="R22" s="1231">
        <v>9.5549999999999997</v>
      </c>
      <c r="S22" s="1231">
        <v>11.992000000000001</v>
      </c>
      <c r="T22" s="1231">
        <v>16.010999999999999</v>
      </c>
      <c r="U22" s="1231">
        <v>16.254000000000001</v>
      </c>
      <c r="V22" s="1233">
        <v>17.056999999999999</v>
      </c>
      <c r="W22" s="1231">
        <v>16.882000000000001</v>
      </c>
      <c r="X22" s="1231">
        <v>26.236999999999998</v>
      </c>
      <c r="Y22" s="1232">
        <v>18.722000000000001</v>
      </c>
      <c r="Z22" s="1233">
        <v>21.872</v>
      </c>
      <c r="AA22" s="1231">
        <v>24.855</v>
      </c>
      <c r="AB22" s="1231">
        <v>26.88</v>
      </c>
      <c r="AC22" s="1232">
        <v>16.940999999999999</v>
      </c>
      <c r="AD22" s="1233">
        <v>17.667000000000002</v>
      </c>
      <c r="AE22" s="1231">
        <v>19.542999999999999</v>
      </c>
      <c r="AF22" s="1231">
        <v>17.832999999999998</v>
      </c>
      <c r="AG22" s="1232">
        <v>19.981000000000002</v>
      </c>
      <c r="AH22" s="1233">
        <v>17.684000000000001</v>
      </c>
      <c r="AI22" s="1231">
        <v>18.827999999999999</v>
      </c>
      <c r="AJ22" s="1231">
        <v>20.088999999999999</v>
      </c>
      <c r="AK22" s="1232">
        <v>21.888999999999999</v>
      </c>
      <c r="AL22" s="1233">
        <f t="shared" ref="AL22:AS22" si="34">(AL60*AL67)/(365/4)</f>
        <v>20.257831833434683</v>
      </c>
      <c r="AM22" s="1231">
        <f t="shared" si="34"/>
        <v>21.380966943354057</v>
      </c>
      <c r="AN22" s="1231">
        <f t="shared" si="34"/>
        <v>21.725753671014878</v>
      </c>
      <c r="AO22" s="1232">
        <f t="shared" si="34"/>
        <v>24.36118604926672</v>
      </c>
      <c r="AP22" s="1233">
        <f t="shared" si="34"/>
        <v>22.816889860744684</v>
      </c>
      <c r="AQ22" s="1231">
        <f t="shared" si="34"/>
        <v>24.041589206822554</v>
      </c>
      <c r="AR22" s="1231">
        <f t="shared" si="34"/>
        <v>24.406216538061209</v>
      </c>
      <c r="AS22" s="1232">
        <f t="shared" si="34"/>
        <v>27.237162443127076</v>
      </c>
      <c r="AT22" s="1232"/>
      <c r="AU22" s="1234">
        <f t="shared" ref="AU22:AU29" si="35">E22</f>
        <v>0.33800000000000002</v>
      </c>
      <c r="AV22" s="1258">
        <f t="shared" ref="AV22:AV29" si="36">I22</f>
        <v>0.17100000000000001</v>
      </c>
      <c r="AW22" s="1258">
        <f t="shared" ref="AW22:AW29" si="37">M22</f>
        <v>1.732</v>
      </c>
      <c r="AX22" s="1258">
        <f t="shared" ref="AX22:AX29" si="38">Q22</f>
        <v>5.7309999999999999</v>
      </c>
      <c r="AY22" s="1234">
        <f t="shared" ref="AY22:AY29" si="39">U22</f>
        <v>16.254000000000001</v>
      </c>
      <c r="AZ22" s="1235">
        <f t="shared" ref="AZ22:AZ29" si="40">Y22</f>
        <v>18.722000000000001</v>
      </c>
      <c r="BA22" s="1236">
        <f t="shared" ref="BA22:BA29" si="41">AC22</f>
        <v>16.940999999999999</v>
      </c>
      <c r="BB22" s="1234">
        <f t="shared" ref="BB22:BB29" si="42">AG22</f>
        <v>19.981000000000002</v>
      </c>
      <c r="BC22" s="1234">
        <f t="shared" ref="BC22:BC29" si="43">AK22</f>
        <v>21.888999999999999</v>
      </c>
      <c r="BD22" s="1237">
        <f t="shared" ref="BD22:BD29" si="44">AO22</f>
        <v>24.36118604926672</v>
      </c>
      <c r="BE22" s="1237">
        <f t="shared" ref="BE22:BE29" si="45">AS22</f>
        <v>27.237162443127076</v>
      </c>
      <c r="BF22" s="1238"/>
    </row>
    <row r="23" spans="1:58" ht="12" customHeight="1">
      <c r="A23" s="1230" t="s">
        <v>249</v>
      </c>
      <c r="B23" s="1231"/>
      <c r="C23" s="1231"/>
      <c r="D23" s="1231"/>
      <c r="E23" s="1232">
        <v>4.8780000000000001</v>
      </c>
      <c r="F23" s="1231">
        <v>6.2729999999999997</v>
      </c>
      <c r="G23" s="1231">
        <v>7.4619999999999997</v>
      </c>
      <c r="H23" s="1231">
        <v>6.57</v>
      </c>
      <c r="I23" s="1231">
        <v>5.5540000000000003</v>
      </c>
      <c r="J23" s="1233">
        <v>7.9939999999999998</v>
      </c>
      <c r="K23" s="1231">
        <v>9.77</v>
      </c>
      <c r="L23" s="1231">
        <v>9.4740000000000002</v>
      </c>
      <c r="M23" s="1232">
        <v>8.4359999999999999</v>
      </c>
      <c r="N23" s="1233">
        <v>14.536</v>
      </c>
      <c r="O23" s="1231">
        <v>7.9089999999999998</v>
      </c>
      <c r="P23" s="1231">
        <v>0</v>
      </c>
      <c r="Q23" s="1232">
        <v>0</v>
      </c>
      <c r="R23" s="1231">
        <v>0</v>
      </c>
      <c r="S23" s="1231">
        <v>0</v>
      </c>
      <c r="T23" s="1231">
        <v>0</v>
      </c>
      <c r="U23" s="1231">
        <v>0</v>
      </c>
      <c r="V23" s="1233">
        <v>0</v>
      </c>
      <c r="W23" s="1231">
        <v>0</v>
      </c>
      <c r="X23" s="1231">
        <v>0</v>
      </c>
      <c r="Y23" s="1232">
        <v>0</v>
      </c>
      <c r="Z23" s="1233">
        <v>0</v>
      </c>
      <c r="AA23" s="1231">
        <v>0</v>
      </c>
      <c r="AB23" s="1231">
        <v>0</v>
      </c>
      <c r="AC23" s="1232">
        <v>0</v>
      </c>
      <c r="AD23" s="1233">
        <v>0</v>
      </c>
      <c r="AE23" s="1231">
        <v>0</v>
      </c>
      <c r="AF23" s="1231">
        <v>0</v>
      </c>
      <c r="AG23" s="1232">
        <v>0</v>
      </c>
      <c r="AH23" s="1233">
        <v>0</v>
      </c>
      <c r="AI23" s="1231">
        <v>0</v>
      </c>
      <c r="AJ23" s="1231">
        <v>0</v>
      </c>
      <c r="AK23" s="1232">
        <v>0</v>
      </c>
      <c r="AL23" s="1233">
        <v>0</v>
      </c>
      <c r="AM23" s="1231">
        <v>0</v>
      </c>
      <c r="AN23" s="1231">
        <v>0</v>
      </c>
      <c r="AO23" s="1232">
        <v>0</v>
      </c>
      <c r="AP23" s="1233">
        <v>0</v>
      </c>
      <c r="AQ23" s="1231">
        <v>0</v>
      </c>
      <c r="AR23" s="1231">
        <v>0</v>
      </c>
      <c r="AS23" s="1232">
        <v>0</v>
      </c>
      <c r="AT23" s="1232"/>
      <c r="AU23" s="1234">
        <f t="shared" si="35"/>
        <v>4.8780000000000001</v>
      </c>
      <c r="AV23" s="1258">
        <f t="shared" si="36"/>
        <v>5.5540000000000003</v>
      </c>
      <c r="AW23" s="1258">
        <f t="shared" si="37"/>
        <v>8.4359999999999999</v>
      </c>
      <c r="AX23" s="1258">
        <f t="shared" si="38"/>
        <v>0</v>
      </c>
      <c r="AY23" s="1234">
        <f t="shared" si="39"/>
        <v>0</v>
      </c>
      <c r="AZ23" s="1235">
        <f t="shared" si="40"/>
        <v>0</v>
      </c>
      <c r="BA23" s="1236">
        <f t="shared" si="41"/>
        <v>0</v>
      </c>
      <c r="BB23" s="1234">
        <f t="shared" si="42"/>
        <v>0</v>
      </c>
      <c r="BC23" s="1234">
        <f t="shared" si="43"/>
        <v>0</v>
      </c>
      <c r="BD23" s="1237">
        <f t="shared" si="44"/>
        <v>0</v>
      </c>
      <c r="BE23" s="1237">
        <f t="shared" si="45"/>
        <v>0</v>
      </c>
      <c r="BF23" s="1238"/>
    </row>
    <row r="24" spans="1:58" s="1256" customFormat="1" ht="12.75" customHeight="1">
      <c r="A24" s="1239" t="s">
        <v>250</v>
      </c>
      <c r="B24" s="1231"/>
      <c r="C24" s="1231"/>
      <c r="D24" s="1231"/>
      <c r="E24" s="1232">
        <v>18.481999999999999</v>
      </c>
      <c r="F24" s="1231">
        <v>14.178000000000001</v>
      </c>
      <c r="G24" s="1231">
        <v>15.862</v>
      </c>
      <c r="H24" s="1231">
        <v>19.734000000000002</v>
      </c>
      <c r="I24" s="1231">
        <v>29.594000000000001</v>
      </c>
      <c r="J24" s="1233">
        <v>22.36</v>
      </c>
      <c r="K24" s="1231">
        <v>26.501999999999999</v>
      </c>
      <c r="L24" s="1231">
        <v>24.244</v>
      </c>
      <c r="M24" s="1232">
        <v>36.634</v>
      </c>
      <c r="N24" s="1233">
        <v>23.356999999999999</v>
      </c>
      <c r="O24" s="1231">
        <v>31.36</v>
      </c>
      <c r="P24" s="1231">
        <v>28.244</v>
      </c>
      <c r="Q24" s="1232">
        <v>35.509</v>
      </c>
      <c r="R24" s="1231">
        <v>26.786999999999999</v>
      </c>
      <c r="S24" s="1231">
        <v>35.901000000000003</v>
      </c>
      <c r="T24" s="1231">
        <v>33.298999999999999</v>
      </c>
      <c r="U24" s="1231">
        <v>54.051000000000002</v>
      </c>
      <c r="V24" s="1233">
        <v>35.235999999999997</v>
      </c>
      <c r="W24" s="1231">
        <v>41.198999999999998</v>
      </c>
      <c r="X24" s="1231">
        <v>37.154000000000003</v>
      </c>
      <c r="Y24" s="1232">
        <v>52.62</v>
      </c>
      <c r="Z24" s="1233">
        <v>36.786000000000001</v>
      </c>
      <c r="AA24" s="1231">
        <v>45.22</v>
      </c>
      <c r="AB24" s="1231">
        <v>44.85</v>
      </c>
      <c r="AC24" s="1232">
        <v>66.492000000000004</v>
      </c>
      <c r="AD24" s="1233">
        <v>43.546999999999997</v>
      </c>
      <c r="AE24" s="1231">
        <v>44.119</v>
      </c>
      <c r="AF24" s="1231">
        <v>43.04</v>
      </c>
      <c r="AG24" s="1232">
        <v>55.783999999999999</v>
      </c>
      <c r="AH24" s="1233">
        <v>51.432000000000002</v>
      </c>
      <c r="AI24" s="1231">
        <v>55.573999999999998</v>
      </c>
      <c r="AJ24" s="1231">
        <v>48.429000000000002</v>
      </c>
      <c r="AK24" s="1232">
        <v>69.165999999999997</v>
      </c>
      <c r="AL24" s="1233">
        <f t="shared" ref="AL24:AS24" si="46">AL59*AL75</f>
        <v>55.610829299188339</v>
      </c>
      <c r="AM24" s="1231">
        <f t="shared" si="46"/>
        <v>59.673375507349519</v>
      </c>
      <c r="AN24" s="1231">
        <f t="shared" si="46"/>
        <v>51.557398485679769</v>
      </c>
      <c r="AO24" s="1232">
        <f t="shared" si="46"/>
        <v>73.640805224674025</v>
      </c>
      <c r="AP24" s="1233">
        <f t="shared" si="46"/>
        <v>59.275693010574813</v>
      </c>
      <c r="AQ24" s="1231">
        <f t="shared" si="46"/>
        <v>63.601511967979334</v>
      </c>
      <c r="AR24" s="1231">
        <f t="shared" si="46"/>
        <v>54.943285398062905</v>
      </c>
      <c r="AS24" s="1232">
        <f t="shared" si="46"/>
        <v>78.473243150328599</v>
      </c>
      <c r="AT24" s="1232"/>
      <c r="AU24" s="1234">
        <f t="shared" si="35"/>
        <v>18.481999999999999</v>
      </c>
      <c r="AV24" s="1234">
        <f t="shared" si="36"/>
        <v>29.594000000000001</v>
      </c>
      <c r="AW24" s="1234">
        <f t="shared" si="37"/>
        <v>36.634</v>
      </c>
      <c r="AX24" s="1234">
        <f t="shared" si="38"/>
        <v>35.509</v>
      </c>
      <c r="AY24" s="1234">
        <f t="shared" si="39"/>
        <v>54.051000000000002</v>
      </c>
      <c r="AZ24" s="1235">
        <f t="shared" si="40"/>
        <v>52.62</v>
      </c>
      <c r="BA24" s="1236">
        <f t="shared" si="41"/>
        <v>66.492000000000004</v>
      </c>
      <c r="BB24" s="1234">
        <f t="shared" si="42"/>
        <v>55.783999999999999</v>
      </c>
      <c r="BC24" s="1234">
        <f t="shared" si="43"/>
        <v>69.165999999999997</v>
      </c>
      <c r="BD24" s="1237">
        <f t="shared" si="44"/>
        <v>73.640805224674025</v>
      </c>
      <c r="BE24" s="1237">
        <f t="shared" si="45"/>
        <v>78.473243150328599</v>
      </c>
      <c r="BF24" s="1238"/>
    </row>
    <row r="25" spans="1:58" s="1256" customFormat="1" ht="12.75" customHeight="1">
      <c r="A25" s="1239" t="s">
        <v>251</v>
      </c>
      <c r="B25" s="1231"/>
      <c r="C25" s="1231"/>
      <c r="D25" s="1231"/>
      <c r="E25" s="1232">
        <v>154.898</v>
      </c>
      <c r="F25" s="1231">
        <v>160.50299999999999</v>
      </c>
      <c r="G25" s="1231">
        <v>174.27699999999999</v>
      </c>
      <c r="H25" s="1231">
        <v>191.578</v>
      </c>
      <c r="I25" s="1231">
        <v>213.64400000000001</v>
      </c>
      <c r="J25" s="1233">
        <v>214.50800000000001</v>
      </c>
      <c r="K25" s="1231">
        <v>227.227</v>
      </c>
      <c r="L25" s="1231">
        <v>245.98500000000001</v>
      </c>
      <c r="M25" s="1232">
        <v>274.34800000000001</v>
      </c>
      <c r="N25" s="1233">
        <v>270.916</v>
      </c>
      <c r="O25" s="1231">
        <v>274.95299999999997</v>
      </c>
      <c r="P25" s="1231">
        <v>296.36</v>
      </c>
      <c r="Q25" s="1232">
        <v>328.81900000000002</v>
      </c>
      <c r="R25" s="1231">
        <v>325.113</v>
      </c>
      <c r="S25" s="1231">
        <v>334.10599999999999</v>
      </c>
      <c r="T25" s="1231">
        <v>362.30799999999999</v>
      </c>
      <c r="U25" s="1231">
        <v>407.49799999999999</v>
      </c>
      <c r="V25" s="1233">
        <v>404.786</v>
      </c>
      <c r="W25" s="1231">
        <v>415.37799999999999</v>
      </c>
      <c r="X25" s="1231">
        <v>447.863</v>
      </c>
      <c r="Y25" s="1232">
        <v>502.11500000000001</v>
      </c>
      <c r="Z25" s="1233">
        <v>490.07600000000002</v>
      </c>
      <c r="AA25" s="1231">
        <v>495.19900000000001</v>
      </c>
      <c r="AB25" s="1231">
        <v>518.37199999999996</v>
      </c>
      <c r="AC25" s="1232">
        <v>580.779</v>
      </c>
      <c r="AD25" s="1233">
        <v>562.57500000000005</v>
      </c>
      <c r="AE25" s="1231">
        <v>562.58699999999999</v>
      </c>
      <c r="AF25" s="1231">
        <v>583.94000000000005</v>
      </c>
      <c r="AG25" s="1232">
        <v>650.37199999999996</v>
      </c>
      <c r="AH25" s="1233">
        <v>633.22400000000005</v>
      </c>
      <c r="AI25" s="1231">
        <v>624.548</v>
      </c>
      <c r="AJ25" s="1231">
        <v>639.61400000000003</v>
      </c>
      <c r="AK25" s="1232">
        <v>706.86599999999999</v>
      </c>
      <c r="AL25" s="1233">
        <f t="shared" ref="AL25:AS25" si="47">AL86*AL88</f>
        <v>685.77817344041966</v>
      </c>
      <c r="AM25" s="1231">
        <f t="shared" si="47"/>
        <v>676.86025195747891</v>
      </c>
      <c r="AN25" s="1231">
        <f t="shared" si="47"/>
        <v>687.48278467830949</v>
      </c>
      <c r="AO25" s="1232">
        <f t="shared" si="47"/>
        <v>761.77629084881642</v>
      </c>
      <c r="AP25" s="1233">
        <f t="shared" si="47"/>
        <v>739.29873478359571</v>
      </c>
      <c r="AQ25" s="1231">
        <f t="shared" si="47"/>
        <v>729.79377071705164</v>
      </c>
      <c r="AR25" s="1231">
        <f t="shared" si="47"/>
        <v>741.11390835147768</v>
      </c>
      <c r="AS25" s="1232">
        <f t="shared" si="47"/>
        <v>820.28268382074998</v>
      </c>
      <c r="AT25" s="1232"/>
      <c r="AU25" s="1234">
        <f t="shared" si="35"/>
        <v>154.898</v>
      </c>
      <c r="AV25" s="1234">
        <f t="shared" si="36"/>
        <v>213.64400000000001</v>
      </c>
      <c r="AW25" s="1234">
        <f t="shared" si="37"/>
        <v>274.34800000000001</v>
      </c>
      <c r="AX25" s="1234">
        <f t="shared" si="38"/>
        <v>328.81900000000002</v>
      </c>
      <c r="AY25" s="1234">
        <f t="shared" si="39"/>
        <v>407.49799999999999</v>
      </c>
      <c r="AZ25" s="1235">
        <f t="shared" si="40"/>
        <v>502.11500000000001</v>
      </c>
      <c r="BA25" s="1236">
        <f t="shared" si="41"/>
        <v>580.779</v>
      </c>
      <c r="BB25" s="1234">
        <f t="shared" si="42"/>
        <v>650.37199999999996</v>
      </c>
      <c r="BC25" s="1234">
        <f t="shared" si="43"/>
        <v>706.86599999999999</v>
      </c>
      <c r="BD25" s="1237">
        <f t="shared" si="44"/>
        <v>761.77629084881642</v>
      </c>
      <c r="BE25" s="1237">
        <f t="shared" si="45"/>
        <v>820.28268382074998</v>
      </c>
      <c r="BF25" s="1238"/>
    </row>
    <row r="26" spans="1:58" s="1256" customFormat="1" ht="12.75" customHeight="1">
      <c r="A26" s="1239" t="s">
        <v>252</v>
      </c>
      <c r="B26" s="1231"/>
      <c r="C26" s="1231"/>
      <c r="D26" s="1231"/>
      <c r="E26" s="1232">
        <v>1.75</v>
      </c>
      <c r="F26" s="1231">
        <v>1.8220000000000001</v>
      </c>
      <c r="G26" s="1231">
        <v>1.9319999999999999</v>
      </c>
      <c r="H26" s="1231">
        <v>1.897</v>
      </c>
      <c r="I26" s="1231">
        <v>4.2619999999999996</v>
      </c>
      <c r="J26" s="1233">
        <v>3.9809999999999999</v>
      </c>
      <c r="K26" s="1231">
        <v>3.9609999999999999</v>
      </c>
      <c r="L26" s="1231">
        <v>3.97</v>
      </c>
      <c r="M26" s="1232">
        <v>5.2089999999999996</v>
      </c>
      <c r="N26" s="1233">
        <v>4.8659999999999997</v>
      </c>
      <c r="O26" s="1231">
        <v>5.3470000000000004</v>
      </c>
      <c r="P26" s="1231">
        <v>6.3120000000000003</v>
      </c>
      <c r="Q26" s="1232">
        <v>3.8149999999999999</v>
      </c>
      <c r="R26" s="1231">
        <v>4.298</v>
      </c>
      <c r="S26" s="1231">
        <v>5.3550000000000004</v>
      </c>
      <c r="T26" s="1231">
        <v>6.8570000000000002</v>
      </c>
      <c r="U26" s="1231">
        <v>2.3199999999999998</v>
      </c>
      <c r="V26" s="1233">
        <v>3.5640000000000001</v>
      </c>
      <c r="W26" s="1231">
        <v>5.0140000000000002</v>
      </c>
      <c r="X26" s="1231">
        <v>5.5759999999999996</v>
      </c>
      <c r="Y26" s="1232">
        <v>5.8209999999999997</v>
      </c>
      <c r="Z26" s="1233">
        <v>5.9580000000000002</v>
      </c>
      <c r="AA26" s="1231">
        <v>5.62</v>
      </c>
      <c r="AB26" s="1231">
        <v>5.6550000000000002</v>
      </c>
      <c r="AC26" s="1232">
        <v>5.9710000000000001</v>
      </c>
      <c r="AD26" s="1233">
        <v>5.9850000000000003</v>
      </c>
      <c r="AE26" s="1231">
        <v>6.1609999999999996</v>
      </c>
      <c r="AF26" s="1231">
        <v>6.0990000000000002</v>
      </c>
      <c r="AG26" s="1232">
        <v>6.8010000000000002</v>
      </c>
      <c r="AH26" s="1233">
        <v>6.3049999999999997</v>
      </c>
      <c r="AI26" s="1231">
        <v>7.1379999999999999</v>
      </c>
      <c r="AJ26" s="1231">
        <v>8.327</v>
      </c>
      <c r="AK26" s="1232">
        <v>9.5960000000000001</v>
      </c>
      <c r="AL26" s="1233">
        <f t="shared" ref="AL26:AS26" si="48">AK26</f>
        <v>9.5960000000000001</v>
      </c>
      <c r="AM26" s="1231">
        <f t="shared" si="48"/>
        <v>9.5960000000000001</v>
      </c>
      <c r="AN26" s="1231">
        <f t="shared" si="48"/>
        <v>9.5960000000000001</v>
      </c>
      <c r="AO26" s="1232">
        <f t="shared" si="48"/>
        <v>9.5960000000000001</v>
      </c>
      <c r="AP26" s="1233">
        <f t="shared" si="48"/>
        <v>9.5960000000000001</v>
      </c>
      <c r="AQ26" s="1231">
        <f t="shared" si="48"/>
        <v>9.5960000000000001</v>
      </c>
      <c r="AR26" s="1231">
        <f t="shared" si="48"/>
        <v>9.5960000000000001</v>
      </c>
      <c r="AS26" s="1232">
        <f t="shared" si="48"/>
        <v>9.5960000000000001</v>
      </c>
      <c r="AT26" s="1232"/>
      <c r="AU26" s="1234">
        <f t="shared" si="35"/>
        <v>1.75</v>
      </c>
      <c r="AV26" s="1234">
        <f t="shared" si="36"/>
        <v>4.2619999999999996</v>
      </c>
      <c r="AW26" s="1234">
        <f t="shared" si="37"/>
        <v>5.2089999999999996</v>
      </c>
      <c r="AX26" s="1234">
        <f t="shared" si="38"/>
        <v>3.8149999999999999</v>
      </c>
      <c r="AY26" s="1234">
        <f t="shared" si="39"/>
        <v>2.3199999999999998</v>
      </c>
      <c r="AZ26" s="1235">
        <f t="shared" si="40"/>
        <v>5.8209999999999997</v>
      </c>
      <c r="BA26" s="1236">
        <f t="shared" si="41"/>
        <v>5.9710000000000001</v>
      </c>
      <c r="BB26" s="1234">
        <f t="shared" si="42"/>
        <v>6.8010000000000002</v>
      </c>
      <c r="BC26" s="1234">
        <f t="shared" si="43"/>
        <v>9.5960000000000001</v>
      </c>
      <c r="BD26" s="1237">
        <f t="shared" si="44"/>
        <v>9.5960000000000001</v>
      </c>
      <c r="BE26" s="1237">
        <f t="shared" si="45"/>
        <v>9.5960000000000001</v>
      </c>
      <c r="BF26" s="1238"/>
    </row>
    <row r="27" spans="1:58" s="1278" customFormat="1" ht="12.75" customHeight="1">
      <c r="A27" s="1277" t="s">
        <v>253</v>
      </c>
      <c r="B27" s="1253"/>
      <c r="C27" s="1253"/>
      <c r="D27" s="1253"/>
      <c r="E27" s="1254">
        <v>0</v>
      </c>
      <c r="F27" s="1253">
        <v>0</v>
      </c>
      <c r="G27" s="1253">
        <v>0</v>
      </c>
      <c r="H27" s="1253">
        <v>0</v>
      </c>
      <c r="I27" s="1253">
        <v>1.079</v>
      </c>
      <c r="J27" s="1255">
        <v>0.65300000000000002</v>
      </c>
      <c r="K27" s="1253">
        <v>0.53800000000000003</v>
      </c>
      <c r="L27" s="1253">
        <v>0.70099999999999996</v>
      </c>
      <c r="M27" s="1254">
        <v>1.284</v>
      </c>
      <c r="N27" s="1255">
        <v>0.75</v>
      </c>
      <c r="O27" s="1253">
        <v>0.78300000000000003</v>
      </c>
      <c r="P27" s="1253">
        <v>1.1259999999999999</v>
      </c>
      <c r="Q27" s="1254">
        <v>1.028</v>
      </c>
      <c r="R27" s="1253">
        <v>1.097</v>
      </c>
      <c r="S27" s="1253">
        <v>0.27400000000000002</v>
      </c>
      <c r="T27" s="1231">
        <v>1.883</v>
      </c>
      <c r="U27" s="1253">
        <v>3.7589999999999999</v>
      </c>
      <c r="V27" s="1255">
        <v>3.1619999999999999</v>
      </c>
      <c r="W27" s="1253">
        <v>4.5919999999999996</v>
      </c>
      <c r="X27" s="1253">
        <v>4.1139999999999999</v>
      </c>
      <c r="Y27" s="1254">
        <v>4.8819999999999997</v>
      </c>
      <c r="Z27" s="1255">
        <v>5.2590000000000003</v>
      </c>
      <c r="AA27" s="1253">
        <v>6.1769999999999996</v>
      </c>
      <c r="AB27" s="1253">
        <v>4.9859999999999998</v>
      </c>
      <c r="AC27" s="1254">
        <v>5.6550000000000002</v>
      </c>
      <c r="AD27" s="1255">
        <v>5.069</v>
      </c>
      <c r="AE27" s="1231">
        <v>5.8319999999999999</v>
      </c>
      <c r="AF27" s="1231">
        <v>6.2050000000000001</v>
      </c>
      <c r="AG27" s="1232">
        <v>5.1539999999999999</v>
      </c>
      <c r="AH27" s="1233">
        <v>6.3460000000000001</v>
      </c>
      <c r="AI27" s="1231">
        <v>7.1790000000000003</v>
      </c>
      <c r="AJ27" s="1253">
        <v>3.8519999999999999</v>
      </c>
      <c r="AK27" s="1232">
        <v>5.4320000000000004</v>
      </c>
      <c r="AL27" s="1255">
        <f t="shared" ref="AL27:AS27" si="49">AL59*AL76</f>
        <v>6.8616099458051254</v>
      </c>
      <c r="AM27" s="1253">
        <f t="shared" si="49"/>
        <v>7.7085536899856448</v>
      </c>
      <c r="AN27" s="1253">
        <f t="shared" si="49"/>
        <v>4.100830059816194</v>
      </c>
      <c r="AO27" s="1254">
        <f t="shared" si="49"/>
        <v>5.7834319460490606</v>
      </c>
      <c r="AP27" s="1255">
        <f t="shared" si="49"/>
        <v>7.3138036211912381</v>
      </c>
      <c r="AQ27" s="1253">
        <f t="shared" si="49"/>
        <v>8.2159868718847591</v>
      </c>
      <c r="AR27" s="1253">
        <f t="shared" si="49"/>
        <v>4.3701405222767002</v>
      </c>
      <c r="AS27" s="1254">
        <f t="shared" si="49"/>
        <v>6.1629508254429197</v>
      </c>
      <c r="AT27" s="1254"/>
      <c r="AU27" s="1234">
        <f t="shared" si="35"/>
        <v>0</v>
      </c>
      <c r="AV27" s="1234">
        <f t="shared" si="36"/>
        <v>1.079</v>
      </c>
      <c r="AW27" s="1234">
        <f t="shared" si="37"/>
        <v>1.284</v>
      </c>
      <c r="AX27" s="1234">
        <f t="shared" si="38"/>
        <v>1.028</v>
      </c>
      <c r="AY27" s="1234">
        <f t="shared" si="39"/>
        <v>3.7589999999999999</v>
      </c>
      <c r="AZ27" s="1235">
        <f t="shared" si="40"/>
        <v>4.8819999999999997</v>
      </c>
      <c r="BA27" s="1236">
        <f t="shared" si="41"/>
        <v>5.6550000000000002</v>
      </c>
      <c r="BB27" s="1234">
        <f t="shared" si="42"/>
        <v>5.1539999999999999</v>
      </c>
      <c r="BC27" s="1234">
        <f t="shared" si="43"/>
        <v>5.4320000000000004</v>
      </c>
      <c r="BD27" s="1237">
        <f t="shared" si="44"/>
        <v>5.7834319460490606</v>
      </c>
      <c r="BE27" s="1237">
        <f t="shared" si="45"/>
        <v>6.1629508254429197</v>
      </c>
      <c r="BF27" s="1238"/>
    </row>
    <row r="28" spans="1:58" s="1256" customFormat="1" ht="12.75" customHeight="1">
      <c r="A28" s="1239" t="s">
        <v>254</v>
      </c>
      <c r="B28" s="1231"/>
      <c r="C28" s="1231"/>
      <c r="D28" s="1231"/>
      <c r="E28" s="1232">
        <v>0</v>
      </c>
      <c r="F28" s="1231">
        <v>0</v>
      </c>
      <c r="G28" s="1231">
        <v>0</v>
      </c>
      <c r="H28" s="1231">
        <v>0</v>
      </c>
      <c r="I28" s="1231">
        <v>0</v>
      </c>
      <c r="J28" s="1233">
        <v>0</v>
      </c>
      <c r="K28" s="1231">
        <v>0</v>
      </c>
      <c r="L28" s="1231">
        <v>0</v>
      </c>
      <c r="M28" s="1232">
        <v>0</v>
      </c>
      <c r="N28" s="1233">
        <v>0</v>
      </c>
      <c r="O28" s="1231">
        <v>0</v>
      </c>
      <c r="P28" s="1231">
        <v>0</v>
      </c>
      <c r="Q28" s="1232">
        <v>0</v>
      </c>
      <c r="R28" s="1231">
        <v>0</v>
      </c>
      <c r="S28" s="1231">
        <v>0</v>
      </c>
      <c r="T28" s="1231">
        <v>0</v>
      </c>
      <c r="U28" s="1231">
        <v>0</v>
      </c>
      <c r="V28" s="1233">
        <v>0</v>
      </c>
      <c r="W28" s="1231">
        <v>0</v>
      </c>
      <c r="X28" s="1231">
        <v>0</v>
      </c>
      <c r="Y28" s="1232">
        <v>0</v>
      </c>
      <c r="Z28" s="1233">
        <f t="shared" ref="Z28" si="50">Y28</f>
        <v>0</v>
      </c>
      <c r="AA28" s="1231">
        <v>0</v>
      </c>
      <c r="AB28" s="1231">
        <v>0</v>
      </c>
      <c r="AC28" s="1232">
        <v>0</v>
      </c>
      <c r="AD28" s="1233">
        <v>0</v>
      </c>
      <c r="AE28" s="1231">
        <v>0</v>
      </c>
      <c r="AF28" s="1231">
        <v>0</v>
      </c>
      <c r="AG28" s="1232">
        <v>0</v>
      </c>
      <c r="AH28" s="1233">
        <v>0</v>
      </c>
      <c r="AI28" s="1231">
        <f t="shared" ref="AI28:AJ28" si="51">AH28</f>
        <v>0</v>
      </c>
      <c r="AJ28" s="1231">
        <f t="shared" si="51"/>
        <v>0</v>
      </c>
      <c r="AK28" s="1232">
        <v>0</v>
      </c>
      <c r="AL28" s="1233">
        <f t="shared" ref="AL28:AS28" si="52">AK28</f>
        <v>0</v>
      </c>
      <c r="AM28" s="1231">
        <f t="shared" si="52"/>
        <v>0</v>
      </c>
      <c r="AN28" s="1231">
        <f t="shared" si="52"/>
        <v>0</v>
      </c>
      <c r="AO28" s="1232">
        <f t="shared" si="52"/>
        <v>0</v>
      </c>
      <c r="AP28" s="1233">
        <f t="shared" si="52"/>
        <v>0</v>
      </c>
      <c r="AQ28" s="1231">
        <f t="shared" si="52"/>
        <v>0</v>
      </c>
      <c r="AR28" s="1231">
        <f t="shared" si="52"/>
        <v>0</v>
      </c>
      <c r="AS28" s="1232">
        <f t="shared" si="52"/>
        <v>0</v>
      </c>
      <c r="AT28" s="1232"/>
      <c r="AU28" s="1234">
        <f t="shared" si="35"/>
        <v>0</v>
      </c>
      <c r="AV28" s="1234">
        <f t="shared" si="36"/>
        <v>0</v>
      </c>
      <c r="AW28" s="1234">
        <f t="shared" si="37"/>
        <v>0</v>
      </c>
      <c r="AX28" s="1234">
        <f t="shared" si="38"/>
        <v>0</v>
      </c>
      <c r="AY28" s="1234">
        <f t="shared" si="39"/>
        <v>0</v>
      </c>
      <c r="AZ28" s="1235">
        <f t="shared" si="40"/>
        <v>0</v>
      </c>
      <c r="BA28" s="1236">
        <f t="shared" si="41"/>
        <v>0</v>
      </c>
      <c r="BB28" s="1234">
        <f t="shared" si="42"/>
        <v>0</v>
      </c>
      <c r="BC28" s="1234">
        <f t="shared" si="43"/>
        <v>0</v>
      </c>
      <c r="BD28" s="1237">
        <f t="shared" si="44"/>
        <v>0</v>
      </c>
      <c r="BE28" s="1237">
        <f t="shared" si="45"/>
        <v>0</v>
      </c>
      <c r="BF28" s="1238"/>
    </row>
    <row r="29" spans="1:58" s="1276" customFormat="1" ht="12" customHeight="1">
      <c r="A29" s="1279" t="s">
        <v>255</v>
      </c>
      <c r="B29" s="184"/>
      <c r="C29" s="184"/>
      <c r="D29" s="184"/>
      <c r="E29" s="1273">
        <f t="shared" ref="E29:T29" si="53">SUM(E22:E28)</f>
        <v>180.346</v>
      </c>
      <c r="F29" s="184">
        <f t="shared" si="53"/>
        <v>184.41499999999999</v>
      </c>
      <c r="G29" s="184">
        <f t="shared" si="53"/>
        <v>200.98999999999998</v>
      </c>
      <c r="H29" s="184">
        <f t="shared" si="53"/>
        <v>220.31700000000001</v>
      </c>
      <c r="I29" s="184">
        <f t="shared" si="53"/>
        <v>254.30400000000003</v>
      </c>
      <c r="J29" s="1274">
        <f t="shared" si="53"/>
        <v>250.78299999999999</v>
      </c>
      <c r="K29" s="184">
        <f t="shared" si="53"/>
        <v>270.20500000000004</v>
      </c>
      <c r="L29" s="184">
        <f t="shared" si="53"/>
        <v>285.16900000000004</v>
      </c>
      <c r="M29" s="1273">
        <f t="shared" si="53"/>
        <v>327.64300000000003</v>
      </c>
      <c r="N29" s="1274">
        <f t="shared" si="53"/>
        <v>318.82899999999995</v>
      </c>
      <c r="O29" s="184">
        <f t="shared" si="53"/>
        <v>320.78099999999995</v>
      </c>
      <c r="P29" s="184">
        <f t="shared" si="53"/>
        <v>338.29</v>
      </c>
      <c r="Q29" s="1273">
        <f t="shared" si="53"/>
        <v>374.90200000000004</v>
      </c>
      <c r="R29" s="184">
        <f t="shared" si="53"/>
        <v>366.84999999999997</v>
      </c>
      <c r="S29" s="184">
        <f t="shared" si="53"/>
        <v>387.62800000000004</v>
      </c>
      <c r="T29" s="189">
        <f t="shared" si="53"/>
        <v>420.358</v>
      </c>
      <c r="U29" s="184">
        <f t="shared" ref="U29:Y29" si="54">SUM(U22:U28)</f>
        <v>483.88200000000001</v>
      </c>
      <c r="V29" s="1274">
        <f t="shared" si="54"/>
        <v>463.80500000000001</v>
      </c>
      <c r="W29" s="184">
        <f t="shared" si="54"/>
        <v>483.065</v>
      </c>
      <c r="X29" s="184">
        <f t="shared" si="54"/>
        <v>520.94400000000007</v>
      </c>
      <c r="Y29" s="1273">
        <f t="shared" si="54"/>
        <v>584.16</v>
      </c>
      <c r="Z29" s="1274">
        <f>SUM(Z22:Z28)</f>
        <v>559.95100000000002</v>
      </c>
      <c r="AA29" s="184">
        <f t="shared" ref="AA29:AS29" si="55">SUM(AA22:AA28)</f>
        <v>577.07100000000003</v>
      </c>
      <c r="AB29" s="184">
        <f t="shared" si="55"/>
        <v>600.74299999999994</v>
      </c>
      <c r="AC29" s="1273">
        <f t="shared" si="55"/>
        <v>675.83799999999997</v>
      </c>
      <c r="AD29" s="1274">
        <f t="shared" si="55"/>
        <v>634.84299999999996</v>
      </c>
      <c r="AE29" s="184">
        <f t="shared" si="55"/>
        <v>638.24199999999996</v>
      </c>
      <c r="AF29" s="189">
        <f t="shared" si="55"/>
        <v>657.11700000000019</v>
      </c>
      <c r="AG29" s="1245">
        <f t="shared" si="55"/>
        <v>738.09199999999998</v>
      </c>
      <c r="AH29" s="1274">
        <f t="shared" si="55"/>
        <v>714.99099999999999</v>
      </c>
      <c r="AI29" s="189">
        <f t="shared" si="55"/>
        <v>713.26700000000005</v>
      </c>
      <c r="AJ29" s="184">
        <f t="shared" si="55"/>
        <v>720.31100000000004</v>
      </c>
      <c r="AK29" s="1245">
        <f t="shared" si="55"/>
        <v>812.94899999999996</v>
      </c>
      <c r="AL29" s="1274">
        <f t="shared" si="55"/>
        <v>778.1044445188478</v>
      </c>
      <c r="AM29" s="184">
        <f t="shared" si="55"/>
        <v>775.21914809816803</v>
      </c>
      <c r="AN29" s="184">
        <f t="shared" si="55"/>
        <v>774.46276689482033</v>
      </c>
      <c r="AO29" s="1273">
        <f t="shared" si="55"/>
        <v>875.15771406880629</v>
      </c>
      <c r="AP29" s="1274">
        <f t="shared" si="55"/>
        <v>838.30112127610641</v>
      </c>
      <c r="AQ29" s="184">
        <f t="shared" si="55"/>
        <v>835.24885876373833</v>
      </c>
      <c r="AR29" s="184">
        <f t="shared" si="55"/>
        <v>834.42955080987861</v>
      </c>
      <c r="AS29" s="1273">
        <f t="shared" si="55"/>
        <v>941.75204023964852</v>
      </c>
      <c r="AT29" s="1245"/>
      <c r="AU29" s="1247">
        <f t="shared" si="35"/>
        <v>180.346</v>
      </c>
      <c r="AV29" s="1247">
        <f t="shared" si="36"/>
        <v>254.30400000000003</v>
      </c>
      <c r="AW29" s="1247">
        <f t="shared" si="37"/>
        <v>327.64300000000003</v>
      </c>
      <c r="AX29" s="1247">
        <f t="shared" si="38"/>
        <v>374.90200000000004</v>
      </c>
      <c r="AY29" s="1247">
        <f t="shared" si="39"/>
        <v>483.88200000000001</v>
      </c>
      <c r="AZ29" s="1248">
        <f t="shared" si="40"/>
        <v>584.16</v>
      </c>
      <c r="BA29" s="1249">
        <f t="shared" si="41"/>
        <v>675.83799999999997</v>
      </c>
      <c r="BB29" s="1247">
        <f t="shared" si="42"/>
        <v>738.09199999999998</v>
      </c>
      <c r="BC29" s="1247">
        <f t="shared" si="43"/>
        <v>812.94899999999996</v>
      </c>
      <c r="BD29" s="1250">
        <f t="shared" si="44"/>
        <v>875.15771406880629</v>
      </c>
      <c r="BE29" s="1250">
        <f t="shared" si="45"/>
        <v>941.75204023964852</v>
      </c>
      <c r="BF29" s="1238"/>
    </row>
    <row r="30" spans="1:58" s="1256" customFormat="1" ht="12" customHeight="1">
      <c r="A30" s="152"/>
      <c r="B30" s="1253"/>
      <c r="C30" s="1253"/>
      <c r="D30" s="1253"/>
      <c r="E30" s="1254"/>
      <c r="F30" s="1253"/>
      <c r="G30" s="1253"/>
      <c r="H30" s="1253"/>
      <c r="I30" s="1253"/>
      <c r="J30" s="1255"/>
      <c r="K30" s="1253"/>
      <c r="L30" s="1253"/>
      <c r="M30" s="1254"/>
      <c r="N30" s="1255"/>
      <c r="O30" s="1253"/>
      <c r="P30" s="1253"/>
      <c r="Q30" s="1254"/>
      <c r="R30" s="1253"/>
      <c r="S30" s="1253"/>
      <c r="T30" s="1231"/>
      <c r="U30" s="1253"/>
      <c r="V30" s="1255"/>
      <c r="W30" s="1253"/>
      <c r="X30" s="1253"/>
      <c r="Y30" s="1254"/>
      <c r="Z30" s="1255"/>
      <c r="AA30" s="1253"/>
      <c r="AB30" s="1253"/>
      <c r="AC30" s="1254"/>
      <c r="AD30" s="1255"/>
      <c r="AE30" s="1253"/>
      <c r="AF30" s="1253"/>
      <c r="AG30" s="1232"/>
      <c r="AH30" s="1255"/>
      <c r="AI30" s="1253"/>
      <c r="AJ30" s="1253"/>
      <c r="AK30" s="1232"/>
      <c r="AL30" s="1255"/>
      <c r="AM30" s="1253"/>
      <c r="AN30" s="1253"/>
      <c r="AO30" s="1254"/>
      <c r="AP30" s="1255"/>
      <c r="AQ30" s="1253"/>
      <c r="AR30" s="1253"/>
      <c r="AS30" s="1254"/>
      <c r="AT30" s="1232"/>
      <c r="AU30" s="1234"/>
      <c r="AV30" s="1234"/>
      <c r="AW30" s="1234"/>
      <c r="AX30" s="1234"/>
      <c r="AY30" s="1234"/>
      <c r="AZ30" s="1235"/>
      <c r="BA30" s="1236"/>
      <c r="BB30" s="1234"/>
      <c r="BC30" s="1234"/>
      <c r="BD30" s="1237"/>
      <c r="BE30" s="1237"/>
      <c r="BF30" s="1280"/>
    </row>
    <row r="31" spans="1:58" s="454" customFormat="1" ht="12" customHeight="1">
      <c r="A31" s="73" t="s">
        <v>256</v>
      </c>
      <c r="B31" s="1253"/>
      <c r="C31" s="1253"/>
      <c r="D31" s="1253"/>
      <c r="E31" s="1254"/>
      <c r="F31" s="1253"/>
      <c r="G31" s="1253"/>
      <c r="H31" s="506"/>
      <c r="I31" s="506"/>
      <c r="J31" s="1255"/>
      <c r="K31" s="1253"/>
      <c r="L31" s="506"/>
      <c r="M31" s="1281"/>
      <c r="N31" s="1255"/>
      <c r="O31" s="1253"/>
      <c r="P31" s="506"/>
      <c r="Q31" s="1281"/>
      <c r="R31" s="1253"/>
      <c r="S31" s="1253"/>
      <c r="T31" s="509"/>
      <c r="U31" s="506"/>
      <c r="V31" s="1255"/>
      <c r="W31" s="1253"/>
      <c r="X31" s="506"/>
      <c r="Y31" s="1281"/>
      <c r="Z31" s="1255"/>
      <c r="AA31" s="1253"/>
      <c r="AB31" s="506"/>
      <c r="AC31" s="1281"/>
      <c r="AD31" s="1255"/>
      <c r="AE31" s="1253"/>
      <c r="AF31" s="509"/>
      <c r="AG31" s="1282"/>
      <c r="AH31" s="1255"/>
      <c r="AI31" s="1253"/>
      <c r="AJ31" s="506"/>
      <c r="AK31" s="1282"/>
      <c r="AL31" s="1255"/>
      <c r="AM31" s="1253"/>
      <c r="AN31" s="506"/>
      <c r="AO31" s="1281"/>
      <c r="AP31" s="1255"/>
      <c r="AQ31" s="1253"/>
      <c r="AR31" s="506"/>
      <c r="AS31" s="1281"/>
      <c r="AT31" s="1232"/>
      <c r="AU31" s="1234"/>
      <c r="AV31" s="1234"/>
      <c r="AW31" s="1234"/>
      <c r="AX31" s="1234"/>
      <c r="AY31" s="1234"/>
      <c r="AZ31" s="1235"/>
      <c r="BA31" s="1236"/>
      <c r="BB31" s="1234"/>
      <c r="BC31" s="1234"/>
      <c r="BD31" s="1237"/>
      <c r="BE31" s="1237"/>
      <c r="BF31" s="1238"/>
    </row>
    <row r="32" spans="1:58" s="454" customFormat="1" ht="12.75" customHeight="1">
      <c r="A32" s="1230" t="s">
        <v>251</v>
      </c>
      <c r="B32" s="1231"/>
      <c r="C32" s="1231"/>
      <c r="D32" s="1231"/>
      <c r="E32" s="1232">
        <v>70.92</v>
      </c>
      <c r="F32" s="1231">
        <v>70.111000000000004</v>
      </c>
      <c r="G32" s="1231">
        <v>72.86</v>
      </c>
      <c r="H32" s="1231">
        <v>74.12</v>
      </c>
      <c r="I32" s="1231">
        <v>76.259</v>
      </c>
      <c r="J32" s="1233">
        <v>77.397000000000006</v>
      </c>
      <c r="K32" s="1231">
        <v>80.105999999999995</v>
      </c>
      <c r="L32" s="1231">
        <v>83.39</v>
      </c>
      <c r="M32" s="1232">
        <v>88.778999999999996</v>
      </c>
      <c r="N32" s="1233">
        <v>87.174999999999997</v>
      </c>
      <c r="O32" s="1231">
        <v>90.355999999999995</v>
      </c>
      <c r="P32" s="1231">
        <v>93.841999999999999</v>
      </c>
      <c r="Q32" s="1232">
        <v>105.691</v>
      </c>
      <c r="R32" s="1231">
        <v>103.749</v>
      </c>
      <c r="S32" s="1231">
        <v>110.768</v>
      </c>
      <c r="T32" s="1231">
        <v>114.649</v>
      </c>
      <c r="U32" s="1231">
        <v>123.387</v>
      </c>
      <c r="V32" s="1233">
        <v>122.72199999999999</v>
      </c>
      <c r="W32" s="1231">
        <v>132.67699999999999</v>
      </c>
      <c r="X32" s="1231">
        <v>145.84899999999999</v>
      </c>
      <c r="Y32" s="1232">
        <v>162.48699999999999</v>
      </c>
      <c r="Z32" s="1233">
        <v>151.99199999999999</v>
      </c>
      <c r="AA32" s="1231">
        <v>154.995</v>
      </c>
      <c r="AB32" s="1231">
        <v>163.08600000000001</v>
      </c>
      <c r="AC32" s="1232">
        <v>169.71799999999999</v>
      </c>
      <c r="AD32" s="1233">
        <v>160.13300000000001</v>
      </c>
      <c r="AE32" s="1231">
        <v>163.21100000000001</v>
      </c>
      <c r="AF32" s="1231">
        <v>163.512</v>
      </c>
      <c r="AG32" s="1232">
        <v>182.815</v>
      </c>
      <c r="AH32" s="1233">
        <v>175.15100000000001</v>
      </c>
      <c r="AI32" s="1231">
        <v>173.261</v>
      </c>
      <c r="AJ32" s="1231">
        <v>170.88900000000001</v>
      </c>
      <c r="AK32" s="1232">
        <v>192.41</v>
      </c>
      <c r="AL32" s="1233">
        <f t="shared" ref="AL32:AS32" si="56">AL86*AL89</f>
        <v>186.66986154613622</v>
      </c>
      <c r="AM32" s="1231">
        <f t="shared" si="56"/>
        <v>184.24238975865086</v>
      </c>
      <c r="AN32" s="1231">
        <f t="shared" si="56"/>
        <v>187.1338593169759</v>
      </c>
      <c r="AO32" s="1232">
        <f t="shared" si="56"/>
        <v>207.35666466094102</v>
      </c>
      <c r="AP32" s="1233">
        <f t="shared" si="56"/>
        <v>201.23823972253811</v>
      </c>
      <c r="AQ32" s="1231">
        <f t="shared" si="56"/>
        <v>198.65097405118914</v>
      </c>
      <c r="AR32" s="1231">
        <f t="shared" si="56"/>
        <v>201.7323327277133</v>
      </c>
      <c r="AS32" s="1232">
        <f t="shared" si="56"/>
        <v>223.28219378771999</v>
      </c>
      <c r="AT32" s="1232"/>
      <c r="AU32" s="1234">
        <f>E32</f>
        <v>70.92</v>
      </c>
      <c r="AV32" s="1234">
        <f>I32</f>
        <v>76.259</v>
      </c>
      <c r="AW32" s="1234">
        <f>M32</f>
        <v>88.778999999999996</v>
      </c>
      <c r="AX32" s="1234">
        <f>Q32</f>
        <v>105.691</v>
      </c>
      <c r="AY32" s="1234">
        <f>U32</f>
        <v>123.387</v>
      </c>
      <c r="AZ32" s="1235">
        <f>Y32</f>
        <v>162.48699999999999</v>
      </c>
      <c r="BA32" s="1236">
        <f>AC32</f>
        <v>169.71799999999999</v>
      </c>
      <c r="BB32" s="1234">
        <f>AG32</f>
        <v>182.815</v>
      </c>
      <c r="BC32" s="1234">
        <f t="shared" ref="BC32:BC36" si="57">AK32</f>
        <v>192.41</v>
      </c>
      <c r="BD32" s="1237">
        <f t="shared" ref="BD32:BD36" si="58">AO32</f>
        <v>207.35666466094102</v>
      </c>
      <c r="BE32" s="1237">
        <f>AS32</f>
        <v>223.28219378771999</v>
      </c>
      <c r="BF32" s="1238"/>
    </row>
    <row r="33" spans="1:65" ht="12.6" customHeight="1">
      <c r="A33" s="1230" t="s">
        <v>257</v>
      </c>
      <c r="B33" s="1231"/>
      <c r="C33" s="1231"/>
      <c r="D33" s="1231"/>
      <c r="E33" s="1232">
        <v>0</v>
      </c>
      <c r="F33" s="1231">
        <v>0</v>
      </c>
      <c r="G33" s="1231">
        <v>0</v>
      </c>
      <c r="H33" s="1231">
        <v>0</v>
      </c>
      <c r="I33" s="1231">
        <v>0</v>
      </c>
      <c r="J33" s="1233">
        <v>0</v>
      </c>
      <c r="K33" s="1231">
        <v>0</v>
      </c>
      <c r="L33" s="1231">
        <v>0</v>
      </c>
      <c r="M33" s="1232">
        <v>0</v>
      </c>
      <c r="N33" s="1233">
        <v>0</v>
      </c>
      <c r="O33" s="1231">
        <v>0</v>
      </c>
      <c r="P33" s="1231">
        <v>0</v>
      </c>
      <c r="Q33" s="1232">
        <v>0</v>
      </c>
      <c r="R33" s="1231">
        <v>0</v>
      </c>
      <c r="S33" s="1231">
        <v>0</v>
      </c>
      <c r="T33" s="1231">
        <v>365.387</v>
      </c>
      <c r="U33" s="1231">
        <v>364.72800000000001</v>
      </c>
      <c r="V33" s="1233">
        <v>364.06299999999999</v>
      </c>
      <c r="W33" s="1231">
        <v>363.404</v>
      </c>
      <c r="X33" s="1231">
        <v>362.67899999999997</v>
      </c>
      <c r="Y33" s="1232">
        <v>361.97</v>
      </c>
      <c r="Z33" s="1233">
        <v>361.28699999999998</v>
      </c>
      <c r="AA33" s="1231">
        <v>360.60899999999998</v>
      </c>
      <c r="AB33" s="1231">
        <v>359.94099999999997</v>
      </c>
      <c r="AC33" s="1232">
        <v>359.28100000000001</v>
      </c>
      <c r="AD33" s="1233">
        <v>358.62200000000001</v>
      </c>
      <c r="AE33" s="1231">
        <v>357.96899999999999</v>
      </c>
      <c r="AF33" s="1231">
        <v>357.334</v>
      </c>
      <c r="AG33" s="1232">
        <v>356.70499999999998</v>
      </c>
      <c r="AH33" s="1233">
        <v>356.06799999999998</v>
      </c>
      <c r="AI33" s="1231">
        <v>355.43900000000002</v>
      </c>
      <c r="AJ33" s="1231">
        <v>354.82</v>
      </c>
      <c r="AK33" s="1232">
        <v>354.209</v>
      </c>
      <c r="AL33" s="1233">
        <f>AK33+'Cash Flow'!AL32</f>
        <v>354.209</v>
      </c>
      <c r="AM33" s="1231">
        <f>AL33+'Cash Flow'!AM32</f>
        <v>354.209</v>
      </c>
      <c r="AN33" s="1231">
        <f>AM33+'Cash Flow'!AN32</f>
        <v>354.209</v>
      </c>
      <c r="AO33" s="1232">
        <f>AN33+'Cash Flow'!AO32</f>
        <v>354.209</v>
      </c>
      <c r="AP33" s="1233">
        <f>AO33+'Cash Flow'!AP32</f>
        <v>354.209</v>
      </c>
      <c r="AQ33" s="1231">
        <f>AP33+'Cash Flow'!AQ32</f>
        <v>354.209</v>
      </c>
      <c r="AR33" s="1231">
        <f>AQ33+'Cash Flow'!AR32</f>
        <v>354.209</v>
      </c>
      <c r="AS33" s="1232">
        <f>AR33+'Cash Flow'!AS32</f>
        <v>354.209</v>
      </c>
      <c r="AT33" s="1232"/>
      <c r="AU33" s="1234">
        <f t="shared" ref="AU33:AU36" si="59">E33</f>
        <v>0</v>
      </c>
      <c r="AV33" s="1234">
        <f t="shared" ref="AV33:AV36" si="60">I33</f>
        <v>0</v>
      </c>
      <c r="AW33" s="1234">
        <f t="shared" ref="AW33:AW36" si="61">M33</f>
        <v>0</v>
      </c>
      <c r="AX33" s="1234">
        <f t="shared" ref="AX33:AX36" si="62">Q33</f>
        <v>0</v>
      </c>
      <c r="AY33" s="1234">
        <f t="shared" ref="AY33:AY36" si="63">U33</f>
        <v>364.72800000000001</v>
      </c>
      <c r="AZ33" s="1235">
        <f t="shared" ref="AZ33:AZ36" si="64">Y33</f>
        <v>361.97</v>
      </c>
      <c r="BA33" s="1236">
        <f t="shared" ref="BA33:BA36" si="65">AC33</f>
        <v>359.28100000000001</v>
      </c>
      <c r="BB33" s="1234">
        <f t="shared" ref="BB33:BB36" si="66">AG33</f>
        <v>356.70499999999998</v>
      </c>
      <c r="BC33" s="1234">
        <f t="shared" si="57"/>
        <v>354.209</v>
      </c>
      <c r="BD33" s="1237">
        <f t="shared" si="58"/>
        <v>354.209</v>
      </c>
      <c r="BE33" s="1237">
        <f>AS33</f>
        <v>354.209</v>
      </c>
      <c r="BF33" s="1238"/>
      <c r="BH33" s="454"/>
    </row>
    <row r="34" spans="1:65" ht="12.75" customHeight="1">
      <c r="A34" s="1230" t="s">
        <v>252</v>
      </c>
      <c r="B34" s="1231"/>
      <c r="C34" s="1231"/>
      <c r="D34" s="1231"/>
      <c r="E34" s="1232">
        <v>0</v>
      </c>
      <c r="F34" s="1231">
        <v>0</v>
      </c>
      <c r="G34" s="1231">
        <v>0</v>
      </c>
      <c r="H34" s="1231">
        <v>0</v>
      </c>
      <c r="I34" s="1231">
        <v>6.0549999999999997</v>
      </c>
      <c r="J34" s="1233">
        <v>7.4660000000000002</v>
      </c>
      <c r="K34" s="1231">
        <v>6.5590000000000002</v>
      </c>
      <c r="L34" s="1231">
        <v>37.787999999999997</v>
      </c>
      <c r="M34" s="1232">
        <v>40.662999999999997</v>
      </c>
      <c r="N34" s="1233">
        <v>40.301000000000002</v>
      </c>
      <c r="O34" s="1231">
        <v>48.677999999999997</v>
      </c>
      <c r="P34" s="1231">
        <v>55.645000000000003</v>
      </c>
      <c r="Q34" s="1232">
        <v>54.529000000000003</v>
      </c>
      <c r="R34" s="1231">
        <v>53.201000000000001</v>
      </c>
      <c r="S34" s="1231">
        <v>52.027999999999999</v>
      </c>
      <c r="T34" s="1231">
        <v>52.881</v>
      </c>
      <c r="U34" s="1231">
        <v>55.045999999999999</v>
      </c>
      <c r="V34" s="1233">
        <v>53.685000000000002</v>
      </c>
      <c r="W34" s="1231">
        <v>52.158000000000001</v>
      </c>
      <c r="X34" s="1231">
        <v>53.746000000000002</v>
      </c>
      <c r="Y34" s="1232">
        <v>52.610999999999997</v>
      </c>
      <c r="Z34" s="1233">
        <v>51.088000000000001</v>
      </c>
      <c r="AA34" s="1231">
        <v>51.005000000000003</v>
      </c>
      <c r="AB34" s="1231">
        <v>49.381999999999998</v>
      </c>
      <c r="AC34" s="1232">
        <v>48.058</v>
      </c>
      <c r="AD34" s="1233">
        <v>46.317</v>
      </c>
      <c r="AE34" s="1231">
        <v>45.314999999999998</v>
      </c>
      <c r="AF34" s="1231">
        <v>43.706000000000003</v>
      </c>
      <c r="AG34" s="1232">
        <v>56.223999999999997</v>
      </c>
      <c r="AH34" s="1233">
        <v>54.621000000000002</v>
      </c>
      <c r="AI34" s="1231">
        <v>54.058999999999997</v>
      </c>
      <c r="AJ34" s="1231">
        <v>52.052999999999997</v>
      </c>
      <c r="AK34" s="1232">
        <v>50.877000000000002</v>
      </c>
      <c r="AL34" s="1233">
        <f t="shared" ref="AL34:AS34" si="67">AK34</f>
        <v>50.877000000000002</v>
      </c>
      <c r="AM34" s="1231">
        <f t="shared" si="67"/>
        <v>50.877000000000002</v>
      </c>
      <c r="AN34" s="1231">
        <f t="shared" si="67"/>
        <v>50.877000000000002</v>
      </c>
      <c r="AO34" s="1232">
        <f t="shared" si="67"/>
        <v>50.877000000000002</v>
      </c>
      <c r="AP34" s="1233">
        <f t="shared" si="67"/>
        <v>50.877000000000002</v>
      </c>
      <c r="AQ34" s="1231">
        <f t="shared" si="67"/>
        <v>50.877000000000002</v>
      </c>
      <c r="AR34" s="1231">
        <f t="shared" si="67"/>
        <v>50.877000000000002</v>
      </c>
      <c r="AS34" s="1232">
        <f t="shared" si="67"/>
        <v>50.877000000000002</v>
      </c>
      <c r="AT34" s="1232"/>
      <c r="AU34" s="1234">
        <f t="shared" si="59"/>
        <v>0</v>
      </c>
      <c r="AV34" s="1234">
        <f t="shared" si="60"/>
        <v>6.0549999999999997</v>
      </c>
      <c r="AW34" s="1234">
        <f t="shared" si="61"/>
        <v>40.662999999999997</v>
      </c>
      <c r="AX34" s="1234">
        <f t="shared" si="62"/>
        <v>54.529000000000003</v>
      </c>
      <c r="AY34" s="1234">
        <f t="shared" si="63"/>
        <v>55.045999999999999</v>
      </c>
      <c r="AZ34" s="1235">
        <f t="shared" si="64"/>
        <v>52.610999999999997</v>
      </c>
      <c r="BA34" s="1236">
        <f t="shared" si="65"/>
        <v>48.058</v>
      </c>
      <c r="BB34" s="1234">
        <f t="shared" si="66"/>
        <v>56.223999999999997</v>
      </c>
      <c r="BC34" s="1234">
        <f t="shared" si="57"/>
        <v>50.877000000000002</v>
      </c>
      <c r="BD34" s="1237">
        <f t="shared" si="58"/>
        <v>50.877000000000002</v>
      </c>
      <c r="BE34" s="1237">
        <f>AS34</f>
        <v>50.877000000000002</v>
      </c>
      <c r="BF34" s="1238"/>
      <c r="BH34" s="454"/>
    </row>
    <row r="35" spans="1:65" ht="12.75" customHeight="1">
      <c r="A35" s="1283" t="s">
        <v>258</v>
      </c>
      <c r="B35" s="1231"/>
      <c r="C35" s="1231"/>
      <c r="D35" s="1231"/>
      <c r="E35" s="1232">
        <f>5.199+1.802</f>
        <v>7.0009999999999994</v>
      </c>
      <c r="F35" s="1231">
        <f>4.914+3.145</f>
        <v>8.0589999999999993</v>
      </c>
      <c r="G35" s="1231">
        <f>4.315+11.803</f>
        <v>16.118000000000002</v>
      </c>
      <c r="H35" s="1231">
        <f>4.104+23.096</f>
        <v>27.2</v>
      </c>
      <c r="I35" s="1231">
        <v>2.2309999999999999</v>
      </c>
      <c r="J35" s="1233">
        <v>2.536</v>
      </c>
      <c r="K35" s="1231">
        <v>2.94</v>
      </c>
      <c r="L35" s="1231">
        <v>2.677</v>
      </c>
      <c r="M35" s="1232">
        <v>2.6219999999999999</v>
      </c>
      <c r="N35" s="1233">
        <v>2.8929999999999998</v>
      </c>
      <c r="O35" s="1231">
        <v>4.8529999999999998</v>
      </c>
      <c r="P35" s="1231">
        <v>4.931</v>
      </c>
      <c r="Q35" s="1232">
        <v>4.8019999999999996</v>
      </c>
      <c r="R35" s="1231">
        <v>5.1079999999999997</v>
      </c>
      <c r="S35" s="1231">
        <v>8.8879999999999999</v>
      </c>
      <c r="T35" s="1231">
        <v>7.1580000000000004</v>
      </c>
      <c r="U35" s="1231">
        <v>6.4630000000000001</v>
      </c>
      <c r="V35" s="1233">
        <v>6.6319999999999997</v>
      </c>
      <c r="W35" s="1231">
        <v>6.2130000000000001</v>
      </c>
      <c r="X35" s="1231">
        <v>6.6639999999999997</v>
      </c>
      <c r="Y35" s="1232">
        <v>7.4359999999999999</v>
      </c>
      <c r="Z35" s="1233">
        <v>7.28</v>
      </c>
      <c r="AA35" s="1231">
        <v>7.5979999999999999</v>
      </c>
      <c r="AB35" s="1231">
        <v>7.6210000000000004</v>
      </c>
      <c r="AC35" s="1232">
        <v>7.6319999999999997</v>
      </c>
      <c r="AD35" s="1233">
        <v>8.1590000000000007</v>
      </c>
      <c r="AE35" s="1231">
        <v>8.0510000000000002</v>
      </c>
      <c r="AF35" s="1231">
        <v>8.1950000000000003</v>
      </c>
      <c r="AG35" s="1232">
        <v>8.3290000000000006</v>
      </c>
      <c r="AH35" s="1233">
        <v>9.5850000000000009</v>
      </c>
      <c r="AI35" s="1231">
        <v>9.8469999999999995</v>
      </c>
      <c r="AJ35" s="1231">
        <v>10.173</v>
      </c>
      <c r="AK35" s="1232">
        <v>10.846</v>
      </c>
      <c r="AL35" s="1233">
        <f t="shared" ref="AL35:AS35" si="68">AL59*AL77</f>
        <v>10.363777392143419</v>
      </c>
      <c r="AM35" s="1231">
        <f t="shared" si="68"/>
        <v>10.573356760731111</v>
      </c>
      <c r="AN35" s="1231">
        <f t="shared" si="68"/>
        <v>10.830151661087783</v>
      </c>
      <c r="AO35" s="1232">
        <f t="shared" si="68"/>
        <v>11.547699353248916</v>
      </c>
      <c r="AP35" s="1233">
        <f t="shared" si="68"/>
        <v>11.046770833456984</v>
      </c>
      <c r="AQ35" s="1231">
        <f t="shared" si="68"/>
        <v>11.26937215871977</v>
      </c>
      <c r="AR35" s="1231">
        <f t="shared" si="68"/>
        <v>11.541391363738544</v>
      </c>
      <c r="AS35" s="1232">
        <f t="shared" si="68"/>
        <v>12.305479501611543</v>
      </c>
      <c r="AT35" s="1232"/>
      <c r="AU35" s="1234">
        <f t="shared" si="59"/>
        <v>7.0009999999999994</v>
      </c>
      <c r="AV35" s="1234">
        <f t="shared" si="60"/>
        <v>2.2309999999999999</v>
      </c>
      <c r="AW35" s="1234">
        <f t="shared" si="61"/>
        <v>2.6219999999999999</v>
      </c>
      <c r="AX35" s="1234">
        <f t="shared" si="62"/>
        <v>4.8019999999999996</v>
      </c>
      <c r="AY35" s="1234">
        <f t="shared" si="63"/>
        <v>6.4630000000000001</v>
      </c>
      <c r="AZ35" s="1235">
        <f t="shared" si="64"/>
        <v>7.4359999999999999</v>
      </c>
      <c r="BA35" s="1236">
        <f t="shared" si="65"/>
        <v>7.6319999999999997</v>
      </c>
      <c r="BB35" s="1234">
        <f t="shared" si="66"/>
        <v>8.3290000000000006</v>
      </c>
      <c r="BC35" s="1234">
        <f t="shared" si="57"/>
        <v>10.846</v>
      </c>
      <c r="BD35" s="1237">
        <f t="shared" si="58"/>
        <v>11.547699353248916</v>
      </c>
      <c r="BE35" s="1237">
        <f>AS35</f>
        <v>12.305479501611543</v>
      </c>
      <c r="BF35" s="1238"/>
      <c r="BH35" s="454"/>
    </row>
    <row r="36" spans="1:65" s="1252" customFormat="1" ht="12" customHeight="1">
      <c r="A36" s="1262" t="s">
        <v>259</v>
      </c>
      <c r="B36" s="1263"/>
      <c r="C36" s="1263"/>
      <c r="D36" s="1263"/>
      <c r="E36" s="1264">
        <f t="shared" ref="E36:AG36" si="69">SUM(E29:E35)</f>
        <v>258.267</v>
      </c>
      <c r="F36" s="1263">
        <f t="shared" si="69"/>
        <v>262.58500000000004</v>
      </c>
      <c r="G36" s="1263">
        <f t="shared" si="69"/>
        <v>289.96799999999996</v>
      </c>
      <c r="H36" s="1263">
        <f t="shared" si="69"/>
        <v>321.637</v>
      </c>
      <c r="I36" s="1263">
        <f t="shared" si="69"/>
        <v>338.84900000000005</v>
      </c>
      <c r="J36" s="1265">
        <f t="shared" si="69"/>
        <v>338.18200000000002</v>
      </c>
      <c r="K36" s="1263">
        <f t="shared" si="69"/>
        <v>359.81000000000006</v>
      </c>
      <c r="L36" s="1263">
        <f t="shared" si="69"/>
        <v>409.02400000000006</v>
      </c>
      <c r="M36" s="1264">
        <f t="shared" si="69"/>
        <v>459.70700000000005</v>
      </c>
      <c r="N36" s="1265">
        <f t="shared" si="69"/>
        <v>449.19799999999992</v>
      </c>
      <c r="O36" s="1263">
        <f t="shared" si="69"/>
        <v>464.66799999999995</v>
      </c>
      <c r="P36" s="1263">
        <f t="shared" si="69"/>
        <v>492.70799999999997</v>
      </c>
      <c r="Q36" s="1264">
        <f t="shared" si="69"/>
        <v>539.92400000000009</v>
      </c>
      <c r="R36" s="1263">
        <f t="shared" si="69"/>
        <v>528.9079999999999</v>
      </c>
      <c r="S36" s="1263">
        <f t="shared" si="69"/>
        <v>559.31200000000013</v>
      </c>
      <c r="T36" s="1266">
        <f t="shared" si="69"/>
        <v>960.43299999999999</v>
      </c>
      <c r="U36" s="1263">
        <f t="shared" si="69"/>
        <v>1033.5060000000001</v>
      </c>
      <c r="V36" s="1265">
        <f t="shared" si="69"/>
        <v>1010.907</v>
      </c>
      <c r="W36" s="1263">
        <f t="shared" si="69"/>
        <v>1037.5169999999998</v>
      </c>
      <c r="X36" s="1263">
        <f t="shared" si="69"/>
        <v>1089.8820000000003</v>
      </c>
      <c r="Y36" s="1264">
        <f t="shared" si="69"/>
        <v>1168.664</v>
      </c>
      <c r="Z36" s="1265">
        <f>SUM(Z29:Z35)</f>
        <v>1131.598</v>
      </c>
      <c r="AA36" s="1263">
        <f t="shared" si="69"/>
        <v>1151.278</v>
      </c>
      <c r="AB36" s="1263">
        <f t="shared" si="69"/>
        <v>1180.7730000000001</v>
      </c>
      <c r="AC36" s="1264">
        <f t="shared" si="69"/>
        <v>1260.527</v>
      </c>
      <c r="AD36" s="1265">
        <f t="shared" si="69"/>
        <v>1208.0740000000001</v>
      </c>
      <c r="AE36" s="1263">
        <f t="shared" si="69"/>
        <v>1212.788</v>
      </c>
      <c r="AF36" s="1263">
        <f t="shared" si="69"/>
        <v>1229.864</v>
      </c>
      <c r="AG36" s="1267">
        <f t="shared" si="69"/>
        <v>1342.1649999999997</v>
      </c>
      <c r="AH36" s="1268">
        <f t="shared" ref="AH36:AS36" si="70">SUM(AH29:AH35)</f>
        <v>1310.4160000000002</v>
      </c>
      <c r="AI36" s="1266">
        <f t="shared" si="70"/>
        <v>1305.873</v>
      </c>
      <c r="AJ36" s="1263">
        <f t="shared" si="70"/>
        <v>1308.2459999999999</v>
      </c>
      <c r="AK36" s="1267">
        <f t="shared" si="70"/>
        <v>1421.2909999999999</v>
      </c>
      <c r="AL36" s="1265">
        <f t="shared" si="70"/>
        <v>1380.2240834571273</v>
      </c>
      <c r="AM36" s="1263">
        <f t="shared" si="70"/>
        <v>1375.12089461755</v>
      </c>
      <c r="AN36" s="1263">
        <f t="shared" si="70"/>
        <v>1377.5127778728838</v>
      </c>
      <c r="AO36" s="1264">
        <f t="shared" si="70"/>
        <v>1499.1480780829961</v>
      </c>
      <c r="AP36" s="1265">
        <f t="shared" si="70"/>
        <v>1455.6721318321015</v>
      </c>
      <c r="AQ36" s="1263">
        <f t="shared" si="70"/>
        <v>1450.2552049736473</v>
      </c>
      <c r="AR36" s="1263">
        <f t="shared" si="70"/>
        <v>1452.7892749013304</v>
      </c>
      <c r="AS36" s="1264">
        <f t="shared" si="70"/>
        <v>1582.4257135289799</v>
      </c>
      <c r="AT36" s="189"/>
      <c r="AU36" s="1269">
        <f t="shared" si="59"/>
        <v>258.267</v>
      </c>
      <c r="AV36" s="1269">
        <f t="shared" si="60"/>
        <v>338.84900000000005</v>
      </c>
      <c r="AW36" s="1269">
        <f t="shared" si="61"/>
        <v>459.70700000000005</v>
      </c>
      <c r="AX36" s="1269">
        <f t="shared" si="62"/>
        <v>539.92400000000009</v>
      </c>
      <c r="AY36" s="1269">
        <f t="shared" si="63"/>
        <v>1033.5060000000001</v>
      </c>
      <c r="AZ36" s="1270">
        <f t="shared" si="64"/>
        <v>1168.664</v>
      </c>
      <c r="BA36" s="1271">
        <f t="shared" si="65"/>
        <v>1260.527</v>
      </c>
      <c r="BB36" s="1269">
        <f t="shared" si="66"/>
        <v>1342.1649999999997</v>
      </c>
      <c r="BC36" s="1269">
        <f t="shared" si="57"/>
        <v>1421.2909999999999</v>
      </c>
      <c r="BD36" s="1272">
        <f t="shared" si="58"/>
        <v>1499.1480780829961</v>
      </c>
      <c r="BE36" s="1272">
        <f>AS36</f>
        <v>1582.4257135289799</v>
      </c>
      <c r="BF36" s="1238"/>
    </row>
    <row r="37" spans="1:65" s="1276" customFormat="1" ht="12" customHeight="1">
      <c r="A37" s="1284"/>
      <c r="B37" s="1285"/>
      <c r="C37" s="1285"/>
      <c r="D37" s="1285"/>
      <c r="E37" s="1286"/>
      <c r="F37" s="1285"/>
      <c r="G37" s="1285"/>
      <c r="H37" s="1285"/>
      <c r="I37" s="1285"/>
      <c r="J37" s="1287"/>
      <c r="K37" s="1285"/>
      <c r="L37" s="1285"/>
      <c r="M37" s="1286"/>
      <c r="N37" s="1288"/>
      <c r="O37" s="1289"/>
      <c r="P37" s="1289"/>
      <c r="Q37" s="1290"/>
      <c r="R37" s="1285"/>
      <c r="S37" s="1285"/>
      <c r="T37" s="1291"/>
      <c r="U37" s="1292"/>
      <c r="V37" s="1288"/>
      <c r="W37" s="1289"/>
      <c r="X37" s="1289"/>
      <c r="Y37" s="1290"/>
      <c r="Z37" s="1288"/>
      <c r="AA37" s="1289"/>
      <c r="AB37" s="1289"/>
      <c r="AC37" s="1290"/>
      <c r="AD37" s="1288"/>
      <c r="AE37" s="1289"/>
      <c r="AF37" s="1293"/>
      <c r="AG37" s="1294"/>
      <c r="AH37" s="1288"/>
      <c r="AI37" s="1289"/>
      <c r="AJ37" s="1289"/>
      <c r="AK37" s="1294"/>
      <c r="AL37" s="1288"/>
      <c r="AM37" s="1289"/>
      <c r="AN37" s="1289"/>
      <c r="AO37" s="1290"/>
      <c r="AP37" s="1288"/>
      <c r="AQ37" s="1289"/>
      <c r="AR37" s="1289"/>
      <c r="AS37" s="1290"/>
      <c r="AT37" s="1231"/>
      <c r="AU37" s="1295"/>
      <c r="AV37" s="1295"/>
      <c r="AW37" s="1295"/>
      <c r="AX37" s="1295"/>
      <c r="AY37" s="1295"/>
      <c r="AZ37" s="1296"/>
      <c r="BA37" s="1297"/>
      <c r="BB37" s="1295"/>
      <c r="BC37" s="1295"/>
      <c r="BD37" s="1298"/>
      <c r="BE37" s="1298"/>
      <c r="BF37" s="1238"/>
    </row>
    <row r="38" spans="1:65" s="1276" customFormat="1" ht="12.75" customHeight="1">
      <c r="A38" s="1299" t="s">
        <v>260</v>
      </c>
      <c r="B38" s="1285"/>
      <c r="C38" s="1285"/>
      <c r="D38" s="1285"/>
      <c r="E38" s="1286"/>
      <c r="F38" s="1285"/>
      <c r="G38" s="1285"/>
      <c r="H38" s="1285"/>
      <c r="I38" s="1285"/>
      <c r="J38" s="1287"/>
      <c r="K38" s="1285"/>
      <c r="L38" s="1285"/>
      <c r="M38" s="1300"/>
      <c r="N38" s="1287"/>
      <c r="O38" s="1285"/>
      <c r="P38" s="1285"/>
      <c r="Q38" s="1300"/>
      <c r="R38" s="1285"/>
      <c r="S38" s="1285"/>
      <c r="T38" s="1291"/>
      <c r="U38" s="1301"/>
      <c r="V38" s="1287"/>
      <c r="W38" s="1285"/>
      <c r="X38" s="1285"/>
      <c r="Y38" s="1300"/>
      <c r="Z38" s="1287"/>
      <c r="AA38" s="1285"/>
      <c r="AB38" s="1285"/>
      <c r="AC38" s="1300"/>
      <c r="AD38" s="1287"/>
      <c r="AE38" s="1285"/>
      <c r="AF38" s="1291"/>
      <c r="AG38" s="1302"/>
      <c r="AH38" s="1287"/>
      <c r="AI38" s="1285"/>
      <c r="AJ38" s="1285"/>
      <c r="AK38" s="1302"/>
      <c r="AL38" s="1287"/>
      <c r="AM38" s="1285"/>
      <c r="AN38" s="1285"/>
      <c r="AO38" s="1300"/>
      <c r="AP38" s="1287"/>
      <c r="AQ38" s="1285"/>
      <c r="AR38" s="1285"/>
      <c r="AS38" s="1300"/>
      <c r="AT38" s="1231"/>
      <c r="AU38" s="1295"/>
      <c r="AV38" s="1234"/>
      <c r="AW38" s="1295"/>
      <c r="AX38" s="1295"/>
      <c r="AY38" s="1295"/>
      <c r="AZ38" s="1296"/>
      <c r="BA38" s="1297"/>
      <c r="BB38" s="1295"/>
      <c r="BC38" s="1295"/>
      <c r="BD38" s="1298"/>
      <c r="BE38" s="1298"/>
      <c r="BF38" s="1238"/>
    </row>
    <row r="39" spans="1:65" s="1276" customFormat="1" ht="12.75" customHeight="1">
      <c r="A39" s="1230" t="s">
        <v>261</v>
      </c>
      <c r="B39" s="1285"/>
      <c r="C39" s="1285"/>
      <c r="D39" s="1285"/>
      <c r="E39" s="1286">
        <f>49.935+227.8</f>
        <v>277.73500000000001</v>
      </c>
      <c r="F39" s="1285">
        <f>49.94+227.983</f>
        <v>277.923</v>
      </c>
      <c r="G39" s="1285">
        <f>49.946+228.168</f>
        <v>278.11400000000003</v>
      </c>
      <c r="H39" s="1285">
        <v>0</v>
      </c>
      <c r="I39" s="1285">
        <v>0</v>
      </c>
      <c r="J39" s="1287">
        <v>0</v>
      </c>
      <c r="K39" s="1285">
        <v>0</v>
      </c>
      <c r="L39" s="1285">
        <v>0</v>
      </c>
      <c r="M39" s="1300">
        <v>0</v>
      </c>
      <c r="N39" s="1287">
        <v>0</v>
      </c>
      <c r="O39" s="1285">
        <v>0</v>
      </c>
      <c r="P39" s="1285">
        <v>0</v>
      </c>
      <c r="Q39" s="1300">
        <v>0</v>
      </c>
      <c r="R39" s="1285">
        <v>0</v>
      </c>
      <c r="S39" s="1285">
        <v>0</v>
      </c>
      <c r="T39" s="1291">
        <v>0</v>
      </c>
      <c r="U39" s="1301">
        <v>0</v>
      </c>
      <c r="V39" s="1287">
        <v>0</v>
      </c>
      <c r="W39" s="1285">
        <v>0</v>
      </c>
      <c r="X39" s="1285">
        <v>0</v>
      </c>
      <c r="Y39" s="1300">
        <v>0</v>
      </c>
      <c r="Z39" s="1287">
        <v>0</v>
      </c>
      <c r="AA39" s="1285">
        <v>0</v>
      </c>
      <c r="AB39" s="1285">
        <v>0</v>
      </c>
      <c r="AC39" s="1300">
        <v>0</v>
      </c>
      <c r="AD39" s="1287">
        <v>0</v>
      </c>
      <c r="AE39" s="1291">
        <v>0</v>
      </c>
      <c r="AF39" s="1291">
        <v>0</v>
      </c>
      <c r="AG39" s="1302">
        <v>0</v>
      </c>
      <c r="AH39" s="1303">
        <v>0</v>
      </c>
      <c r="AI39" s="1291">
        <v>0</v>
      </c>
      <c r="AJ39" s="1285">
        <v>0</v>
      </c>
      <c r="AK39" s="1302">
        <v>0</v>
      </c>
      <c r="AL39" s="1287">
        <v>0</v>
      </c>
      <c r="AM39" s="1285">
        <v>0</v>
      </c>
      <c r="AN39" s="1285">
        <v>0</v>
      </c>
      <c r="AO39" s="1300">
        <v>0</v>
      </c>
      <c r="AP39" s="1287">
        <v>0</v>
      </c>
      <c r="AQ39" s="1285">
        <v>0</v>
      </c>
      <c r="AR39" s="1285">
        <v>0</v>
      </c>
      <c r="AS39" s="1300">
        <v>0</v>
      </c>
      <c r="AT39" s="1231"/>
      <c r="AU39" s="1295">
        <f t="shared" ref="AU39:AU45" si="71">E39</f>
        <v>277.73500000000001</v>
      </c>
      <c r="AV39" s="1234">
        <f t="shared" ref="AV39:AV45" si="72">I39</f>
        <v>0</v>
      </c>
      <c r="AW39" s="1295">
        <f t="shared" ref="AW39:AW45" si="73">M39</f>
        <v>0</v>
      </c>
      <c r="AX39" s="1295">
        <f t="shared" ref="AX39:AX45" si="74">Q39</f>
        <v>0</v>
      </c>
      <c r="AY39" s="1295">
        <f t="shared" ref="AY39:AY45" si="75">U39</f>
        <v>0</v>
      </c>
      <c r="AZ39" s="1296">
        <f t="shared" ref="AZ39:AZ45" si="76">Y39</f>
        <v>0</v>
      </c>
      <c r="BA39" s="1297">
        <f t="shared" ref="BA39:BA45" si="77">AC39</f>
        <v>0</v>
      </c>
      <c r="BB39" s="1295">
        <f t="shared" ref="BB39:BB45" si="78">AG39</f>
        <v>0</v>
      </c>
      <c r="BC39" s="1295">
        <f t="shared" ref="BC39:BC45" si="79">AK39</f>
        <v>0</v>
      </c>
      <c r="BD39" s="1298">
        <f t="shared" ref="BD39:BD45" si="80">AO39</f>
        <v>0</v>
      </c>
      <c r="BE39" s="1298">
        <f t="shared" ref="BE39:BE45" si="81">AS39</f>
        <v>0</v>
      </c>
      <c r="BF39" s="1238"/>
    </row>
    <row r="40" spans="1:65" s="1276" customFormat="1" ht="12.75" customHeight="1">
      <c r="A40" s="1230" t="s">
        <v>262</v>
      </c>
      <c r="B40" s="1231"/>
      <c r="C40" s="1231"/>
      <c r="D40" s="1231"/>
      <c r="E40" s="1232">
        <v>0.246</v>
      </c>
      <c r="F40" s="1231">
        <v>0.249</v>
      </c>
      <c r="G40" s="1231">
        <v>0.25</v>
      </c>
      <c r="H40" s="1231">
        <v>0.93</v>
      </c>
      <c r="I40" s="1231">
        <v>0.93100000000000005</v>
      </c>
      <c r="J40" s="1233">
        <v>0.96199999999999997</v>
      </c>
      <c r="K40" s="1231">
        <v>0.96799999999999997</v>
      </c>
      <c r="L40" s="1231">
        <v>0.98</v>
      </c>
      <c r="M40" s="1232">
        <v>0.98599999999999999</v>
      </c>
      <c r="N40" s="1233">
        <v>1</v>
      </c>
      <c r="O40" s="1231">
        <v>1.0109999999999999</v>
      </c>
      <c r="P40" s="1231">
        <v>1.028</v>
      </c>
      <c r="Q40" s="1232">
        <v>1.0369999999999999</v>
      </c>
      <c r="R40" s="1231">
        <v>1.0549999999999999</v>
      </c>
      <c r="S40" s="1231">
        <v>1.0649999999999999</v>
      </c>
      <c r="T40" s="1231">
        <v>1.0740000000000001</v>
      </c>
      <c r="U40" s="1231">
        <v>1.089</v>
      </c>
      <c r="V40" s="1233">
        <v>1.103</v>
      </c>
      <c r="W40" s="1231">
        <v>1.1160000000000001</v>
      </c>
      <c r="X40" s="1231">
        <v>1.1240000000000001</v>
      </c>
      <c r="Y40" s="1232">
        <v>1.131</v>
      </c>
      <c r="Z40" s="1233">
        <v>1.147</v>
      </c>
      <c r="AA40" s="1231">
        <v>1.1559999999999999</v>
      </c>
      <c r="AB40" s="1231">
        <v>1.165</v>
      </c>
      <c r="AC40" s="1232">
        <v>1.175</v>
      </c>
      <c r="AD40" s="1233">
        <v>1.196</v>
      </c>
      <c r="AE40" s="1231">
        <v>1.2050000000000001</v>
      </c>
      <c r="AF40" s="1231">
        <v>1.2130000000000001</v>
      </c>
      <c r="AG40" s="1232">
        <v>1.224</v>
      </c>
      <c r="AH40" s="1233">
        <v>1.2450000000000001</v>
      </c>
      <c r="AI40" s="1231">
        <v>1.274</v>
      </c>
      <c r="AJ40" s="1231">
        <v>1.2829999999999999</v>
      </c>
      <c r="AK40" s="1232">
        <v>1.29</v>
      </c>
      <c r="AL40" s="1233">
        <f t="shared" ref="AL40:AS40" si="82">AK40</f>
        <v>1.29</v>
      </c>
      <c r="AM40" s="1231">
        <f t="shared" si="82"/>
        <v>1.29</v>
      </c>
      <c r="AN40" s="1231">
        <f t="shared" si="82"/>
        <v>1.29</v>
      </c>
      <c r="AO40" s="1232">
        <f t="shared" si="82"/>
        <v>1.29</v>
      </c>
      <c r="AP40" s="1233">
        <f t="shared" si="82"/>
        <v>1.29</v>
      </c>
      <c r="AQ40" s="1231">
        <f t="shared" si="82"/>
        <v>1.29</v>
      </c>
      <c r="AR40" s="1231">
        <f t="shared" si="82"/>
        <v>1.29</v>
      </c>
      <c r="AS40" s="1232">
        <f t="shared" si="82"/>
        <v>1.29</v>
      </c>
      <c r="AT40" s="1231"/>
      <c r="AU40" s="1234">
        <f t="shared" si="71"/>
        <v>0.246</v>
      </c>
      <c r="AV40" s="1234">
        <f t="shared" si="72"/>
        <v>0.93100000000000005</v>
      </c>
      <c r="AW40" s="1234">
        <f t="shared" si="73"/>
        <v>0.98599999999999999</v>
      </c>
      <c r="AX40" s="1234">
        <f t="shared" si="74"/>
        <v>1.0369999999999999</v>
      </c>
      <c r="AY40" s="1234">
        <f t="shared" si="75"/>
        <v>1.089</v>
      </c>
      <c r="AZ40" s="1235">
        <f t="shared" si="76"/>
        <v>1.131</v>
      </c>
      <c r="BA40" s="1236">
        <f t="shared" si="77"/>
        <v>1.175</v>
      </c>
      <c r="BB40" s="1234">
        <f t="shared" si="78"/>
        <v>1.224</v>
      </c>
      <c r="BC40" s="1234">
        <f t="shared" si="79"/>
        <v>1.29</v>
      </c>
      <c r="BD40" s="1237">
        <f t="shared" si="80"/>
        <v>1.29</v>
      </c>
      <c r="BE40" s="1237">
        <f t="shared" si="81"/>
        <v>1.29</v>
      </c>
      <c r="BF40" s="1238"/>
    </row>
    <row r="41" spans="1:65" s="1276" customFormat="1" ht="12.75" customHeight="1">
      <c r="A41" s="1239" t="s">
        <v>263</v>
      </c>
      <c r="B41" s="1231"/>
      <c r="C41" s="1231"/>
      <c r="D41" s="1231"/>
      <c r="E41" s="1232">
        <f>20.676</f>
        <v>20.675999999999998</v>
      </c>
      <c r="F41" s="1231">
        <f>23.363</f>
        <v>23.363</v>
      </c>
      <c r="G41" s="1231">
        <f>26.651</f>
        <v>26.651</v>
      </c>
      <c r="H41" s="1231">
        <v>578.125</v>
      </c>
      <c r="I41" s="1231">
        <v>586.94000000000005</v>
      </c>
      <c r="J41" s="1233">
        <v>614.774</v>
      </c>
      <c r="K41" s="1231">
        <v>629.08699999999999</v>
      </c>
      <c r="L41" s="1231">
        <v>648.96400000000006</v>
      </c>
      <c r="M41" s="1232">
        <v>662.99</v>
      </c>
      <c r="N41" s="1233">
        <v>687.31100000000004</v>
      </c>
      <c r="O41" s="1231">
        <v>710.06600000000003</v>
      </c>
      <c r="P41" s="1231">
        <v>735.96100000000001</v>
      </c>
      <c r="Q41" s="1232">
        <v>757.47</v>
      </c>
      <c r="R41" s="1231">
        <v>786.476</v>
      </c>
      <c r="S41" s="1231">
        <v>811.64400000000001</v>
      </c>
      <c r="T41" s="1231">
        <v>840.48199999999997</v>
      </c>
      <c r="U41" s="1253">
        <v>869.05899999999997</v>
      </c>
      <c r="V41" s="1255">
        <v>906.26300000000003</v>
      </c>
      <c r="W41" s="1253">
        <v>944.79899999999998</v>
      </c>
      <c r="X41" s="1253">
        <v>985.86400000000003</v>
      </c>
      <c r="Y41" s="1254">
        <v>1017.837</v>
      </c>
      <c r="Z41" s="1255">
        <v>1063.0509999999999</v>
      </c>
      <c r="AA41" s="1253">
        <v>1101.9280000000001</v>
      </c>
      <c r="AB41" s="1253">
        <v>1146.4349999999999</v>
      </c>
      <c r="AC41" s="1254">
        <f>1185.1-14.934</f>
        <v>1170.1659999999999</v>
      </c>
      <c r="AD41" s="1255">
        <f>1237.283-39.925</f>
        <v>1197.3579999999999</v>
      </c>
      <c r="AE41" s="1231">
        <f>1281.545-64.925</f>
        <v>1216.6200000000001</v>
      </c>
      <c r="AF41" s="1231">
        <f>1330.517-64.925</f>
        <v>1265.5920000000001</v>
      </c>
      <c r="AG41" s="1232">
        <f>1374.659-114.911</f>
        <v>1259.748</v>
      </c>
      <c r="AH41" s="1233">
        <f>1440.77-174.911</f>
        <v>1265.8589999999999</v>
      </c>
      <c r="AI41" s="1231">
        <f>1489.379-241.239</f>
        <v>1248.1399999999999</v>
      </c>
      <c r="AJ41" s="1253">
        <f>1540.611-301.208</f>
        <v>1239.403</v>
      </c>
      <c r="AK41" s="1232">
        <f>1586.727-364.574</f>
        <v>1222.153</v>
      </c>
      <c r="AL41" s="1255">
        <f>AK41+'Cash Flow'!AL9+'Cash Flow'!AL35+'Cash Flow'!AL36+'Cash Flow'!AL37</f>
        <v>1276.45202485</v>
      </c>
      <c r="AM41" s="1253">
        <f>AL41+'Cash Flow'!AM9+'Cash Flow'!AM35+'Cash Flow'!AM36+'Cash Flow'!AM37</f>
        <v>1324.24860115</v>
      </c>
      <c r="AN41" s="1253">
        <f>AM41+'Cash Flow'!AN9+'Cash Flow'!AN35+'Cash Flow'!AN36+'Cash Flow'!AN37</f>
        <v>1372.6230656499999</v>
      </c>
      <c r="AO41" s="1254">
        <f>AN41+'Cash Flow'!AO9+'Cash Flow'!AO35+'Cash Flow'!AO36+'Cash Flow'!AO37</f>
        <v>1422.5530136499999</v>
      </c>
      <c r="AP41" s="1255">
        <f>AO41+'Cash Flow'!AP9+'Cash Flow'!AP35+'Cash Flow'!AP36+'Cash Flow'!AP37</f>
        <v>1480.430451701965</v>
      </c>
      <c r="AQ41" s="1253">
        <f>AP41+'Cash Flow'!AQ9+'Cash Flow'!AQ35+'Cash Flow'!AQ36+'Cash Flow'!AQ37</f>
        <v>1531.373346983605</v>
      </c>
      <c r="AR41" s="1253">
        <f>AQ41+'Cash Flow'!AR9+'Cash Flow'!AR35+'Cash Flow'!AR36+'Cash Flow'!AR37</f>
        <v>1582.9246681725549</v>
      </c>
      <c r="AS41" s="1254">
        <f>AR41+'Cash Flow'!AS9+'Cash Flow'!AS35+'Cash Flow'!AS36+'Cash Flow'!AS37</f>
        <v>1636.131106341355</v>
      </c>
      <c r="AT41" s="1231"/>
      <c r="AU41" s="1234">
        <f t="shared" si="71"/>
        <v>20.675999999999998</v>
      </c>
      <c r="AV41" s="1234">
        <f t="shared" si="72"/>
        <v>586.94000000000005</v>
      </c>
      <c r="AW41" s="1234">
        <f t="shared" si="73"/>
        <v>662.99</v>
      </c>
      <c r="AX41" s="1234">
        <f t="shared" si="74"/>
        <v>757.47</v>
      </c>
      <c r="AY41" s="1234">
        <f t="shared" si="75"/>
        <v>869.05899999999997</v>
      </c>
      <c r="AZ41" s="1235">
        <f t="shared" si="76"/>
        <v>1017.837</v>
      </c>
      <c r="BA41" s="1236">
        <f t="shared" si="77"/>
        <v>1170.1659999999999</v>
      </c>
      <c r="BB41" s="1234">
        <f t="shared" si="78"/>
        <v>1259.748</v>
      </c>
      <c r="BC41" s="1234">
        <f t="shared" si="79"/>
        <v>1222.153</v>
      </c>
      <c r="BD41" s="1237">
        <f t="shared" si="80"/>
        <v>1422.5530136499999</v>
      </c>
      <c r="BE41" s="1237">
        <f t="shared" si="81"/>
        <v>1636.131106341355</v>
      </c>
      <c r="BF41" s="1238"/>
    </row>
    <row r="42" spans="1:65" ht="12.75" customHeight="1">
      <c r="A42" s="1239" t="s">
        <v>264</v>
      </c>
      <c r="B42" s="1231"/>
      <c r="C42" s="1231"/>
      <c r="D42" s="1231"/>
      <c r="E42" s="1232">
        <v>0</v>
      </c>
      <c r="F42" s="1231">
        <v>0</v>
      </c>
      <c r="G42" s="1231">
        <v>0</v>
      </c>
      <c r="H42" s="1231">
        <v>0</v>
      </c>
      <c r="I42" s="1231">
        <v>0</v>
      </c>
      <c r="J42" s="1233">
        <v>2.1000000000000001E-2</v>
      </c>
      <c r="K42" s="1231">
        <v>0.08</v>
      </c>
      <c r="L42" s="1231">
        <v>0.06</v>
      </c>
      <c r="M42" s="1232">
        <v>0.05</v>
      </c>
      <c r="N42" s="1233">
        <v>0.16300000000000001</v>
      </c>
      <c r="O42" s="1231">
        <v>0.14899999999999999</v>
      </c>
      <c r="P42" s="1231">
        <v>5.3999999999999999E-2</v>
      </c>
      <c r="Q42" s="1232">
        <v>0.01</v>
      </c>
      <c r="R42" s="1231">
        <v>8.0000000000000002E-3</v>
      </c>
      <c r="S42" s="1231">
        <v>-1.6E-2</v>
      </c>
      <c r="T42" s="1231">
        <v>-1.4999999999999999E-2</v>
      </c>
      <c r="U42" s="1231">
        <v>-0.30599999999999999</v>
      </c>
      <c r="V42" s="1233">
        <v>-1.363</v>
      </c>
      <c r="W42" s="1231">
        <v>-1.8560000000000001</v>
      </c>
      <c r="X42" s="1231">
        <v>-1.869</v>
      </c>
      <c r="Y42" s="1232">
        <v>-1.351</v>
      </c>
      <c r="Z42" s="1233">
        <v>-0.67100000000000004</v>
      </c>
      <c r="AA42" s="1231">
        <v>-0.70099999999999996</v>
      </c>
      <c r="AB42" s="1231">
        <v>-0.54</v>
      </c>
      <c r="AC42" s="1232">
        <v>3.7999999999999999E-2</v>
      </c>
      <c r="AD42" s="1233">
        <v>-0.185</v>
      </c>
      <c r="AE42" s="1231">
        <v>-0.27100000000000002</v>
      </c>
      <c r="AF42" s="1231">
        <v>0.95399999999999996</v>
      </c>
      <c r="AG42" s="1232">
        <v>0.318</v>
      </c>
      <c r="AH42" s="1233">
        <v>0.32800000000000001</v>
      </c>
      <c r="AI42" s="1231">
        <v>0.26200000000000001</v>
      </c>
      <c r="AJ42" s="1231">
        <v>0.40699999999999997</v>
      </c>
      <c r="AK42" s="1232">
        <v>0.38700000000000001</v>
      </c>
      <c r="AL42" s="1233">
        <f>AK42+'Cash Flow'!AL41</f>
        <v>0.38700000000000001</v>
      </c>
      <c r="AM42" s="1231">
        <f>AL42+'Cash Flow'!AM41</f>
        <v>0.38700000000000001</v>
      </c>
      <c r="AN42" s="1231">
        <f>AM42+'Cash Flow'!AN41</f>
        <v>0.38700000000000001</v>
      </c>
      <c r="AO42" s="1232">
        <f>AN42+'Cash Flow'!AO41</f>
        <v>0.38700000000000001</v>
      </c>
      <c r="AP42" s="1233">
        <f>AO42+'Cash Flow'!AP41</f>
        <v>0.38700000000000001</v>
      </c>
      <c r="AQ42" s="1231">
        <f>AP42+'Cash Flow'!AQ41</f>
        <v>0.38700000000000001</v>
      </c>
      <c r="AR42" s="1231">
        <f>AQ42+'Cash Flow'!AR41</f>
        <v>0.38700000000000001</v>
      </c>
      <c r="AS42" s="1232">
        <f>AR42+'Cash Flow'!AS41</f>
        <v>0.38700000000000001</v>
      </c>
      <c r="AT42" s="1231"/>
      <c r="AU42" s="1234">
        <f t="shared" si="71"/>
        <v>0</v>
      </c>
      <c r="AV42" s="1234">
        <f t="shared" si="72"/>
        <v>0</v>
      </c>
      <c r="AW42" s="1234">
        <f t="shared" si="73"/>
        <v>0.05</v>
      </c>
      <c r="AX42" s="1234">
        <f t="shared" si="74"/>
        <v>0.01</v>
      </c>
      <c r="AY42" s="1234">
        <f t="shared" si="75"/>
        <v>-0.30599999999999999</v>
      </c>
      <c r="AZ42" s="1235">
        <f t="shared" si="76"/>
        <v>-1.351</v>
      </c>
      <c r="BA42" s="1236">
        <f t="shared" si="77"/>
        <v>3.7999999999999999E-2</v>
      </c>
      <c r="BB42" s="1234">
        <f t="shared" si="78"/>
        <v>0.318</v>
      </c>
      <c r="BC42" s="1234">
        <f t="shared" si="79"/>
        <v>0.38700000000000001</v>
      </c>
      <c r="BD42" s="1237">
        <f t="shared" si="80"/>
        <v>0.38700000000000001</v>
      </c>
      <c r="BE42" s="1237">
        <f t="shared" si="81"/>
        <v>0.38700000000000001</v>
      </c>
      <c r="BF42" s="1238"/>
      <c r="BH42" s="454"/>
    </row>
    <row r="43" spans="1:65" s="1304" customFormat="1" ht="12.6" customHeight="1">
      <c r="A43" s="1277" t="s">
        <v>265</v>
      </c>
      <c r="B43" s="1253"/>
      <c r="C43" s="1253"/>
      <c r="D43" s="1253"/>
      <c r="E43" s="1254">
        <v>-392.58699999999999</v>
      </c>
      <c r="F43" s="1253">
        <v>-408.47500000000002</v>
      </c>
      <c r="G43" s="1253">
        <v>-425.625</v>
      </c>
      <c r="H43" s="1253">
        <v>-446.49400000000003</v>
      </c>
      <c r="I43" s="1253">
        <v>-466.108</v>
      </c>
      <c r="J43" s="1255">
        <v>-487.548</v>
      </c>
      <c r="K43" s="1253">
        <v>-509.17599999999999</v>
      </c>
      <c r="L43" s="1253">
        <v>-526.81600000000003</v>
      </c>
      <c r="M43" s="1254">
        <v>-565.12099999999998</v>
      </c>
      <c r="N43" s="1255">
        <v>-588.09799999999996</v>
      </c>
      <c r="O43" s="1253">
        <v>-600.05799999999999</v>
      </c>
      <c r="P43" s="1253">
        <v>-605.91600000000005</v>
      </c>
      <c r="Q43" s="1254">
        <v>-607.85199999999998</v>
      </c>
      <c r="R43" s="1253">
        <v>-615.6</v>
      </c>
      <c r="S43" s="1253">
        <v>-627.23800000000006</v>
      </c>
      <c r="T43" s="1231">
        <v>-643.48400000000004</v>
      </c>
      <c r="U43" s="1253">
        <v>-654.529</v>
      </c>
      <c r="V43" s="1255">
        <v>-679.03499999999997</v>
      </c>
      <c r="W43" s="1253">
        <v>-706.53399999999999</v>
      </c>
      <c r="X43" s="1253">
        <v>-725.26400000000001</v>
      </c>
      <c r="Y43" s="1254">
        <v>-746.75099999999998</v>
      </c>
      <c r="Z43" s="1255">
        <v>-771.84799999999996</v>
      </c>
      <c r="AA43" s="1253">
        <v>-787.822</v>
      </c>
      <c r="AB43" s="1253">
        <v>-803.38699999999994</v>
      </c>
      <c r="AC43" s="1254">
        <v>-825.03499999999997</v>
      </c>
      <c r="AD43" s="1255">
        <v>-839.42100000000005</v>
      </c>
      <c r="AE43" s="1231">
        <v>-853.99300000000005</v>
      </c>
      <c r="AF43" s="1231">
        <v>-863.20399999999995</v>
      </c>
      <c r="AG43" s="1232">
        <v>-861.33600000000001</v>
      </c>
      <c r="AH43" s="1233">
        <v>-884.27099999999996</v>
      </c>
      <c r="AI43" s="1231">
        <v>-898.97699999999998</v>
      </c>
      <c r="AJ43" s="1253">
        <v>-896.71699999999998</v>
      </c>
      <c r="AK43" s="1232">
        <v>-897.45399999999995</v>
      </c>
      <c r="AL43" s="1255">
        <f>AK43+'Income Statement'!AL99</f>
        <v>-914.41804117896413</v>
      </c>
      <c r="AM43" s="1253">
        <f>AL43+'Income Statement'!AM99</f>
        <v>-926.10997623206015</v>
      </c>
      <c r="AN43" s="1253">
        <f>AM43+'Income Statement'!AN99</f>
        <v>-926.0396588530275</v>
      </c>
      <c r="AO43" s="1254">
        <f>AN43+'Income Statement'!AO99</f>
        <v>-922.70719660812335</v>
      </c>
      <c r="AP43" s="1255">
        <f>AO43+'Income Statement'!AP99</f>
        <v>-940.55406635803092</v>
      </c>
      <c r="AQ43" s="1253">
        <f>AP43+'Income Statement'!AQ99</f>
        <v>-949.62635102560466</v>
      </c>
      <c r="AR43" s="1253">
        <f>AQ43+'Income Statement'!AR99</f>
        <v>-946.15144572504812</v>
      </c>
      <c r="AS43" s="1254">
        <f>AR43+'Income Statement'!AS99</f>
        <v>-939.15270744119528</v>
      </c>
      <c r="AT43" s="1253"/>
      <c r="AU43" s="1234">
        <f t="shared" si="71"/>
        <v>-392.58699999999999</v>
      </c>
      <c r="AV43" s="1234">
        <f t="shared" si="72"/>
        <v>-466.108</v>
      </c>
      <c r="AW43" s="1234">
        <f t="shared" si="73"/>
        <v>-565.12099999999998</v>
      </c>
      <c r="AX43" s="1234">
        <f t="shared" si="74"/>
        <v>-607.85199999999998</v>
      </c>
      <c r="AY43" s="1234">
        <f t="shared" si="75"/>
        <v>-654.529</v>
      </c>
      <c r="AZ43" s="1235">
        <f t="shared" si="76"/>
        <v>-746.75099999999998</v>
      </c>
      <c r="BA43" s="1236">
        <f t="shared" si="77"/>
        <v>-825.03499999999997</v>
      </c>
      <c r="BB43" s="1234">
        <f t="shared" si="78"/>
        <v>-861.33600000000001</v>
      </c>
      <c r="BC43" s="1234">
        <f t="shared" si="79"/>
        <v>-897.45399999999995</v>
      </c>
      <c r="BD43" s="1237">
        <f t="shared" si="80"/>
        <v>-922.70719660812335</v>
      </c>
      <c r="BE43" s="1237">
        <f t="shared" si="81"/>
        <v>-939.15270744119528</v>
      </c>
      <c r="BF43" s="1238"/>
    </row>
    <row r="44" spans="1:65" s="1256" customFormat="1" ht="12.6" customHeight="1">
      <c r="A44" s="1305" t="s">
        <v>266</v>
      </c>
      <c r="B44" s="1306"/>
      <c r="C44" s="1306"/>
      <c r="D44" s="1306"/>
      <c r="E44" s="1307">
        <f>SUM(E39:E43)</f>
        <v>-93.93</v>
      </c>
      <c r="F44" s="1306">
        <f t="shared" ref="F44:AS44" si="83">SUM(F39:F43)</f>
        <v>-106.94</v>
      </c>
      <c r="G44" s="1306">
        <f t="shared" si="83"/>
        <v>-120.60999999999996</v>
      </c>
      <c r="H44" s="1306">
        <f t="shared" si="83"/>
        <v>132.56099999999992</v>
      </c>
      <c r="I44" s="1306">
        <f t="shared" si="83"/>
        <v>121.76300000000009</v>
      </c>
      <c r="J44" s="1308">
        <f t="shared" si="83"/>
        <v>128.20899999999995</v>
      </c>
      <c r="K44" s="1306">
        <f t="shared" si="83"/>
        <v>120.959</v>
      </c>
      <c r="L44" s="1306">
        <f t="shared" si="83"/>
        <v>123.18799999999999</v>
      </c>
      <c r="M44" s="1306">
        <f t="shared" si="83"/>
        <v>98.904999999999973</v>
      </c>
      <c r="N44" s="1308">
        <f t="shared" si="83"/>
        <v>100.37600000000009</v>
      </c>
      <c r="O44" s="1306">
        <f t="shared" si="83"/>
        <v>111.16800000000001</v>
      </c>
      <c r="P44" s="1306">
        <f t="shared" si="83"/>
        <v>131.12699999999995</v>
      </c>
      <c r="Q44" s="1307">
        <f t="shared" si="83"/>
        <v>150.66500000000008</v>
      </c>
      <c r="R44" s="1306">
        <f t="shared" si="83"/>
        <v>171.93899999999996</v>
      </c>
      <c r="S44" s="1306">
        <f t="shared" si="83"/>
        <v>185.45500000000004</v>
      </c>
      <c r="T44" s="1306">
        <f t="shared" si="83"/>
        <v>198.0569999999999</v>
      </c>
      <c r="U44" s="1306">
        <v>215.31299999999999</v>
      </c>
      <c r="V44" s="1308">
        <f t="shared" si="83"/>
        <v>226.96799999999996</v>
      </c>
      <c r="W44" s="1306">
        <f t="shared" si="83"/>
        <v>237.52499999999998</v>
      </c>
      <c r="X44" s="1306">
        <f t="shared" si="83"/>
        <v>259.85500000000002</v>
      </c>
      <c r="Y44" s="1307">
        <f t="shared" si="83"/>
        <v>270.86599999999999</v>
      </c>
      <c r="Z44" s="1308">
        <f t="shared" si="83"/>
        <v>291.67899999999986</v>
      </c>
      <c r="AA44" s="1306">
        <f t="shared" si="83"/>
        <v>314.56100000000004</v>
      </c>
      <c r="AB44" s="1306">
        <f t="shared" si="83"/>
        <v>343.673</v>
      </c>
      <c r="AC44" s="1307">
        <f t="shared" si="83"/>
        <v>346.34399999999994</v>
      </c>
      <c r="AD44" s="1308">
        <f t="shared" si="83"/>
        <v>358.94799999999987</v>
      </c>
      <c r="AE44" s="1306">
        <f>SUM(AE39:AE43)</f>
        <v>363.56100000000004</v>
      </c>
      <c r="AF44" s="1309">
        <f t="shared" si="83"/>
        <v>404.55500000000006</v>
      </c>
      <c r="AG44" s="1307">
        <f t="shared" si="83"/>
        <v>399.95399999999995</v>
      </c>
      <c r="AH44" s="1310">
        <f t="shared" si="83"/>
        <v>383.16099999999983</v>
      </c>
      <c r="AI44" s="1309">
        <f t="shared" si="83"/>
        <v>350.69899999999973</v>
      </c>
      <c r="AJ44" s="1306">
        <f t="shared" si="83"/>
        <v>344.37599999999986</v>
      </c>
      <c r="AK44" s="1307">
        <f t="shared" si="83"/>
        <v>326.37599999999998</v>
      </c>
      <c r="AL44" s="1308">
        <f t="shared" si="83"/>
        <v>363.71098367103582</v>
      </c>
      <c r="AM44" s="1306">
        <f t="shared" si="83"/>
        <v>399.81562491793977</v>
      </c>
      <c r="AN44" s="1306">
        <f t="shared" si="83"/>
        <v>448.26040679697235</v>
      </c>
      <c r="AO44" s="1307">
        <f t="shared" si="83"/>
        <v>501.52281704187646</v>
      </c>
      <c r="AP44" s="1308">
        <f t="shared" si="83"/>
        <v>541.553385343934</v>
      </c>
      <c r="AQ44" s="1306">
        <f t="shared" si="83"/>
        <v>583.42399595800021</v>
      </c>
      <c r="AR44" s="1306">
        <f t="shared" si="83"/>
        <v>638.45022244750669</v>
      </c>
      <c r="AS44" s="1307">
        <f t="shared" si="83"/>
        <v>698.65539890015964</v>
      </c>
      <c r="AT44" s="1231"/>
      <c r="AU44" s="1311">
        <f t="shared" si="71"/>
        <v>-93.93</v>
      </c>
      <c r="AV44" s="1311">
        <f t="shared" si="72"/>
        <v>121.76300000000009</v>
      </c>
      <c r="AW44" s="1311">
        <f t="shared" si="73"/>
        <v>98.904999999999973</v>
      </c>
      <c r="AX44" s="1311">
        <f t="shared" si="74"/>
        <v>150.66500000000008</v>
      </c>
      <c r="AY44" s="1311">
        <f t="shared" si="75"/>
        <v>215.31299999999999</v>
      </c>
      <c r="AZ44" s="1312">
        <f t="shared" si="76"/>
        <v>270.86599999999999</v>
      </c>
      <c r="BA44" s="1313">
        <f t="shared" si="77"/>
        <v>346.34399999999994</v>
      </c>
      <c r="BB44" s="1311">
        <f t="shared" si="78"/>
        <v>399.95399999999995</v>
      </c>
      <c r="BC44" s="1311">
        <f t="shared" si="79"/>
        <v>326.37599999999998</v>
      </c>
      <c r="BD44" s="1314">
        <f t="shared" si="80"/>
        <v>501.52281704187646</v>
      </c>
      <c r="BE44" s="1314">
        <f t="shared" si="81"/>
        <v>698.65539890015964</v>
      </c>
      <c r="BF44" s="1238"/>
    </row>
    <row r="45" spans="1:65" s="1330" customFormat="1" ht="12.6" customHeight="1">
      <c r="A45" s="1315" t="s">
        <v>267</v>
      </c>
      <c r="B45" s="1316"/>
      <c r="C45" s="1316"/>
      <c r="D45" s="1316"/>
      <c r="E45" s="1317">
        <f t="shared" ref="E45:AS45" si="84">E44+E36</f>
        <v>164.33699999999999</v>
      </c>
      <c r="F45" s="1317">
        <f t="shared" si="84"/>
        <v>155.64500000000004</v>
      </c>
      <c r="G45" s="1317">
        <f t="shared" si="84"/>
        <v>169.358</v>
      </c>
      <c r="H45" s="1317">
        <f t="shared" si="84"/>
        <v>454.19799999999992</v>
      </c>
      <c r="I45" s="1317">
        <f t="shared" si="84"/>
        <v>460.61200000000014</v>
      </c>
      <c r="J45" s="1318">
        <f t="shared" si="84"/>
        <v>466.39099999999996</v>
      </c>
      <c r="K45" s="1319">
        <f t="shared" si="84"/>
        <v>480.76900000000006</v>
      </c>
      <c r="L45" s="1319">
        <f t="shared" si="84"/>
        <v>532.21199999999999</v>
      </c>
      <c r="M45" s="1320">
        <f t="shared" si="84"/>
        <v>558.61200000000008</v>
      </c>
      <c r="N45" s="1321">
        <f t="shared" si="84"/>
        <v>549.57400000000007</v>
      </c>
      <c r="O45" s="1322">
        <f t="shared" si="84"/>
        <v>575.83600000000001</v>
      </c>
      <c r="P45" s="1322">
        <f t="shared" si="84"/>
        <v>623.83499999999992</v>
      </c>
      <c r="Q45" s="1323">
        <f t="shared" si="84"/>
        <v>690.58900000000017</v>
      </c>
      <c r="R45" s="1318">
        <f t="shared" si="84"/>
        <v>700.84699999999987</v>
      </c>
      <c r="S45" s="1319">
        <f t="shared" si="84"/>
        <v>744.76700000000017</v>
      </c>
      <c r="T45" s="1319">
        <f t="shared" si="84"/>
        <v>1158.4899999999998</v>
      </c>
      <c r="U45" s="1320">
        <f t="shared" si="84"/>
        <v>1248.819</v>
      </c>
      <c r="V45" s="1321">
        <f t="shared" si="84"/>
        <v>1237.875</v>
      </c>
      <c r="W45" s="1322">
        <f t="shared" si="84"/>
        <v>1275.0419999999999</v>
      </c>
      <c r="X45" s="1322">
        <f t="shared" si="84"/>
        <v>1349.7370000000003</v>
      </c>
      <c r="Y45" s="1323">
        <f t="shared" si="84"/>
        <v>1439.53</v>
      </c>
      <c r="Z45" s="1321">
        <f t="shared" si="84"/>
        <v>1423.2769999999998</v>
      </c>
      <c r="AA45" s="1322">
        <f t="shared" si="84"/>
        <v>1465.8389999999999</v>
      </c>
      <c r="AB45" s="1322">
        <f t="shared" si="84"/>
        <v>1524.4460000000001</v>
      </c>
      <c r="AC45" s="1323">
        <f t="shared" si="84"/>
        <v>1606.8710000000001</v>
      </c>
      <c r="AD45" s="1321">
        <f t="shared" si="84"/>
        <v>1567.0219999999999</v>
      </c>
      <c r="AE45" s="1322">
        <f t="shared" si="84"/>
        <v>1576.3490000000002</v>
      </c>
      <c r="AF45" s="1324">
        <f t="shared" si="84"/>
        <v>1634.4190000000001</v>
      </c>
      <c r="AG45" s="1323">
        <f t="shared" si="84"/>
        <v>1742.1189999999997</v>
      </c>
      <c r="AH45" s="1321">
        <f t="shared" si="84"/>
        <v>1693.577</v>
      </c>
      <c r="AI45" s="1324">
        <f t="shared" si="84"/>
        <v>1656.5719999999997</v>
      </c>
      <c r="AJ45" s="1322">
        <f t="shared" si="84"/>
        <v>1652.6219999999998</v>
      </c>
      <c r="AK45" s="1323">
        <f t="shared" si="84"/>
        <v>1747.6669999999999</v>
      </c>
      <c r="AL45" s="1321">
        <f t="shared" si="84"/>
        <v>1743.9350671281632</v>
      </c>
      <c r="AM45" s="1322">
        <f t="shared" si="84"/>
        <v>1774.9365195354899</v>
      </c>
      <c r="AN45" s="1322">
        <f t="shared" si="84"/>
        <v>1825.7731846698562</v>
      </c>
      <c r="AO45" s="1323">
        <f t="shared" si="84"/>
        <v>2000.6708951248725</v>
      </c>
      <c r="AP45" s="1321">
        <f t="shared" si="84"/>
        <v>1997.2255171760355</v>
      </c>
      <c r="AQ45" s="1322">
        <f t="shared" si="84"/>
        <v>2033.6792009316475</v>
      </c>
      <c r="AR45" s="1322">
        <f t="shared" si="84"/>
        <v>2091.2394973488372</v>
      </c>
      <c r="AS45" s="1323">
        <f t="shared" si="84"/>
        <v>2281.0811124291395</v>
      </c>
      <c r="AT45" s="1231"/>
      <c r="AU45" s="1325">
        <f t="shared" si="71"/>
        <v>164.33699999999999</v>
      </c>
      <c r="AV45" s="1325">
        <f t="shared" si="72"/>
        <v>460.61200000000014</v>
      </c>
      <c r="AW45" s="1325">
        <f t="shared" si="73"/>
        <v>558.61200000000008</v>
      </c>
      <c r="AX45" s="1325">
        <f t="shared" si="74"/>
        <v>690.58900000000017</v>
      </c>
      <c r="AY45" s="1325">
        <f t="shared" si="75"/>
        <v>1248.819</v>
      </c>
      <c r="AZ45" s="1326">
        <f t="shared" si="76"/>
        <v>1439.53</v>
      </c>
      <c r="BA45" s="1327">
        <f t="shared" si="77"/>
        <v>1606.8710000000001</v>
      </c>
      <c r="BB45" s="1328">
        <f t="shared" si="78"/>
        <v>1742.1189999999997</v>
      </c>
      <c r="BC45" s="1328">
        <f t="shared" si="79"/>
        <v>1747.6669999999999</v>
      </c>
      <c r="BD45" s="1329">
        <f t="shared" si="80"/>
        <v>2000.6708951248725</v>
      </c>
      <c r="BE45" s="1329">
        <f t="shared" si="81"/>
        <v>2281.0811124291395</v>
      </c>
      <c r="BF45" s="1238"/>
    </row>
    <row r="46" spans="1:65" s="1276" customFormat="1" ht="12.6" customHeight="1">
      <c r="A46" s="1331"/>
      <c r="B46" s="454"/>
      <c r="C46" s="454"/>
      <c r="D46" s="454"/>
      <c r="E46" s="454"/>
      <c r="F46" s="454"/>
      <c r="G46" s="454"/>
      <c r="H46" s="454"/>
      <c r="I46" s="454"/>
      <c r="J46" s="454"/>
      <c r="K46" s="454"/>
      <c r="L46" s="1332"/>
      <c r="M46" s="1304"/>
      <c r="N46" s="454"/>
      <c r="O46" s="1304"/>
      <c r="P46" s="1304"/>
      <c r="Q46" s="1304"/>
      <c r="R46" s="1304"/>
      <c r="S46" s="1304"/>
      <c r="T46" s="1304"/>
      <c r="U46" s="1304"/>
      <c r="V46" s="1304"/>
      <c r="W46" s="1304"/>
      <c r="X46" s="1304"/>
      <c r="Y46" s="1304"/>
      <c r="Z46" s="1304"/>
      <c r="AA46" s="1304"/>
      <c r="AB46" s="1304"/>
      <c r="AC46" s="1304"/>
      <c r="AD46" s="1304"/>
      <c r="AE46" s="1304"/>
      <c r="AF46" s="1304"/>
      <c r="AG46" s="1304"/>
      <c r="AH46" s="1304"/>
      <c r="AI46" s="1304"/>
      <c r="AJ46" s="1304"/>
      <c r="AK46" s="1304"/>
      <c r="AL46" s="1304"/>
      <c r="AM46" s="1304"/>
      <c r="AN46" s="1304"/>
      <c r="AO46" s="1304"/>
      <c r="AP46" s="1304"/>
      <c r="AQ46" s="1304"/>
      <c r="AR46" s="1304"/>
      <c r="AS46" s="1304"/>
      <c r="AT46" s="454"/>
      <c r="AU46" s="454"/>
      <c r="AV46" s="454"/>
      <c r="AW46" s="454"/>
      <c r="AX46" s="454"/>
      <c r="AY46" s="454"/>
      <c r="AZ46" s="454"/>
      <c r="BA46" s="454"/>
      <c r="BB46" s="454"/>
      <c r="BC46" s="454"/>
      <c r="BD46" s="454"/>
      <c r="BE46" s="454"/>
    </row>
    <row r="47" spans="1:65" s="31" customFormat="1" ht="11.65" collapsed="1">
      <c r="A47" s="1333" t="s">
        <v>268</v>
      </c>
      <c r="B47" s="579"/>
      <c r="C47" s="1334"/>
      <c r="D47" s="1334"/>
      <c r="E47" s="582">
        <f t="shared" ref="E47:AS47" si="85">E6+E7-E33-E28</f>
        <v>27.21</v>
      </c>
      <c r="F47" s="579">
        <f t="shared" si="85"/>
        <v>26.423999999999999</v>
      </c>
      <c r="G47" s="1334">
        <f t="shared" si="85"/>
        <v>23.655000000000001</v>
      </c>
      <c r="H47" s="1334">
        <f t="shared" si="85"/>
        <v>287.15100000000001</v>
      </c>
      <c r="I47" s="582">
        <f t="shared" si="85"/>
        <v>283.23500000000001</v>
      </c>
      <c r="J47" s="579">
        <f t="shared" si="85"/>
        <v>298.98</v>
      </c>
      <c r="K47" s="1334">
        <f t="shared" si="85"/>
        <v>296.964</v>
      </c>
      <c r="L47" s="1334">
        <f t="shared" si="85"/>
        <v>296.63599999999997</v>
      </c>
      <c r="M47" s="582">
        <f t="shared" si="85"/>
        <v>212.267</v>
      </c>
      <c r="N47" s="579">
        <f t="shared" si="85"/>
        <v>226.69300000000001</v>
      </c>
      <c r="O47" s="1334">
        <f t="shared" si="85"/>
        <v>242.101</v>
      </c>
      <c r="P47" s="1334">
        <f t="shared" si="85"/>
        <v>269.10699999999997</v>
      </c>
      <c r="Q47" s="582">
        <f t="shared" si="85"/>
        <v>291.846</v>
      </c>
      <c r="R47" s="579">
        <f t="shared" si="85"/>
        <v>340.33100000000002</v>
      </c>
      <c r="S47" s="1334">
        <f t="shared" si="85"/>
        <v>261.03800000000001</v>
      </c>
      <c r="T47" s="1334">
        <f t="shared" si="85"/>
        <v>286.50799999999998</v>
      </c>
      <c r="U47" s="582">
        <f t="shared" si="85"/>
        <v>147.56400000000002</v>
      </c>
      <c r="V47" s="579">
        <f t="shared" si="85"/>
        <v>162.03700000000003</v>
      </c>
      <c r="W47" s="1334">
        <f t="shared" si="85"/>
        <v>147.50199999999995</v>
      </c>
      <c r="X47" s="1334">
        <f t="shared" si="85"/>
        <v>185.33199999999999</v>
      </c>
      <c r="Y47" s="582">
        <f t="shared" si="85"/>
        <v>205.46499999999992</v>
      </c>
      <c r="Z47" s="579">
        <f t="shared" si="85"/>
        <v>255.40000000000003</v>
      </c>
      <c r="AA47" s="1334">
        <f t="shared" si="85"/>
        <v>284.93700000000007</v>
      </c>
      <c r="AB47" s="1334">
        <f t="shared" si="85"/>
        <v>333.03299999999996</v>
      </c>
      <c r="AC47" s="582">
        <f t="shared" si="85"/>
        <v>114.69099999999997</v>
      </c>
      <c r="AD47" s="579">
        <f t="shared" si="85"/>
        <v>152.14899999999994</v>
      </c>
      <c r="AE47" s="1334">
        <f t="shared" si="85"/>
        <v>129.03400000000005</v>
      </c>
      <c r="AF47" s="1334">
        <f t="shared" si="85"/>
        <v>191.11499999999995</v>
      </c>
      <c r="AG47" s="582">
        <f t="shared" si="85"/>
        <v>220.48899999999998</v>
      </c>
      <c r="AH47" s="579">
        <f t="shared" si="85"/>
        <v>104.20900000000006</v>
      </c>
      <c r="AI47" s="1334">
        <f t="shared" si="85"/>
        <v>31.074999999999989</v>
      </c>
      <c r="AJ47" s="1334">
        <f t="shared" si="85"/>
        <v>28.751000000000033</v>
      </c>
      <c r="AK47" s="582">
        <f t="shared" si="85"/>
        <v>47.972000000000037</v>
      </c>
      <c r="AL47" s="579">
        <f t="shared" si="85"/>
        <v>121.03048215767666</v>
      </c>
      <c r="AM47" s="1334">
        <f t="shared" si="85"/>
        <v>161.85009926614458</v>
      </c>
      <c r="AN47" s="1334">
        <f t="shared" si="85"/>
        <v>214.54571390452423</v>
      </c>
      <c r="AO47" s="582">
        <f t="shared" si="85"/>
        <v>309.62875996708186</v>
      </c>
      <c r="AP47" s="579">
        <f t="shared" si="85"/>
        <v>386.83110289376413</v>
      </c>
      <c r="AQ47" s="1334">
        <f t="shared" si="85"/>
        <v>433.46010574510632</v>
      </c>
      <c r="AR47" s="1334">
        <f t="shared" si="85"/>
        <v>492.30771688781107</v>
      </c>
      <c r="AS47" s="582">
        <f t="shared" si="85"/>
        <v>596.63460647264037</v>
      </c>
      <c r="AT47" s="558"/>
      <c r="AU47" s="1335">
        <f t="shared" ref="AU47:BC47" si="86">AU6+AU7-AU33-AU28</f>
        <v>27.21</v>
      </c>
      <c r="AV47" s="1335">
        <f t="shared" si="86"/>
        <v>283.23500000000001</v>
      </c>
      <c r="AW47" s="1335">
        <f t="shared" si="86"/>
        <v>212.267</v>
      </c>
      <c r="AX47" s="1335">
        <f t="shared" si="86"/>
        <v>291.846</v>
      </c>
      <c r="AY47" s="1335">
        <f t="shared" si="86"/>
        <v>147.56400000000002</v>
      </c>
      <c r="AZ47" s="1335">
        <f t="shared" si="86"/>
        <v>205.46499999999992</v>
      </c>
      <c r="BA47" s="1335">
        <f t="shared" si="86"/>
        <v>114.69099999999997</v>
      </c>
      <c r="BB47" s="1335">
        <f t="shared" si="86"/>
        <v>220.48899999999998</v>
      </c>
      <c r="BC47" s="1335">
        <f t="shared" si="86"/>
        <v>47.972000000000037</v>
      </c>
      <c r="BD47" s="1335">
        <f>AO47</f>
        <v>309.62875996708186</v>
      </c>
      <c r="BE47" s="1335">
        <f>AS47</f>
        <v>596.63460647264037</v>
      </c>
      <c r="BF47" s="179"/>
      <c r="BG47" s="179"/>
      <c r="BI47" s="179"/>
      <c r="BJ47" s="179"/>
      <c r="BK47" s="179"/>
      <c r="BL47" s="179"/>
      <c r="BM47" s="179"/>
    </row>
    <row r="48" spans="1:65" s="62" customFormat="1" ht="12" customHeight="1">
      <c r="A48" s="797" t="s">
        <v>117</v>
      </c>
      <c r="B48" s="800"/>
      <c r="C48" s="798"/>
      <c r="D48" s="798"/>
      <c r="E48" s="890"/>
      <c r="F48" s="800"/>
      <c r="G48" s="798"/>
      <c r="H48" s="798"/>
      <c r="I48" s="890">
        <f>I47/E47-1</f>
        <v>9.4092245497978695</v>
      </c>
      <c r="J48" s="800">
        <f t="shared" ref="J48:L48" si="87">J47/F47-1</f>
        <v>10.314713896457766</v>
      </c>
      <c r="K48" s="798">
        <f t="shared" si="87"/>
        <v>11.553963221306278</v>
      </c>
      <c r="L48" s="798">
        <f t="shared" si="87"/>
        <v>3.3031401597068966E-2</v>
      </c>
      <c r="M48" s="890">
        <f>M47/I47-1</f>
        <v>-0.25056225395872689</v>
      </c>
      <c r="N48" s="800">
        <f t="shared" ref="N48:P48" si="88">N47/J47-1</f>
        <v>-0.24177871429527065</v>
      </c>
      <c r="O48" s="798">
        <f t="shared" si="88"/>
        <v>-0.18474629921471963</v>
      </c>
      <c r="P48" s="798">
        <f t="shared" si="88"/>
        <v>-9.2803975242384595E-2</v>
      </c>
      <c r="Q48" s="890">
        <f>Q47/M47-1</f>
        <v>0.37490047911356927</v>
      </c>
      <c r="R48" s="800">
        <f t="shared" ref="R48:T48" si="89">R47/N47-1</f>
        <v>0.50128588002276198</v>
      </c>
      <c r="S48" s="798">
        <f t="shared" si="89"/>
        <v>7.8219420820236252E-2</v>
      </c>
      <c r="T48" s="798">
        <f t="shared" si="89"/>
        <v>6.4662011764837102E-2</v>
      </c>
      <c r="U48" s="890">
        <f>U47/Q47-1</f>
        <v>-0.49437717152196703</v>
      </c>
      <c r="V48" s="800">
        <f t="shared" ref="V48:X48" si="90">V47/R47-1</f>
        <v>-0.52388410106631478</v>
      </c>
      <c r="W48" s="798">
        <f t="shared" si="90"/>
        <v>-0.43494050674614448</v>
      </c>
      <c r="X48" s="798">
        <f t="shared" si="90"/>
        <v>-0.35313499099501577</v>
      </c>
      <c r="Y48" s="890">
        <f>Y47/U47-1</f>
        <v>0.39237890000271003</v>
      </c>
      <c r="Z48" s="800">
        <f t="shared" ref="Z48:AB48" si="91">Z47/V47-1</f>
        <v>0.5761832174133068</v>
      </c>
      <c r="AA48" s="798">
        <f t="shared" si="91"/>
        <v>0.93175007796504561</v>
      </c>
      <c r="AB48" s="798">
        <f t="shared" si="91"/>
        <v>0.79695357520557675</v>
      </c>
      <c r="AC48" s="890">
        <f>AC47/Y47-1</f>
        <v>-0.44179787311707586</v>
      </c>
      <c r="AD48" s="800">
        <f t="shared" ref="AD48:AF48" si="92">AD47/Z47-1</f>
        <v>-0.40427173061863775</v>
      </c>
      <c r="AE48" s="798">
        <f t="shared" si="92"/>
        <v>-0.54714901890593359</v>
      </c>
      <c r="AF48" s="798">
        <f t="shared" si="92"/>
        <v>-0.42613795029321422</v>
      </c>
      <c r="AG48" s="890">
        <f>AG47/AC47-1</f>
        <v>0.92246122189186619</v>
      </c>
      <c r="AH48" s="800">
        <f t="shared" ref="AH48:AJ48" si="93">AH47/AD47-1</f>
        <v>-0.3150858697723935</v>
      </c>
      <c r="AI48" s="798">
        <f t="shared" si="93"/>
        <v>-0.75917200117798433</v>
      </c>
      <c r="AJ48" s="798">
        <f t="shared" si="93"/>
        <v>-0.84956178217303702</v>
      </c>
      <c r="AK48" s="890">
        <f>AK47/AG47-1</f>
        <v>-0.78242905541773045</v>
      </c>
      <c r="AL48" s="800">
        <f t="shared" ref="AL48:AN48" si="94">AL47/AH47-1</f>
        <v>0.16142062737073171</v>
      </c>
      <c r="AM48" s="798">
        <f t="shared" si="94"/>
        <v>4.2083700487898517</v>
      </c>
      <c r="AN48" s="798">
        <f t="shared" si="94"/>
        <v>6.4622000592857285</v>
      </c>
      <c r="AO48" s="890">
        <f>AO47/AK47-1</f>
        <v>5.4543642117710673</v>
      </c>
      <c r="AP48" s="800">
        <f t="shared" ref="AP48:AR48" si="95">AP47/AL47-1</f>
        <v>2.1961460947483169</v>
      </c>
      <c r="AQ48" s="798">
        <f t="shared" si="95"/>
        <v>1.6781577997819399</v>
      </c>
      <c r="AR48" s="798">
        <f t="shared" si="95"/>
        <v>1.2946518386608026</v>
      </c>
      <c r="AS48" s="890">
        <f>AS47/AO47-1</f>
        <v>0.92693536135361421</v>
      </c>
      <c r="AT48" s="655"/>
      <c r="AU48" s="986" t="str">
        <f t="shared" ref="AU48:BC48" si="96">IF(ISERROR(AU47/AT47-1),"NA",AU47/AT47-1)</f>
        <v>NA</v>
      </c>
      <c r="AV48" s="986">
        <f t="shared" si="96"/>
        <v>9.4092245497978695</v>
      </c>
      <c r="AW48" s="986">
        <f t="shared" si="96"/>
        <v>-0.25056225395872689</v>
      </c>
      <c r="AX48" s="986">
        <f t="shared" si="96"/>
        <v>0.37490047911356927</v>
      </c>
      <c r="AY48" s="986">
        <f t="shared" si="96"/>
        <v>-0.49437717152196703</v>
      </c>
      <c r="AZ48" s="986">
        <f t="shared" si="96"/>
        <v>0.39237890000271003</v>
      </c>
      <c r="BA48" s="986">
        <f t="shared" si="96"/>
        <v>-0.44179787311707586</v>
      </c>
      <c r="BB48" s="986">
        <f t="shared" si="96"/>
        <v>0.92246122189186619</v>
      </c>
      <c r="BC48" s="986">
        <f t="shared" si="96"/>
        <v>-0.78242905541773045</v>
      </c>
      <c r="BD48" s="986">
        <f>IF(ISERROR(BD47/BC47-1),"NA",BD47/BC47-1)</f>
        <v>5.4543642117710673</v>
      </c>
      <c r="BE48" s="986">
        <f>IF(ISERROR(BE47/BD47-1),"NA",BE47/BD47-1)</f>
        <v>0.92693536135361421</v>
      </c>
    </row>
    <row r="49" spans="1:65" s="62" customFormat="1" ht="5.45" customHeight="1">
      <c r="A49" s="797"/>
      <c r="B49" s="703"/>
      <c r="C49" s="685"/>
      <c r="D49" s="685"/>
      <c r="E49" s="1336"/>
      <c r="F49" s="703"/>
      <c r="G49" s="685"/>
      <c r="H49" s="685"/>
      <c r="I49" s="1336"/>
      <c r="J49" s="703"/>
      <c r="K49" s="685"/>
      <c r="L49" s="685"/>
      <c r="M49" s="1336"/>
      <c r="N49" s="703"/>
      <c r="O49" s="685"/>
      <c r="P49" s="685"/>
      <c r="Q49" s="1336"/>
      <c r="R49" s="703"/>
      <c r="S49" s="685"/>
      <c r="T49" s="685"/>
      <c r="U49" s="1336"/>
      <c r="V49" s="703"/>
      <c r="W49" s="685"/>
      <c r="X49" s="685"/>
      <c r="Y49" s="1336"/>
      <c r="Z49" s="703"/>
      <c r="AA49" s="685"/>
      <c r="AB49" s="685"/>
      <c r="AC49" s="1336"/>
      <c r="AD49" s="703"/>
      <c r="AE49" s="685"/>
      <c r="AF49" s="685"/>
      <c r="AG49" s="1336"/>
      <c r="AH49" s="703"/>
      <c r="AI49" s="685"/>
      <c r="AJ49" s="685"/>
      <c r="AK49" s="1336"/>
      <c r="AL49" s="703"/>
      <c r="AM49" s="685"/>
      <c r="AN49" s="685"/>
      <c r="AO49" s="1336"/>
      <c r="AP49" s="703"/>
      <c r="AQ49" s="685"/>
      <c r="AR49" s="685"/>
      <c r="AS49" s="1336"/>
      <c r="AT49" s="803"/>
      <c r="AU49" s="1337"/>
      <c r="AV49" s="1337"/>
      <c r="AW49" s="1337"/>
      <c r="AX49" s="1337"/>
      <c r="AY49" s="1337"/>
      <c r="AZ49" s="1338"/>
      <c r="BA49" s="1338"/>
      <c r="BB49" s="1338"/>
      <c r="BC49" s="1338"/>
      <c r="BD49" s="1338"/>
      <c r="BE49" s="1338"/>
    </row>
    <row r="50" spans="1:65" s="31" customFormat="1" ht="11.65">
      <c r="A50" s="63" t="s">
        <v>269</v>
      </c>
      <c r="B50" s="528"/>
      <c r="C50" s="256"/>
      <c r="D50" s="256"/>
      <c r="E50" s="257">
        <f>E47/'Income Statement'!E53</f>
        <v>0.34789612979939394</v>
      </c>
      <c r="F50" s="528">
        <f>F47/'Income Statement'!F53</f>
        <v>0.33498561123718007</v>
      </c>
      <c r="G50" s="256">
        <f>G47/'Income Statement'!G53</f>
        <v>0.29891579053780837</v>
      </c>
      <c r="H50" s="256">
        <f>H47/'Income Statement'!H53</f>
        <v>3.2369631383158608</v>
      </c>
      <c r="I50" s="257">
        <f>I47/'Income Statement'!I53</f>
        <v>3.072396324861423</v>
      </c>
      <c r="J50" s="528">
        <f>J47/'Income Statement'!J53</f>
        <v>3.1895282596172314</v>
      </c>
      <c r="K50" s="256">
        <f>K47/'Income Statement'!K53</f>
        <v>3.0991859737006888</v>
      </c>
      <c r="L50" s="256">
        <f>L47/'Income Statement'!L53</f>
        <v>3.0673050078069255</v>
      </c>
      <c r="M50" s="257">
        <f>M47/'Income Statement'!M53</f>
        <v>2.1717960261106222</v>
      </c>
      <c r="N50" s="528">
        <f>N47/'Income Statement'!N53</f>
        <v>2.2931869910474938</v>
      </c>
      <c r="O50" s="256">
        <f>O47/'Income Statement'!O53</f>
        <v>2.2295578660428963</v>
      </c>
      <c r="P50" s="256">
        <f>P47/'Income Statement'!P53</f>
        <v>2.4195047831403289</v>
      </c>
      <c r="Q50" s="257">
        <f>Q47/'Income Statement'!Q53</f>
        <v>2.5897897791305429</v>
      </c>
      <c r="R50" s="528">
        <f>R47/'Income Statement'!R53</f>
        <v>2.9870890164481194</v>
      </c>
      <c r="S50" s="256">
        <f>S47/'Income Statement'!S53</f>
        <v>2.2924413141416893</v>
      </c>
      <c r="T50" s="256">
        <f>T47/'Income Statement'!T53</f>
        <v>2.4917422575511159</v>
      </c>
      <c r="U50" s="257">
        <f>U47/'Income Statement'!U53</f>
        <v>1.2670135490185979</v>
      </c>
      <c r="V50" s="528">
        <f>V47/'Income Statement'!V53</f>
        <v>1.3830993128761047</v>
      </c>
      <c r="W50" s="256">
        <f>W47/'Income Statement'!W53</f>
        <v>1.2494134189416972</v>
      </c>
      <c r="X50" s="256">
        <f>X47/'Income Statement'!X53</f>
        <v>1.5795251163345663</v>
      </c>
      <c r="Y50" s="257">
        <f>Y47/'Income Statement'!Y53</f>
        <v>1.7479539924795391</v>
      </c>
      <c r="Z50" s="528">
        <f>Z47/'Income Statement'!Z53</f>
        <v>2.1414676683659786</v>
      </c>
      <c r="AA50" s="256">
        <f>AA47/'Income Statement'!AA53</f>
        <v>2.3733476598615662</v>
      </c>
      <c r="AB50" s="256">
        <f>AB47/'Income Statement'!AB53</f>
        <v>2.7186367346938773</v>
      </c>
      <c r="AC50" s="257">
        <f>AC47/'Income Statement'!AC53</f>
        <v>0.93991296722748974</v>
      </c>
      <c r="AD50" s="528">
        <f>AD47/'Income Statement'!AD53</f>
        <v>1.2343144094884229</v>
      </c>
      <c r="AE50" s="256">
        <f>AE47/'Income Statement'!AE53</f>
        <v>1.0485795085164482</v>
      </c>
      <c r="AF50" s="256">
        <f>AF47/'Income Statement'!AF53</f>
        <v>1.5501508662643564</v>
      </c>
      <c r="AG50" s="257">
        <f>AG47/'Income Statement'!AG53</f>
        <v>1.7802475515328655</v>
      </c>
      <c r="AH50" s="528">
        <f>AH47/'Income Statement'!AH53</f>
        <v>0.83936626071267528</v>
      </c>
      <c r="AI50" s="256">
        <f>AI47/'Income Statement'!AI53</f>
        <v>0.25289928789420135</v>
      </c>
      <c r="AJ50" s="256">
        <f>AJ47/'Income Statement'!AJ53</f>
        <v>0.23575475798053375</v>
      </c>
      <c r="AK50" s="257">
        <f>AK47/'Income Statement'!AK53</f>
        <v>0.40329550231189604</v>
      </c>
      <c r="AL50" s="528">
        <f>AL47/'Income Statement'!AL53</f>
        <v>1.0261168474580471</v>
      </c>
      <c r="AM50" s="256">
        <f>AM47/'Income Statement'!AM53</f>
        <v>1.3721924482080932</v>
      </c>
      <c r="AN50" s="256">
        <f>AN47/'Income Statement'!AN53</f>
        <v>1.8189547596822742</v>
      </c>
      <c r="AO50" s="257">
        <f>AO47/'Income Statement'!AO53</f>
        <v>2.625084866189757</v>
      </c>
      <c r="AP50" s="528">
        <f>AP47/'Income Statement'!AP53</f>
        <v>3.270469250031824</v>
      </c>
      <c r="AQ50" s="256">
        <f>AQ47/'Income Statement'!AQ53</f>
        <v>3.65449882594306</v>
      </c>
      <c r="AR50" s="256">
        <f>AR47/'Income Statement'!AR53</f>
        <v>4.1391265922970497</v>
      </c>
      <c r="AS50" s="257">
        <f>AS47/'Income Statement'!AS53</f>
        <v>5.0023862368796879</v>
      </c>
      <c r="AT50" s="558"/>
      <c r="AU50" s="530" t="s">
        <v>223</v>
      </c>
      <c r="AV50" s="530" t="s">
        <v>223</v>
      </c>
      <c r="AW50" s="530">
        <f t="shared" ref="AW50" si="97">M50</f>
        <v>2.1717960261106222</v>
      </c>
      <c r="AX50" s="530">
        <f t="shared" ref="AX50" si="98">Q50</f>
        <v>2.5897897791305429</v>
      </c>
      <c r="AY50" s="464">
        <f>+U50</f>
        <v>1.2670135490185979</v>
      </c>
      <c r="AZ50" s="464">
        <f>+Y50</f>
        <v>1.7479539924795391</v>
      </c>
      <c r="BA50" s="464">
        <f>AC50</f>
        <v>0.93991296722748974</v>
      </c>
      <c r="BB50" s="464">
        <f>AG50</f>
        <v>1.7802475515328655</v>
      </c>
      <c r="BC50" s="464">
        <f>AK50</f>
        <v>0.40329550231189604</v>
      </c>
      <c r="BD50" s="464">
        <f>AO50</f>
        <v>2.625084866189757</v>
      </c>
      <c r="BE50" s="464">
        <f>AS50</f>
        <v>5.0023862368796879</v>
      </c>
      <c r="BF50" s="179"/>
      <c r="BG50" s="179"/>
      <c r="BI50" s="179"/>
      <c r="BJ50" s="179"/>
      <c r="BK50" s="179"/>
      <c r="BL50" s="179"/>
      <c r="BM50" s="179"/>
    </row>
    <row r="51" spans="1:65" s="62" customFormat="1" ht="12" customHeight="1">
      <c r="A51" s="1339" t="s">
        <v>117</v>
      </c>
      <c r="B51" s="1340"/>
      <c r="C51" s="1341"/>
      <c r="D51" s="1341"/>
      <c r="E51" s="1342"/>
      <c r="F51" s="1340"/>
      <c r="G51" s="1341"/>
      <c r="H51" s="1341"/>
      <c r="I51" s="1342">
        <f t="shared" ref="I51" si="99">I50/E50-1</f>
        <v>7.8313610347808336</v>
      </c>
      <c r="J51" s="1340">
        <f>J50/F50-1</f>
        <v>8.5213888376803979</v>
      </c>
      <c r="K51" s="1341">
        <f t="shared" ref="K51:M51" si="100">K50/G50-1</f>
        <v>9.3680905184856336</v>
      </c>
      <c r="L51" s="1341">
        <f t="shared" si="100"/>
        <v>-5.2412747152012829E-2</v>
      </c>
      <c r="M51" s="1342">
        <f t="shared" si="100"/>
        <v>-0.29312634293410089</v>
      </c>
      <c r="N51" s="1340">
        <f>N50/J50-1</f>
        <v>-0.28102628213656455</v>
      </c>
      <c r="O51" s="1341">
        <f t="shared" ref="O51:Q51" si="101">O50/K50-1</f>
        <v>-0.28059887823362317</v>
      </c>
      <c r="P51" s="1341">
        <f t="shared" si="101"/>
        <v>-0.21119524240915433</v>
      </c>
      <c r="Q51" s="1342">
        <f t="shared" si="101"/>
        <v>0.19246455375852589</v>
      </c>
      <c r="R51" s="1340">
        <f>R50/N50-1</f>
        <v>0.30259286665657448</v>
      </c>
      <c r="S51" s="1341">
        <f t="shared" ref="S51:U51" si="102">S50/O50-1</f>
        <v>2.820444764252783E-2</v>
      </c>
      <c r="T51" s="1341">
        <f t="shared" si="102"/>
        <v>2.9856305684599072E-2</v>
      </c>
      <c r="U51" s="1342">
        <f t="shared" si="102"/>
        <v>-0.51076587017654917</v>
      </c>
      <c r="V51" s="1340">
        <f>V50/R50-1</f>
        <v>-0.53697418950014519</v>
      </c>
      <c r="W51" s="1341">
        <f t="shared" ref="W51:Y51" si="103">W50/S50-1</f>
        <v>-0.45498564729475355</v>
      </c>
      <c r="X51" s="1341">
        <f t="shared" si="103"/>
        <v>-0.36609610743330911</v>
      </c>
      <c r="Y51" s="1342">
        <f t="shared" si="103"/>
        <v>0.3795858724900516</v>
      </c>
      <c r="Z51" s="1340">
        <f>Z50/V50-1</f>
        <v>0.54831084682767606</v>
      </c>
      <c r="AA51" s="1341">
        <f t="shared" ref="AA51:AC51" si="104">AA50/W50-1</f>
        <v>0.89956952909300902</v>
      </c>
      <c r="AB51" s="1341">
        <f t="shared" si="104"/>
        <v>0.72117347586262182</v>
      </c>
      <c r="AC51" s="1342">
        <f t="shared" si="104"/>
        <v>-0.46227819995754726</v>
      </c>
      <c r="AD51" s="1340">
        <f>AD50/Z50-1</f>
        <v>-0.42361286713693336</v>
      </c>
      <c r="AE51" s="1341">
        <f t="shared" ref="AE51:AG51" si="105">AE50/AA50-1</f>
        <v>-0.55818545835058564</v>
      </c>
      <c r="AF51" s="1341">
        <f t="shared" si="105"/>
        <v>-0.42980581168417642</v>
      </c>
      <c r="AG51" s="1342">
        <f t="shared" si="105"/>
        <v>0.8940557409098786</v>
      </c>
      <c r="AH51" s="1340">
        <f>AH50/AD50-1</f>
        <v>-0.31997370016885629</v>
      </c>
      <c r="AI51" s="1341">
        <f t="shared" ref="AI51:AK51" si="106">AI50/AE50-1</f>
        <v>-0.75881725149101142</v>
      </c>
      <c r="AJ51" s="1341">
        <f t="shared" si="106"/>
        <v>-0.84791495904610281</v>
      </c>
      <c r="AK51" s="1342">
        <f t="shared" si="106"/>
        <v>-0.77346099874444862</v>
      </c>
      <c r="AL51" s="1340">
        <f>AL50/AH50-1</f>
        <v>0.22248998498797024</v>
      </c>
      <c r="AM51" s="1341">
        <f t="shared" ref="AM51:AO51" si="107">AM50/AI50-1</f>
        <v>4.4258454408228314</v>
      </c>
      <c r="AN51" s="1341">
        <f t="shared" si="107"/>
        <v>6.7154530210264731</v>
      </c>
      <c r="AO51" s="1342">
        <f t="shared" si="107"/>
        <v>5.5090854005101182</v>
      </c>
      <c r="AP51" s="1340">
        <f>AP50/AL50-1</f>
        <v>2.1872288795702066</v>
      </c>
      <c r="AQ51" s="1341">
        <f t="shared" ref="AQ51:AS51" si="108">AQ50/AM50-1</f>
        <v>1.6632553113926298</v>
      </c>
      <c r="AR51" s="1341">
        <f t="shared" si="108"/>
        <v>1.2755522479404884</v>
      </c>
      <c r="AS51" s="1342">
        <f t="shared" si="108"/>
        <v>0.90560933907653918</v>
      </c>
      <c r="AT51" s="655"/>
      <c r="AU51" s="1343" t="str">
        <f t="shared" ref="AU51:BE51" si="109">IF(ISERROR(AU50/AT50-1),"NA",AU50/AT50-1)</f>
        <v>NA</v>
      </c>
      <c r="AV51" s="1343" t="str">
        <f t="shared" si="109"/>
        <v>NA</v>
      </c>
      <c r="AW51" s="1343" t="str">
        <f t="shared" si="109"/>
        <v>NA</v>
      </c>
      <c r="AX51" s="1343">
        <f t="shared" si="109"/>
        <v>0.19246455375852589</v>
      </c>
      <c r="AY51" s="1343">
        <f t="shared" si="109"/>
        <v>-0.51076587017654917</v>
      </c>
      <c r="AZ51" s="1343">
        <f t="shared" si="109"/>
        <v>0.3795858724900516</v>
      </c>
      <c r="BA51" s="1343">
        <f t="shared" si="109"/>
        <v>-0.46227819995754726</v>
      </c>
      <c r="BB51" s="1343">
        <f t="shared" si="109"/>
        <v>0.8940557409098786</v>
      </c>
      <c r="BC51" s="1343">
        <f t="shared" si="109"/>
        <v>-0.77346099874444862</v>
      </c>
      <c r="BD51" s="1343">
        <f t="shared" si="109"/>
        <v>5.5090854005101182</v>
      </c>
      <c r="BE51" s="1343">
        <f t="shared" si="109"/>
        <v>0.90560933907653918</v>
      </c>
    </row>
    <row r="52" spans="1:65" ht="12.6" customHeight="1">
      <c r="A52" s="45" t="s">
        <v>270</v>
      </c>
    </row>
    <row r="53" spans="1:65" ht="12.6" customHeight="1">
      <c r="A53" s="45"/>
    </row>
    <row r="54" spans="1:65" ht="12.6" customHeight="1">
      <c r="A54" s="1344" t="s">
        <v>271</v>
      </c>
      <c r="B54" s="1345"/>
      <c r="C54" s="1345"/>
      <c r="D54" s="1345"/>
      <c r="E54" s="1345" t="str">
        <f t="shared" ref="E54:AS54" si="110">IF((E19=E45)*AND(E19&gt;0),"—","X")</f>
        <v>—</v>
      </c>
      <c r="F54" s="1345" t="str">
        <f t="shared" si="110"/>
        <v>—</v>
      </c>
      <c r="G54" s="1345" t="str">
        <f t="shared" si="110"/>
        <v>—</v>
      </c>
      <c r="H54" s="1345" t="str">
        <f t="shared" si="110"/>
        <v>—</v>
      </c>
      <c r="I54" s="1345" t="str">
        <f t="shared" si="110"/>
        <v>—</v>
      </c>
      <c r="J54" s="1345" t="str">
        <f t="shared" si="110"/>
        <v>—</v>
      </c>
      <c r="K54" s="1345" t="str">
        <f t="shared" si="110"/>
        <v>—</v>
      </c>
      <c r="L54" s="1345" t="str">
        <f t="shared" si="110"/>
        <v>—</v>
      </c>
      <c r="M54" s="1345" t="str">
        <f t="shared" si="110"/>
        <v>—</v>
      </c>
      <c r="N54" s="1345" t="str">
        <f t="shared" si="110"/>
        <v>—</v>
      </c>
      <c r="O54" s="1345" t="str">
        <f t="shared" si="110"/>
        <v>—</v>
      </c>
      <c r="P54" s="1345" t="str">
        <f t="shared" si="110"/>
        <v>—</v>
      </c>
      <c r="Q54" s="1345" t="str">
        <f t="shared" si="110"/>
        <v>—</v>
      </c>
      <c r="R54" s="1345" t="str">
        <f t="shared" si="110"/>
        <v>—</v>
      </c>
      <c r="S54" s="1345" t="str">
        <f t="shared" si="110"/>
        <v>—</v>
      </c>
      <c r="T54" s="1345" t="str">
        <f t="shared" si="110"/>
        <v>—</v>
      </c>
      <c r="U54" s="1345" t="str">
        <f t="shared" si="110"/>
        <v>—</v>
      </c>
      <c r="V54" s="1345" t="str">
        <f t="shared" si="110"/>
        <v>—</v>
      </c>
      <c r="W54" s="1345" t="str">
        <f t="shared" si="110"/>
        <v>—</v>
      </c>
      <c r="X54" s="1345" t="str">
        <f t="shared" si="110"/>
        <v>—</v>
      </c>
      <c r="Y54" s="1345" t="str">
        <f t="shared" si="110"/>
        <v>—</v>
      </c>
      <c r="Z54" s="1345" t="str">
        <f t="shared" si="110"/>
        <v>—</v>
      </c>
      <c r="AA54" s="1345" t="str">
        <f t="shared" si="110"/>
        <v>—</v>
      </c>
      <c r="AB54" s="1345" t="str">
        <f t="shared" si="110"/>
        <v>—</v>
      </c>
      <c r="AC54" s="1345" t="str">
        <f t="shared" si="110"/>
        <v>—</v>
      </c>
      <c r="AD54" s="1345" t="str">
        <f t="shared" si="110"/>
        <v>—</v>
      </c>
      <c r="AE54" s="1345" t="str">
        <f t="shared" si="110"/>
        <v>—</v>
      </c>
      <c r="AF54" s="1345" t="str">
        <f t="shared" si="110"/>
        <v>—</v>
      </c>
      <c r="AG54" s="1345" t="str">
        <f t="shared" si="110"/>
        <v>—</v>
      </c>
      <c r="AH54" s="1345" t="str">
        <f t="shared" si="110"/>
        <v>—</v>
      </c>
      <c r="AI54" s="1345" t="str">
        <f t="shared" si="110"/>
        <v>—</v>
      </c>
      <c r="AJ54" s="1345" t="str">
        <f t="shared" si="110"/>
        <v>—</v>
      </c>
      <c r="AK54" s="1345" t="str">
        <f t="shared" si="110"/>
        <v>—</v>
      </c>
      <c r="AL54" s="1345" t="str">
        <f t="shared" si="110"/>
        <v>—</v>
      </c>
      <c r="AM54" s="1345" t="str">
        <f t="shared" si="110"/>
        <v>—</v>
      </c>
      <c r="AN54" s="1345" t="str">
        <f t="shared" si="110"/>
        <v>—</v>
      </c>
      <c r="AO54" s="1345" t="str">
        <f t="shared" si="110"/>
        <v>—</v>
      </c>
      <c r="AP54" s="1345" t="str">
        <f t="shared" si="110"/>
        <v>—</v>
      </c>
      <c r="AQ54" s="1345" t="str">
        <f t="shared" si="110"/>
        <v>—</v>
      </c>
      <c r="AR54" s="1345" t="str">
        <f t="shared" si="110"/>
        <v>—</v>
      </c>
      <c r="AS54" s="1345" t="str">
        <f t="shared" si="110"/>
        <v>—</v>
      </c>
      <c r="AT54" s="1346"/>
      <c r="AU54" s="1345"/>
      <c r="AV54" s="1345" t="str">
        <f t="shared" ref="AV54:BE54" si="111">IF((AV19=AV45)*AND(AV19&gt;0),"—","X")</f>
        <v>—</v>
      </c>
      <c r="AW54" s="1345" t="str">
        <f t="shared" si="111"/>
        <v>—</v>
      </c>
      <c r="AX54" s="1345" t="str">
        <f t="shared" si="111"/>
        <v>—</v>
      </c>
      <c r="AY54" s="1345" t="str">
        <f t="shared" si="111"/>
        <v>—</v>
      </c>
      <c r="AZ54" s="1345" t="str">
        <f t="shared" si="111"/>
        <v>—</v>
      </c>
      <c r="BA54" s="1345" t="str">
        <f t="shared" si="111"/>
        <v>—</v>
      </c>
      <c r="BB54" s="1345" t="str">
        <f t="shared" si="111"/>
        <v>—</v>
      </c>
      <c r="BC54" s="1345" t="str">
        <f t="shared" si="111"/>
        <v>—</v>
      </c>
      <c r="BD54" s="1345" t="str">
        <f t="shared" si="111"/>
        <v>—</v>
      </c>
      <c r="BE54" s="1345" t="str">
        <f t="shared" si="111"/>
        <v>—</v>
      </c>
    </row>
    <row r="55" spans="1:65" ht="12.6" customHeight="1">
      <c r="A55" s="1344"/>
      <c r="B55" s="1347"/>
      <c r="C55" s="1347"/>
      <c r="D55" s="1347"/>
      <c r="E55" s="1347">
        <f t="shared" ref="E55:AS55" si="112">+E19-E45</f>
        <v>0</v>
      </c>
      <c r="F55" s="1347">
        <f t="shared" si="112"/>
        <v>0</v>
      </c>
      <c r="G55" s="1347">
        <f t="shared" si="112"/>
        <v>0</v>
      </c>
      <c r="H55" s="1347">
        <f t="shared" si="112"/>
        <v>0</v>
      </c>
      <c r="I55" s="1347">
        <f t="shared" si="112"/>
        <v>0</v>
      </c>
      <c r="J55" s="1347">
        <f t="shared" si="112"/>
        <v>0</v>
      </c>
      <c r="K55" s="1347">
        <f t="shared" si="112"/>
        <v>0</v>
      </c>
      <c r="L55" s="1347">
        <f t="shared" si="112"/>
        <v>0</v>
      </c>
      <c r="M55" s="1347">
        <f t="shared" si="112"/>
        <v>0</v>
      </c>
      <c r="N55" s="1347">
        <f t="shared" si="112"/>
        <v>0</v>
      </c>
      <c r="O55" s="1347">
        <f t="shared" si="112"/>
        <v>0</v>
      </c>
      <c r="P55" s="1345">
        <f t="shared" si="112"/>
        <v>0</v>
      </c>
      <c r="Q55" s="1345">
        <f t="shared" si="112"/>
        <v>0</v>
      </c>
      <c r="R55" s="1345">
        <f t="shared" si="112"/>
        <v>0</v>
      </c>
      <c r="S55" s="1348">
        <f t="shared" si="112"/>
        <v>0</v>
      </c>
      <c r="T55" s="1348">
        <f t="shared" si="112"/>
        <v>0</v>
      </c>
      <c r="U55" s="1348">
        <f t="shared" si="112"/>
        <v>0</v>
      </c>
      <c r="V55" s="1348">
        <f t="shared" si="112"/>
        <v>0</v>
      </c>
      <c r="W55" s="1348">
        <f t="shared" si="112"/>
        <v>0</v>
      </c>
      <c r="X55" s="1348">
        <f t="shared" si="112"/>
        <v>0</v>
      </c>
      <c r="Y55" s="1348">
        <f t="shared" si="112"/>
        <v>0</v>
      </c>
      <c r="Z55" s="1348">
        <f t="shared" si="112"/>
        <v>0</v>
      </c>
      <c r="AA55" s="1348">
        <f t="shared" si="112"/>
        <v>0</v>
      </c>
      <c r="AB55" s="1348">
        <f t="shared" si="112"/>
        <v>0</v>
      </c>
      <c r="AC55" s="1349">
        <f t="shared" si="112"/>
        <v>0</v>
      </c>
      <c r="AD55" s="1348">
        <f t="shared" si="112"/>
        <v>0</v>
      </c>
      <c r="AE55" s="1348">
        <f t="shared" si="112"/>
        <v>0</v>
      </c>
      <c r="AF55" s="1348">
        <f t="shared" si="112"/>
        <v>0</v>
      </c>
      <c r="AG55" s="1349">
        <f t="shared" si="112"/>
        <v>0</v>
      </c>
      <c r="AH55" s="1348">
        <f t="shared" si="112"/>
        <v>0</v>
      </c>
      <c r="AI55" s="1348">
        <f t="shared" si="112"/>
        <v>0</v>
      </c>
      <c r="AJ55" s="1348">
        <f t="shared" si="112"/>
        <v>0</v>
      </c>
      <c r="AK55" s="1349">
        <f t="shared" si="112"/>
        <v>0</v>
      </c>
      <c r="AL55" s="1348">
        <f t="shared" si="112"/>
        <v>0</v>
      </c>
      <c r="AM55" s="1348">
        <f t="shared" si="112"/>
        <v>0</v>
      </c>
      <c r="AN55" s="1348">
        <f t="shared" si="112"/>
        <v>0</v>
      </c>
      <c r="AO55" s="1349">
        <f t="shared" si="112"/>
        <v>0</v>
      </c>
      <c r="AP55" s="1348">
        <f t="shared" si="112"/>
        <v>0</v>
      </c>
      <c r="AQ55" s="1348">
        <f t="shared" si="112"/>
        <v>0</v>
      </c>
      <c r="AR55" s="1348">
        <f t="shared" si="112"/>
        <v>0</v>
      </c>
      <c r="AS55" s="1349">
        <f t="shared" si="112"/>
        <v>0</v>
      </c>
      <c r="AT55" s="1346"/>
      <c r="AU55" s="1345"/>
      <c r="AV55" s="1345"/>
      <c r="AW55" s="1345"/>
      <c r="AX55" s="1345"/>
      <c r="AY55" s="1345"/>
      <c r="AZ55" s="1345"/>
      <c r="BA55" s="1345"/>
      <c r="BB55" s="1345"/>
      <c r="BC55" s="1345"/>
      <c r="BD55" s="1345"/>
      <c r="BE55" s="1345"/>
    </row>
    <row r="56" spans="1:65" s="1231" customFormat="1" ht="12.6" customHeight="1">
      <c r="A56" s="288"/>
      <c r="U56" s="1350"/>
      <c r="V56" s="1350"/>
      <c r="W56" s="1351"/>
      <c r="X56" s="1350"/>
      <c r="Y56" s="1350"/>
      <c r="Z56" s="1350"/>
      <c r="AA56" s="1350"/>
      <c r="AB56" s="1350"/>
      <c r="AC56" s="1350"/>
      <c r="AD56" s="1350"/>
      <c r="AE56" s="1350"/>
      <c r="AF56" s="1350"/>
      <c r="AG56" s="1350"/>
      <c r="AH56" s="1350"/>
      <c r="AI56" s="1350"/>
      <c r="AJ56" s="1350"/>
      <c r="AK56" s="1350"/>
      <c r="AL56" s="1350"/>
      <c r="AM56" s="1350"/>
      <c r="AN56" s="1350"/>
      <c r="AO56" s="1350"/>
      <c r="AP56" s="1350"/>
      <c r="AQ56" s="1350"/>
      <c r="AR56" s="1350"/>
      <c r="AS56" s="1350"/>
    </row>
    <row r="57" spans="1:65" s="1231" customFormat="1" ht="12.6" customHeight="1">
      <c r="A57" s="1219"/>
      <c r="B57" s="1724">
        <f>'Income Statement'!B$3</f>
        <v>2017</v>
      </c>
      <c r="C57" s="1724"/>
      <c r="D57" s="1724"/>
      <c r="E57" s="1734"/>
      <c r="F57" s="1724">
        <f>'Income Statement'!F$3</f>
        <v>2018</v>
      </c>
      <c r="G57" s="1724"/>
      <c r="H57" s="1724"/>
      <c r="I57" s="1724"/>
      <c r="J57" s="1726">
        <f>'Income Statement'!J$3</f>
        <v>2019</v>
      </c>
      <c r="K57" s="1724"/>
      <c r="L57" s="1724"/>
      <c r="M57" s="1734"/>
      <c r="N57" s="1726">
        <f>'Income Statement'!N$3</f>
        <v>2020</v>
      </c>
      <c r="O57" s="1724"/>
      <c r="P57" s="1724"/>
      <c r="Q57" s="1734"/>
      <c r="R57" s="1724">
        <f>'Income Statement'!R$3</f>
        <v>2021</v>
      </c>
      <c r="S57" s="1724"/>
      <c r="T57" s="1724"/>
      <c r="U57" s="1724"/>
      <c r="V57" s="1726">
        <f>'Income Statement'!V$3</f>
        <v>2022</v>
      </c>
      <c r="W57" s="1724"/>
      <c r="X57" s="1724"/>
      <c r="Y57" s="1734"/>
      <c r="Z57" s="1726">
        <f>'Income Statement'!Z$3</f>
        <v>2023</v>
      </c>
      <c r="AA57" s="1724"/>
      <c r="AB57" s="1724"/>
      <c r="AC57" s="1734"/>
      <c r="AD57" s="1726">
        <f>'Income Statement'!AD$3</f>
        <v>2024</v>
      </c>
      <c r="AE57" s="1724"/>
      <c r="AF57" s="1724"/>
      <c r="AG57" s="1734"/>
      <c r="AH57" s="1726">
        <f>'Income Statement'!AH$3</f>
        <v>2025</v>
      </c>
      <c r="AI57" s="1724"/>
      <c r="AJ57" s="1724"/>
      <c r="AK57" s="1734"/>
      <c r="AL57" s="1726">
        <f>'Income Statement'!AL$3</f>
        <v>2026</v>
      </c>
      <c r="AM57" s="1724"/>
      <c r="AN57" s="1724"/>
      <c r="AO57" s="1734"/>
      <c r="AP57" s="1726">
        <f>'Income Statement'!AP$3</f>
        <v>2027</v>
      </c>
      <c r="AQ57" s="1724"/>
      <c r="AR57" s="1724"/>
      <c r="AS57" s="1734"/>
      <c r="AT57" s="1232"/>
      <c r="AU57" s="651"/>
      <c r="AV57" s="651"/>
      <c r="AW57" s="651"/>
      <c r="AX57" s="651"/>
      <c r="AY57" s="651"/>
      <c r="AZ57" s="651"/>
      <c r="BA57" s="652"/>
      <c r="BB57" s="651"/>
      <c r="BC57" s="651"/>
      <c r="BD57" s="651"/>
      <c r="BE57" s="653"/>
    </row>
    <row r="58" spans="1:65" s="1231" customFormat="1" ht="12.6" customHeight="1">
      <c r="A58" s="521" t="s">
        <v>14</v>
      </c>
      <c r="B58" s="48">
        <f>B4</f>
        <v>42825</v>
      </c>
      <c r="C58" s="48">
        <f t="shared" ref="C58:AS58" si="113">C4</f>
        <v>42916</v>
      </c>
      <c r="D58" s="48">
        <f t="shared" si="113"/>
        <v>43008</v>
      </c>
      <c r="E58" s="50">
        <f t="shared" si="113"/>
        <v>43100</v>
      </c>
      <c r="F58" s="48">
        <f t="shared" si="113"/>
        <v>43190</v>
      </c>
      <c r="G58" s="48">
        <f t="shared" si="113"/>
        <v>43281</v>
      </c>
      <c r="H58" s="48">
        <f t="shared" si="113"/>
        <v>43373</v>
      </c>
      <c r="I58" s="48">
        <f t="shared" si="113"/>
        <v>43465</v>
      </c>
      <c r="J58" s="655">
        <f t="shared" si="113"/>
        <v>43555</v>
      </c>
      <c r="K58" s="48">
        <f t="shared" si="113"/>
        <v>43646</v>
      </c>
      <c r="L58" s="48">
        <f t="shared" si="113"/>
        <v>43738</v>
      </c>
      <c r="M58" s="50">
        <f t="shared" si="113"/>
        <v>43830</v>
      </c>
      <c r="N58" s="655">
        <f t="shared" si="113"/>
        <v>43921</v>
      </c>
      <c r="O58" s="48">
        <f t="shared" si="113"/>
        <v>44012</v>
      </c>
      <c r="P58" s="48">
        <f t="shared" si="113"/>
        <v>44104</v>
      </c>
      <c r="Q58" s="50">
        <f t="shared" si="113"/>
        <v>44196</v>
      </c>
      <c r="R58" s="48">
        <f t="shared" si="113"/>
        <v>44286</v>
      </c>
      <c r="S58" s="48">
        <f t="shared" si="113"/>
        <v>44377</v>
      </c>
      <c r="T58" s="48">
        <f t="shared" si="113"/>
        <v>44469</v>
      </c>
      <c r="U58" s="48">
        <f t="shared" si="113"/>
        <v>44561</v>
      </c>
      <c r="V58" s="655">
        <f t="shared" si="113"/>
        <v>44651</v>
      </c>
      <c r="W58" s="48">
        <f t="shared" si="113"/>
        <v>44742</v>
      </c>
      <c r="X58" s="48">
        <f t="shared" si="113"/>
        <v>44834</v>
      </c>
      <c r="Y58" s="50">
        <f t="shared" si="113"/>
        <v>44926</v>
      </c>
      <c r="Z58" s="655">
        <f t="shared" si="113"/>
        <v>45016</v>
      </c>
      <c r="AA58" s="48">
        <f t="shared" si="113"/>
        <v>45107</v>
      </c>
      <c r="AB58" s="48">
        <f t="shared" si="113"/>
        <v>45199</v>
      </c>
      <c r="AC58" s="50">
        <f t="shared" si="113"/>
        <v>45291</v>
      </c>
      <c r="AD58" s="655">
        <f t="shared" si="113"/>
        <v>45382</v>
      </c>
      <c r="AE58" s="48">
        <f t="shared" si="113"/>
        <v>45473</v>
      </c>
      <c r="AF58" s="48" t="str">
        <f t="shared" si="113"/>
        <v>Sep-24</v>
      </c>
      <c r="AG58" s="50" t="str">
        <f t="shared" si="113"/>
        <v>Dec-24</v>
      </c>
      <c r="AH58" s="655" t="str">
        <f t="shared" si="113"/>
        <v>Mar-25</v>
      </c>
      <c r="AI58" s="48" t="str">
        <f t="shared" si="113"/>
        <v>Jun-25</v>
      </c>
      <c r="AJ58" s="48" t="str">
        <f t="shared" si="113"/>
        <v>Sep-25</v>
      </c>
      <c r="AK58" s="50" t="str">
        <f t="shared" si="113"/>
        <v>Dec-25</v>
      </c>
      <c r="AL58" s="655" t="str">
        <f t="shared" si="113"/>
        <v>Mar-26E</v>
      </c>
      <c r="AM58" s="48" t="str">
        <f t="shared" si="113"/>
        <v>Jun-26E</v>
      </c>
      <c r="AN58" s="48" t="str">
        <f t="shared" si="113"/>
        <v>Sep-26E</v>
      </c>
      <c r="AO58" s="50" t="str">
        <f t="shared" si="113"/>
        <v>Dec-26E</v>
      </c>
      <c r="AP58" s="655" t="str">
        <f t="shared" si="113"/>
        <v>Mar-27E</v>
      </c>
      <c r="AQ58" s="48" t="str">
        <f t="shared" si="113"/>
        <v>Jun-27E</v>
      </c>
      <c r="AR58" s="48" t="str">
        <f t="shared" si="113"/>
        <v>Sep-27E</v>
      </c>
      <c r="AS58" s="50" t="str">
        <f t="shared" si="113"/>
        <v>Dec-27E</v>
      </c>
      <c r="AT58" s="1232"/>
      <c r="AU58" s="56">
        <f>'Income Statement'!AU$4</f>
        <v>2017</v>
      </c>
      <c r="AV58" s="907">
        <f>'Income Statement'!AV$4</f>
        <v>2018</v>
      </c>
      <c r="AW58" s="907">
        <f>'Income Statement'!AW$4</f>
        <v>2019</v>
      </c>
      <c r="AX58" s="907">
        <f>'Income Statement'!AX$4</f>
        <v>2020</v>
      </c>
      <c r="AY58" s="907" t="str">
        <f>'Income Statement'!AY$4</f>
        <v>CY21</v>
      </c>
      <c r="AZ58" s="906" t="str">
        <f>'Income Statement'!AZ$4</f>
        <v>CY22</v>
      </c>
      <c r="BA58" s="61" t="str">
        <f>'Income Statement'!BA$4</f>
        <v>CY23</v>
      </c>
      <c r="BB58" s="907" t="str">
        <f>'Income Statement'!BB$4</f>
        <v>CY24</v>
      </c>
      <c r="BC58" s="907" t="str">
        <f>'Income Statement'!BC$4</f>
        <v>CY25</v>
      </c>
      <c r="BD58" s="907" t="str">
        <f>'Income Statement'!BD$4</f>
        <v>CY26E</v>
      </c>
      <c r="BE58" s="907" t="str">
        <f>'Income Statement'!BE$4</f>
        <v>CY27E</v>
      </c>
    </row>
    <row r="59" spans="1:65" s="1231" customFormat="1" ht="12.6" customHeight="1">
      <c r="A59" s="1352" t="s">
        <v>81</v>
      </c>
      <c r="B59" s="1353">
        <f>+'Income Statement'!B9</f>
        <v>40.481000000000002</v>
      </c>
      <c r="C59" s="1354">
        <f>+'Income Statement'!C9</f>
        <v>44.149000000000001</v>
      </c>
      <c r="D59" s="1354">
        <f>+'Income Statement'!D9</f>
        <v>48.980000000000004</v>
      </c>
      <c r="E59" s="1355">
        <f>+'Income Statement'!E9</f>
        <v>54.117000000000004</v>
      </c>
      <c r="F59" s="1353">
        <f>+'Income Statement'!F9</f>
        <v>59.106999999999999</v>
      </c>
      <c r="G59" s="1354">
        <f>+'Income Statement'!G9</f>
        <v>63.591999999999999</v>
      </c>
      <c r="H59" s="1354">
        <f>+'Income Statement'!H9</f>
        <v>69.44</v>
      </c>
      <c r="I59" s="1355">
        <f>+'Income Statement'!I9</f>
        <v>75.221000000000004</v>
      </c>
      <c r="J59" s="1353">
        <f>+'Income Statement'!J9</f>
        <v>80.301000000000002</v>
      </c>
      <c r="K59" s="1354">
        <f>+'Income Statement'!K9</f>
        <v>85.384</v>
      </c>
      <c r="L59" s="1354">
        <f>+'Income Statement'!L9</f>
        <v>91.852000000000004</v>
      </c>
      <c r="M59" s="1355">
        <f>+'Income Statement'!M9</f>
        <v>97.048999999999978</v>
      </c>
      <c r="N59" s="1353">
        <f>+'Income Statement'!N9</f>
        <v>102.648</v>
      </c>
      <c r="O59" s="1354">
        <f>+'Income Statement'!O9</f>
        <v>107.209</v>
      </c>
      <c r="P59" s="1354">
        <f>+'Income Statement'!P9</f>
        <v>112.28200000000001</v>
      </c>
      <c r="Q59" s="1355">
        <f>+'Income Statement'!Q9</f>
        <v>118.08200000000001</v>
      </c>
      <c r="R59" s="1353">
        <f>+'Income Statement'!R9</f>
        <v>123.18900000000001</v>
      </c>
      <c r="S59" s="1354">
        <f>+'Income Statement'!S9</f>
        <v>130.25900000000001</v>
      </c>
      <c r="T59" s="1354">
        <f>+'Income Statement'!T9</f>
        <v>138.66399999999999</v>
      </c>
      <c r="U59" s="1355">
        <f>+'Income Statement'!U9</f>
        <v>149.018</v>
      </c>
      <c r="V59" s="1354">
        <f>+'Income Statement'!V9</f>
        <v>159.36799999999999</v>
      </c>
      <c r="W59" s="1354">
        <f>+'Income Statement'!W9</f>
        <v>164.34100000000001</v>
      </c>
      <c r="X59" s="1354">
        <f>+'Income Statement'!X9</f>
        <v>174.851</v>
      </c>
      <c r="Y59" s="1355">
        <f>+'Income Statement'!Y9</f>
        <v>184.631</v>
      </c>
      <c r="Z59" s="1353">
        <f>+'Income Statement'!Z9</f>
        <v>188.83900000000003</v>
      </c>
      <c r="AA59" s="1354">
        <f>+'Income Statement'!AA9</f>
        <v>195.036</v>
      </c>
      <c r="AB59" s="1354">
        <f>+'Income Statement'!AB9</f>
        <v>201.529</v>
      </c>
      <c r="AC59" s="1355">
        <f>+'Income Statement'!AC9</f>
        <v>213.30599999999998</v>
      </c>
      <c r="AD59" s="1353">
        <f>+'Income Statement'!AD9</f>
        <v>215.96099999999998</v>
      </c>
      <c r="AE59" s="1354">
        <f>+'Income Statement'!AE9</f>
        <v>221.24100000000001</v>
      </c>
      <c r="AF59" s="1354">
        <f>+'Income Statement'!AF9</f>
        <v>227.08799999999999</v>
      </c>
      <c r="AG59" s="1355">
        <f>+'Income Statement'!AG9</f>
        <v>235.73099999999999</v>
      </c>
      <c r="AH59" s="1353">
        <f>+'Income Statement'!AH9</f>
        <v>239.137</v>
      </c>
      <c r="AI59" s="1354">
        <f>+'Income Statement'!AI9</f>
        <v>247.29500000000002</v>
      </c>
      <c r="AJ59" s="1354">
        <f>+'Income Statement'!AJ9</f>
        <v>252.44</v>
      </c>
      <c r="AK59" s="1355">
        <f>+'Income Statement'!AK9</f>
        <v>260.53300000000002</v>
      </c>
      <c r="AL59" s="1353">
        <f>+'Income Statement'!AL9</f>
        <v>258.56678500000004</v>
      </c>
      <c r="AM59" s="1354">
        <f>+'Income Statement'!AM9</f>
        <v>265.53653500000001</v>
      </c>
      <c r="AN59" s="1354">
        <f>+'Income Statement'!AN9</f>
        <v>268.74702500000001</v>
      </c>
      <c r="AO59" s="1355">
        <f>+'Income Statement'!AO9</f>
        <v>277.3886</v>
      </c>
      <c r="AP59" s="1353">
        <f>+'Income Statement'!AP9</f>
        <v>275.6068478665</v>
      </c>
      <c r="AQ59" s="1354">
        <f>+'Income Statement'!AQ9</f>
        <v>283.01608489799997</v>
      </c>
      <c r="AR59" s="1354">
        <f>+'Income Statement'!AR9</f>
        <v>286.39622882750007</v>
      </c>
      <c r="AS59" s="1355">
        <f>+'Income Statement'!AS9</f>
        <v>295.59132316000006</v>
      </c>
      <c r="AU59" s="1234"/>
      <c r="AV59" s="1234"/>
      <c r="AW59" s="1234"/>
      <c r="AX59" s="1234"/>
      <c r="AY59" s="1234"/>
      <c r="AZ59" s="1235"/>
      <c r="BA59" s="1236"/>
      <c r="BB59" s="1234"/>
      <c r="BC59" s="1234"/>
      <c r="BD59" s="1237"/>
      <c r="BE59" s="1237"/>
    </row>
    <row r="60" spans="1:65" s="1231" customFormat="1" ht="12.6" customHeight="1">
      <c r="A60" s="1356" t="s">
        <v>272</v>
      </c>
      <c r="B60" s="1233">
        <f>+'Income Statement'!B16</f>
        <v>4.2329999999999997</v>
      </c>
      <c r="C60" s="1231">
        <f>+'Income Statement'!C16</f>
        <v>5.1470000000000002</v>
      </c>
      <c r="D60" s="1231">
        <f>+'Income Statement'!D16</f>
        <v>7.2100000000000009</v>
      </c>
      <c r="E60" s="1232">
        <f>+'Income Statement'!E16</f>
        <v>8.113999999999999</v>
      </c>
      <c r="F60" s="1233">
        <f>+'Income Statement'!F16</f>
        <v>8.5</v>
      </c>
      <c r="G60" s="1231">
        <f>+'Income Statement'!G16</f>
        <v>9.613999999999999</v>
      </c>
      <c r="H60" s="1231">
        <f>+'Income Statement'!H16</f>
        <v>11.318</v>
      </c>
      <c r="I60" s="1232">
        <f>+'Income Statement'!I16</f>
        <v>11.424999999999999</v>
      </c>
      <c r="J60" s="1233">
        <f>+'Income Statement'!J16</f>
        <v>12.423000000000002</v>
      </c>
      <c r="K60" s="1231">
        <f>+'Income Statement'!K16</f>
        <v>13.024999999999999</v>
      </c>
      <c r="L60" s="1231">
        <f>+'Income Statement'!L16</f>
        <v>14.425999999999998</v>
      </c>
      <c r="M60" s="1232">
        <f>+'Income Statement'!M16</f>
        <v>17.506999999999998</v>
      </c>
      <c r="N60" s="1233">
        <f>+'Income Statement'!N16</f>
        <v>17.375</v>
      </c>
      <c r="O60" s="1231">
        <f>+'Income Statement'!O16</f>
        <v>17.734000000000002</v>
      </c>
      <c r="P60" s="1231">
        <f>+'Income Statement'!P16</f>
        <v>17.988999999999997</v>
      </c>
      <c r="Q60" s="1232">
        <f>+'Income Statement'!Q16</f>
        <v>18.984000000000002</v>
      </c>
      <c r="R60" s="1233">
        <f>+'Income Statement'!R16</f>
        <v>20.556999999999999</v>
      </c>
      <c r="S60" s="1231">
        <f>+'Income Statement'!S16</f>
        <v>23.818999999999999</v>
      </c>
      <c r="T60" s="1231">
        <f>+'Income Statement'!T16</f>
        <v>24.144000000000002</v>
      </c>
      <c r="U60" s="1232">
        <f>+'Income Statement'!U16</f>
        <v>26.983000000000001</v>
      </c>
      <c r="V60" s="1231">
        <f>+'Income Statement'!V16</f>
        <v>30.990000000000002</v>
      </c>
      <c r="W60" s="1231">
        <f>+'Income Statement'!W16</f>
        <v>31.138000000000002</v>
      </c>
      <c r="X60" s="1231">
        <f>+'Income Statement'!X16</f>
        <v>33.161000000000001</v>
      </c>
      <c r="Y60" s="1232">
        <f>+'Income Statement'!Y16</f>
        <v>39.759</v>
      </c>
      <c r="Z60" s="1233">
        <f>+'Income Statement'!Z16</f>
        <v>39.801000000000002</v>
      </c>
      <c r="AA60" s="1231">
        <f>+'Income Statement'!AA16</f>
        <v>37.535000000000004</v>
      </c>
      <c r="AB60" s="1231">
        <f>+'Income Statement'!AB16</f>
        <v>39.687999999999995</v>
      </c>
      <c r="AC60" s="1232">
        <f>+'Income Statement'!AC16</f>
        <v>41.447000000000003</v>
      </c>
      <c r="AD60" s="1233">
        <f>+'Income Statement'!AD16</f>
        <v>41.281000000000006</v>
      </c>
      <c r="AE60" s="1231">
        <f>+'Income Statement'!AE16</f>
        <v>40.750000000000007</v>
      </c>
      <c r="AF60" s="1231">
        <f>+'Income Statement'!AF16</f>
        <v>42.268999999999998</v>
      </c>
      <c r="AG60" s="1232">
        <f>+'Income Statement'!AG16</f>
        <v>43.233999999999995</v>
      </c>
      <c r="AH60" s="1233">
        <f>+'Income Statement'!AH16</f>
        <v>43.281000000000006</v>
      </c>
      <c r="AI60" s="1231">
        <f>+'Income Statement'!AI16</f>
        <v>44.436999999999998</v>
      </c>
      <c r="AJ60" s="1231">
        <f>+'Income Statement'!AJ16</f>
        <v>46.475999999999999</v>
      </c>
      <c r="AK60" s="1232">
        <f>+'Income Statement'!AK16</f>
        <v>45.063999999999993</v>
      </c>
      <c r="AL60" s="1233">
        <f>+'Income Statement'!AL16</f>
        <v>47.056130614875777</v>
      </c>
      <c r="AM60" s="1231">
        <f>+'Income Statement'!AM16</f>
        <v>47.980399374099072</v>
      </c>
      <c r="AN60" s="1231">
        <f>+'Income Statement'!AN16</f>
        <v>47.836970450000017</v>
      </c>
      <c r="AO60" s="1232">
        <f>+'Income Statement'!AO16</f>
        <v>47.988227800000011</v>
      </c>
      <c r="AP60" s="1233">
        <f>+'Income Statement'!AP16</f>
        <v>50.432829600047214</v>
      </c>
      <c r="AQ60" s="1231">
        <f>+'Income Statement'!AQ16</f>
        <v>51.421835015031164</v>
      </c>
      <c r="AR60" s="1231">
        <f>+'Income Statement'!AR16</f>
        <v>51.264924960122528</v>
      </c>
      <c r="AS60" s="1232">
        <f>+'Income Statement'!AS16</f>
        <v>51.432890229840027</v>
      </c>
      <c r="AU60" s="1234"/>
      <c r="AV60" s="1234"/>
      <c r="AW60" s="1234"/>
      <c r="AX60" s="1234"/>
      <c r="AY60" s="1234"/>
      <c r="AZ60" s="1235"/>
      <c r="BA60" s="1236"/>
      <c r="BB60" s="1234"/>
      <c r="BC60" s="1234"/>
      <c r="BD60" s="1237"/>
      <c r="BE60" s="1237"/>
    </row>
    <row r="61" spans="1:65" s="1231" customFormat="1" ht="12.6" customHeight="1">
      <c r="A61" s="1356" t="s">
        <v>273</v>
      </c>
      <c r="B61" s="1233">
        <f>+'Income Statement'!B22</f>
        <v>12.064</v>
      </c>
      <c r="C61" s="1231">
        <f>+'Income Statement'!C22</f>
        <v>13.260999999999999</v>
      </c>
      <c r="D61" s="1231">
        <f>+'Income Statement'!D22</f>
        <v>15.359</v>
      </c>
      <c r="E61" s="1232">
        <f>+'Income Statement'!E22</f>
        <v>15.206999999999999</v>
      </c>
      <c r="F61" s="1233">
        <f>+'Income Statement'!F22</f>
        <v>16.657999999999998</v>
      </c>
      <c r="G61" s="1231">
        <f>+'Income Statement'!G22</f>
        <v>17.151</v>
      </c>
      <c r="H61" s="1231">
        <f>+'Income Statement'!H22</f>
        <v>18.126000000000001</v>
      </c>
      <c r="I61" s="1232">
        <f>+'Income Statement'!I22</f>
        <v>18.959</v>
      </c>
      <c r="J61" s="1233">
        <f>+'Income Statement'!J22</f>
        <v>19.904999999999998</v>
      </c>
      <c r="K61" s="1231">
        <f>+'Income Statement'!K22</f>
        <v>19.257000000000001</v>
      </c>
      <c r="L61" s="1231">
        <f>+'Income Statement'!L22</f>
        <v>18.639000000000003</v>
      </c>
      <c r="M61" s="1232">
        <f>+'Income Statement'!M22</f>
        <v>20.352</v>
      </c>
      <c r="N61" s="1233">
        <f>+'Income Statement'!N22</f>
        <v>23.882999999999999</v>
      </c>
      <c r="O61" s="1231">
        <f>+'Income Statement'!O22</f>
        <v>21.416999999999998</v>
      </c>
      <c r="P61" s="1231">
        <f>+'Income Statement'!P22</f>
        <v>21.175000000000001</v>
      </c>
      <c r="Q61" s="1232">
        <f>+'Income Statement'!Q22</f>
        <v>20.417999999999999</v>
      </c>
      <c r="R61" s="1233">
        <f>+'Income Statement'!R22</f>
        <v>22.682000000000002</v>
      </c>
      <c r="S61" s="1231">
        <f>+'Income Statement'!S22</f>
        <v>23.024999999999999</v>
      </c>
      <c r="T61" s="1231">
        <f>+'Income Statement'!T22</f>
        <v>25.088000000000001</v>
      </c>
      <c r="U61" s="1232">
        <f>+'Income Statement'!U22</f>
        <v>24.905000000000001</v>
      </c>
      <c r="V61" s="1231">
        <f>+'Income Statement'!V22</f>
        <v>27.826999999999998</v>
      </c>
      <c r="W61" s="1231">
        <f>+'Income Statement'!W22</f>
        <v>28.151000000000003</v>
      </c>
      <c r="X61" s="1231">
        <f>+'Income Statement'!X22</f>
        <v>27.377000000000002</v>
      </c>
      <c r="Y61" s="1232">
        <f>+'Income Statement'!Y22</f>
        <v>28.706000000000003</v>
      </c>
      <c r="Z61" s="1233">
        <f>+'Income Statement'!Z22</f>
        <v>29.317999999999998</v>
      </c>
      <c r="AA61" s="1231">
        <f>+'Income Statement'!AA22</f>
        <v>28.081</v>
      </c>
      <c r="AB61" s="1231">
        <f>+'Income Statement'!AB22</f>
        <v>27.81</v>
      </c>
      <c r="AC61" s="1232">
        <f>+'Income Statement'!AC22</f>
        <v>30.728999999999999</v>
      </c>
      <c r="AD61" s="1233">
        <f>+'Income Statement'!AD22</f>
        <v>32.565999999999995</v>
      </c>
      <c r="AE61" s="1231">
        <f>+'Income Statement'!AE22</f>
        <v>33.35</v>
      </c>
      <c r="AF61" s="1231">
        <f>+'Income Statement'!AF22</f>
        <v>35.585000000000001</v>
      </c>
      <c r="AG61" s="1232">
        <f>+'Income Statement'!AG22</f>
        <v>32.466999999999999</v>
      </c>
      <c r="AH61" s="1233">
        <f>+'Income Statement'!AH22</f>
        <v>39.017000000000003</v>
      </c>
      <c r="AI61" s="1231">
        <f>+'Income Statement'!AI22</f>
        <v>43.403999999999996</v>
      </c>
      <c r="AJ61" s="1231">
        <f>+'Income Statement'!AJ22</f>
        <v>42.091000000000001</v>
      </c>
      <c r="AK61" s="1232">
        <f>+'Income Statement'!AK22</f>
        <v>40.840000000000003</v>
      </c>
      <c r="AL61" s="1233">
        <f>+'Income Statement'!AL22</f>
        <v>42.187115546088656</v>
      </c>
      <c r="AM61" s="1231">
        <f>+'Income Statement'!AM22</f>
        <v>46.605664348814159</v>
      </c>
      <c r="AN61" s="1231">
        <f>+'Income Statement'!AN22</f>
        <v>44.809978724746479</v>
      </c>
      <c r="AO61" s="1232">
        <f>+'Income Statement'!AO22</f>
        <v>43.482209255641322</v>
      </c>
      <c r="AP61" s="1233">
        <f>+'Income Statement'!AP22</f>
        <v>44.96732995398969</v>
      </c>
      <c r="AQ61" s="1231">
        <f>+'Income Statement'!AQ22</f>
        <v>49.673588826756657</v>
      </c>
      <c r="AR61" s="1231">
        <f>+'Income Statement'!AR22</f>
        <v>47.752747851284688</v>
      </c>
      <c r="AS61" s="1232">
        <f>+'Income Statement'!AS22</f>
        <v>46.335587575679099</v>
      </c>
      <c r="AU61" s="1234"/>
      <c r="AV61" s="1234"/>
      <c r="AW61" s="1234"/>
      <c r="AX61" s="1234"/>
      <c r="AY61" s="1234"/>
      <c r="AZ61" s="1235"/>
      <c r="BA61" s="1236"/>
      <c r="BB61" s="1234"/>
      <c r="BC61" s="1234"/>
      <c r="BD61" s="1237"/>
      <c r="BE61" s="1237"/>
    </row>
    <row r="62" spans="1:65" s="1231" customFormat="1" ht="12.6" customHeight="1">
      <c r="A62" s="1356" t="s">
        <v>274</v>
      </c>
      <c r="B62" s="1233">
        <f>+'Income Statement'!B25</f>
        <v>-6.9690000000000012</v>
      </c>
      <c r="C62" s="1231">
        <f>+'Income Statement'!C25</f>
        <v>-7.2289999999999992</v>
      </c>
      <c r="D62" s="1231">
        <f>+'Income Statement'!D25</f>
        <v>-8.982999999999997</v>
      </c>
      <c r="E62" s="1232">
        <f>+'Income Statement'!E25</f>
        <v>-9.215999999999994</v>
      </c>
      <c r="F62" s="1233">
        <f>+'Income Statement'!F25</f>
        <v>-12.899000000000008</v>
      </c>
      <c r="G62" s="1231">
        <f>+'Income Statement'!G25</f>
        <v>-13.270000000000003</v>
      </c>
      <c r="H62" s="1231">
        <f>+'Income Statement'!H25</f>
        <v>-12.161999999999992</v>
      </c>
      <c r="I62" s="1232">
        <f>+'Income Statement'!I25</f>
        <v>-10.772000000000006</v>
      </c>
      <c r="J62" s="1233">
        <f>+'Income Statement'!J25</f>
        <v>-13.214999999999989</v>
      </c>
      <c r="K62" s="1231">
        <f>+'Income Statement'!K25</f>
        <v>-10.709999999999994</v>
      </c>
      <c r="L62" s="1231">
        <f>+'Income Statement'!L25</f>
        <v>-7.703000000000003</v>
      </c>
      <c r="M62" s="1232">
        <f>+'Income Statement'!M25</f>
        <v>-11.138000000000034</v>
      </c>
      <c r="N62" s="1233">
        <f>+'Income Statement'!N25</f>
        <v>-7.7189999999999941</v>
      </c>
      <c r="O62" s="1231">
        <f>+'Income Statement'!O25</f>
        <v>5.6789999999999878</v>
      </c>
      <c r="P62" s="1231">
        <f>+'Income Statement'!P25</f>
        <v>12.414000000000001</v>
      </c>
      <c r="Q62" s="1232">
        <f>+'Income Statement'!Q25</f>
        <v>15.419000000000011</v>
      </c>
      <c r="R62" s="1233">
        <f>+'Income Statement'!R25</f>
        <v>13.887</v>
      </c>
      <c r="S62" s="1231">
        <f>+'Income Statement'!S25</f>
        <v>11.534000000000006</v>
      </c>
      <c r="T62" s="1231">
        <f>+'Income Statement'!T25</f>
        <v>13.684999999999974</v>
      </c>
      <c r="U62" s="1232">
        <f>+'Income Statement'!U25</f>
        <v>11.878999999999991</v>
      </c>
      <c r="V62" s="1231">
        <f>+'Income Statement'!V25</f>
        <v>12.455999999999989</v>
      </c>
      <c r="W62" s="1231">
        <f>+'Income Statement'!W25</f>
        <v>12.191000000000003</v>
      </c>
      <c r="X62" s="1231">
        <f>+'Income Statement'!X25</f>
        <v>23.086999999999989</v>
      </c>
      <c r="Y62" s="1232">
        <f>+'Income Statement'!Y25</f>
        <v>19.936000000000007</v>
      </c>
      <c r="Z62" s="1233">
        <f>+'Income Statement'!Z25</f>
        <v>18.14100000000002</v>
      </c>
      <c r="AA62" s="1231">
        <f>+'Income Statement'!AA25</f>
        <v>30.218000000000004</v>
      </c>
      <c r="AB62" s="1231">
        <f>+'Income Statement'!AB25</f>
        <v>36.574999999999989</v>
      </c>
      <c r="AC62" s="1232">
        <f>+'Income Statement'!AC25</f>
        <v>36.062999999999988</v>
      </c>
      <c r="AD62" s="1233">
        <f>+'Income Statement'!AD25</f>
        <v>37.007999999999981</v>
      </c>
      <c r="AE62" s="1231">
        <f>+'Income Statement'!AE25</f>
        <v>42.78400000000002</v>
      </c>
      <c r="AF62" s="1231">
        <f>+'Income Statement'!AF25</f>
        <v>44.974999999999994</v>
      </c>
      <c r="AG62" s="1232">
        <f>+'Income Statement'!AG25</f>
        <v>59.350999999999999</v>
      </c>
      <c r="AH62" s="1233">
        <f>+'Income Statement'!AH25</f>
        <v>48.676999999999992</v>
      </c>
      <c r="AI62" s="1231">
        <f>+'Income Statement'!AI25</f>
        <v>47.696000000000026</v>
      </c>
      <c r="AJ62" s="1231">
        <f>+'Income Statement'!AJ25</f>
        <v>58.912999999999982</v>
      </c>
      <c r="AK62" s="1232">
        <f>+'Income Statement'!AK25</f>
        <v>63.693000000000012</v>
      </c>
      <c r="AL62" s="1233">
        <f>+'Income Statement'!AL25</f>
        <v>54.124983671035835</v>
      </c>
      <c r="AM62" s="1231">
        <f>+'Income Statement'!AM25</f>
        <v>55.71964124690399</v>
      </c>
      <c r="AN62" s="1231">
        <f>+'Income Statement'!AN25</f>
        <v>67.959781879032619</v>
      </c>
      <c r="AO62" s="1232">
        <f>+'Income Statement'!AO25</f>
        <v>72.677410244904081</v>
      </c>
      <c r="AP62" s="1233">
        <f>+'Income Statement'!AP25</f>
        <v>59.345568302057472</v>
      </c>
      <c r="AQ62" s="1231">
        <f>+'Income Statement'!AQ25</f>
        <v>61.08561061406624</v>
      </c>
      <c r="AR62" s="1231">
        <f>+'Income Statement'!AR25</f>
        <v>74.14122648950655</v>
      </c>
      <c r="AS62" s="1232">
        <f>+'Income Statement'!AS25</f>
        <v>79.220176452652851</v>
      </c>
      <c r="AU62" s="1234"/>
      <c r="AV62" s="1234"/>
      <c r="AW62" s="1234"/>
      <c r="AX62" s="1234"/>
      <c r="AY62" s="1234"/>
      <c r="AZ62" s="1235"/>
      <c r="BA62" s="1236"/>
      <c r="BB62" s="1234"/>
      <c r="BC62" s="1234"/>
      <c r="BD62" s="1237"/>
      <c r="BE62" s="1237"/>
    </row>
    <row r="63" spans="1:65" s="1231" customFormat="1" ht="12.95" customHeight="1">
      <c r="A63" s="1356" t="s">
        <v>275</v>
      </c>
      <c r="B63" s="1233">
        <f>+'Income Statement'!B39</f>
        <v>-7.0590000000000011</v>
      </c>
      <c r="C63" s="1231">
        <f>+'Income Statement'!C39</f>
        <v>-7.2259999999999991</v>
      </c>
      <c r="D63" s="1231">
        <f>+'Income Statement'!D39</f>
        <v>-9.1469999999999967</v>
      </c>
      <c r="E63" s="1232">
        <f>+'Income Statement'!E39</f>
        <v>-9.2809999999999935</v>
      </c>
      <c r="F63" s="1233">
        <f>+'Income Statement'!F39</f>
        <v>-13.361000000000008</v>
      </c>
      <c r="G63" s="1231">
        <f>+'Income Statement'!G39</f>
        <v>-14.000000000000004</v>
      </c>
      <c r="H63" s="1231">
        <f>+'Income Statement'!H39</f>
        <v>-12.024999999999991</v>
      </c>
      <c r="I63" s="1232">
        <f>+'Income Statement'!I39</f>
        <v>-10.875000000000007</v>
      </c>
      <c r="J63" s="1233">
        <f>+'Income Statement'!J39</f>
        <v>-12.618999999999989</v>
      </c>
      <c r="K63" s="1231">
        <f>+'Income Statement'!K39</f>
        <v>-9.9829999999999934</v>
      </c>
      <c r="L63" s="1231">
        <f>+'Income Statement'!L39</f>
        <v>-6.743000000000003</v>
      </c>
      <c r="M63" s="1232">
        <f>+'Income Statement'!M39</f>
        <v>-11.148000000000033</v>
      </c>
      <c r="N63" s="1233">
        <f>+'Income Statement'!N39</f>
        <v>-8.8259999999999934</v>
      </c>
      <c r="O63" s="1231">
        <f>+'Income Statement'!O39</f>
        <v>4.7209999999999877</v>
      </c>
      <c r="P63" s="1231">
        <f>+'Income Statement'!P39</f>
        <v>10.518000000000001</v>
      </c>
      <c r="Q63" s="1232">
        <f>+'Income Statement'!Q39</f>
        <v>14.381000000000011</v>
      </c>
      <c r="R63" s="1233">
        <f>+'Income Statement'!R39</f>
        <v>14.745000000000001</v>
      </c>
      <c r="S63" s="1231">
        <f>+'Income Statement'!S39</f>
        <v>10.160000000000005</v>
      </c>
      <c r="T63" s="1231">
        <f>+'Income Statement'!T39</f>
        <v>8.0959999999999752</v>
      </c>
      <c r="U63" s="1232">
        <f>+'Income Statement'!U39</f>
        <v>5.9399999999999906</v>
      </c>
      <c r="V63" s="1231">
        <f>+'Income Statement'!V39</f>
        <v>6.9649999999999892</v>
      </c>
      <c r="W63" s="1231">
        <f>+'Income Statement'!W39</f>
        <v>5.9630000000000027</v>
      </c>
      <c r="X63" s="1231">
        <f>+'Income Statement'!X39</f>
        <v>17.182999999999989</v>
      </c>
      <c r="Y63" s="1232">
        <f>+'Income Statement'!Y39</f>
        <v>14.204000000000006</v>
      </c>
      <c r="Z63" s="1233">
        <f>+'Income Statement'!Z39</f>
        <v>13.06300000000002</v>
      </c>
      <c r="AA63" s="1231">
        <f>+'Income Statement'!AA39</f>
        <v>26.266000000000005</v>
      </c>
      <c r="AB63" s="1231">
        <f>+'Income Statement'!AB39</f>
        <v>27.667999999999989</v>
      </c>
      <c r="AC63" s="1232">
        <f>+'Income Statement'!AC39</f>
        <v>30.157999999999987</v>
      </c>
      <c r="AD63" s="1233">
        <f>+'Income Statement'!AD39</f>
        <v>30.43999999999998</v>
      </c>
      <c r="AE63" s="1231">
        <f>+'Income Statement'!AE39</f>
        <v>38.16200000000002</v>
      </c>
      <c r="AF63" s="1231">
        <f>+'Income Statement'!AF39</f>
        <v>39.322999999999993</v>
      </c>
      <c r="AG63" s="1232">
        <f>+'Income Statement'!AG39</f>
        <v>50.664000000000001</v>
      </c>
      <c r="AH63" s="1233">
        <f>+'Income Statement'!AH39</f>
        <v>44.249999999999993</v>
      </c>
      <c r="AI63" s="1231">
        <f>+'Income Statement'!AI39</f>
        <v>41.437000000000026</v>
      </c>
      <c r="AJ63" s="1231">
        <f>+'Income Statement'!AJ39</f>
        <v>51.437999999999981</v>
      </c>
      <c r="AK63" s="1232">
        <f>+'Income Statement'!AK39</f>
        <v>57.305000000000014</v>
      </c>
      <c r="AL63" s="1233">
        <f>+'Income Statement'!AL39</f>
        <v>47.861983671035837</v>
      </c>
      <c r="AM63" s="1231">
        <f>+'Income Statement'!AM39</f>
        <v>46.73164124690399</v>
      </c>
      <c r="AN63" s="1231">
        <f>+'Income Statement'!AN39</f>
        <v>59.171781879032615</v>
      </c>
      <c r="AO63" s="1232">
        <f>+'Income Statement'!AO39</f>
        <v>64.089410244904087</v>
      </c>
      <c r="AP63" s="1233">
        <f>+'Income Statement'!AP39</f>
        <v>50.957568302057467</v>
      </c>
      <c r="AQ63" s="1231">
        <f>+'Income Statement'!AQ39</f>
        <v>52.897610614066238</v>
      </c>
      <c r="AR63" s="1231">
        <f>+'Income Statement'!AR39</f>
        <v>66.153226489506537</v>
      </c>
      <c r="AS63" s="1232">
        <f>+'Income Statement'!AS39</f>
        <v>71.432176452652854</v>
      </c>
      <c r="AU63" s="1234"/>
      <c r="AV63" s="1234"/>
      <c r="AW63" s="1234"/>
      <c r="AX63" s="1234"/>
      <c r="AY63" s="1234"/>
      <c r="AZ63" s="1235"/>
      <c r="BA63" s="1236"/>
      <c r="BB63" s="1234"/>
      <c r="BC63" s="1234"/>
      <c r="BD63" s="1237"/>
      <c r="BE63" s="1237"/>
    </row>
    <row r="64" spans="1:65" s="1231" customFormat="1" ht="12.95" customHeight="1">
      <c r="A64" s="1356"/>
      <c r="B64" s="1357"/>
      <c r="C64" s="1358"/>
      <c r="D64" s="1358"/>
      <c r="E64" s="1359"/>
      <c r="F64" s="1357"/>
      <c r="G64" s="1358"/>
      <c r="H64" s="1358"/>
      <c r="I64" s="1359"/>
      <c r="J64" s="1357"/>
      <c r="K64" s="1358"/>
      <c r="L64" s="1358"/>
      <c r="M64" s="1359"/>
      <c r="N64" s="1357"/>
      <c r="O64" s="1358"/>
      <c r="P64" s="1358"/>
      <c r="Q64" s="1359"/>
      <c r="R64" s="1357"/>
      <c r="U64" s="1232"/>
      <c r="W64" s="1358"/>
      <c r="X64" s="1358"/>
      <c r="Y64" s="1232"/>
      <c r="Z64" s="1357"/>
      <c r="AA64" s="1358"/>
      <c r="AB64" s="1358"/>
      <c r="AC64" s="1232"/>
      <c r="AD64" s="1357"/>
      <c r="AE64" s="1358"/>
      <c r="AF64" s="1358"/>
      <c r="AG64" s="1359"/>
      <c r="AH64" s="1357"/>
      <c r="AI64" s="1358"/>
      <c r="AJ64" s="1358"/>
      <c r="AK64" s="1359"/>
      <c r="AL64" s="1357"/>
      <c r="AM64" s="1358"/>
      <c r="AN64" s="1358"/>
      <c r="AO64" s="1359"/>
      <c r="AP64" s="1357"/>
      <c r="AQ64" s="1358"/>
      <c r="AR64" s="1358"/>
      <c r="AS64" s="1359"/>
      <c r="AU64" s="1234"/>
      <c r="AV64" s="1234"/>
      <c r="AW64" s="1234"/>
      <c r="AX64" s="1234"/>
      <c r="AY64" s="1234"/>
      <c r="AZ64" s="1235"/>
      <c r="BA64" s="1236"/>
      <c r="BB64" s="1234"/>
      <c r="BC64" s="1234"/>
      <c r="BD64" s="1237"/>
      <c r="BE64" s="1237"/>
    </row>
    <row r="65" spans="1:59" s="1231" customFormat="1" ht="12.95" customHeight="1">
      <c r="A65" s="557" t="s">
        <v>276</v>
      </c>
      <c r="B65" s="1233"/>
      <c r="E65" s="1232"/>
      <c r="F65" s="1233"/>
      <c r="I65" s="1232"/>
      <c r="J65" s="1233"/>
      <c r="M65" s="1232"/>
      <c r="N65" s="1233"/>
      <c r="Q65" s="1232"/>
      <c r="R65" s="1233"/>
      <c r="U65" s="1232"/>
      <c r="Y65" s="1232"/>
      <c r="Z65" s="1233"/>
      <c r="AC65" s="1232"/>
      <c r="AD65" s="1233"/>
      <c r="AG65" s="1232"/>
      <c r="AH65" s="1233"/>
      <c r="AK65" s="1232"/>
      <c r="AL65" s="1233"/>
      <c r="AO65" s="1232"/>
      <c r="AP65" s="1233"/>
      <c r="AS65" s="1232"/>
      <c r="AU65" s="1234"/>
      <c r="AV65" s="1234"/>
      <c r="AW65" s="1234"/>
      <c r="AX65" s="1234"/>
      <c r="AY65" s="1234"/>
      <c r="AZ65" s="1235"/>
      <c r="BA65" s="1236"/>
      <c r="BB65" s="1234"/>
      <c r="BC65" s="1234"/>
      <c r="BD65" s="1237"/>
      <c r="BE65" s="1237"/>
    </row>
    <row r="66" spans="1:59" s="1231" customFormat="1" ht="12.6" customHeight="1">
      <c r="A66" s="490" t="s">
        <v>277</v>
      </c>
      <c r="B66" s="1360"/>
      <c r="C66" s="1361"/>
      <c r="D66" s="1361"/>
      <c r="E66" s="1362">
        <f t="shared" ref="E66:AK66" si="114">+(E8/E59)*(365/4)</f>
        <v>85.793581499344</v>
      </c>
      <c r="F66" s="1360">
        <f t="shared" si="114"/>
        <v>66.519701558191073</v>
      </c>
      <c r="G66" s="1361">
        <f t="shared" si="114"/>
        <v>71.646001069316895</v>
      </c>
      <c r="H66" s="1361">
        <f t="shared" si="114"/>
        <v>77.576954925115203</v>
      </c>
      <c r="I66" s="1362">
        <f t="shared" si="114"/>
        <v>82.806879063027608</v>
      </c>
      <c r="J66" s="1360">
        <f t="shared" si="114"/>
        <v>64.743511911433231</v>
      </c>
      <c r="K66" s="1361">
        <f t="shared" si="114"/>
        <v>73.722228403447957</v>
      </c>
      <c r="L66" s="1361">
        <f t="shared" si="114"/>
        <v>80.668806884988882</v>
      </c>
      <c r="M66" s="1362">
        <f t="shared" si="114"/>
        <v>89.160771878123441</v>
      </c>
      <c r="N66" s="1360">
        <f t="shared" si="114"/>
        <v>66.119091458187214</v>
      </c>
      <c r="O66" s="1361">
        <f t="shared" si="114"/>
        <v>69.608031974927471</v>
      </c>
      <c r="P66" s="1361">
        <f t="shared" si="114"/>
        <v>71.111643006002737</v>
      </c>
      <c r="Q66" s="1362">
        <f t="shared" si="114"/>
        <v>89.13261547060516</v>
      </c>
      <c r="R66" s="1360">
        <f t="shared" si="114"/>
        <v>61.34888261127211</v>
      </c>
      <c r="S66" s="1361">
        <f t="shared" si="114"/>
        <v>70.391095816795769</v>
      </c>
      <c r="T66" s="1361">
        <f t="shared" si="114"/>
        <v>75.954582660243474</v>
      </c>
      <c r="U66" s="1362">
        <f t="shared" si="114"/>
        <v>83.646547732488699</v>
      </c>
      <c r="V66" s="1361">
        <f t="shared" si="114"/>
        <v>55.185270882485824</v>
      </c>
      <c r="W66" s="1361">
        <f t="shared" si="114"/>
        <v>60.718582094547308</v>
      </c>
      <c r="X66" s="1361">
        <f t="shared" si="114"/>
        <v>77.207965639315759</v>
      </c>
      <c r="Y66" s="1362">
        <f t="shared" si="114"/>
        <v>92.589360670743261</v>
      </c>
      <c r="Z66" s="1360">
        <f t="shared" si="114"/>
        <v>59.848700480303322</v>
      </c>
      <c r="AA66" s="1361">
        <f t="shared" si="114"/>
        <v>72.254788859492606</v>
      </c>
      <c r="AB66" s="1361">
        <f t="shared" si="114"/>
        <v>81.244734008504977</v>
      </c>
      <c r="AC66" s="1362">
        <f t="shared" si="114"/>
        <v>94.139288158795353</v>
      </c>
      <c r="AD66" s="1360">
        <f t="shared" si="114"/>
        <v>66.254393154319544</v>
      </c>
      <c r="AE66" s="1361">
        <f t="shared" si="114"/>
        <v>74.08027897179997</v>
      </c>
      <c r="AF66" s="1361">
        <f t="shared" si="114"/>
        <v>77.411091735362504</v>
      </c>
      <c r="AG66" s="1361">
        <f t="shared" si="114"/>
        <v>100.15431784534066</v>
      </c>
      <c r="AH66" s="1360">
        <f t="shared" si="114"/>
        <v>64.026525589933797</v>
      </c>
      <c r="AI66" s="1361">
        <f t="shared" si="114"/>
        <v>66.829707434440635</v>
      </c>
      <c r="AJ66" s="1361">
        <f t="shared" si="114"/>
        <v>72.653348320392965</v>
      </c>
      <c r="AK66" s="1361">
        <f t="shared" si="114"/>
        <v>97.770483969401184</v>
      </c>
      <c r="AL66" s="1363">
        <f>+AH66-2</f>
        <v>62.026525589933797</v>
      </c>
      <c r="AM66" s="1364">
        <f t="shared" ref="AM66:AS66" si="115">+AI66-2</f>
        <v>64.829707434440635</v>
      </c>
      <c r="AN66" s="1364">
        <f t="shared" si="115"/>
        <v>70.653348320392965</v>
      </c>
      <c r="AO66" s="1364">
        <f t="shared" si="115"/>
        <v>95.770483969401184</v>
      </c>
      <c r="AP66" s="1363">
        <f t="shared" si="115"/>
        <v>60.026525589933797</v>
      </c>
      <c r="AQ66" s="1364">
        <f t="shared" si="115"/>
        <v>62.829707434440635</v>
      </c>
      <c r="AR66" s="1364">
        <f t="shared" si="115"/>
        <v>68.653348320392965</v>
      </c>
      <c r="AS66" s="1364">
        <f t="shared" si="115"/>
        <v>93.770483969401184</v>
      </c>
      <c r="AT66" s="1360"/>
      <c r="AU66" s="1234"/>
      <c r="AV66" s="1234"/>
      <c r="AW66" s="1234"/>
      <c r="AX66" s="1234"/>
      <c r="AY66" s="1234"/>
      <c r="AZ66" s="1235"/>
      <c r="BA66" s="1236"/>
      <c r="BB66" s="1234"/>
      <c r="BC66" s="1234"/>
      <c r="BD66" s="1237"/>
      <c r="BE66" s="1237"/>
    </row>
    <row r="67" spans="1:59" s="1231" customFormat="1" ht="12.6" customHeight="1">
      <c r="A67" s="490" t="s">
        <v>278</v>
      </c>
      <c r="B67" s="1360"/>
      <c r="C67" s="1361"/>
      <c r="D67" s="1361"/>
      <c r="E67" s="1362">
        <f t="shared" ref="E67:AK67" si="116">+(E22/E60)*(365/4)</f>
        <v>3.8011461671185613</v>
      </c>
      <c r="F67" s="1360">
        <f t="shared" si="116"/>
        <v>17.595147058823528</v>
      </c>
      <c r="G67" s="1361">
        <f t="shared" si="116"/>
        <v>13.828921364676516</v>
      </c>
      <c r="H67" s="1361">
        <f t="shared" si="116"/>
        <v>4.337559639512282</v>
      </c>
      <c r="I67" s="1362">
        <f t="shared" si="116"/>
        <v>1.3657549234135671</v>
      </c>
      <c r="J67" s="1360">
        <f t="shared" si="116"/>
        <v>9.4533325283747871</v>
      </c>
      <c r="K67" s="1361">
        <f t="shared" si="116"/>
        <v>15.461708253358927</v>
      </c>
      <c r="L67" s="1361">
        <f t="shared" si="116"/>
        <v>5.0286808540135874</v>
      </c>
      <c r="M67" s="1362">
        <f t="shared" si="116"/>
        <v>9.0275318444050967</v>
      </c>
      <c r="N67" s="1360">
        <f t="shared" si="116"/>
        <v>23.12892086330935</v>
      </c>
      <c r="O67" s="1361">
        <f t="shared" si="116"/>
        <v>2.2074123153264913</v>
      </c>
      <c r="P67" s="1361">
        <f t="shared" si="116"/>
        <v>31.69325699038302</v>
      </c>
      <c r="Q67" s="1362">
        <f t="shared" si="116"/>
        <v>27.547079119258321</v>
      </c>
      <c r="R67" s="1360">
        <f t="shared" si="116"/>
        <v>42.413472296541329</v>
      </c>
      <c r="S67" s="1361">
        <f t="shared" si="116"/>
        <v>45.94105545992695</v>
      </c>
      <c r="T67" s="1361">
        <f t="shared" si="116"/>
        <v>60.512083747514907</v>
      </c>
      <c r="U67" s="1362">
        <f t="shared" si="116"/>
        <v>54.967108920431393</v>
      </c>
      <c r="V67" s="1361">
        <f t="shared" si="116"/>
        <v>50.224306227815418</v>
      </c>
      <c r="W67" s="1361">
        <f t="shared" si="116"/>
        <v>49.472750337208552</v>
      </c>
      <c r="X67" s="1361">
        <f t="shared" si="116"/>
        <v>72.197046229003945</v>
      </c>
      <c r="Y67" s="1362">
        <f t="shared" si="116"/>
        <v>42.968447395558243</v>
      </c>
      <c r="Z67" s="1360">
        <f t="shared" si="116"/>
        <v>50.144971231878593</v>
      </c>
      <c r="AA67" s="1361">
        <f t="shared" si="116"/>
        <v>60.424104169441847</v>
      </c>
      <c r="AB67" s="1361">
        <f t="shared" si="116"/>
        <v>61.802056037089301</v>
      </c>
      <c r="AC67" s="1362">
        <f t="shared" si="116"/>
        <v>37.297422008830551</v>
      </c>
      <c r="AD67" s="1360">
        <f t="shared" si="116"/>
        <v>39.052197136697266</v>
      </c>
      <c r="AE67" s="1361">
        <f t="shared" si="116"/>
        <v>43.761932515337413</v>
      </c>
      <c r="AF67" s="1361">
        <f t="shared" si="116"/>
        <v>38.497746575504507</v>
      </c>
      <c r="AG67" s="1361">
        <f t="shared" si="116"/>
        <v>42.172046306147948</v>
      </c>
      <c r="AH67" s="1360">
        <f t="shared" si="116"/>
        <v>37.283450012707654</v>
      </c>
      <c r="AI67" s="1361">
        <f t="shared" si="116"/>
        <v>38.662713504512006</v>
      </c>
      <c r="AJ67" s="1361">
        <f t="shared" si="116"/>
        <v>39.442319691883981</v>
      </c>
      <c r="AK67" s="1361">
        <f t="shared" si="116"/>
        <v>44.32299063554057</v>
      </c>
      <c r="AL67" s="1363">
        <f>+AH67+2</f>
        <v>39.283450012707654</v>
      </c>
      <c r="AM67" s="1364">
        <f t="shared" ref="AM67:AS67" si="117">+AI67+2</f>
        <v>40.662713504512006</v>
      </c>
      <c r="AN67" s="1364">
        <f t="shared" si="117"/>
        <v>41.442319691883981</v>
      </c>
      <c r="AO67" s="1364">
        <f t="shared" si="117"/>
        <v>46.32299063554057</v>
      </c>
      <c r="AP67" s="1363">
        <f t="shared" si="117"/>
        <v>41.283450012707654</v>
      </c>
      <c r="AQ67" s="1364">
        <f t="shared" si="117"/>
        <v>42.662713504512006</v>
      </c>
      <c r="AR67" s="1364">
        <f t="shared" si="117"/>
        <v>43.442319691883981</v>
      </c>
      <c r="AS67" s="1364">
        <f t="shared" si="117"/>
        <v>48.32299063554057</v>
      </c>
      <c r="AT67" s="1360"/>
      <c r="AU67" s="1234"/>
      <c r="AV67" s="1234"/>
      <c r="AW67" s="1234"/>
      <c r="AX67" s="1234"/>
      <c r="AY67" s="1234"/>
      <c r="AZ67" s="1235"/>
      <c r="BA67" s="1236"/>
      <c r="BB67" s="1234"/>
      <c r="BC67" s="1234"/>
      <c r="BD67" s="1237"/>
      <c r="BE67" s="1237"/>
    </row>
    <row r="68" spans="1:59" s="1231" customFormat="1" ht="12.6" customHeight="1">
      <c r="A68" s="490"/>
      <c r="B68" s="1360"/>
      <c r="C68" s="1361"/>
      <c r="D68" s="1361"/>
      <c r="E68" s="1362"/>
      <c r="F68" s="1360"/>
      <c r="G68" s="1361"/>
      <c r="H68" s="1361"/>
      <c r="I68" s="1362"/>
      <c r="J68" s="1360"/>
      <c r="K68" s="1361"/>
      <c r="L68" s="1361"/>
      <c r="M68" s="1362"/>
      <c r="N68" s="1360"/>
      <c r="O68" s="1361"/>
      <c r="P68" s="1361"/>
      <c r="Q68" s="1362"/>
      <c r="R68" s="1360"/>
      <c r="S68" s="1361"/>
      <c r="T68" s="1361"/>
      <c r="U68" s="1362"/>
      <c r="V68" s="1361"/>
      <c r="W68" s="1361"/>
      <c r="X68" s="1361"/>
      <c r="Y68" s="1362"/>
      <c r="Z68" s="1360"/>
      <c r="AA68" s="1361"/>
      <c r="AB68" s="1361"/>
      <c r="AC68" s="1362"/>
      <c r="AD68" s="1360"/>
      <c r="AE68" s="1361"/>
      <c r="AF68" s="1364"/>
      <c r="AG68" s="1364"/>
      <c r="AH68" s="1360"/>
      <c r="AI68" s="1361"/>
      <c r="AJ68" s="1364"/>
      <c r="AK68" s="1364"/>
      <c r="AL68" s="1363"/>
      <c r="AM68" s="1364"/>
      <c r="AN68" s="1364"/>
      <c r="AO68" s="1365"/>
      <c r="AP68" s="1363"/>
      <c r="AQ68" s="1364"/>
      <c r="AR68" s="1364"/>
      <c r="AS68" s="1365"/>
      <c r="AT68" s="1361"/>
      <c r="AU68" s="1234"/>
      <c r="AV68" s="1234"/>
      <c r="AW68" s="1234"/>
      <c r="AX68" s="1234"/>
      <c r="AY68" s="1234"/>
      <c r="AZ68" s="1235"/>
      <c r="BA68" s="1236"/>
      <c r="BB68" s="1234"/>
      <c r="BC68" s="1234"/>
      <c r="BD68" s="1237"/>
      <c r="BE68" s="1237"/>
    </row>
    <row r="69" spans="1:59" s="1231" customFormat="1" ht="12.6" customHeight="1">
      <c r="A69" s="557" t="s">
        <v>279</v>
      </c>
      <c r="B69" s="1233"/>
      <c r="E69" s="1232"/>
      <c r="F69" s="1233"/>
      <c r="I69" s="1232"/>
      <c r="J69" s="1233"/>
      <c r="M69" s="1232"/>
      <c r="N69" s="1233"/>
      <c r="Q69" s="1232"/>
      <c r="R69" s="1233"/>
      <c r="U69" s="1232"/>
      <c r="Y69" s="1232"/>
      <c r="Z69" s="1233"/>
      <c r="AC69" s="1232"/>
      <c r="AD69" s="1233"/>
      <c r="AH69" s="1233"/>
      <c r="AL69" s="1233"/>
      <c r="AO69" s="1232"/>
      <c r="AP69" s="1233"/>
      <c r="AS69" s="1232"/>
      <c r="AU69" s="1234"/>
      <c r="AV69" s="1234"/>
      <c r="AW69" s="1234"/>
      <c r="AX69" s="1234"/>
      <c r="AY69" s="1234"/>
      <c r="AZ69" s="1235"/>
      <c r="BA69" s="1236"/>
      <c r="BB69" s="1234"/>
      <c r="BC69" s="1234"/>
      <c r="BD69" s="1237"/>
      <c r="BE69" s="1237"/>
    </row>
    <row r="70" spans="1:59" s="1231" customFormat="1" ht="12.6" customHeight="1">
      <c r="A70" s="1366" t="str">
        <f>A9</f>
        <v>Deferred Commissions</v>
      </c>
      <c r="B70" s="1367"/>
      <c r="C70" s="1368"/>
      <c r="D70" s="1368"/>
      <c r="E70" s="1369">
        <f t="shared" ref="E70:AK70" si="118">E9/E59</f>
        <v>0.31727553264223812</v>
      </c>
      <c r="F70" s="1367">
        <f t="shared" si="118"/>
        <v>0.3066472668211887</v>
      </c>
      <c r="G70" s="1368">
        <f t="shared" si="118"/>
        <v>0.30000629009938357</v>
      </c>
      <c r="H70" s="1368">
        <f t="shared" si="118"/>
        <v>0.29379320276497695</v>
      </c>
      <c r="I70" s="1369">
        <f t="shared" si="118"/>
        <v>0.30938168862418736</v>
      </c>
      <c r="J70" s="1367">
        <f t="shared" si="118"/>
        <v>0.29685807150595883</v>
      </c>
      <c r="K70" s="1368">
        <f t="shared" si="118"/>
        <v>0.29123723414222807</v>
      </c>
      <c r="L70" s="1368">
        <f t="shared" si="118"/>
        <v>0.28339067195052914</v>
      </c>
      <c r="M70" s="1369">
        <f t="shared" si="118"/>
        <v>0.29365578213067633</v>
      </c>
      <c r="N70" s="1367">
        <f t="shared" si="118"/>
        <v>0.28009313381653811</v>
      </c>
      <c r="O70" s="1368">
        <f t="shared" si="118"/>
        <v>0.27628277476704383</v>
      </c>
      <c r="P70" s="1368">
        <f t="shared" si="118"/>
        <v>0.26835111594022193</v>
      </c>
      <c r="Q70" s="1369">
        <f t="shared" si="118"/>
        <v>0.27220914279907182</v>
      </c>
      <c r="R70" s="1367">
        <f t="shared" si="118"/>
        <v>0.25924392599988633</v>
      </c>
      <c r="S70" s="1368">
        <f t="shared" si="118"/>
        <v>0.25093083779239822</v>
      </c>
      <c r="T70" s="1368">
        <f t="shared" si="118"/>
        <v>0.24698551895228754</v>
      </c>
      <c r="U70" s="1369">
        <f t="shared" si="118"/>
        <v>0.27051094498651168</v>
      </c>
      <c r="V70" s="1368">
        <f t="shared" si="118"/>
        <v>0.25309346920335324</v>
      </c>
      <c r="W70" s="1368">
        <f t="shared" si="118"/>
        <v>0.24747324161347442</v>
      </c>
      <c r="X70" s="1368">
        <f t="shared" si="118"/>
        <v>0.23610388273444247</v>
      </c>
      <c r="Y70" s="1369">
        <f t="shared" si="118"/>
        <v>0.23977555231786646</v>
      </c>
      <c r="Z70" s="1367">
        <f t="shared" si="118"/>
        <v>0.23324101483274109</v>
      </c>
      <c r="AA70" s="1368">
        <f t="shared" si="118"/>
        <v>0.23091121639082016</v>
      </c>
      <c r="AB70" s="1368">
        <f t="shared" si="118"/>
        <v>0.22890998317859959</v>
      </c>
      <c r="AC70" s="1369">
        <f t="shared" si="118"/>
        <v>0.23233758075253391</v>
      </c>
      <c r="AD70" s="1367">
        <f t="shared" si="118"/>
        <v>0.22767073684600461</v>
      </c>
      <c r="AE70" s="1368">
        <f t="shared" si="118"/>
        <v>0.22323167948074721</v>
      </c>
      <c r="AF70" s="1368">
        <f t="shared" si="118"/>
        <v>0.21955365320932854</v>
      </c>
      <c r="AG70" s="1368">
        <f t="shared" si="118"/>
        <v>0.21970381494160715</v>
      </c>
      <c r="AH70" s="1367">
        <f t="shared" si="118"/>
        <v>0.21429975286133054</v>
      </c>
      <c r="AI70" s="1368">
        <f t="shared" si="118"/>
        <v>0.20536201702420184</v>
      </c>
      <c r="AJ70" s="1368">
        <f t="shared" si="118"/>
        <v>0.20037236571066391</v>
      </c>
      <c r="AK70" s="1368">
        <f t="shared" si="118"/>
        <v>0.20309903160060339</v>
      </c>
      <c r="AL70" s="1370">
        <f>+AH70-1%</f>
        <v>0.20429975286133054</v>
      </c>
      <c r="AM70" s="1371">
        <f t="shared" ref="AM70:AS72" si="119">+AI70-1%</f>
        <v>0.19536201702420183</v>
      </c>
      <c r="AN70" s="1371">
        <f t="shared" si="119"/>
        <v>0.1903723657106639</v>
      </c>
      <c r="AO70" s="1371">
        <f t="shared" si="119"/>
        <v>0.19309903160060338</v>
      </c>
      <c r="AP70" s="1370">
        <f t="shared" si="119"/>
        <v>0.19429975286133053</v>
      </c>
      <c r="AQ70" s="1371">
        <f t="shared" si="119"/>
        <v>0.18536201702420183</v>
      </c>
      <c r="AR70" s="1371">
        <f t="shared" si="119"/>
        <v>0.1803723657106639</v>
      </c>
      <c r="AS70" s="1371">
        <f t="shared" si="119"/>
        <v>0.18309903160060337</v>
      </c>
      <c r="AT70" s="1233"/>
      <c r="AU70" s="1234"/>
      <c r="AV70" s="1234"/>
      <c r="AW70" s="1234"/>
      <c r="AX70" s="1234"/>
      <c r="AY70" s="1234"/>
      <c r="AZ70" s="1235"/>
      <c r="BA70" s="1236"/>
      <c r="BB70" s="1234"/>
      <c r="BC70" s="1234"/>
      <c r="BD70" s="1237"/>
      <c r="BE70" s="1237"/>
    </row>
    <row r="71" spans="1:59" s="1231" customFormat="1" ht="12.95" customHeight="1">
      <c r="A71" s="1366" t="str">
        <f>A10</f>
        <v>Prepaid Expenses &amp; Other Current Assets</v>
      </c>
      <c r="B71" s="1367"/>
      <c r="C71" s="1368"/>
      <c r="D71" s="1368"/>
      <c r="E71" s="1369">
        <f t="shared" ref="E71:AK71" si="120">E10/E59</f>
        <v>0.29554483803610693</v>
      </c>
      <c r="F71" s="1367">
        <f t="shared" si="120"/>
        <v>0.25030876207555791</v>
      </c>
      <c r="G71" s="1368">
        <f t="shared" si="120"/>
        <v>0.20952321046672537</v>
      </c>
      <c r="H71" s="1368">
        <f t="shared" si="120"/>
        <v>0.21195276497695853</v>
      </c>
      <c r="I71" s="1369">
        <f t="shared" si="120"/>
        <v>0.29273740045997793</v>
      </c>
      <c r="J71" s="1367">
        <f t="shared" si="120"/>
        <v>0.25698310108217831</v>
      </c>
      <c r="K71" s="1368">
        <f t="shared" si="120"/>
        <v>0.23793684999531528</v>
      </c>
      <c r="L71" s="1368">
        <f t="shared" si="120"/>
        <v>0.23000043548316859</v>
      </c>
      <c r="M71" s="1369">
        <f t="shared" si="120"/>
        <v>0.28201217941452261</v>
      </c>
      <c r="N71" s="1367">
        <f t="shared" si="120"/>
        <v>0.24970773906944121</v>
      </c>
      <c r="O71" s="1368">
        <f t="shared" si="120"/>
        <v>0.24529657025063192</v>
      </c>
      <c r="P71" s="1368">
        <f t="shared" si="120"/>
        <v>0.30491084946830299</v>
      </c>
      <c r="Q71" s="1369">
        <f t="shared" si="120"/>
        <v>0.37653495028878237</v>
      </c>
      <c r="R71" s="1367">
        <f t="shared" si="120"/>
        <v>0.345566568443611</v>
      </c>
      <c r="S71" s="1368">
        <f t="shared" si="120"/>
        <v>0.32439217251782987</v>
      </c>
      <c r="T71" s="1368">
        <f t="shared" si="120"/>
        <v>0.3259245370103272</v>
      </c>
      <c r="U71" s="1369">
        <f t="shared" si="120"/>
        <v>0.40420620327745643</v>
      </c>
      <c r="V71" s="1368">
        <f t="shared" si="120"/>
        <v>0.37281637467998596</v>
      </c>
      <c r="W71" s="1368">
        <f t="shared" si="120"/>
        <v>0.30086223157945979</v>
      </c>
      <c r="X71" s="1368">
        <f t="shared" si="120"/>
        <v>0.27785371544915383</v>
      </c>
      <c r="Y71" s="1369">
        <f t="shared" si="120"/>
        <v>0.31479545688427191</v>
      </c>
      <c r="Z71" s="1367">
        <f t="shared" si="120"/>
        <v>0.3519717854892262</v>
      </c>
      <c r="AA71" s="1368">
        <f t="shared" si="120"/>
        <v>0.28047642486515312</v>
      </c>
      <c r="AB71" s="1368">
        <f t="shared" si="120"/>
        <v>0.2606523130666058</v>
      </c>
      <c r="AC71" s="1369">
        <f t="shared" si="120"/>
        <v>0.290109045221419</v>
      </c>
      <c r="AD71" s="1367">
        <f t="shared" si="120"/>
        <v>0.30567093132556344</v>
      </c>
      <c r="AE71" s="1368">
        <f t="shared" si="120"/>
        <v>0.2661622393679291</v>
      </c>
      <c r="AF71" s="1368">
        <f t="shared" si="120"/>
        <v>0.23151817797505814</v>
      </c>
      <c r="AG71" s="1368">
        <f t="shared" si="120"/>
        <v>0.2249428373866823</v>
      </c>
      <c r="AH71" s="1367">
        <f t="shared" si="120"/>
        <v>0.28061738668629277</v>
      </c>
      <c r="AI71" s="1368">
        <f t="shared" si="120"/>
        <v>0.21868214076305625</v>
      </c>
      <c r="AJ71" s="1368">
        <f t="shared" si="120"/>
        <v>0.17503565203612739</v>
      </c>
      <c r="AK71" s="1368">
        <f t="shared" si="120"/>
        <v>0.15099430782280937</v>
      </c>
      <c r="AL71" s="1370">
        <f t="shared" ref="AL71:AL72" si="121">+AH71-1%</f>
        <v>0.27061738668629276</v>
      </c>
      <c r="AM71" s="1371">
        <f t="shared" si="119"/>
        <v>0.20868214076305625</v>
      </c>
      <c r="AN71" s="1371">
        <f t="shared" si="119"/>
        <v>0.16503565203612738</v>
      </c>
      <c r="AO71" s="1371">
        <f t="shared" si="119"/>
        <v>0.14099430782280936</v>
      </c>
      <c r="AP71" s="1370">
        <f t="shared" si="119"/>
        <v>0.26061738668629275</v>
      </c>
      <c r="AQ71" s="1371">
        <f t="shared" si="119"/>
        <v>0.19868214076305624</v>
      </c>
      <c r="AR71" s="1371">
        <f t="shared" si="119"/>
        <v>0.15503565203612737</v>
      </c>
      <c r="AS71" s="1371">
        <f t="shared" si="119"/>
        <v>0.13099430782280935</v>
      </c>
      <c r="AT71" s="1233"/>
      <c r="AU71" s="1234"/>
      <c r="AV71" s="1234"/>
      <c r="AW71" s="1234"/>
      <c r="AX71" s="1234"/>
      <c r="AY71" s="1234"/>
      <c r="AZ71" s="1235"/>
      <c r="BA71" s="1236"/>
      <c r="BB71" s="1234"/>
      <c r="BC71" s="1234"/>
      <c r="BD71" s="1237"/>
      <c r="BE71" s="1237"/>
    </row>
    <row r="72" spans="1:59" s="1231" customFormat="1" ht="12.95" customHeight="1">
      <c r="A72" s="490" t="s">
        <v>280</v>
      </c>
      <c r="B72" s="1367"/>
      <c r="C72" s="1368"/>
      <c r="D72" s="1368"/>
      <c r="E72" s="1369">
        <f t="shared" ref="E72:AK72" si="122">E14/E59</f>
        <v>0.60990077055269132</v>
      </c>
      <c r="F72" s="1367">
        <f t="shared" si="122"/>
        <v>0.54690645777995839</v>
      </c>
      <c r="G72" s="1368">
        <f t="shared" si="122"/>
        <v>0.49891495785633416</v>
      </c>
      <c r="H72" s="1368">
        <f t="shared" si="122"/>
        <v>0.46778513824884788</v>
      </c>
      <c r="I72" s="1369">
        <f t="shared" si="122"/>
        <v>0.48074340942024163</v>
      </c>
      <c r="J72" s="1367">
        <f t="shared" si="122"/>
        <v>0.44797698658796276</v>
      </c>
      <c r="K72" s="1368">
        <f t="shared" si="122"/>
        <v>0.4333247446828446</v>
      </c>
      <c r="L72" s="1368">
        <f t="shared" si="122"/>
        <v>0.41907634019945128</v>
      </c>
      <c r="M72" s="1369">
        <f t="shared" si="122"/>
        <v>0.45096806767715286</v>
      </c>
      <c r="N72" s="1367">
        <f t="shared" si="122"/>
        <v>0.40907762450315643</v>
      </c>
      <c r="O72" s="1368">
        <f t="shared" si="122"/>
        <v>0.39313863574886437</v>
      </c>
      <c r="P72" s="1368">
        <f t="shared" si="122"/>
        <v>0.37185835663775135</v>
      </c>
      <c r="Q72" s="1369">
        <f t="shared" si="122"/>
        <v>0.39576734811402242</v>
      </c>
      <c r="R72" s="1367">
        <f t="shared" si="122"/>
        <v>0.36824716492543974</v>
      </c>
      <c r="S72" s="1368">
        <f t="shared" si="122"/>
        <v>0.35169162975303048</v>
      </c>
      <c r="T72" s="1368">
        <f t="shared" si="122"/>
        <v>0.33887670916748402</v>
      </c>
      <c r="U72" s="1369">
        <f t="shared" si="122"/>
        <v>0.40020668644056423</v>
      </c>
      <c r="V72" s="1368">
        <f t="shared" si="122"/>
        <v>0.36976055418904674</v>
      </c>
      <c r="W72" s="1368">
        <f t="shared" si="122"/>
        <v>0.36101764015066229</v>
      </c>
      <c r="X72" s="1368">
        <f t="shared" si="122"/>
        <v>0.34310927589776441</v>
      </c>
      <c r="Y72" s="1369">
        <f t="shared" si="122"/>
        <v>0.36417503019536263</v>
      </c>
      <c r="Z72" s="1367">
        <f t="shared" si="122"/>
        <v>0.34068704028299229</v>
      </c>
      <c r="AA72" s="1368">
        <f t="shared" si="122"/>
        <v>0.33094403084558749</v>
      </c>
      <c r="AB72" s="1368">
        <f t="shared" si="122"/>
        <v>0.32457859662877309</v>
      </c>
      <c r="AC72" s="1369">
        <f t="shared" si="122"/>
        <v>0.33939035938979689</v>
      </c>
      <c r="AD72" s="1367">
        <f t="shared" si="122"/>
        <v>0.31694148480512691</v>
      </c>
      <c r="AE72" s="1368">
        <f t="shared" si="122"/>
        <v>0.29895453374374553</v>
      </c>
      <c r="AF72" s="1368">
        <f t="shared" si="122"/>
        <v>0.28361252025646444</v>
      </c>
      <c r="AG72" s="1368">
        <f t="shared" si="122"/>
        <v>0.28809957112132051</v>
      </c>
      <c r="AH72" s="1367">
        <f t="shared" si="122"/>
        <v>0.2742444707427123</v>
      </c>
      <c r="AI72" s="1368">
        <f t="shared" si="122"/>
        <v>0.25990820679754945</v>
      </c>
      <c r="AJ72" s="1368">
        <f t="shared" si="122"/>
        <v>0.25557756298526385</v>
      </c>
      <c r="AK72" s="1368">
        <f t="shared" si="122"/>
        <v>0.27526263467583761</v>
      </c>
      <c r="AL72" s="1370">
        <f t="shared" si="121"/>
        <v>0.26424447074271229</v>
      </c>
      <c r="AM72" s="1371">
        <f t="shared" si="119"/>
        <v>0.24990820679754944</v>
      </c>
      <c r="AN72" s="1371">
        <f t="shared" si="119"/>
        <v>0.24557756298526384</v>
      </c>
      <c r="AO72" s="1371">
        <f t="shared" si="119"/>
        <v>0.26526263467583761</v>
      </c>
      <c r="AP72" s="1370">
        <f t="shared" si="119"/>
        <v>0.25424447074271228</v>
      </c>
      <c r="AQ72" s="1371">
        <f t="shared" si="119"/>
        <v>0.23990820679754943</v>
      </c>
      <c r="AR72" s="1371">
        <f t="shared" si="119"/>
        <v>0.23557756298526383</v>
      </c>
      <c r="AS72" s="1371">
        <f t="shared" si="119"/>
        <v>0.2552626346758376</v>
      </c>
      <c r="AT72" s="1233"/>
      <c r="AU72" s="1234"/>
      <c r="AV72" s="1234"/>
      <c r="AW72" s="1234"/>
      <c r="AX72" s="1234"/>
      <c r="AY72" s="1234"/>
      <c r="AZ72" s="1235"/>
      <c r="BA72" s="1236"/>
      <c r="BB72" s="1234"/>
      <c r="BC72" s="1234"/>
      <c r="BD72" s="1237"/>
      <c r="BE72" s="1237"/>
    </row>
    <row r="73" spans="1:59" s="1231" customFormat="1" ht="12.95" customHeight="1">
      <c r="A73" s="490" t="s">
        <v>281</v>
      </c>
      <c r="B73" s="1367"/>
      <c r="C73" s="1368"/>
      <c r="D73" s="1368"/>
      <c r="E73" s="1369">
        <f t="shared" ref="E73:AK73" si="123">E18/E59</f>
        <v>4.1613541031468845E-2</v>
      </c>
      <c r="F73" s="1367">
        <f t="shared" si="123"/>
        <v>8.6825587493867054E-2</v>
      </c>
      <c r="G73" s="1368">
        <f t="shared" si="123"/>
        <v>0.11254560322053089</v>
      </c>
      <c r="H73" s="1368">
        <f t="shared" si="123"/>
        <v>7.415034562211982E-2</v>
      </c>
      <c r="I73" s="1369">
        <f t="shared" si="123"/>
        <v>0.10382738862817563</v>
      </c>
      <c r="J73" s="1367">
        <f t="shared" si="123"/>
        <v>9.2726117981096118E-2</v>
      </c>
      <c r="K73" s="1368">
        <f t="shared" si="123"/>
        <v>9.9433149067741033E-2</v>
      </c>
      <c r="L73" s="1368">
        <f t="shared" si="123"/>
        <v>0.10729216565779733</v>
      </c>
      <c r="M73" s="1369">
        <f t="shared" si="123"/>
        <v>0.1292542942225062</v>
      </c>
      <c r="N73" s="1367">
        <f t="shared" si="123"/>
        <v>0.10954913880445795</v>
      </c>
      <c r="O73" s="1368">
        <f t="shared" si="123"/>
        <v>9.1214357003609761E-2</v>
      </c>
      <c r="P73" s="1368">
        <f t="shared" si="123"/>
        <v>0.10515487789672431</v>
      </c>
      <c r="Q73" s="1369">
        <f t="shared" si="123"/>
        <v>0.11949323351569247</v>
      </c>
      <c r="R73" s="1367">
        <f t="shared" si="123"/>
        <v>0.1097662940684639</v>
      </c>
      <c r="S73" s="1368">
        <f t="shared" si="123"/>
        <v>0.14181745599152457</v>
      </c>
      <c r="T73" s="1368">
        <f t="shared" si="123"/>
        <v>0.16153435642993136</v>
      </c>
      <c r="U73" s="1369">
        <f t="shared" si="123"/>
        <v>0.20957199801366277</v>
      </c>
      <c r="V73" s="1368">
        <f t="shared" si="123"/>
        <v>0.16190201295115708</v>
      </c>
      <c r="W73" s="1368">
        <f t="shared" si="123"/>
        <v>0.16269220705727722</v>
      </c>
      <c r="X73" s="1368">
        <f t="shared" si="123"/>
        <v>0.13341073256658528</v>
      </c>
      <c r="Y73" s="1369">
        <f t="shared" si="123"/>
        <v>0.2058592544047316</v>
      </c>
      <c r="Z73" s="1367">
        <f t="shared" si="123"/>
        <v>0.19383707814593382</v>
      </c>
      <c r="AA73" s="1368">
        <f t="shared" si="123"/>
        <v>0.17401915543797042</v>
      </c>
      <c r="AB73" s="1368">
        <f t="shared" si="123"/>
        <v>0.12510854517215886</v>
      </c>
      <c r="AC73" s="1369">
        <f t="shared" si="123"/>
        <v>0.10865610906397383</v>
      </c>
      <c r="AD73" s="1367">
        <f t="shared" si="123"/>
        <v>7.2494570778983247E-2</v>
      </c>
      <c r="AE73" s="1368">
        <f t="shared" si="123"/>
        <v>6.678689754611486E-2</v>
      </c>
      <c r="AF73" s="1368">
        <f t="shared" si="123"/>
        <v>6.0817832734446561E-2</v>
      </c>
      <c r="AG73" s="1368">
        <f t="shared" si="123"/>
        <v>5.6432968086505386E-2</v>
      </c>
      <c r="AH73" s="1367">
        <f t="shared" si="123"/>
        <v>5.9380187925749672E-2</v>
      </c>
      <c r="AI73" s="1368">
        <f t="shared" si="123"/>
        <v>5.5480296811500435E-2</v>
      </c>
      <c r="AJ73" s="1368">
        <f t="shared" si="123"/>
        <v>5.089922357787989E-2</v>
      </c>
      <c r="AK73" s="1368">
        <f t="shared" si="123"/>
        <v>5.2070179209543516E-2</v>
      </c>
      <c r="AL73" s="1370">
        <f t="shared" ref="AL73:AS73" si="124">+AH73</f>
        <v>5.9380187925749672E-2</v>
      </c>
      <c r="AM73" s="1371">
        <f t="shared" si="124"/>
        <v>5.5480296811500435E-2</v>
      </c>
      <c r="AN73" s="1371">
        <f t="shared" si="124"/>
        <v>5.089922357787989E-2</v>
      </c>
      <c r="AO73" s="1371">
        <f t="shared" si="124"/>
        <v>5.2070179209543516E-2</v>
      </c>
      <c r="AP73" s="1370">
        <f t="shared" si="124"/>
        <v>5.9380187925749672E-2</v>
      </c>
      <c r="AQ73" s="1371">
        <f t="shared" si="124"/>
        <v>5.5480296811500435E-2</v>
      </c>
      <c r="AR73" s="1371">
        <f t="shared" si="124"/>
        <v>5.089922357787989E-2</v>
      </c>
      <c r="AS73" s="1371">
        <f t="shared" si="124"/>
        <v>5.2070179209543516E-2</v>
      </c>
      <c r="AT73" s="1233"/>
      <c r="AU73" s="1234"/>
      <c r="AV73" s="1234"/>
      <c r="AW73" s="1234"/>
      <c r="AX73" s="1234"/>
      <c r="AY73" s="1234"/>
      <c r="AZ73" s="1235"/>
      <c r="BA73" s="1236"/>
      <c r="BB73" s="1234"/>
      <c r="BC73" s="1234"/>
      <c r="BD73" s="1237"/>
      <c r="BE73" s="1237"/>
    </row>
    <row r="74" spans="1:59" s="1231" customFormat="1" ht="12.95" customHeight="1">
      <c r="A74" s="490"/>
      <c r="B74" s="1367"/>
      <c r="C74" s="1368"/>
      <c r="D74" s="1368"/>
      <c r="E74" s="1369"/>
      <c r="F74" s="1367"/>
      <c r="G74" s="1368"/>
      <c r="H74" s="1368"/>
      <c r="I74" s="1369"/>
      <c r="J74" s="1367"/>
      <c r="K74" s="1368"/>
      <c r="L74" s="1368"/>
      <c r="M74" s="1369"/>
      <c r="N74" s="1367"/>
      <c r="O74" s="1368"/>
      <c r="P74" s="1368"/>
      <c r="Q74" s="1369"/>
      <c r="R74" s="1367"/>
      <c r="S74" s="1368"/>
      <c r="T74" s="1368"/>
      <c r="U74" s="1369"/>
      <c r="V74" s="1368"/>
      <c r="W74" s="1368"/>
      <c r="X74" s="1368"/>
      <c r="Y74" s="1369"/>
      <c r="Z74" s="1367"/>
      <c r="AA74" s="1368"/>
      <c r="AB74" s="1368"/>
      <c r="AC74" s="1369"/>
      <c r="AD74" s="1367"/>
      <c r="AE74" s="1368"/>
      <c r="AF74" s="1368"/>
      <c r="AG74" s="1368"/>
      <c r="AH74" s="1367"/>
      <c r="AI74" s="1368"/>
      <c r="AJ74" s="1368"/>
      <c r="AK74" s="1368"/>
      <c r="AL74" s="1370"/>
      <c r="AM74" s="1371"/>
      <c r="AN74" s="1371"/>
      <c r="AO74" s="1371"/>
      <c r="AP74" s="1370"/>
      <c r="AQ74" s="1371"/>
      <c r="AR74" s="1371"/>
      <c r="AS74" s="1371"/>
      <c r="AT74" s="1233"/>
      <c r="AU74" s="1234"/>
      <c r="AV74" s="1234"/>
      <c r="AW74" s="1234"/>
      <c r="AX74" s="1234"/>
      <c r="AY74" s="1234"/>
      <c r="AZ74" s="1235"/>
      <c r="BA74" s="1236"/>
      <c r="BB74" s="1234"/>
      <c r="BC74" s="1234"/>
      <c r="BD74" s="1237"/>
      <c r="BE74" s="1237"/>
    </row>
    <row r="75" spans="1:59" s="1231" customFormat="1" ht="12.95" customHeight="1">
      <c r="A75" s="1366" t="str">
        <f>A24</f>
        <v>Accrued Payroll &amp; Benefits</v>
      </c>
      <c r="B75" s="1367"/>
      <c r="C75" s="1368"/>
      <c r="D75" s="1368"/>
      <c r="E75" s="1369">
        <f t="shared" ref="E75:AK75" si="125">+E24/E59</f>
        <v>0.34151930077424836</v>
      </c>
      <c r="F75" s="1367">
        <f t="shared" si="125"/>
        <v>0.23987006615121731</v>
      </c>
      <c r="G75" s="1368">
        <f t="shared" si="125"/>
        <v>0.2494338910554787</v>
      </c>
      <c r="H75" s="1368">
        <f t="shared" si="125"/>
        <v>0.2841877880184332</v>
      </c>
      <c r="I75" s="1369">
        <f t="shared" si="125"/>
        <v>0.39342736735751982</v>
      </c>
      <c r="J75" s="1367">
        <f t="shared" si="125"/>
        <v>0.27845232313420754</v>
      </c>
      <c r="K75" s="1368">
        <f t="shared" si="125"/>
        <v>0.31038602080014988</v>
      </c>
      <c r="L75" s="1368">
        <f t="shared" si="125"/>
        <v>0.26394634847363146</v>
      </c>
      <c r="M75" s="1369">
        <f t="shared" si="125"/>
        <v>0.37747941761378284</v>
      </c>
      <c r="N75" s="1367">
        <f t="shared" si="125"/>
        <v>0.22754461850206531</v>
      </c>
      <c r="O75" s="1368">
        <f t="shared" si="125"/>
        <v>0.29251275545896332</v>
      </c>
      <c r="P75" s="1368">
        <f t="shared" si="125"/>
        <v>0.25154521650843409</v>
      </c>
      <c r="Q75" s="1369">
        <f t="shared" si="125"/>
        <v>0.30071475754136956</v>
      </c>
      <c r="R75" s="1367">
        <f t="shared" si="125"/>
        <v>0.2174463629057789</v>
      </c>
      <c r="S75" s="1368">
        <f t="shared" si="125"/>
        <v>0.27561243368980259</v>
      </c>
      <c r="T75" s="1368">
        <f t="shared" si="125"/>
        <v>0.24014163733917962</v>
      </c>
      <c r="U75" s="1369">
        <f t="shared" si="125"/>
        <v>0.36271457139405977</v>
      </c>
      <c r="V75" s="1368">
        <f t="shared" si="125"/>
        <v>0.22109833843682544</v>
      </c>
      <c r="W75" s="1368">
        <f t="shared" si="125"/>
        <v>0.25069215837800668</v>
      </c>
      <c r="X75" s="1368">
        <f t="shared" si="125"/>
        <v>0.21248949105238177</v>
      </c>
      <c r="Y75" s="1369">
        <f t="shared" si="125"/>
        <v>0.28500089367441001</v>
      </c>
      <c r="Z75" s="1367">
        <f t="shared" si="125"/>
        <v>0.1948008621100514</v>
      </c>
      <c r="AA75" s="1368">
        <f t="shared" si="125"/>
        <v>0.23185463196538075</v>
      </c>
      <c r="AB75" s="1368">
        <f t="shared" si="125"/>
        <v>0.22254861583196464</v>
      </c>
      <c r="AC75" s="1369">
        <f t="shared" si="125"/>
        <v>0.31172118927737619</v>
      </c>
      <c r="AD75" s="1367">
        <f t="shared" si="125"/>
        <v>0.20164288922536941</v>
      </c>
      <c r="AE75" s="1368">
        <f t="shared" si="125"/>
        <v>0.19941602144268014</v>
      </c>
      <c r="AF75" s="1368">
        <f t="shared" si="125"/>
        <v>0.18953005002466006</v>
      </c>
      <c r="AG75" s="1368">
        <f t="shared" si="125"/>
        <v>0.23664261382677712</v>
      </c>
      <c r="AH75" s="1367">
        <f t="shared" si="125"/>
        <v>0.2150733679857153</v>
      </c>
      <c r="AI75" s="1368">
        <f t="shared" si="125"/>
        <v>0.22472755211387208</v>
      </c>
      <c r="AJ75" s="1368">
        <f t="shared" si="125"/>
        <v>0.19184360640152115</v>
      </c>
      <c r="AK75" s="1368">
        <f t="shared" si="125"/>
        <v>0.26547884529023191</v>
      </c>
      <c r="AL75" s="1370">
        <f t="shared" ref="AL75:AS77" si="126">+AH75</f>
        <v>0.2150733679857153</v>
      </c>
      <c r="AM75" s="1371">
        <f t="shared" si="126"/>
        <v>0.22472755211387208</v>
      </c>
      <c r="AN75" s="1371">
        <f t="shared" si="126"/>
        <v>0.19184360640152115</v>
      </c>
      <c r="AO75" s="1371">
        <f t="shared" si="126"/>
        <v>0.26547884529023191</v>
      </c>
      <c r="AP75" s="1370">
        <f t="shared" si="126"/>
        <v>0.2150733679857153</v>
      </c>
      <c r="AQ75" s="1371">
        <f t="shared" si="126"/>
        <v>0.22472755211387208</v>
      </c>
      <c r="AR75" s="1371">
        <f t="shared" si="126"/>
        <v>0.19184360640152115</v>
      </c>
      <c r="AS75" s="1371">
        <f t="shared" si="126"/>
        <v>0.26547884529023191</v>
      </c>
      <c r="AT75" s="1233"/>
      <c r="AU75" s="1234"/>
      <c r="AV75" s="1234"/>
      <c r="AW75" s="1234"/>
      <c r="AX75" s="1234"/>
      <c r="AY75" s="1234"/>
      <c r="AZ75" s="1235"/>
      <c r="BA75" s="1236"/>
      <c r="BB75" s="1234"/>
      <c r="BC75" s="1234"/>
      <c r="BD75" s="1237"/>
      <c r="BE75" s="1237"/>
    </row>
    <row r="76" spans="1:59" s="1231" customFormat="1" ht="12.95" customHeight="1">
      <c r="A76" s="1366" t="str">
        <f>A27</f>
        <v>Other Current Liabilities</v>
      </c>
      <c r="B76" s="1367"/>
      <c r="C76" s="1368"/>
      <c r="D76" s="1368"/>
      <c r="E76" s="1369">
        <f t="shared" ref="E76:AK76" si="127">+E27/E59</f>
        <v>0</v>
      </c>
      <c r="F76" s="1367">
        <f t="shared" si="127"/>
        <v>0</v>
      </c>
      <c r="G76" s="1368">
        <f t="shared" si="127"/>
        <v>0</v>
      </c>
      <c r="H76" s="1368">
        <f t="shared" si="127"/>
        <v>0</v>
      </c>
      <c r="I76" s="1369">
        <f t="shared" si="127"/>
        <v>1.4344398505736428E-2</v>
      </c>
      <c r="J76" s="1367">
        <f t="shared" si="127"/>
        <v>8.1319037122825379E-3</v>
      </c>
      <c r="K76" s="1368">
        <f t="shared" si="127"/>
        <v>6.3009463131265811E-3</v>
      </c>
      <c r="L76" s="1368">
        <f t="shared" si="127"/>
        <v>7.6318425292862422E-3</v>
      </c>
      <c r="M76" s="1369">
        <f t="shared" si="127"/>
        <v>1.3230429988974645E-2</v>
      </c>
      <c r="N76" s="1367">
        <f t="shared" si="127"/>
        <v>7.3065232639700729E-3</v>
      </c>
      <c r="O76" s="1368">
        <f t="shared" si="127"/>
        <v>7.3034913113637851E-3</v>
      </c>
      <c r="P76" s="1368">
        <f t="shared" si="127"/>
        <v>1.0028321547532104E-2</v>
      </c>
      <c r="Q76" s="1369">
        <f t="shared" si="127"/>
        <v>8.7058146034111883E-3</v>
      </c>
      <c r="R76" s="1367">
        <f t="shared" si="127"/>
        <v>8.9050158699234497E-3</v>
      </c>
      <c r="S76" s="1368">
        <f t="shared" si="127"/>
        <v>2.1035014855019614E-3</v>
      </c>
      <c r="T76" s="1368">
        <f t="shared" si="127"/>
        <v>1.3579588069001329E-2</v>
      </c>
      <c r="U76" s="1369">
        <f t="shared" si="127"/>
        <v>2.5225140587043175E-2</v>
      </c>
      <c r="V76" s="1368">
        <f t="shared" si="127"/>
        <v>1.9840871442196678E-2</v>
      </c>
      <c r="W76" s="1368">
        <f t="shared" si="127"/>
        <v>2.7941901290609156E-2</v>
      </c>
      <c r="X76" s="1368">
        <f t="shared" si="127"/>
        <v>2.3528604354564744E-2</v>
      </c>
      <c r="Y76" s="1369">
        <f t="shared" si="127"/>
        <v>2.6441930120077343E-2</v>
      </c>
      <c r="Z76" s="1367">
        <f t="shared" si="127"/>
        <v>2.7849120149969018E-2</v>
      </c>
      <c r="AA76" s="1368">
        <f t="shared" si="127"/>
        <v>3.1671076109026024E-2</v>
      </c>
      <c r="AB76" s="1368">
        <f t="shared" si="127"/>
        <v>2.4740856154697337E-2</v>
      </c>
      <c r="AC76" s="1369">
        <f t="shared" si="127"/>
        <v>2.651120924868499E-2</v>
      </c>
      <c r="AD76" s="1367">
        <f t="shared" si="127"/>
        <v>2.3471830561999623E-2</v>
      </c>
      <c r="AE76" s="1368">
        <f t="shared" si="127"/>
        <v>2.6360394321124924E-2</v>
      </c>
      <c r="AF76" s="1368">
        <f t="shared" si="127"/>
        <v>2.7324209117170439E-2</v>
      </c>
      <c r="AG76" s="1368">
        <f t="shared" si="127"/>
        <v>2.1863904195884291E-2</v>
      </c>
      <c r="AH76" s="1367">
        <f t="shared" si="127"/>
        <v>2.6537089618085031E-2</v>
      </c>
      <c r="AI76" s="1368">
        <f t="shared" si="127"/>
        <v>2.903010574415172E-2</v>
      </c>
      <c r="AJ76" s="1368">
        <f t="shared" si="127"/>
        <v>1.5259071462525748E-2</v>
      </c>
      <c r="AK76" s="1368">
        <f t="shared" si="127"/>
        <v>2.084956608183992E-2</v>
      </c>
      <c r="AL76" s="1370">
        <f t="shared" si="126"/>
        <v>2.6537089618085031E-2</v>
      </c>
      <c r="AM76" s="1371">
        <f t="shared" si="126"/>
        <v>2.903010574415172E-2</v>
      </c>
      <c r="AN76" s="1371">
        <f t="shared" si="126"/>
        <v>1.5259071462525748E-2</v>
      </c>
      <c r="AO76" s="1371">
        <f t="shared" si="126"/>
        <v>2.084956608183992E-2</v>
      </c>
      <c r="AP76" s="1370">
        <f t="shared" si="126"/>
        <v>2.6537089618085031E-2</v>
      </c>
      <c r="AQ76" s="1371">
        <f t="shared" si="126"/>
        <v>2.903010574415172E-2</v>
      </c>
      <c r="AR76" s="1371">
        <f t="shared" si="126"/>
        <v>1.5259071462525748E-2</v>
      </c>
      <c r="AS76" s="1371">
        <f t="shared" si="126"/>
        <v>2.084956608183992E-2</v>
      </c>
      <c r="AT76" s="1233"/>
      <c r="AU76" s="1234"/>
      <c r="AV76" s="1234"/>
      <c r="AW76" s="1234"/>
      <c r="AX76" s="1234"/>
      <c r="AY76" s="1234"/>
      <c r="AZ76" s="1235"/>
      <c r="BA76" s="1236"/>
      <c r="BB76" s="1234"/>
      <c r="BC76" s="1234"/>
      <c r="BD76" s="1237"/>
      <c r="BE76" s="1237"/>
    </row>
    <row r="77" spans="1:59" s="1231" customFormat="1" ht="12.95" customHeight="1">
      <c r="A77" s="1372" t="s">
        <v>282</v>
      </c>
      <c r="B77" s="601"/>
      <c r="C77" s="602"/>
      <c r="D77" s="602"/>
      <c r="E77" s="1373">
        <f t="shared" ref="E77:AK77" si="128">+E35/E59</f>
        <v>0.12936785113735053</v>
      </c>
      <c r="F77" s="601">
        <f t="shared" si="128"/>
        <v>0.13634594887238397</v>
      </c>
      <c r="G77" s="602">
        <f t="shared" si="128"/>
        <v>0.2534595546609637</v>
      </c>
      <c r="H77" s="602">
        <f t="shared" si="128"/>
        <v>0.39170506912442399</v>
      </c>
      <c r="I77" s="1373">
        <f t="shared" si="128"/>
        <v>2.9659270682389223E-2</v>
      </c>
      <c r="J77" s="601">
        <f t="shared" si="128"/>
        <v>3.1581175825954842E-2</v>
      </c>
      <c r="K77" s="602">
        <f t="shared" si="128"/>
        <v>3.4432680595896187E-2</v>
      </c>
      <c r="L77" s="602">
        <f t="shared" si="128"/>
        <v>2.9144711056917648E-2</v>
      </c>
      <c r="M77" s="1373">
        <f t="shared" si="128"/>
        <v>2.7017279930756633E-2</v>
      </c>
      <c r="N77" s="601">
        <f t="shared" si="128"/>
        <v>2.8183695736887227E-2</v>
      </c>
      <c r="O77" s="602">
        <f t="shared" si="128"/>
        <v>4.5266722010278981E-2</v>
      </c>
      <c r="P77" s="602">
        <f t="shared" si="128"/>
        <v>4.3916210968810668E-2</v>
      </c>
      <c r="Q77" s="1373">
        <f t="shared" si="128"/>
        <v>4.0666655375078332E-2</v>
      </c>
      <c r="R77" s="601">
        <f t="shared" si="128"/>
        <v>4.1464741170071998E-2</v>
      </c>
      <c r="S77" s="602">
        <f t="shared" si="128"/>
        <v>6.8233289062559974E-2</v>
      </c>
      <c r="T77" s="602">
        <f t="shared" si="128"/>
        <v>5.162118502278891E-2</v>
      </c>
      <c r="U77" s="1369">
        <f t="shared" si="128"/>
        <v>4.3370599524889614E-2</v>
      </c>
      <c r="V77" s="1368">
        <f t="shared" si="128"/>
        <v>4.1614376788313839E-2</v>
      </c>
      <c r="W77" s="1368">
        <f t="shared" si="128"/>
        <v>3.7805538484005814E-2</v>
      </c>
      <c r="X77" s="1368">
        <f t="shared" si="128"/>
        <v>3.8112450028881729E-2</v>
      </c>
      <c r="Y77" s="1369">
        <f t="shared" si="128"/>
        <v>4.027492674577942E-2</v>
      </c>
      <c r="Z77" s="1367">
        <f t="shared" si="128"/>
        <v>3.8551358564703264E-2</v>
      </c>
      <c r="AA77" s="1368">
        <f t="shared" si="128"/>
        <v>3.8956910519083655E-2</v>
      </c>
      <c r="AB77" s="1368">
        <f t="shared" si="128"/>
        <v>3.7815897463888574E-2</v>
      </c>
      <c r="AC77" s="1369">
        <f t="shared" si="128"/>
        <v>3.5779584259233214E-2</v>
      </c>
      <c r="AD77" s="1367">
        <f t="shared" si="128"/>
        <v>3.7779969531535791E-2</v>
      </c>
      <c r="AE77" s="1368">
        <f t="shared" si="128"/>
        <v>3.6390180843514537E-2</v>
      </c>
      <c r="AF77" s="1368">
        <f t="shared" si="128"/>
        <v>3.6087331783273446E-2</v>
      </c>
      <c r="AG77" s="1368">
        <f t="shared" si="128"/>
        <v>3.5332646109336494E-2</v>
      </c>
      <c r="AH77" s="1367">
        <f t="shared" si="128"/>
        <v>4.0081626849881036E-2</v>
      </c>
      <c r="AI77" s="1368">
        <f t="shared" si="128"/>
        <v>3.9818839847146119E-2</v>
      </c>
      <c r="AJ77" s="1368">
        <f t="shared" si="128"/>
        <v>4.0298684836000631E-2</v>
      </c>
      <c r="AK77" s="1368">
        <f t="shared" si="128"/>
        <v>4.1630043027178897E-2</v>
      </c>
      <c r="AL77" s="1370">
        <f t="shared" si="126"/>
        <v>4.0081626849881036E-2</v>
      </c>
      <c r="AM77" s="1371">
        <f t="shared" si="126"/>
        <v>3.9818839847146119E-2</v>
      </c>
      <c r="AN77" s="1371">
        <f t="shared" si="126"/>
        <v>4.0298684836000631E-2</v>
      </c>
      <c r="AO77" s="1371">
        <f t="shared" si="126"/>
        <v>4.1630043027178897E-2</v>
      </c>
      <c r="AP77" s="1370">
        <f t="shared" si="126"/>
        <v>4.0081626849881036E-2</v>
      </c>
      <c r="AQ77" s="1371">
        <f t="shared" si="126"/>
        <v>3.9818839847146119E-2</v>
      </c>
      <c r="AR77" s="1371">
        <f t="shared" si="126"/>
        <v>4.0298684836000631E-2</v>
      </c>
      <c r="AS77" s="1371">
        <f t="shared" si="126"/>
        <v>4.1630043027178897E-2</v>
      </c>
      <c r="AT77" s="1233"/>
      <c r="AU77" s="1234"/>
      <c r="AV77" s="1234"/>
      <c r="AW77" s="1234"/>
      <c r="AX77" s="1234"/>
      <c r="AY77" s="1234"/>
      <c r="AZ77" s="1235"/>
      <c r="BA77" s="1236"/>
      <c r="BB77" s="1234"/>
      <c r="BC77" s="1234"/>
      <c r="BD77" s="1237"/>
      <c r="BE77" s="1237"/>
    </row>
    <row r="78" spans="1:59" s="1231" customFormat="1" ht="12.95" customHeight="1">
      <c r="A78" s="1356"/>
      <c r="B78" s="1233"/>
      <c r="E78" s="1232"/>
      <c r="F78" s="1357"/>
      <c r="G78" s="1358"/>
      <c r="H78" s="1358"/>
      <c r="I78" s="1359"/>
      <c r="J78" s="1357"/>
      <c r="K78" s="1358"/>
      <c r="L78" s="1358"/>
      <c r="M78" s="1359"/>
      <c r="N78" s="1357"/>
      <c r="O78" s="1358"/>
      <c r="P78" s="1358"/>
      <c r="Q78" s="1359"/>
      <c r="R78" s="1374"/>
      <c r="S78" s="1375"/>
      <c r="T78" s="1375"/>
      <c r="U78" s="1376"/>
      <c r="V78" s="1377"/>
      <c r="W78" s="1377"/>
      <c r="X78" s="1377"/>
      <c r="Y78" s="1376"/>
      <c r="Z78" s="1374"/>
      <c r="AA78" s="1377"/>
      <c r="AB78" s="1377"/>
      <c r="AC78" s="1377"/>
      <c r="AD78" s="1374"/>
      <c r="AE78" s="1377"/>
      <c r="AF78" s="1377"/>
      <c r="AG78" s="1377"/>
      <c r="AH78" s="1374"/>
      <c r="AI78" s="1377"/>
      <c r="AJ78" s="1377"/>
      <c r="AK78" s="1377"/>
      <c r="AL78" s="1374"/>
      <c r="AM78" s="1377"/>
      <c r="AN78" s="1377"/>
      <c r="AO78" s="1377"/>
      <c r="AP78" s="1374"/>
      <c r="AQ78" s="1377"/>
      <c r="AR78" s="1377"/>
      <c r="AS78" s="1377"/>
      <c r="AT78" s="1233"/>
      <c r="AU78" s="1237"/>
      <c r="AV78" s="1258"/>
      <c r="AW78" s="1234"/>
      <c r="AX78" s="1234"/>
      <c r="AY78" s="1234"/>
      <c r="AZ78" s="1235"/>
      <c r="BA78" s="1236"/>
      <c r="BB78" s="1234"/>
      <c r="BC78" s="1234"/>
      <c r="BD78" s="1237"/>
      <c r="BE78" s="1237"/>
    </row>
    <row r="79" spans="1:59" s="1231" customFormat="1" ht="11.65">
      <c r="A79" s="1378" t="s">
        <v>283</v>
      </c>
      <c r="B79" s="1379">
        <f>'Cash Flow'!B20</f>
        <v>1.1869999999999996</v>
      </c>
      <c r="C79" s="1380">
        <f>'Cash Flow'!C20</f>
        <v>-1.0189999999999997</v>
      </c>
      <c r="D79" s="1380">
        <f>'Cash Flow'!D20</f>
        <v>-0.98200000000000098</v>
      </c>
      <c r="E79" s="1381">
        <f>'Cash Flow'!E20</f>
        <v>-5.4519999999999973</v>
      </c>
      <c r="F79" s="1382">
        <f>'Cash Flow'!F20</f>
        <v>0.50399999999999967</v>
      </c>
      <c r="G79" s="1383">
        <f>'Cash Flow'!G20</f>
        <v>0.24199999999999522</v>
      </c>
      <c r="H79" s="1383">
        <f>'Cash Flow'!H20</f>
        <v>-1.7509999999999999</v>
      </c>
      <c r="I79" s="1384">
        <f>'Cash Flow'!I20</f>
        <v>-1.554000000000014</v>
      </c>
      <c r="J79" s="1382">
        <f>'Cash Flow'!J20</f>
        <v>-0.87400000000000211</v>
      </c>
      <c r="K79" s="1383">
        <f>'Cash Flow'!K20</f>
        <v>-2.1229999999999984</v>
      </c>
      <c r="L79" s="1383">
        <f>'Cash Flow'!L20</f>
        <v>-4.6749999999999998</v>
      </c>
      <c r="M79" s="1384">
        <f>'Cash Flow'!M20</f>
        <v>-3.0720000000000005</v>
      </c>
      <c r="N79" s="1383">
        <f>'Cash Flow'!N20</f>
        <v>4.4920000000000027</v>
      </c>
      <c r="O79" s="1383">
        <f>'Cash Flow'!O20</f>
        <v>16.999000000000002</v>
      </c>
      <c r="P79" s="1383">
        <f>'Cash Flow'!P20</f>
        <v>24.806999999999992</v>
      </c>
      <c r="Q79" s="1384">
        <f>'Cash Flow'!Q20</f>
        <v>17.934000000000005</v>
      </c>
      <c r="R79" s="1382">
        <f>'Cash Flow'!R20</f>
        <v>38.624999999999993</v>
      </c>
      <c r="S79" s="1383">
        <f>'Cash Flow'!S20</f>
        <v>16.535</v>
      </c>
      <c r="T79" s="1383">
        <f>'Cash Flow'!T20</f>
        <v>19.632999999999999</v>
      </c>
      <c r="U79" s="1384">
        <f>'Cash Flow'!U20</f>
        <v>21.972000000000008</v>
      </c>
      <c r="V79" s="1383">
        <f>'Cash Flow'!V20</f>
        <v>32.862000000000002</v>
      </c>
      <c r="W79" s="1383">
        <f>'Cash Flow'!W20</f>
        <v>30.518000000000001</v>
      </c>
      <c r="X79" s="1383">
        <f>'Cash Flow'!X20</f>
        <v>35.853000000000002</v>
      </c>
      <c r="Y79" s="1384">
        <f>'Cash Flow'!Y20</f>
        <v>31.918000000000035</v>
      </c>
      <c r="Z79" s="1382">
        <f>'Cash Flow'!Z20</f>
        <v>38.745999999999995</v>
      </c>
      <c r="AA79" s="1383">
        <f>'Cash Flow'!AA20</f>
        <v>30.193000000000012</v>
      </c>
      <c r="AB79" s="1383">
        <f>'Cash Flow'!AB20</f>
        <v>42.410999999999994</v>
      </c>
      <c r="AC79" s="1384">
        <f>'Cash Flow'!AC20</f>
        <v>38.504999999999988</v>
      </c>
      <c r="AD79" s="1382">
        <f>'Cash Flow'!AD20</f>
        <v>50.325999999999986</v>
      </c>
      <c r="AE79" s="1383">
        <f>'Cash Flow'!AE20</f>
        <v>31.424000000000007</v>
      </c>
      <c r="AF79" s="1383">
        <f>'Cash Flow'!AF20</f>
        <v>54.606999999999999</v>
      </c>
      <c r="AG79" s="1383">
        <f>'Cash Flow'!AG20</f>
        <v>81.119</v>
      </c>
      <c r="AH79" s="1382">
        <f>'Cash Flow'!AH20</f>
        <v>87.407000000000025</v>
      </c>
      <c r="AI79" s="1383">
        <f>'Cash Flow'!AI20</f>
        <v>42.463000000000001</v>
      </c>
      <c r="AJ79" s="1383">
        <f>'Cash Flow'!AJ20</f>
        <v>53.833800000000004</v>
      </c>
      <c r="AK79" s="1383">
        <f>'Cash Flow'!AK20</f>
        <v>83.046199999999985</v>
      </c>
      <c r="AL79" s="1382">
        <f>'Cash Flow'!AL20</f>
        <v>81.959482157676689</v>
      </c>
      <c r="AM79" s="1383">
        <f>'Cash Flow'!AM20</f>
        <v>47.565617108467912</v>
      </c>
      <c r="AN79" s="1383">
        <f>'Cash Flow'!AN20</f>
        <v>56.010614638379593</v>
      </c>
      <c r="AO79" s="1384">
        <f>'Cash Flow'!AO20</f>
        <v>97.91504606255765</v>
      </c>
      <c r="AP79" s="1382">
        <f>'Cash Flow'!AP20</f>
        <v>86.803342926682305</v>
      </c>
      <c r="AQ79" s="1383">
        <f>'Cash Flow'!AQ20</f>
        <v>54.075002851342184</v>
      </c>
      <c r="AR79" s="1383">
        <f>'Cash Flow'!AR20</f>
        <v>62.862611142704722</v>
      </c>
      <c r="AS79" s="1384">
        <f>'Cash Flow'!AS20</f>
        <v>107.8588895848294</v>
      </c>
      <c r="AT79" s="1385"/>
      <c r="AU79" s="1384">
        <f>'Cash Flow'!AU20</f>
        <v>-6.2659999999999982</v>
      </c>
      <c r="AV79" s="1386">
        <f>'Cash Flow'!AV20</f>
        <v>-2.5590000000000188</v>
      </c>
      <c r="AW79" s="1386">
        <f>'Cash Flow'!AW20</f>
        <v>-10.744000000000002</v>
      </c>
      <c r="AX79" s="1384">
        <f>'Cash Flow'!AX20</f>
        <v>64.231999999999999</v>
      </c>
      <c r="AY79" s="1383">
        <f>'Cash Flow'!AY20</f>
        <v>96.765000000000001</v>
      </c>
      <c r="AZ79" s="1382">
        <f>'Cash Flow'!AZ20</f>
        <v>131.15100000000004</v>
      </c>
      <c r="BA79" s="1382">
        <f>'Cash Flow'!BA20</f>
        <v>149.85499999999999</v>
      </c>
      <c r="BB79" s="1382">
        <f>'Cash Flow'!BB20</f>
        <v>217.476</v>
      </c>
      <c r="BC79" s="1382">
        <f>'Cash Flow'!BC20</f>
        <v>266.75</v>
      </c>
      <c r="BD79" s="1386">
        <f>'Cash Flow'!BD20</f>
        <v>283.45075996708181</v>
      </c>
      <c r="BE79" s="1386">
        <f>'Cash Flow'!BE20</f>
        <v>311.59984650555862</v>
      </c>
    </row>
    <row r="80" spans="1:59" s="189" customFormat="1" ht="11.65">
      <c r="A80" s="1387" t="s">
        <v>284</v>
      </c>
      <c r="B80" s="1388" t="e">
        <f>'Cash Flow'!#REF!</f>
        <v>#REF!</v>
      </c>
      <c r="C80" s="1389" t="e">
        <f>'Cash Flow'!#REF!</f>
        <v>#REF!</v>
      </c>
      <c r="D80" s="1389" t="e">
        <f>'Cash Flow'!#REF!</f>
        <v>#REF!</v>
      </c>
      <c r="E80" s="1390" t="e">
        <f>'Cash Flow'!#REF!</f>
        <v>#REF!</v>
      </c>
      <c r="F80" s="1391" t="e">
        <f>'Cash Flow'!#REF!</f>
        <v>#REF!</v>
      </c>
      <c r="G80" s="1392" t="e">
        <f>'Cash Flow'!#REF!</f>
        <v>#REF!</v>
      </c>
      <c r="H80" s="1392" t="e">
        <f>'Cash Flow'!#REF!</f>
        <v>#REF!</v>
      </c>
      <c r="I80" s="1393" t="e">
        <f>'Cash Flow'!#REF!</f>
        <v>#REF!</v>
      </c>
      <c r="J80" s="1391" t="e">
        <f>'Cash Flow'!#REF!</f>
        <v>#REF!</v>
      </c>
      <c r="K80" s="1392" t="e">
        <f>'Cash Flow'!#REF!</f>
        <v>#REF!</v>
      </c>
      <c r="L80" s="1392" t="e">
        <f>'Cash Flow'!#REF!</f>
        <v>#REF!</v>
      </c>
      <c r="M80" s="1393" t="e">
        <f>'Cash Flow'!#REF!</f>
        <v>#REF!</v>
      </c>
      <c r="N80" s="1392" t="e">
        <f>'Cash Flow'!#REF!</f>
        <v>#REF!</v>
      </c>
      <c r="O80" s="1392" t="e">
        <f>'Cash Flow'!#REF!</f>
        <v>#REF!</v>
      </c>
      <c r="P80" s="1392" t="e">
        <f>'Cash Flow'!#REF!</f>
        <v>#REF!</v>
      </c>
      <c r="Q80" s="1393" t="e">
        <f>'Cash Flow'!#REF!</f>
        <v>#REF!</v>
      </c>
      <c r="R80" s="1391">
        <f>'Cash Flow'!R50</f>
        <v>37.634999999999991</v>
      </c>
      <c r="S80" s="1392">
        <f>'Cash Flow'!S50</f>
        <v>15.08</v>
      </c>
      <c r="T80" s="1392">
        <f>'Cash Flow'!T50</f>
        <v>20.073</v>
      </c>
      <c r="U80" s="1392">
        <f>'Cash Flow'!U50</f>
        <v>22.394000000000005</v>
      </c>
      <c r="V80" s="1391">
        <f>'Cash Flow'!V50</f>
        <v>32.102000000000004</v>
      </c>
      <c r="W80" s="1392">
        <f>'Cash Flow'!W50</f>
        <v>29.081</v>
      </c>
      <c r="X80" s="1392">
        <f>'Cash Flow'!X50</f>
        <v>34.759</v>
      </c>
      <c r="Y80" s="1392">
        <f>'Cash Flow'!Y50</f>
        <v>32.108000000000033</v>
      </c>
      <c r="Z80" s="1391">
        <f>'Cash Flow'!Z50</f>
        <v>44.155999999999992</v>
      </c>
      <c r="AA80" s="1392">
        <f>'Cash Flow'!AA50</f>
        <v>39.815000000000012</v>
      </c>
      <c r="AB80" s="1392">
        <f>'Cash Flow'!AB50</f>
        <v>48.315999999999995</v>
      </c>
      <c r="AC80" s="1392">
        <f>'Cash Flow'!AC50</f>
        <v>43.454999999999991</v>
      </c>
      <c r="AD80" s="1391">
        <f>'Cash Flow'!AD50</f>
        <v>54.739999999999988</v>
      </c>
      <c r="AE80" s="1392">
        <f>'Cash Flow'!AE50</f>
        <v>36.424000000000007</v>
      </c>
      <c r="AF80" s="1392">
        <f>'Cash Flow'!AF50</f>
        <v>60.766000000000005</v>
      </c>
      <c r="AG80" s="1392">
        <f>'Cash Flow'!AG50</f>
        <v>86.48</v>
      </c>
      <c r="AH80" s="1391">
        <f>'Cash Flow'!AH50</f>
        <v>86.80400000000003</v>
      </c>
      <c r="AI80" s="1392">
        <f>'Cash Flow'!AI50</f>
        <v>44.110000000000007</v>
      </c>
      <c r="AJ80" s="1392">
        <f>'Cash Flow'!AJ50</f>
        <v>58.467800000000004</v>
      </c>
      <c r="AK80" s="1392">
        <f>'Cash Flow'!AK50</f>
        <v>87.468199999999982</v>
      </c>
      <c r="AL80" s="1391">
        <f>'Cash Flow'!AL50</f>
        <v>79.732482157676699</v>
      </c>
      <c r="AM80" s="1392">
        <f>'Cash Flow'!AM50</f>
        <v>47.613617108467906</v>
      </c>
      <c r="AN80" s="1392">
        <f>'Cash Flow'!AN50</f>
        <v>59.60961463837959</v>
      </c>
      <c r="AO80" s="1392">
        <f>'Cash Flow'!AO50</f>
        <v>102.11704606255765</v>
      </c>
      <c r="AP80" s="1391">
        <f>'Cash Flow'!AP50</f>
        <v>84.356342926682302</v>
      </c>
      <c r="AQ80" s="1392">
        <f>'Cash Flow'!AQ50</f>
        <v>53.903002851342187</v>
      </c>
      <c r="AR80" s="1392">
        <f>'Cash Flow'!AR50</f>
        <v>66.241611142704727</v>
      </c>
      <c r="AS80" s="1392">
        <f>'Cash Flow'!AS50</f>
        <v>111.8408895848294</v>
      </c>
      <c r="AT80" s="1394"/>
      <c r="AU80" s="1391">
        <f>'Cash Flow'!AU48</f>
        <v>-9.0209999999999972</v>
      </c>
      <c r="AV80" s="1391">
        <f>'Cash Flow'!AV48</f>
        <v>-8.2920000000000176</v>
      </c>
      <c r="AW80" s="1391">
        <f>'Cash Flow'!AW48</f>
        <v>-31.417999999999999</v>
      </c>
      <c r="AX80" s="1391">
        <f>'Cash Flow'!AX48</f>
        <v>43.954999999999998</v>
      </c>
      <c r="AY80" s="1391">
        <f>'Cash Flow'!AY50</f>
        <v>95.181999999999988</v>
      </c>
      <c r="AZ80" s="1391">
        <f>'Cash Flow'!AZ50</f>
        <v>128.05000000000004</v>
      </c>
      <c r="BA80" s="1391">
        <f>'Cash Flow'!BA50</f>
        <v>175.74199999999999</v>
      </c>
      <c r="BB80" s="1391">
        <f>'Cash Flow'!BB50</f>
        <v>238.41000000000003</v>
      </c>
      <c r="BC80" s="1391">
        <f>'Cash Flow'!BC50</f>
        <v>276.85000000000002</v>
      </c>
      <c r="BD80" s="1395">
        <f>'Cash Flow'!BD50</f>
        <v>289.07275996708188</v>
      </c>
      <c r="BE80" s="1395">
        <f>'Cash Flow'!BE50</f>
        <v>316.34184650555858</v>
      </c>
      <c r="BF80" s="1231"/>
      <c r="BG80" s="1231"/>
    </row>
    <row r="81" spans="1:59" s="1231" customFormat="1" ht="11.65" hidden="1" outlineLevel="1">
      <c r="A81" s="1396" t="s">
        <v>285</v>
      </c>
      <c r="B81" s="1397"/>
      <c r="C81" s="1398"/>
      <c r="D81" s="1398"/>
      <c r="E81" s="1399"/>
      <c r="F81" s="1400"/>
      <c r="G81" s="1401"/>
      <c r="H81" s="1401"/>
      <c r="I81" s="1402"/>
      <c r="J81" s="1403" t="e">
        <f>'Cash Flow'!#REF!</f>
        <v>#REF!</v>
      </c>
      <c r="K81" s="1403" t="e">
        <f>'Cash Flow'!#REF!</f>
        <v>#REF!</v>
      </c>
      <c r="L81" s="1403" t="e">
        <f>'Cash Flow'!#REF!</f>
        <v>#REF!</v>
      </c>
      <c r="M81" s="1404" t="e">
        <f>'Cash Flow'!#REF!</f>
        <v>#REF!</v>
      </c>
      <c r="N81" s="1403" t="e">
        <f>'Cash Flow'!#REF!</f>
        <v>#REF!</v>
      </c>
      <c r="O81" s="1403" t="e">
        <f>'Cash Flow'!#REF!</f>
        <v>#REF!</v>
      </c>
      <c r="P81" s="1403" t="e">
        <f>'Cash Flow'!#REF!</f>
        <v>#REF!</v>
      </c>
      <c r="Q81" s="1404" t="e">
        <f>'Cash Flow'!#REF!</f>
        <v>#REF!</v>
      </c>
      <c r="R81" s="1405"/>
      <c r="S81" s="1403"/>
      <c r="T81" s="1403"/>
      <c r="U81" s="1404">
        <f>'Cash Flow'!U52</f>
        <v>13.964751610171598</v>
      </c>
      <c r="V81" s="1403">
        <f>'Cash Flow'!V52</f>
        <v>23.618509637394556</v>
      </c>
      <c r="W81" s="1403">
        <f>'Cash Flow'!W52</f>
        <v>13.377349703135881</v>
      </c>
      <c r="X81" s="1403">
        <f>'Cash Flow'!X52</f>
        <v>19.743008296548535</v>
      </c>
      <c r="Y81" s="1403">
        <f>'Cash Flow'!Y52</f>
        <v>22.26498399641099</v>
      </c>
      <c r="Z81" s="1405">
        <f>'Cash Flow'!Z52</f>
        <v>40.164960549175703</v>
      </c>
      <c r="AA81" s="1403">
        <f>'Cash Flow'!AA52</f>
        <v>28.457831417398335</v>
      </c>
      <c r="AB81" s="1403">
        <f>'Cash Flow'!AB52</f>
        <v>43.781652194960685</v>
      </c>
      <c r="AC81" s="1403">
        <f>'Cash Flow'!AC52</f>
        <v>33.295777999127537</v>
      </c>
      <c r="AD81" s="1405">
        <f>'Cash Flow'!AD52</f>
        <v>55.475784966331574</v>
      </c>
      <c r="AE81" s="1403">
        <f>'Cash Flow'!AE52</f>
        <v>36.010037059474648</v>
      </c>
      <c r="AF81" s="1403">
        <f>'Cash Flow'!AF52</f>
        <v>57.870840423847177</v>
      </c>
      <c r="AG81" s="1403">
        <f>'Cash Flow'!AG52</f>
        <v>78.94612680827025</v>
      </c>
      <c r="AH81" s="1405">
        <f>'Cash Flow'!AH52</f>
        <v>64.220954874427591</v>
      </c>
      <c r="AI81" s="1403">
        <f>'Cash Flow'!AI52</f>
        <v>40.779182681098774</v>
      </c>
      <c r="AJ81" s="1403">
        <f>'Cash Flow'!AJ52</f>
        <v>62.351258355393249</v>
      </c>
      <c r="AK81" s="1403">
        <f>'Cash Flow'!AK52</f>
        <v>81.042963239708882</v>
      </c>
      <c r="AL81" s="1405">
        <f>'Cash Flow'!AL52</f>
        <v>87.85975151344023</v>
      </c>
      <c r="AM81" s="1403">
        <f>'Cash Flow'!AM52</f>
        <v>46.841860139663936</v>
      </c>
      <c r="AN81" s="1403">
        <f>'Cash Flow'!AN52</f>
        <v>65.19158714864038</v>
      </c>
      <c r="AO81" s="1403">
        <f>'Cash Flow'!AO52</f>
        <v>91.181816048150168</v>
      </c>
      <c r="AP81" s="1405">
        <f>'Cash Flow'!AP52</f>
        <v>92.186185868666115</v>
      </c>
      <c r="AQ81" s="1403">
        <f>'Cash Flow'!AQ52</f>
        <v>61.852169810077683</v>
      </c>
      <c r="AR81" s="1403">
        <f>'Cash Flow'!AR52</f>
        <v>72.075503481157341</v>
      </c>
      <c r="AS81" s="1403">
        <f>'Cash Flow'!AS52</f>
        <v>101.43384967277534</v>
      </c>
      <c r="AT81" s="1406"/>
      <c r="AU81" s="1407"/>
      <c r="AV81" s="1408"/>
      <c r="AW81" s="1408"/>
      <c r="AX81" s="1407"/>
      <c r="AY81" s="1403">
        <f>'Cash Flow'!AY52</f>
        <v>84.987115246535552</v>
      </c>
      <c r="AZ81" s="1405">
        <f>'Cash Flow'!AZ52</f>
        <v>107.59352945095637</v>
      </c>
      <c r="BA81" s="1405">
        <f>'Cash Flow'!BA52</f>
        <v>139.36408569143532</v>
      </c>
      <c r="BB81" s="1409">
        <f>'Cash Flow'!BB52</f>
        <v>230.99967263741655</v>
      </c>
      <c r="BC81" s="1409">
        <f>'Cash Flow'!BC52</f>
        <v>270.64549875121099</v>
      </c>
      <c r="BD81" s="1409">
        <f>'Cash Flow'!BD52</f>
        <v>291.07501484989467</v>
      </c>
      <c r="BE81" s="1409">
        <f>'Cash Flow'!BE52</f>
        <v>327.54770883267645</v>
      </c>
    </row>
    <row r="82" spans="1:59" s="189" customFormat="1" ht="11.65" collapsed="1">
      <c r="A82" s="1387" t="s">
        <v>286</v>
      </c>
      <c r="B82" s="1410"/>
      <c r="C82" s="1411"/>
      <c r="D82" s="1411"/>
      <c r="E82" s="1412"/>
      <c r="F82" s="1413"/>
      <c r="G82" s="1414"/>
      <c r="H82" s="1414"/>
      <c r="I82" s="1415"/>
      <c r="J82" s="1416"/>
      <c r="K82" s="1416"/>
      <c r="L82" s="1416"/>
      <c r="M82" s="1417"/>
      <c r="N82" s="1416"/>
      <c r="O82" s="1416"/>
      <c r="P82" s="1416"/>
      <c r="Q82" s="1417"/>
      <c r="R82" s="1418">
        <f>'Cash Flow'!R53</f>
        <v>0.30550617344081038</v>
      </c>
      <c r="S82" s="1419">
        <f>'Cash Flow'!S53</f>
        <v>0.11576935182981597</v>
      </c>
      <c r="T82" s="1419">
        <f>'Cash Flow'!T53</f>
        <v>0.14475999538452664</v>
      </c>
      <c r="U82" s="1419">
        <f>'Cash Flow'!U53</f>
        <v>0.15027714772712025</v>
      </c>
      <c r="V82" s="1418">
        <f>'Cash Flow'!V53</f>
        <v>0.20143316098589431</v>
      </c>
      <c r="W82" s="1419">
        <f>'Cash Flow'!W53</f>
        <v>0.1769552333258286</v>
      </c>
      <c r="X82" s="1419">
        <f>'Cash Flow'!X53</f>
        <v>0.19879211442885658</v>
      </c>
      <c r="Y82" s="1419">
        <f>'Cash Flow'!Y53</f>
        <v>0.17390362398513809</v>
      </c>
      <c r="Z82" s="1418">
        <f>'Cash Flow'!Z53</f>
        <v>0.23382881714052703</v>
      </c>
      <c r="AA82" s="1419">
        <f>'Cash Flow'!AA53</f>
        <v>0.20414179946266336</v>
      </c>
      <c r="AB82" s="1419">
        <f>'Cash Flow'!AB53</f>
        <v>0.23974713316693874</v>
      </c>
      <c r="AC82" s="1419">
        <f>'Cash Flow'!AC53</f>
        <v>0.20372141430620797</v>
      </c>
      <c r="AD82" s="1418">
        <f>'Cash Flow'!AD53</f>
        <v>0.25347169164802902</v>
      </c>
      <c r="AE82" s="1419">
        <f>'Cash Flow'!AE53</f>
        <v>0.16463494560230701</v>
      </c>
      <c r="AF82" s="1419">
        <f>'Cash Flow'!AF53</f>
        <v>0.26758789544141481</v>
      </c>
      <c r="AG82" s="1419">
        <f>'Cash Flow'!AG53</f>
        <v>0.36685883485837673</v>
      </c>
      <c r="AH82" s="1418">
        <f>'Cash Flow'!AH53</f>
        <v>0.36298857976808285</v>
      </c>
      <c r="AI82" s="1419">
        <f>'Cash Flow'!AI53</f>
        <v>0.1783699629996563</v>
      </c>
      <c r="AJ82" s="1419">
        <f>'Cash Flow'!AJ53</f>
        <v>0.23161067976548885</v>
      </c>
      <c r="AK82" s="1419">
        <f>'Cash Flow'!AK53</f>
        <v>0.33572791162731774</v>
      </c>
      <c r="AL82" s="1418">
        <f>'Cash Flow'!AL53</f>
        <v>0.30836320356335284</v>
      </c>
      <c r="AM82" s="1419">
        <f>'Cash Flow'!AM53</f>
        <v>0.17931098298193845</v>
      </c>
      <c r="AN82" s="1419">
        <f>'Cash Flow'!AN53</f>
        <v>0.22180567259629977</v>
      </c>
      <c r="AO82" s="1419">
        <f>'Cash Flow'!AO53</f>
        <v>0.36813714068479259</v>
      </c>
      <c r="AP82" s="1418">
        <f>'Cash Flow'!AP53</f>
        <v>0.30607491642422219</v>
      </c>
      <c r="AQ82" s="1419">
        <f>'Cash Flow'!AQ53</f>
        <v>0.19045914959486851</v>
      </c>
      <c r="AR82" s="1419">
        <f>'Cash Flow'!AR53</f>
        <v>0.23129358725810198</v>
      </c>
      <c r="AS82" s="1419">
        <f>'Cash Flow'!AS53</f>
        <v>0.37836323606931876</v>
      </c>
      <c r="AT82" s="1420"/>
      <c r="AU82" s="1418">
        <f>'Cash Flow'!AU53</f>
        <v>0</v>
      </c>
      <c r="AV82" s="1418">
        <f>'Cash Flow'!AV53</f>
        <v>0</v>
      </c>
      <c r="AW82" s="1418">
        <f>'Cash Flow'!AW53</f>
        <v>0</v>
      </c>
      <c r="AX82" s="1418">
        <f>'Cash Flow'!AX53</f>
        <v>0</v>
      </c>
      <c r="AY82" s="1418">
        <f>'Cash Flow'!AY53</f>
        <v>0.17589488662613417</v>
      </c>
      <c r="AZ82" s="1418">
        <f>'Cash Flow'!AZ53</f>
        <v>0.18742928405087309</v>
      </c>
      <c r="BA82" s="1418">
        <f>'Cash Flow'!BA53</f>
        <v>0.22003230208711544</v>
      </c>
      <c r="BB82" s="1418">
        <f>'Cash Flow'!BB53</f>
        <v>0.26489381914422</v>
      </c>
      <c r="BC82" s="1418">
        <f>'Cash Flow'!BC53</f>
        <v>0.27701482382017301</v>
      </c>
      <c r="BD82" s="1421">
        <f>'Cash Flow'!BD53</f>
        <v>0.27010114079438763</v>
      </c>
      <c r="BE82" s="1421">
        <f>'Cash Flow'!BE53</f>
        <v>0.27734432633620754</v>
      </c>
      <c r="BF82" s="1231"/>
      <c r="BG82" s="1231"/>
    </row>
    <row r="83" spans="1:59" s="1253" customFormat="1" ht="11.65">
      <c r="A83" s="1422"/>
      <c r="B83" s="1423"/>
      <c r="C83" s="1424"/>
      <c r="D83" s="1424"/>
      <c r="E83" s="1425"/>
      <c r="F83" s="1426"/>
      <c r="G83" s="1427"/>
      <c r="H83" s="1427"/>
      <c r="I83" s="1428"/>
      <c r="J83" s="1426"/>
      <c r="K83" s="1427"/>
      <c r="L83" s="1427"/>
      <c r="M83" s="1428"/>
      <c r="N83" s="1426"/>
      <c r="O83" s="1427"/>
      <c r="P83" s="1427"/>
      <c r="Q83" s="1428"/>
      <c r="R83" s="1426"/>
      <c r="S83" s="1427"/>
      <c r="T83" s="1427"/>
      <c r="U83" s="1428"/>
      <c r="V83" s="1427"/>
      <c r="W83" s="1427"/>
      <c r="X83" s="1427"/>
      <c r="Y83" s="1428"/>
      <c r="Z83" s="1429"/>
      <c r="AA83" s="1430"/>
      <c r="AB83" s="1430"/>
      <c r="AC83" s="1430"/>
      <c r="AD83" s="1429"/>
      <c r="AE83" s="1430"/>
      <c r="AF83" s="1430"/>
      <c r="AG83" s="1430"/>
      <c r="AH83" s="1429"/>
      <c r="AI83" s="1430"/>
      <c r="AJ83" s="1430"/>
      <c r="AK83" s="1430"/>
      <c r="AL83" s="1429"/>
      <c r="AM83" s="1430"/>
      <c r="AN83" s="1430"/>
      <c r="AO83" s="1430"/>
      <c r="AP83" s="1429"/>
      <c r="AQ83" s="1430"/>
      <c r="AR83" s="1430"/>
      <c r="AS83" s="1430"/>
      <c r="AT83" s="1431"/>
      <c r="AU83" s="1258"/>
      <c r="AV83" s="1234"/>
      <c r="AW83" s="1234"/>
      <c r="AX83" s="1237"/>
      <c r="AY83" s="1258"/>
      <c r="AZ83" s="1235"/>
      <c r="BA83" s="1236"/>
      <c r="BB83" s="1432"/>
      <c r="BC83" s="1432"/>
      <c r="BD83" s="1433"/>
      <c r="BE83" s="1433"/>
      <c r="BF83" s="1231"/>
      <c r="BG83" s="1231"/>
    </row>
    <row r="84" spans="1:59" s="189" customFormat="1" ht="12.95" customHeight="1">
      <c r="A84" s="557" t="s">
        <v>287</v>
      </c>
      <c r="B84" s="1246">
        <f>'Revenue Build'!B34</f>
        <v>0</v>
      </c>
      <c r="C84" s="189">
        <f>'Revenue Build'!C34</f>
        <v>0</v>
      </c>
      <c r="D84" s="189">
        <f>'Revenue Build'!D34</f>
        <v>0</v>
      </c>
      <c r="E84" s="1245">
        <f>'Revenue Build'!E34</f>
        <v>0</v>
      </c>
      <c r="F84" s="1246">
        <f>'Revenue Build'!F34</f>
        <v>63.902999999999992</v>
      </c>
      <c r="G84" s="189">
        <f>'Revenue Build'!G34</f>
        <v>80.115000000000023</v>
      </c>
      <c r="H84" s="189">
        <f>'Revenue Build'!H34</f>
        <v>88.000999999999976</v>
      </c>
      <c r="I84" s="1245">
        <f>'Revenue Build'!I34</f>
        <v>99.426000000000045</v>
      </c>
      <c r="J84" s="1246">
        <f>'Revenue Build'!J34</f>
        <v>82.303000000000011</v>
      </c>
      <c r="K84" s="189">
        <f>'Revenue Build'!K34</f>
        <v>100.81199999999994</v>
      </c>
      <c r="L84" s="189">
        <f>'Revenue Build'!L34</f>
        <v>113.89400000000003</v>
      </c>
      <c r="M84" s="1245">
        <f>'Revenue Build'!M34</f>
        <v>130.80099999999999</v>
      </c>
      <c r="N84" s="1246">
        <f>'Revenue Build'!N34</f>
        <v>97.611999999999995</v>
      </c>
      <c r="O84" s="189">
        <f>'Revenue Build'!O34</f>
        <v>114.42699999999996</v>
      </c>
      <c r="P84" s="189">
        <f>'Revenue Build'!P34</f>
        <v>137.17500000000004</v>
      </c>
      <c r="Q84" s="1245">
        <f>'Revenue Build'!Q34</f>
        <v>162.38999999999999</v>
      </c>
      <c r="R84" s="1246">
        <f>'Revenue Build'!R34</f>
        <v>117.54099999999998</v>
      </c>
      <c r="S84" s="189">
        <f>'Revenue Build'!S34</f>
        <v>146.27100000000007</v>
      </c>
      <c r="T84" s="189">
        <f>'Revenue Build'!T34</f>
        <v>170.74699999999996</v>
      </c>
      <c r="U84" s="1273">
        <f>'Revenue Build'!U34</f>
        <v>202.946</v>
      </c>
      <c r="V84" s="184">
        <f>'Revenue Build'!V34</f>
        <v>155.99100000000004</v>
      </c>
      <c r="W84" s="184">
        <f>'Revenue Build'!W34</f>
        <v>184.88799999999992</v>
      </c>
      <c r="X84" s="184">
        <f>'Revenue Build'!X34</f>
        <v>220.50800000000004</v>
      </c>
      <c r="Y84" s="1273">
        <f>'Revenue Build'!Y34</f>
        <v>255.52099999999999</v>
      </c>
      <c r="Z84" s="1274">
        <f>'Revenue Build'!Z34</f>
        <v>166.30500000000004</v>
      </c>
      <c r="AA84" s="184">
        <f>'Revenue Build'!AA34</f>
        <v>203.16199999999998</v>
      </c>
      <c r="AB84" s="184">
        <f>'Revenue Build'!AB34</f>
        <v>232.79300000000001</v>
      </c>
      <c r="AC84" s="1273">
        <f>'Revenue Build'!AC34</f>
        <v>282.34499999999997</v>
      </c>
      <c r="AD84" s="1274">
        <f>'Revenue Build'!AD34</f>
        <v>188.17200000000011</v>
      </c>
      <c r="AE84" s="184">
        <f>'Revenue Build'!AE34</f>
        <v>224.33099999999993</v>
      </c>
      <c r="AF84" s="184">
        <f>'Revenue Build'!AF34</f>
        <v>248.74199999999999</v>
      </c>
      <c r="AG84" s="1273">
        <f>'Revenue Build'!AG34</f>
        <v>321.46599999999989</v>
      </c>
      <c r="AH84" s="1274">
        <f>'Revenue Build'!AH34</f>
        <v>214.3250000000001</v>
      </c>
      <c r="AI84" s="184">
        <f>'Revenue Build'!AI34</f>
        <v>236.72899999999998</v>
      </c>
      <c r="AJ84" s="184">
        <f>'Revenue Build'!AJ34</f>
        <v>265.13400000000007</v>
      </c>
      <c r="AK84" s="1273">
        <f>'Revenue Build'!AK34</f>
        <v>349.30599999999993</v>
      </c>
      <c r="AL84" s="1274">
        <f>'Revenue Build'!AL34</f>
        <v>231.73881998655597</v>
      </c>
      <c r="AM84" s="184">
        <f>'Revenue Build'!AM34</f>
        <v>254.19114172957399</v>
      </c>
      <c r="AN84" s="184">
        <f>'Revenue Build'!AN34</f>
        <v>282.26102727915548</v>
      </c>
      <c r="AO84" s="1273">
        <f>'Revenue Build'!AO34</f>
        <v>371.90491151447213</v>
      </c>
      <c r="AP84" s="1274">
        <f>'Revenue Build'!AP34</f>
        <v>247.01086686287627</v>
      </c>
      <c r="AQ84" s="184">
        <f>'Revenue Build'!AQ34</f>
        <v>270.92385516010688</v>
      </c>
      <c r="AR84" s="184">
        <f>'Revenue Build'!AR34</f>
        <v>300.7977251384504</v>
      </c>
      <c r="AS84" s="1273">
        <f>'Revenue Build'!AS34</f>
        <v>396.30995968927903</v>
      </c>
      <c r="AT84" s="1245"/>
      <c r="AU84" s="1258"/>
      <c r="AV84" s="1234"/>
      <c r="AW84" s="1234"/>
      <c r="AX84" s="1237"/>
      <c r="AY84" s="1258"/>
      <c r="AZ84" s="1235"/>
      <c r="BA84" s="1236"/>
      <c r="BB84" s="1234"/>
      <c r="BC84" s="1234"/>
      <c r="BD84" s="1237"/>
      <c r="BE84" s="1237"/>
    </row>
    <row r="85" spans="1:59" s="1231" customFormat="1" ht="12.95" customHeight="1">
      <c r="A85" s="490" t="s">
        <v>288</v>
      </c>
      <c r="B85" s="1233">
        <f>'Revenue Build'!B33</f>
        <v>0</v>
      </c>
      <c r="C85" s="1231">
        <f>'Revenue Build'!C33</f>
        <v>0</v>
      </c>
      <c r="D85" s="1231">
        <f>'Revenue Build'!D33</f>
        <v>0</v>
      </c>
      <c r="E85" s="1232">
        <f>'Revenue Build'!E33</f>
        <v>118.37099999999998</v>
      </c>
      <c r="F85" s="1233">
        <f>'Revenue Build'!F33</f>
        <v>4.7959999999999923</v>
      </c>
      <c r="G85" s="1231">
        <f>'Revenue Build'!G33</f>
        <v>16.523000000000025</v>
      </c>
      <c r="H85" s="1231">
        <f>'Revenue Build'!H33</f>
        <v>18.560999999999979</v>
      </c>
      <c r="I85" s="1232">
        <f>'Revenue Build'!I33</f>
        <v>24.205000000000041</v>
      </c>
      <c r="J85" s="1233">
        <f>'Revenue Build'!J33</f>
        <v>2.0020000000000095</v>
      </c>
      <c r="K85" s="1231">
        <f>'Revenue Build'!K33</f>
        <v>15.42799999999994</v>
      </c>
      <c r="L85" s="1231">
        <f>'Revenue Build'!L33</f>
        <v>22.04200000000003</v>
      </c>
      <c r="M85" s="1232">
        <f>'Revenue Build'!M33</f>
        <v>33.75200000000001</v>
      </c>
      <c r="N85" s="1233">
        <f>'Revenue Build'!N33</f>
        <v>-5.0360000000000014</v>
      </c>
      <c r="O85" s="1231">
        <f>'Revenue Build'!O33</f>
        <v>7.2179999999999609</v>
      </c>
      <c r="P85" s="1231">
        <f>'Revenue Build'!P33</f>
        <v>24.893000000000029</v>
      </c>
      <c r="Q85" s="1232">
        <f>'Revenue Build'!Q33</f>
        <v>44.307999999999993</v>
      </c>
      <c r="R85" s="1233">
        <f>'Revenue Build'!R33</f>
        <v>-5.6480000000000246</v>
      </c>
      <c r="S85" s="1231">
        <f>'Revenue Build'!S33</f>
        <v>16.012000000000057</v>
      </c>
      <c r="T85" s="1231">
        <f>'Revenue Build'!T33</f>
        <v>32.08299999999997</v>
      </c>
      <c r="U85" s="1254">
        <f>'Revenue Build'!U33</f>
        <v>53.927999999999997</v>
      </c>
      <c r="V85" s="1253">
        <f>'Revenue Build'!V33</f>
        <v>-3.3769999999999527</v>
      </c>
      <c r="W85" s="1253">
        <f>'Revenue Build'!W33</f>
        <v>20.546999999999912</v>
      </c>
      <c r="X85" s="1253">
        <f>'Revenue Build'!X33</f>
        <v>45.657000000000039</v>
      </c>
      <c r="Y85" s="1254">
        <f>'Revenue Build'!Y33</f>
        <v>70.889999999999986</v>
      </c>
      <c r="Z85" s="1255">
        <f>'Revenue Build'!Z33</f>
        <v>-22.533999999999992</v>
      </c>
      <c r="AA85" s="1253">
        <f>'Revenue Build'!AA33</f>
        <v>8.1259999999999764</v>
      </c>
      <c r="AB85" s="1253">
        <f>'Revenue Build'!AB33</f>
        <v>31.26400000000001</v>
      </c>
      <c r="AC85" s="1254">
        <f>'Revenue Build'!AC33</f>
        <v>69.038999999999987</v>
      </c>
      <c r="AD85" s="1255">
        <f>'Revenue Build'!AD33</f>
        <v>-27.788999999999874</v>
      </c>
      <c r="AE85" s="1253">
        <f>'Revenue Build'!AE33</f>
        <v>3.0899999999999181</v>
      </c>
      <c r="AF85" s="1253">
        <f>'Revenue Build'!AF33</f>
        <v>21.653999999999996</v>
      </c>
      <c r="AG85" s="1254">
        <f>'Revenue Build'!AG33</f>
        <v>85.7349999999999</v>
      </c>
      <c r="AH85" s="1255">
        <f>'Revenue Build'!AH33</f>
        <v>-24.811999999999898</v>
      </c>
      <c r="AI85" s="1253">
        <f>'Revenue Build'!AI33</f>
        <v>-10.566000000000031</v>
      </c>
      <c r="AJ85" s="1253">
        <f>'Revenue Build'!AJ33</f>
        <v>12.694000000000074</v>
      </c>
      <c r="AK85" s="1254">
        <f>'Revenue Build'!AK33</f>
        <v>88.772999999999911</v>
      </c>
      <c r="AL85" s="1255">
        <f>'Revenue Build'!AL33</f>
        <v>-26.827965013444071</v>
      </c>
      <c r="AM85" s="1253">
        <f>'Revenue Build'!AM33</f>
        <v>-11.34539327042603</v>
      </c>
      <c r="AN85" s="1253">
        <f>'Revenue Build'!AN33</f>
        <v>13.514002279155477</v>
      </c>
      <c r="AO85" s="1254">
        <f>'Revenue Build'!AO33</f>
        <v>94.516311514472136</v>
      </c>
      <c r="AP85" s="1255">
        <f>'Revenue Build'!AP33</f>
        <v>-28.595981003623734</v>
      </c>
      <c r="AQ85" s="1253">
        <f>'Revenue Build'!AQ33</f>
        <v>-12.092229737893092</v>
      </c>
      <c r="AR85" s="1253">
        <f>'Revenue Build'!AR33</f>
        <v>14.401496310950336</v>
      </c>
      <c r="AS85" s="1254">
        <f>'Revenue Build'!AS33</f>
        <v>100.71863652927897</v>
      </c>
      <c r="AT85" s="1232"/>
      <c r="AU85" s="1258"/>
      <c r="AV85" s="1234"/>
      <c r="AW85" s="1234"/>
      <c r="AX85" s="1234"/>
      <c r="AY85" s="1234"/>
      <c r="AZ85" s="1235"/>
      <c r="BA85" s="1236"/>
      <c r="BB85" s="1234"/>
      <c r="BC85" s="1234"/>
      <c r="BD85" s="1237"/>
      <c r="BE85" s="1237"/>
    </row>
    <row r="86" spans="1:59" s="1231" customFormat="1" ht="12.95" customHeight="1">
      <c r="A86" s="490" t="s">
        <v>289</v>
      </c>
      <c r="B86" s="1233">
        <f>'Revenue Build'!B32</f>
        <v>0</v>
      </c>
      <c r="C86" s="1231">
        <f>'Revenue Build'!C32</f>
        <v>0</v>
      </c>
      <c r="D86" s="1231">
        <f>'Revenue Build'!D32</f>
        <v>0</v>
      </c>
      <c r="E86" s="1232">
        <f>'Revenue Build'!E32</f>
        <v>225.81799999999998</v>
      </c>
      <c r="F86" s="1233">
        <f>'Revenue Build'!F32</f>
        <v>230.61399999999998</v>
      </c>
      <c r="G86" s="1231">
        <f>'Revenue Build'!G32</f>
        <v>247.137</v>
      </c>
      <c r="H86" s="1231">
        <f>'Revenue Build'!H32</f>
        <v>265.69799999999998</v>
      </c>
      <c r="I86" s="1232">
        <f>'Revenue Build'!I32</f>
        <v>289.90300000000002</v>
      </c>
      <c r="J86" s="1233">
        <f>'Revenue Build'!J32</f>
        <v>291.90500000000003</v>
      </c>
      <c r="K86" s="1231">
        <f>'Revenue Build'!K32</f>
        <v>307.33299999999997</v>
      </c>
      <c r="L86" s="1231">
        <f>'Revenue Build'!L32</f>
        <v>329.375</v>
      </c>
      <c r="M86" s="1232">
        <f>'Revenue Build'!M32</f>
        <v>363.12700000000001</v>
      </c>
      <c r="N86" s="1233">
        <f>'Revenue Build'!N32</f>
        <v>358.09100000000001</v>
      </c>
      <c r="O86" s="1231">
        <f>'Revenue Build'!O32</f>
        <v>365.30899999999997</v>
      </c>
      <c r="P86" s="1231">
        <f>'Revenue Build'!P32</f>
        <v>390.202</v>
      </c>
      <c r="Q86" s="1232">
        <f>'Revenue Build'!Q32</f>
        <v>434.51</v>
      </c>
      <c r="R86" s="1233">
        <f>'Revenue Build'!R32</f>
        <v>428.86199999999997</v>
      </c>
      <c r="S86" s="1231">
        <f>'Revenue Build'!S32</f>
        <v>444.87400000000002</v>
      </c>
      <c r="T86" s="1231">
        <f>'Revenue Build'!T32</f>
        <v>476.95699999999999</v>
      </c>
      <c r="U86" s="1254">
        <f>'Revenue Build'!U32</f>
        <v>530.88499999999999</v>
      </c>
      <c r="V86" s="1253">
        <f>'Revenue Build'!V32</f>
        <v>527.50800000000004</v>
      </c>
      <c r="W86" s="1253">
        <f>'Revenue Build'!W32</f>
        <v>548.05499999999995</v>
      </c>
      <c r="X86" s="1253">
        <f>'Revenue Build'!X32</f>
        <v>593.71199999999999</v>
      </c>
      <c r="Y86" s="1254">
        <f>'Revenue Build'!Y32</f>
        <v>664.60199999999998</v>
      </c>
      <c r="Z86" s="1255">
        <f>'Revenue Build'!Z32</f>
        <v>642.06799999999998</v>
      </c>
      <c r="AA86" s="1253">
        <f>'Revenue Build'!AA32</f>
        <v>650.19399999999996</v>
      </c>
      <c r="AB86" s="1253">
        <f>'Revenue Build'!AB32</f>
        <v>681.45799999999997</v>
      </c>
      <c r="AC86" s="1254">
        <f>'Revenue Build'!AC32</f>
        <v>750.49699999999996</v>
      </c>
      <c r="AD86" s="1255">
        <f>'Revenue Build'!AD32</f>
        <v>722.70800000000008</v>
      </c>
      <c r="AE86" s="1253">
        <f>'Revenue Build'!AE32</f>
        <v>725.798</v>
      </c>
      <c r="AF86" s="1253">
        <f>'Revenue Build'!AF32</f>
        <v>747.452</v>
      </c>
      <c r="AG86" s="1253">
        <f>'Revenue Build'!AG32</f>
        <v>833.1869999999999</v>
      </c>
      <c r="AH86" s="1255">
        <f>'Revenue Build'!AH32</f>
        <v>808.375</v>
      </c>
      <c r="AI86" s="1253">
        <f>'Revenue Build'!AI32</f>
        <v>797.80899999999997</v>
      </c>
      <c r="AJ86" s="1253">
        <f>'Revenue Build'!AJ32</f>
        <v>810.50300000000004</v>
      </c>
      <c r="AK86" s="1253">
        <f>'Revenue Build'!AK32</f>
        <v>899.27599999999995</v>
      </c>
      <c r="AL86" s="1255">
        <f>'Revenue Build'!AL32</f>
        <v>872.44803498655585</v>
      </c>
      <c r="AM86" s="1253">
        <f>'Revenue Build'!AM32</f>
        <v>861.10264171612982</v>
      </c>
      <c r="AN86" s="1253">
        <f>'Revenue Build'!AN32</f>
        <v>874.61664399528536</v>
      </c>
      <c r="AO86" s="1254">
        <f>'Revenue Build'!AO32</f>
        <v>969.13295550975749</v>
      </c>
      <c r="AP86" s="1255">
        <f>'Revenue Build'!AP32</f>
        <v>940.53697450613379</v>
      </c>
      <c r="AQ86" s="1253">
        <f>'Revenue Build'!AQ32</f>
        <v>928.44474476824075</v>
      </c>
      <c r="AR86" s="1253">
        <f>'Revenue Build'!AR32</f>
        <v>942.84624107919103</v>
      </c>
      <c r="AS86" s="1254">
        <f>'Revenue Build'!AS32</f>
        <v>1043.5648776084699</v>
      </c>
      <c r="AU86" s="1234"/>
      <c r="AV86" s="1234"/>
      <c r="AW86" s="1234"/>
      <c r="AX86" s="1234"/>
      <c r="AY86" s="1234"/>
      <c r="AZ86" s="1235"/>
      <c r="BA86" s="1236"/>
      <c r="BB86" s="1234"/>
      <c r="BC86" s="1234"/>
      <c r="BD86" s="1237"/>
      <c r="BE86" s="1237"/>
    </row>
    <row r="87" spans="1:59" s="1231" customFormat="1" ht="12.95" customHeight="1">
      <c r="A87" s="1356"/>
      <c r="B87" s="1233"/>
      <c r="E87" s="1232"/>
      <c r="F87" s="1233"/>
      <c r="I87" s="1232"/>
      <c r="J87" s="1233"/>
      <c r="M87" s="1232"/>
      <c r="N87" s="1233"/>
      <c r="Q87" s="1232"/>
      <c r="R87" s="1233"/>
      <c r="U87" s="1232"/>
      <c r="Y87" s="1232"/>
      <c r="Z87" s="1233"/>
      <c r="AC87" s="1232"/>
      <c r="AD87" s="1233"/>
      <c r="AH87" s="1233"/>
      <c r="AL87" s="1233"/>
      <c r="AO87" s="1232"/>
      <c r="AP87" s="1233"/>
      <c r="AS87" s="1232"/>
      <c r="AU87" s="1234"/>
      <c r="AV87" s="1234"/>
      <c r="AW87" s="1234"/>
      <c r="AX87" s="1234"/>
      <c r="AY87" s="1234"/>
      <c r="AZ87" s="1235"/>
      <c r="BA87" s="1236"/>
      <c r="BB87" s="1234"/>
      <c r="BC87" s="1234"/>
      <c r="BD87" s="1237"/>
      <c r="BE87" s="1237"/>
    </row>
    <row r="88" spans="1:59" s="1231" customFormat="1" ht="12.95" customHeight="1">
      <c r="A88" s="1356" t="s">
        <v>290</v>
      </c>
      <c r="B88" s="1367"/>
      <c r="C88" s="1368"/>
      <c r="D88" s="1368"/>
      <c r="E88" s="1369">
        <f t="shared" ref="E88:AK88" si="129">E25/E86</f>
        <v>0.68594177612059271</v>
      </c>
      <c r="F88" s="1367">
        <f t="shared" si="129"/>
        <v>0.69598116332919946</v>
      </c>
      <c r="G88" s="1368">
        <f t="shared" si="129"/>
        <v>0.70518376447071862</v>
      </c>
      <c r="H88" s="1368">
        <f t="shared" si="129"/>
        <v>0.72103666568811209</v>
      </c>
      <c r="I88" s="1369">
        <f t="shared" si="129"/>
        <v>0.73694994532654023</v>
      </c>
      <c r="J88" s="1367">
        <f t="shared" si="129"/>
        <v>0.73485551806238325</v>
      </c>
      <c r="K88" s="1368">
        <f t="shared" si="129"/>
        <v>0.73935112727887997</v>
      </c>
      <c r="L88" s="1368">
        <f t="shared" si="129"/>
        <v>0.74682352941176477</v>
      </c>
      <c r="M88" s="1369">
        <f t="shared" si="129"/>
        <v>0.75551528803972168</v>
      </c>
      <c r="N88" s="1367">
        <f t="shared" si="129"/>
        <v>0.75655629434976024</v>
      </c>
      <c r="O88" s="1368">
        <f t="shared" si="129"/>
        <v>0.75265870810738311</v>
      </c>
      <c r="P88" s="1368">
        <f t="shared" si="129"/>
        <v>0.75950405174755642</v>
      </c>
      <c r="Q88" s="1369">
        <f t="shared" si="129"/>
        <v>0.75675818738348954</v>
      </c>
      <c r="R88" s="1367">
        <f t="shared" si="129"/>
        <v>0.75808301971263492</v>
      </c>
      <c r="S88" s="1368">
        <f t="shared" si="129"/>
        <v>0.75101264627737285</v>
      </c>
      <c r="T88" s="1368">
        <f t="shared" si="129"/>
        <v>0.75962403319376803</v>
      </c>
      <c r="U88" s="1369">
        <f t="shared" si="129"/>
        <v>0.76758243310698171</v>
      </c>
      <c r="V88" s="1368">
        <f t="shared" si="129"/>
        <v>0.76735518703033878</v>
      </c>
      <c r="W88" s="1368">
        <f t="shared" si="129"/>
        <v>0.7579129831859942</v>
      </c>
      <c r="X88" s="1368">
        <f t="shared" si="129"/>
        <v>0.75434385695421347</v>
      </c>
      <c r="Y88" s="1369">
        <f t="shared" si="129"/>
        <v>0.75551232166018167</v>
      </c>
      <c r="Z88" s="1368">
        <f t="shared" si="129"/>
        <v>0.76327740986935966</v>
      </c>
      <c r="AA88" s="1368">
        <f t="shared" si="129"/>
        <v>0.76161730191296761</v>
      </c>
      <c r="AB88" s="1368">
        <f t="shared" si="129"/>
        <v>0.76068077563107339</v>
      </c>
      <c r="AC88" s="1369">
        <f t="shared" si="129"/>
        <v>0.7738591893105502</v>
      </c>
      <c r="AD88" s="1368">
        <f t="shared" si="129"/>
        <v>0.7784264184151829</v>
      </c>
      <c r="AE88" s="1368">
        <f t="shared" si="129"/>
        <v>0.77512889261199391</v>
      </c>
      <c r="AF88" s="1368">
        <f t="shared" si="129"/>
        <v>0.78124080208495006</v>
      </c>
      <c r="AG88" s="1368">
        <f t="shared" si="129"/>
        <v>0.78058347045741239</v>
      </c>
      <c r="AH88" s="1367">
        <f t="shared" si="129"/>
        <v>0.78332951909695381</v>
      </c>
      <c r="AI88" s="1368">
        <f t="shared" si="129"/>
        <v>0.78282897284939135</v>
      </c>
      <c r="AJ88" s="1368">
        <f t="shared" si="129"/>
        <v>0.7891568569147801</v>
      </c>
      <c r="AK88" s="1368">
        <f t="shared" si="129"/>
        <v>0.78603899136638811</v>
      </c>
      <c r="AL88" s="1370">
        <f t="shared" ref="AL88:AS88" si="130">AK88</f>
        <v>0.78603899136638811</v>
      </c>
      <c r="AM88" s="1371">
        <f t="shared" si="130"/>
        <v>0.78603899136638811</v>
      </c>
      <c r="AN88" s="1371">
        <f t="shared" si="130"/>
        <v>0.78603899136638811</v>
      </c>
      <c r="AO88" s="1371">
        <f t="shared" si="130"/>
        <v>0.78603899136638811</v>
      </c>
      <c r="AP88" s="1370">
        <f t="shared" si="130"/>
        <v>0.78603899136638811</v>
      </c>
      <c r="AQ88" s="1371">
        <f t="shared" si="130"/>
        <v>0.78603899136638811</v>
      </c>
      <c r="AR88" s="1371">
        <f t="shared" si="130"/>
        <v>0.78603899136638811</v>
      </c>
      <c r="AS88" s="1371">
        <f t="shared" si="130"/>
        <v>0.78603899136638811</v>
      </c>
      <c r="AT88" s="1257"/>
      <c r="AU88" s="1234"/>
      <c r="AV88" s="1234"/>
      <c r="AW88" s="1234"/>
      <c r="AX88" s="1234"/>
      <c r="AY88" s="1234"/>
      <c r="AZ88" s="1235"/>
      <c r="BA88" s="1236"/>
      <c r="BB88" s="1234"/>
      <c r="BC88" s="1234"/>
      <c r="BD88" s="1237"/>
      <c r="BE88" s="1237"/>
    </row>
    <row r="89" spans="1:59" s="1231" customFormat="1" ht="12.95" customHeight="1">
      <c r="A89" s="1434" t="s">
        <v>291</v>
      </c>
      <c r="B89" s="1435"/>
      <c r="C89" s="1436"/>
      <c r="D89" s="1436"/>
      <c r="E89" s="1437">
        <f t="shared" ref="E89:AK89" si="131">E32/E86</f>
        <v>0.31405822387940735</v>
      </c>
      <c r="F89" s="1435">
        <f t="shared" si="131"/>
        <v>0.3040188366708006</v>
      </c>
      <c r="G89" s="1436">
        <f t="shared" si="131"/>
        <v>0.29481623552928132</v>
      </c>
      <c r="H89" s="1436">
        <f t="shared" si="131"/>
        <v>0.27896333431188797</v>
      </c>
      <c r="I89" s="1437">
        <f t="shared" si="131"/>
        <v>0.26305005467345971</v>
      </c>
      <c r="J89" s="1435">
        <f t="shared" si="131"/>
        <v>0.26514448193761669</v>
      </c>
      <c r="K89" s="1436">
        <f t="shared" si="131"/>
        <v>0.26064887272112008</v>
      </c>
      <c r="L89" s="1436">
        <f t="shared" si="131"/>
        <v>0.25317647058823528</v>
      </c>
      <c r="M89" s="1437">
        <f t="shared" si="131"/>
        <v>0.24448471196027835</v>
      </c>
      <c r="N89" s="1435">
        <f t="shared" si="131"/>
        <v>0.24344370565023973</v>
      </c>
      <c r="O89" s="1436">
        <f t="shared" si="131"/>
        <v>0.24734129189261694</v>
      </c>
      <c r="P89" s="1436">
        <f t="shared" si="131"/>
        <v>0.24049594825244361</v>
      </c>
      <c r="Q89" s="1437">
        <f t="shared" si="131"/>
        <v>0.24324181261651057</v>
      </c>
      <c r="R89" s="1435">
        <f t="shared" si="131"/>
        <v>0.24191698028736516</v>
      </c>
      <c r="S89" s="1436">
        <f t="shared" si="131"/>
        <v>0.24898735372262706</v>
      </c>
      <c r="T89" s="1436">
        <f t="shared" si="131"/>
        <v>0.24037596680623202</v>
      </c>
      <c r="U89" s="1437">
        <f t="shared" si="131"/>
        <v>0.23241756689301826</v>
      </c>
      <c r="V89" s="1436">
        <f t="shared" si="131"/>
        <v>0.23264481296966111</v>
      </c>
      <c r="W89" s="1436">
        <f t="shared" si="131"/>
        <v>0.24208701681400591</v>
      </c>
      <c r="X89" s="1436">
        <f t="shared" si="131"/>
        <v>0.24565614304578651</v>
      </c>
      <c r="Y89" s="1437">
        <f t="shared" si="131"/>
        <v>0.24448767833981841</v>
      </c>
      <c r="Z89" s="1436">
        <f t="shared" si="131"/>
        <v>0.23672259013064037</v>
      </c>
      <c r="AA89" s="1436">
        <f t="shared" si="131"/>
        <v>0.2383826980870325</v>
      </c>
      <c r="AB89" s="1436">
        <f t="shared" si="131"/>
        <v>0.23931922436892666</v>
      </c>
      <c r="AC89" s="1437">
        <f t="shared" si="131"/>
        <v>0.2261408106894498</v>
      </c>
      <c r="AD89" s="1436">
        <f t="shared" si="131"/>
        <v>0.2215735815848171</v>
      </c>
      <c r="AE89" s="1436">
        <f t="shared" si="131"/>
        <v>0.22487110738800606</v>
      </c>
      <c r="AF89" s="1436">
        <f t="shared" si="131"/>
        <v>0.21875919791505005</v>
      </c>
      <c r="AG89" s="1436">
        <f t="shared" si="131"/>
        <v>0.2194165295425877</v>
      </c>
      <c r="AH89" s="1435">
        <f t="shared" si="131"/>
        <v>0.21667048090304625</v>
      </c>
      <c r="AI89" s="1436">
        <f t="shared" si="131"/>
        <v>0.21717102715060874</v>
      </c>
      <c r="AJ89" s="1436">
        <f t="shared" si="131"/>
        <v>0.21084314308521993</v>
      </c>
      <c r="AK89" s="1436">
        <f t="shared" si="131"/>
        <v>0.21396100863361195</v>
      </c>
      <c r="AL89" s="1435">
        <f t="shared" ref="AL89:AS89" si="132">1-AL88</f>
        <v>0.21396100863361189</v>
      </c>
      <c r="AM89" s="1436">
        <f t="shared" si="132"/>
        <v>0.21396100863361189</v>
      </c>
      <c r="AN89" s="1436">
        <f t="shared" si="132"/>
        <v>0.21396100863361189</v>
      </c>
      <c r="AO89" s="1436">
        <f t="shared" si="132"/>
        <v>0.21396100863361189</v>
      </c>
      <c r="AP89" s="1435">
        <f t="shared" si="132"/>
        <v>0.21396100863361189</v>
      </c>
      <c r="AQ89" s="1436">
        <f t="shared" si="132"/>
        <v>0.21396100863361189</v>
      </c>
      <c r="AR89" s="1436">
        <f t="shared" si="132"/>
        <v>0.21396100863361189</v>
      </c>
      <c r="AS89" s="1436">
        <f t="shared" si="132"/>
        <v>0.21396100863361189</v>
      </c>
      <c r="AT89" s="1257"/>
      <c r="AU89" s="1438"/>
      <c r="AV89" s="1438"/>
      <c r="AW89" s="1438"/>
      <c r="AX89" s="1438"/>
      <c r="AY89" s="1438"/>
      <c r="AZ89" s="1439"/>
      <c r="BA89" s="1440"/>
      <c r="BB89" s="1438"/>
      <c r="BC89" s="1438"/>
      <c r="BD89" s="1441"/>
      <c r="BE89" s="1441"/>
    </row>
    <row r="90" spans="1:59" s="1231" customFormat="1" ht="12.95" customHeight="1">
      <c r="A90" s="45" t="s">
        <v>270</v>
      </c>
    </row>
    <row r="91" spans="1:59">
      <c r="E91" s="454" t="s">
        <v>292</v>
      </c>
      <c r="Y91" s="1442"/>
      <c r="Z91" s="1442"/>
      <c r="AA91" s="1442"/>
      <c r="AB91" s="1442"/>
      <c r="AC91" s="1442"/>
      <c r="AD91" s="1442"/>
      <c r="AE91" s="1442"/>
      <c r="AF91" s="1442"/>
      <c r="AG91" s="1442"/>
      <c r="AH91" s="1442"/>
      <c r="AI91" s="1442"/>
      <c r="AJ91" s="1442"/>
      <c r="AK91" s="1442"/>
      <c r="AL91" s="1442"/>
      <c r="AM91" s="1442"/>
      <c r="AN91" s="1442"/>
      <c r="AO91" s="1442"/>
      <c r="AP91" s="1442"/>
      <c r="AQ91" s="1442"/>
      <c r="AR91" s="1442"/>
      <c r="AS91" s="1442"/>
      <c r="AT91" s="1442"/>
      <c r="AU91" s="1442"/>
      <c r="AV91" s="1442"/>
      <c r="AW91" s="1442"/>
      <c r="AX91" s="1442"/>
      <c r="AY91" s="1442"/>
      <c r="AZ91" s="1442"/>
      <c r="BA91" s="1442"/>
      <c r="BB91" s="1442"/>
      <c r="BC91" s="1442"/>
      <c r="BD91" s="1442"/>
      <c r="BE91" s="1442"/>
    </row>
    <row r="92" spans="1:59">
      <c r="X92" s="1443"/>
      <c r="Y92" s="1443"/>
      <c r="Z92" s="1443"/>
      <c r="AA92" s="1443"/>
      <c r="AB92" s="1443"/>
      <c r="AC92" s="1443"/>
      <c r="AD92" s="1443"/>
      <c r="AE92" s="1443"/>
      <c r="AF92" s="1443"/>
      <c r="AG92" s="1443"/>
      <c r="AH92" s="1443"/>
      <c r="AI92" s="1443"/>
      <c r="AJ92" s="1443"/>
      <c r="AK92" s="1443"/>
      <c r="AL92" s="1443"/>
      <c r="AM92" s="1443"/>
      <c r="AN92" s="1443"/>
      <c r="AO92" s="1443"/>
      <c r="AP92" s="1443"/>
      <c r="AQ92" s="1443"/>
      <c r="AR92" s="1443"/>
      <c r="AS92" s="1443"/>
      <c r="AT92" s="1443"/>
      <c r="AU92" s="1443"/>
      <c r="AV92" s="1443"/>
      <c r="AW92" s="1443"/>
      <c r="AX92" s="1443"/>
      <c r="AY92" s="1443"/>
      <c r="AZ92" s="1443"/>
      <c r="BA92" s="1443"/>
    </row>
    <row r="93" spans="1:59">
      <c r="X93" s="1444"/>
      <c r="Y93" s="1444"/>
      <c r="Z93" s="1444"/>
      <c r="AA93" s="1444"/>
      <c r="AB93" s="1444"/>
      <c r="AC93" s="1444"/>
      <c r="AD93" s="1444"/>
      <c r="AE93" s="1444"/>
      <c r="AF93" s="1444"/>
      <c r="AG93" s="1444"/>
      <c r="AH93" s="1444"/>
      <c r="AI93" s="1444"/>
      <c r="AJ93" s="1444"/>
      <c r="AK93" s="1444"/>
      <c r="AL93" s="1444"/>
      <c r="AM93" s="1444"/>
      <c r="AN93" s="1444"/>
      <c r="AO93" s="1444"/>
      <c r="AP93" s="1444"/>
      <c r="AQ93" s="1444"/>
      <c r="AR93" s="1444"/>
      <c r="AS93" s="1444"/>
      <c r="AT93" s="1444"/>
      <c r="AU93" s="1444"/>
      <c r="AV93" s="1444"/>
      <c r="AW93" s="1444"/>
      <c r="AX93" s="1444"/>
      <c r="AY93" s="1444"/>
      <c r="AZ93" s="1444"/>
      <c r="BA93" s="1444"/>
    </row>
    <row r="95" spans="1:59">
      <c r="K95" s="454" t="s">
        <v>292</v>
      </c>
    </row>
    <row r="100" s="454" customFormat="1" ht="10.15"/>
  </sheetData>
  <mergeCells count="22">
    <mergeCell ref="V57:Y57"/>
    <mergeCell ref="Z57:AC57"/>
    <mergeCell ref="AD57:AG57"/>
    <mergeCell ref="AH57:AK57"/>
    <mergeCell ref="AL57:AO57"/>
    <mergeCell ref="AP57:AS57"/>
    <mergeCell ref="Z3:AC3"/>
    <mergeCell ref="AD3:AG3"/>
    <mergeCell ref="AH3:AK3"/>
    <mergeCell ref="AL3:AO3"/>
    <mergeCell ref="AP3:AS3"/>
    <mergeCell ref="B57:E57"/>
    <mergeCell ref="F57:I57"/>
    <mergeCell ref="J57:M57"/>
    <mergeCell ref="N57:Q57"/>
    <mergeCell ref="R57:U57"/>
    <mergeCell ref="V3:Y3"/>
    <mergeCell ref="B3:E3"/>
    <mergeCell ref="F3:I3"/>
    <mergeCell ref="J3:M3"/>
    <mergeCell ref="N3:Q3"/>
    <mergeCell ref="R3:U3"/>
  </mergeCells>
  <pageMargins left="0.7" right="0.7" top="0.75" bottom="0.75" header="0.3" footer="0.3"/>
  <pageSetup scale="50"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5F3E-D942-481B-B2F0-5085CC6D3AEE}">
  <sheetPr>
    <tabColor rgb="FF008000"/>
    <pageSetUpPr fitToPage="1"/>
  </sheetPr>
  <dimension ref="A1:FT100"/>
  <sheetViews>
    <sheetView showGridLines="0" zoomScaleNormal="100" workbookViewId="0">
      <pane xSplit="1" ySplit="4" topLeftCell="AH30" activePane="bottomRight" state="frozen"/>
      <selection activeCell="N24" sqref="N24"/>
      <selection pane="topRight" activeCell="N24" sqref="N24"/>
      <selection pane="bottomLeft" activeCell="N24" sqref="N24"/>
      <selection pane="bottomRight" activeCell="N24" sqref="N24"/>
    </sheetView>
  </sheetViews>
  <sheetFormatPr defaultColWidth="9.1328125" defaultRowHeight="10.15" outlineLevelRow="1" outlineLevelCol="1"/>
  <cols>
    <col min="1" max="1" width="40" style="33" customWidth="1"/>
    <col min="2" max="3" width="8.59765625" style="33" hidden="1" customWidth="1" outlineLevel="1"/>
    <col min="4" max="5" width="7.86328125" style="33" hidden="1" customWidth="1" outlineLevel="1"/>
    <col min="6" max="7" width="8.59765625" style="33" hidden="1" customWidth="1" outlineLevel="1"/>
    <col min="8" max="12" width="7.86328125" style="33" hidden="1" customWidth="1" outlineLevel="1"/>
    <col min="13" max="13" width="8.1328125" style="33" hidden="1" customWidth="1" outlineLevel="1"/>
    <col min="14" max="14" width="7.86328125" style="33" hidden="1" customWidth="1" outlineLevel="1"/>
    <col min="15" max="15" width="8.1328125" style="33" hidden="1" customWidth="1" outlineLevel="1"/>
    <col min="16" max="17" width="7.86328125" style="33" hidden="1" customWidth="1" outlineLevel="1"/>
    <col min="18" max="18" width="7.86328125" style="33" hidden="1" customWidth="1" outlineLevel="1" collapsed="1"/>
    <col min="19" max="19" width="8.1328125" style="33" hidden="1" customWidth="1" outlineLevel="1"/>
    <col min="20" max="25" width="7.86328125" style="33" hidden="1" customWidth="1" outlineLevel="1"/>
    <col min="26" max="26" width="7.86328125" style="33" hidden="1" customWidth="1" outlineLevel="1" collapsed="1"/>
    <col min="27" max="29" width="7.86328125" style="33" hidden="1" customWidth="1" outlineLevel="1"/>
    <col min="30" max="30" width="7.86328125" style="33" bestFit="1" customWidth="1" collapsed="1"/>
    <col min="31" max="31" width="7.86328125" style="33" bestFit="1" customWidth="1"/>
    <col min="32" max="45" width="7.86328125" style="33" customWidth="1"/>
    <col min="46" max="46" width="2.59765625" style="33" customWidth="1"/>
    <col min="47" max="47" width="9.1328125" style="33" hidden="1" customWidth="1" outlineLevel="1" collapsed="1"/>
    <col min="48" max="50" width="9.1328125" style="33" hidden="1" customWidth="1" outlineLevel="1"/>
    <col min="51" max="51" width="9.1328125" style="33" hidden="1" customWidth="1" outlineLevel="1" collapsed="1"/>
    <col min="52" max="52" width="9.1328125" style="33" hidden="1" customWidth="1" outlineLevel="1"/>
    <col min="53" max="53" width="9.1328125" style="33" hidden="1" customWidth="1" outlineLevel="1" collapsed="1"/>
    <col min="54" max="54" width="9.1328125" style="33" customWidth="1" collapsed="1"/>
    <col min="55" max="58" width="9.1328125" style="33" customWidth="1"/>
    <col min="59" max="66" width="9.1328125" style="33" hidden="1" customWidth="1" outlineLevel="1"/>
    <col min="67" max="67" width="9.1328125" style="33" customWidth="1" collapsed="1"/>
    <col min="68" max="70" width="9.1328125" style="33" customWidth="1"/>
    <col min="71" max="16384" width="9.1328125" style="33"/>
  </cols>
  <sheetData>
    <row r="1" spans="1:78" s="1447" customFormat="1" ht="15.75">
      <c r="A1" s="28" t="str">
        <f>+'Income Statement'!A1</f>
        <v>Tenable Holdings, Inc. (TENB)</v>
      </c>
      <c r="B1" s="1445"/>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c r="AE1" s="1445"/>
      <c r="AF1" s="1445"/>
      <c r="AG1" s="1445"/>
      <c r="AH1" s="1445"/>
      <c r="AI1" s="1445"/>
      <c r="AJ1" s="1445"/>
      <c r="AK1" s="1445"/>
      <c r="AL1" s="1445"/>
      <c r="AM1" s="1445"/>
      <c r="AN1" s="1445"/>
      <c r="AO1" s="1445"/>
      <c r="AP1" s="1445"/>
      <c r="AQ1" s="1445"/>
      <c r="AR1" s="1445"/>
      <c r="AS1" s="1445"/>
      <c r="AT1" s="1445"/>
      <c r="AU1" s="1446"/>
      <c r="AV1" s="1446"/>
      <c r="AW1" s="1446"/>
      <c r="AX1" s="1446"/>
      <c r="AY1" s="1446"/>
      <c r="AZ1" s="1446"/>
      <c r="BA1" s="1446"/>
      <c r="BB1" s="1446"/>
      <c r="BC1" s="1446"/>
      <c r="BD1" s="1446"/>
      <c r="BE1" s="1446"/>
    </row>
    <row r="2" spans="1:78" s="1447" customFormat="1" ht="15.75">
      <c r="A2" s="1448" t="s">
        <v>293</v>
      </c>
      <c r="B2" s="37"/>
      <c r="C2" s="37"/>
      <c r="D2" s="37"/>
      <c r="E2" s="35"/>
      <c r="F2" s="35"/>
      <c r="G2" s="35"/>
      <c r="H2" s="35"/>
      <c r="I2" s="35"/>
      <c r="J2" s="35"/>
      <c r="K2" s="35"/>
      <c r="L2" s="35"/>
      <c r="M2" s="35"/>
      <c r="N2" s="35" t="str">
        <f>'Income Statement'!N2</f>
        <v>2020/1F</v>
      </c>
      <c r="O2" s="35" t="str">
        <f>'Income Statement'!O2</f>
        <v>2020/2F</v>
      </c>
      <c r="P2" s="35" t="str">
        <f>'Income Statement'!P2</f>
        <v>2020/3F</v>
      </c>
      <c r="Q2" s="35" t="str">
        <f>'Income Statement'!Q2</f>
        <v>2020/4F</v>
      </c>
      <c r="R2" s="35" t="str">
        <f>'Income Statement'!R2</f>
        <v>2021/1F</v>
      </c>
      <c r="S2" s="35" t="str">
        <f>'Income Statement'!S2</f>
        <v>2021/2F</v>
      </c>
      <c r="T2" s="35" t="str">
        <f>'Income Statement'!T2</f>
        <v>2021/3F</v>
      </c>
      <c r="U2" s="35" t="str">
        <f>'Income Statement'!U2</f>
        <v>2021/4F</v>
      </c>
      <c r="V2" s="35" t="str">
        <f>'Income Statement'!V2</f>
        <v>2022/1F</v>
      </c>
      <c r="W2" s="35" t="str">
        <f>'Income Statement'!W2</f>
        <v>2022/2F</v>
      </c>
      <c r="X2" s="35" t="str">
        <f>'Income Statement'!X2</f>
        <v>2022/3F</v>
      </c>
      <c r="Y2" s="35" t="str">
        <f>'Income Statement'!Y2</f>
        <v>2022/4F</v>
      </c>
      <c r="Z2" s="35" t="str">
        <f>'Income Statement'!Z2</f>
        <v>2023/1F</v>
      </c>
      <c r="AA2" s="35" t="str">
        <f>'Income Statement'!AA2</f>
        <v>2023/2F</v>
      </c>
      <c r="AB2" s="35" t="str">
        <f>'Income Statement'!AB2</f>
        <v>2023/3F</v>
      </c>
      <c r="AC2" s="35" t="str">
        <f>'Income Statement'!AC2</f>
        <v>2023/4F</v>
      </c>
      <c r="AD2" s="35" t="str">
        <f>'Income Statement'!AD2</f>
        <v>2024/1F</v>
      </c>
      <c r="AE2" s="35" t="str">
        <f>'Income Statement'!AE2</f>
        <v>2024/2F</v>
      </c>
      <c r="AF2" s="35" t="str">
        <f>'Income Statement'!AF2</f>
        <v>2024/3F</v>
      </c>
      <c r="AG2" s="35" t="str">
        <f>'Income Statement'!AG2</f>
        <v>2024/4F</v>
      </c>
      <c r="AH2" s="35" t="str">
        <f>'Income Statement'!AH2</f>
        <v>2025/1F</v>
      </c>
      <c r="AI2" s="35" t="str">
        <f>'Income Statement'!AI2</f>
        <v>2025/2F</v>
      </c>
      <c r="AJ2" s="35" t="str">
        <f>'Income Statement'!AJ2</f>
        <v>2025/3F</v>
      </c>
      <c r="AK2" s="35" t="str">
        <f>'Income Statement'!AK2</f>
        <v>2025/4F</v>
      </c>
      <c r="AL2" s="35" t="str">
        <f>'Income Statement'!AL2</f>
        <v>2026/1F</v>
      </c>
      <c r="AM2" s="35" t="str">
        <f>'Income Statement'!AM2</f>
        <v>2026/2F</v>
      </c>
      <c r="AN2" s="35" t="str">
        <f>'Income Statement'!AN2</f>
        <v>2026/3F</v>
      </c>
      <c r="AO2" s="35" t="str">
        <f>'Income Statement'!AO2</f>
        <v>2026/4F</v>
      </c>
      <c r="AP2" s="35" t="str">
        <f>'Income Statement'!AP2</f>
        <v>2027/1F</v>
      </c>
      <c r="AQ2" s="35" t="str">
        <f>'Income Statement'!AQ2</f>
        <v>2027/2F</v>
      </c>
      <c r="AR2" s="35" t="str">
        <f>'Income Statement'!AR2</f>
        <v>2027/3F</v>
      </c>
      <c r="AS2" s="35" t="str">
        <f>'Income Statement'!AS2</f>
        <v>2027/4F</v>
      </c>
      <c r="AT2" s="36"/>
      <c r="AU2" s="39">
        <f>+'Income Statement'!AU2</f>
        <v>2017</v>
      </c>
      <c r="AV2" s="39">
        <f>+'Income Statement'!AV2</f>
        <v>2018</v>
      </c>
      <c r="AW2" s="39">
        <f>+'Income Statement'!AW2</f>
        <v>2019</v>
      </c>
      <c r="AX2" s="35">
        <f>'Income Statement'!AX2</f>
        <v>2020</v>
      </c>
      <c r="AY2" s="35">
        <f>'Income Statement'!AY2</f>
        <v>2021</v>
      </c>
      <c r="AZ2" s="35">
        <f>'Income Statement'!AZ2</f>
        <v>2022</v>
      </c>
      <c r="BA2" s="35">
        <f>'Income Statement'!BA2</f>
        <v>2023</v>
      </c>
      <c r="BB2" s="35">
        <f>'Income Statement'!BB2</f>
        <v>2024</v>
      </c>
      <c r="BC2" s="35">
        <f>'Income Statement'!BC2</f>
        <v>2025</v>
      </c>
      <c r="BD2" s="35">
        <f>'Income Statement'!BD2</f>
        <v>2026</v>
      </c>
      <c r="BE2" s="35">
        <f>'Income Statement'!BE2</f>
        <v>2027</v>
      </c>
      <c r="BG2" s="1449" t="s">
        <v>294</v>
      </c>
      <c r="BH2" s="1450"/>
      <c r="BI2" s="1450"/>
      <c r="BJ2" s="1450"/>
      <c r="BK2" s="1450"/>
      <c r="BL2" s="1450"/>
      <c r="BM2" s="1450"/>
      <c r="BN2" s="1450"/>
      <c r="BO2" s="1450"/>
      <c r="BP2" s="1450"/>
      <c r="BQ2" s="1450"/>
      <c r="BR2" s="1450"/>
      <c r="BS2" s="1450"/>
      <c r="BT2" s="1450"/>
      <c r="BU2" s="1450"/>
      <c r="BV2" s="1450"/>
      <c r="BW2" s="1450"/>
      <c r="BX2" s="1450"/>
      <c r="BY2" s="1450"/>
      <c r="BZ2" s="1450"/>
    </row>
    <row r="3" spans="1:78" s="45" customFormat="1" ht="12.75" customHeight="1">
      <c r="A3" s="649"/>
      <c r="B3" s="1736">
        <f>'Income Statement'!B3</f>
        <v>2017</v>
      </c>
      <c r="C3" s="1737"/>
      <c r="D3" s="1737"/>
      <c r="E3" s="1737"/>
      <c r="F3" s="1737">
        <f>'Income Statement'!F3</f>
        <v>2018</v>
      </c>
      <c r="G3" s="1737"/>
      <c r="H3" s="1737"/>
      <c r="I3" s="1737"/>
      <c r="J3" s="1737">
        <f>'Income Statement'!J3</f>
        <v>2019</v>
      </c>
      <c r="K3" s="1737"/>
      <c r="L3" s="1737"/>
      <c r="M3" s="1738"/>
      <c r="N3" s="1722">
        <f>'Income Statement'!N3</f>
        <v>2020</v>
      </c>
      <c r="O3" s="1720"/>
      <c r="P3" s="1720"/>
      <c r="Q3" s="1723"/>
      <c r="R3" s="1735">
        <f>'Income Statement'!R3</f>
        <v>2021</v>
      </c>
      <c r="S3" s="1720"/>
      <c r="T3" s="1720"/>
      <c r="U3" s="1721"/>
      <c r="V3" s="1722">
        <f>'Income Statement'!V3</f>
        <v>2022</v>
      </c>
      <c r="W3" s="1720"/>
      <c r="X3" s="1720"/>
      <c r="Y3" s="1723"/>
      <c r="Z3" s="1722">
        <f>'Income Statement'!Z3</f>
        <v>2023</v>
      </c>
      <c r="AA3" s="1720"/>
      <c r="AB3" s="1720"/>
      <c r="AC3" s="1723"/>
      <c r="AD3" s="1722">
        <f>'Income Statement'!AD3</f>
        <v>2024</v>
      </c>
      <c r="AE3" s="1720"/>
      <c r="AF3" s="1720"/>
      <c r="AG3" s="1723"/>
      <c r="AH3" s="1722">
        <f>'Income Statement'!AH3</f>
        <v>2025</v>
      </c>
      <c r="AI3" s="1720"/>
      <c r="AJ3" s="1720"/>
      <c r="AK3" s="1723"/>
      <c r="AL3" s="1722">
        <f>'Income Statement'!AL3</f>
        <v>2026</v>
      </c>
      <c r="AM3" s="1720"/>
      <c r="AN3" s="1720"/>
      <c r="AO3" s="1723"/>
      <c r="AP3" s="1722">
        <f>'Income Statement'!AP3</f>
        <v>2027</v>
      </c>
      <c r="AQ3" s="1720"/>
      <c r="AR3" s="1720"/>
      <c r="AS3" s="1723"/>
      <c r="AT3" s="41"/>
      <c r="AU3" s="750"/>
      <c r="AV3" s="750"/>
      <c r="AW3" s="750"/>
      <c r="AX3" s="750"/>
      <c r="AY3" s="750"/>
      <c r="AZ3" s="750"/>
      <c r="BA3" s="652"/>
      <c r="BB3" s="750"/>
      <c r="BC3" s="750"/>
      <c r="BD3" s="750"/>
      <c r="BE3" s="653"/>
      <c r="BG3" s="1722">
        <f>R3</f>
        <v>2021</v>
      </c>
      <c r="BH3" s="1720"/>
      <c r="BI3" s="1720"/>
      <c r="BJ3" s="1723"/>
      <c r="BK3" s="1735">
        <f>V3</f>
        <v>2022</v>
      </c>
      <c r="BL3" s="1720"/>
      <c r="BM3" s="1720"/>
      <c r="BN3" s="1723"/>
      <c r="BO3" s="1722">
        <f>Z3</f>
        <v>2023</v>
      </c>
      <c r="BP3" s="1720"/>
      <c r="BQ3" s="1720"/>
      <c r="BR3" s="1723"/>
      <c r="BS3" s="1722">
        <f>AD3</f>
        <v>2024</v>
      </c>
      <c r="BT3" s="1720"/>
      <c r="BU3" s="1720"/>
      <c r="BV3" s="1723"/>
      <c r="BW3" s="1722">
        <f>AH3</f>
        <v>2025</v>
      </c>
      <c r="BX3" s="1720"/>
      <c r="BY3" s="1720"/>
      <c r="BZ3" s="1723"/>
    </row>
    <row r="4" spans="1:78" s="62" customFormat="1" ht="11.65">
      <c r="A4" s="654" t="str">
        <f>'Income Statement'!A4</f>
        <v>($ in millions, unless otherwise stated)</v>
      </c>
      <c r="B4" s="48">
        <f>'Income Statement'!B4</f>
        <v>42825</v>
      </c>
      <c r="C4" s="48">
        <f>'Income Statement'!C4</f>
        <v>42916</v>
      </c>
      <c r="D4" s="48">
        <f>'Income Statement'!D4</f>
        <v>43008</v>
      </c>
      <c r="E4" s="318">
        <f>'Income Statement'!E4</f>
        <v>43100</v>
      </c>
      <c r="F4" s="958">
        <f>'Income Statement'!F4</f>
        <v>43190</v>
      </c>
      <c r="G4" s="48">
        <f>'Income Statement'!G4</f>
        <v>43281</v>
      </c>
      <c r="H4" s="48">
        <f>'Income Statement'!H4</f>
        <v>43373</v>
      </c>
      <c r="I4" s="318">
        <f>'Income Statement'!I4</f>
        <v>43465</v>
      </c>
      <c r="J4" s="958">
        <f>'Income Statement'!J4</f>
        <v>43555</v>
      </c>
      <c r="K4" s="48">
        <f>'Income Statement'!K4</f>
        <v>43646</v>
      </c>
      <c r="L4" s="48">
        <f>'Income Statement'!L4</f>
        <v>43738</v>
      </c>
      <c r="M4" s="48">
        <f>'Income Statement'!M4</f>
        <v>43830</v>
      </c>
      <c r="N4" s="655">
        <f>'Income Statement'!N4</f>
        <v>43921</v>
      </c>
      <c r="O4" s="48">
        <f>'Income Statement'!O4</f>
        <v>44012</v>
      </c>
      <c r="P4" s="48">
        <f>'Income Statement'!P4</f>
        <v>44104</v>
      </c>
      <c r="Q4" s="320">
        <f>'Income Statement'!Q4</f>
        <v>44196</v>
      </c>
      <c r="R4" s="48">
        <f>'Income Statement'!R4</f>
        <v>44286</v>
      </c>
      <c r="S4" s="48">
        <f>'Income Statement'!S4</f>
        <v>44377</v>
      </c>
      <c r="T4" s="48">
        <f>'Income Statement'!T4</f>
        <v>44469</v>
      </c>
      <c r="U4" s="48">
        <f>'Income Statement'!U4</f>
        <v>44561</v>
      </c>
      <c r="V4" s="655">
        <f>'Income Statement'!V4</f>
        <v>44651</v>
      </c>
      <c r="W4" s="48">
        <f>'Income Statement'!W4</f>
        <v>44742</v>
      </c>
      <c r="X4" s="48">
        <f>'Income Statement'!X4</f>
        <v>44834</v>
      </c>
      <c r="Y4" s="320">
        <f>'Income Statement'!Y4</f>
        <v>44926</v>
      </c>
      <c r="Z4" s="655">
        <f>'Income Statement'!Z4</f>
        <v>45016</v>
      </c>
      <c r="AA4" s="48">
        <f>'Income Statement'!AA4</f>
        <v>45107</v>
      </c>
      <c r="AB4" s="48">
        <f>'Income Statement'!AB4</f>
        <v>45199</v>
      </c>
      <c r="AC4" s="320">
        <f>'Income Statement'!AC4</f>
        <v>45291</v>
      </c>
      <c r="AD4" s="655">
        <f>'Income Statement'!AD4</f>
        <v>45382</v>
      </c>
      <c r="AE4" s="48">
        <f>'Income Statement'!AE4</f>
        <v>45473</v>
      </c>
      <c r="AF4" s="48" t="str">
        <f>'Income Statement'!AF4</f>
        <v>Sep-24</v>
      </c>
      <c r="AG4" s="320" t="str">
        <f>'Income Statement'!AG4</f>
        <v>Dec-24</v>
      </c>
      <c r="AH4" s="655" t="str">
        <f>'Income Statement'!AH4</f>
        <v>Mar-25</v>
      </c>
      <c r="AI4" s="48" t="str">
        <f>'Income Statement'!AI4</f>
        <v>Jun-25</v>
      </c>
      <c r="AJ4" s="48" t="str">
        <f>'Income Statement'!AJ4</f>
        <v>Sep-25</v>
      </c>
      <c r="AK4" s="320" t="str">
        <f>'Income Statement'!AK4</f>
        <v>Dec-25</v>
      </c>
      <c r="AL4" s="655" t="str">
        <f>'Income Statement'!AL4</f>
        <v>Mar-26E</v>
      </c>
      <c r="AM4" s="48" t="str">
        <f>'Income Statement'!AM4</f>
        <v>Jun-26E</v>
      </c>
      <c r="AN4" s="48" t="str">
        <f>'Income Statement'!AN4</f>
        <v>Sep-26E</v>
      </c>
      <c r="AO4" s="320" t="str">
        <f>'Income Statement'!AO4</f>
        <v>Dec-26E</v>
      </c>
      <c r="AP4" s="655" t="str">
        <f>'Income Statement'!AP4</f>
        <v>Mar-27E</v>
      </c>
      <c r="AQ4" s="48" t="str">
        <f>'Income Statement'!AQ4</f>
        <v>Jun-27E</v>
      </c>
      <c r="AR4" s="48" t="str">
        <f>'Income Statement'!AR4</f>
        <v>Sep-27E</v>
      </c>
      <c r="AS4" s="320" t="str">
        <f>'Income Statement'!AS4</f>
        <v>Dec-27E</v>
      </c>
      <c r="AT4" s="320"/>
      <c r="AU4" s="1451">
        <f>'Income Statement'!AU4</f>
        <v>2017</v>
      </c>
      <c r="AV4" s="1451">
        <f>'Income Statement'!AV4</f>
        <v>2018</v>
      </c>
      <c r="AW4" s="1451">
        <f>'Income Statement'!AW4</f>
        <v>2019</v>
      </c>
      <c r="AX4" s="1451">
        <f>'Income Statement'!AX4</f>
        <v>2020</v>
      </c>
      <c r="AY4" s="1451" t="str">
        <f>'Income Statement'!AY4</f>
        <v>CY21</v>
      </c>
      <c r="AZ4" s="1451" t="str">
        <f>'Income Statement'!AZ4</f>
        <v>CY22</v>
      </c>
      <c r="BA4" s="1452" t="str">
        <f>'Income Statement'!BA4</f>
        <v>CY23</v>
      </c>
      <c r="BB4" s="1453" t="str">
        <f>'Income Statement'!BB4</f>
        <v>CY24</v>
      </c>
      <c r="BC4" s="1453" t="str">
        <f>'Income Statement'!BC4</f>
        <v>CY25</v>
      </c>
      <c r="BD4" s="1453" t="str">
        <f>'Income Statement'!BD4</f>
        <v>CY26E</v>
      </c>
      <c r="BE4" s="1453" t="str">
        <f>'Income Statement'!BE4</f>
        <v>CY27E</v>
      </c>
      <c r="BG4" s="655">
        <f>R4</f>
        <v>44286</v>
      </c>
      <c r="BH4" s="48">
        <f>S4</f>
        <v>44377</v>
      </c>
      <c r="BI4" s="48">
        <f>T4</f>
        <v>44469</v>
      </c>
      <c r="BJ4" s="320">
        <f>U4</f>
        <v>44561</v>
      </c>
      <c r="BK4" s="48">
        <f>V4</f>
        <v>44651</v>
      </c>
      <c r="BL4" s="48">
        <f>W4</f>
        <v>44742</v>
      </c>
      <c r="BM4" s="48">
        <f>X4</f>
        <v>44834</v>
      </c>
      <c r="BN4" s="320">
        <f>Y4</f>
        <v>44926</v>
      </c>
      <c r="BO4" s="655">
        <f>Z4</f>
        <v>45016</v>
      </c>
      <c r="BP4" s="48">
        <f>AA4</f>
        <v>45107</v>
      </c>
      <c r="BQ4" s="48">
        <f>AB4</f>
        <v>45199</v>
      </c>
      <c r="BR4" s="320">
        <f>AC4</f>
        <v>45291</v>
      </c>
      <c r="BS4" s="655">
        <f>AD4</f>
        <v>45382</v>
      </c>
      <c r="BT4" s="48">
        <f>AE4</f>
        <v>45473</v>
      </c>
      <c r="BU4" s="48" t="str">
        <f>AF4</f>
        <v>Sep-24</v>
      </c>
      <c r="BV4" s="320" t="str">
        <f>AG4</f>
        <v>Dec-24</v>
      </c>
      <c r="BW4" s="655" t="str">
        <f>AH4</f>
        <v>Mar-25</v>
      </c>
      <c r="BX4" s="48" t="str">
        <f>AI4</f>
        <v>Jun-25</v>
      </c>
      <c r="BY4" s="48" t="str">
        <f>AJ4</f>
        <v>Sep-25</v>
      </c>
      <c r="BZ4" s="320" t="str">
        <f>AK4</f>
        <v>Dec-25</v>
      </c>
    </row>
    <row r="5" spans="1:78" ht="12" customHeight="1">
      <c r="A5" s="650" t="s">
        <v>295</v>
      </c>
      <c r="B5" s="559"/>
      <c r="C5" s="559"/>
      <c r="D5" s="559"/>
      <c r="E5" s="1454"/>
      <c r="F5" s="1455"/>
      <c r="G5" s="559"/>
      <c r="H5" s="559"/>
      <c r="I5" s="1454"/>
      <c r="J5" s="1455"/>
      <c r="K5" s="559"/>
      <c r="L5" s="559"/>
      <c r="M5" s="559"/>
      <c r="N5" s="558"/>
      <c r="O5" s="559"/>
      <c r="P5" s="559"/>
      <c r="Q5" s="560"/>
      <c r="R5" s="559"/>
      <c r="S5" s="559"/>
      <c r="T5" s="559"/>
      <c r="U5" s="559"/>
      <c r="V5" s="558"/>
      <c r="W5" s="559"/>
      <c r="X5" s="559"/>
      <c r="Y5" s="560"/>
      <c r="Z5" s="558"/>
      <c r="AA5" s="559"/>
      <c r="AB5" s="559"/>
      <c r="AC5" s="560"/>
      <c r="AD5" s="558"/>
      <c r="AE5" s="559"/>
      <c r="AF5" s="559"/>
      <c r="AG5" s="560"/>
      <c r="AH5" s="558"/>
      <c r="AI5" s="559"/>
      <c r="AJ5" s="559"/>
      <c r="AK5" s="560"/>
      <c r="AL5" s="558"/>
      <c r="AM5" s="559"/>
      <c r="AN5" s="559"/>
      <c r="AO5" s="560"/>
      <c r="AP5" s="558"/>
      <c r="AQ5" s="559"/>
      <c r="AR5" s="559"/>
      <c r="AS5" s="560"/>
      <c r="AT5" s="594"/>
      <c r="AU5" s="1456"/>
      <c r="AV5" s="1457"/>
      <c r="AW5" s="1457"/>
      <c r="AX5" s="1457"/>
      <c r="AY5" s="1457"/>
      <c r="AZ5" s="1458"/>
      <c r="BA5" s="473"/>
      <c r="BB5" s="1459"/>
      <c r="BC5" s="1459"/>
      <c r="BD5" s="1459"/>
      <c r="BE5" s="1459"/>
      <c r="BF5" s="1460"/>
      <c r="BG5" s="288"/>
      <c r="BH5" s="288"/>
      <c r="BI5" s="288"/>
      <c r="BJ5" s="594"/>
      <c r="BK5" s="288"/>
      <c r="BL5" s="288"/>
      <c r="BM5" s="288"/>
      <c r="BN5" s="594"/>
      <c r="BO5" s="1356"/>
      <c r="BP5" s="288"/>
      <c r="BQ5" s="288"/>
      <c r="BR5" s="594"/>
      <c r="BS5" s="1356"/>
      <c r="BT5" s="288"/>
      <c r="BU5" s="288"/>
      <c r="BV5" s="594"/>
      <c r="BW5" s="1356"/>
      <c r="BX5" s="288"/>
      <c r="BY5" s="288"/>
      <c r="BZ5" s="594"/>
    </row>
    <row r="6" spans="1:78" ht="12" customHeight="1">
      <c r="A6" s="139" t="s">
        <v>296</v>
      </c>
      <c r="B6" s="1253">
        <v>-8.8260000000000005</v>
      </c>
      <c r="C6" s="1253">
        <f>-18.04-B6</f>
        <v>-9.2139999999999986</v>
      </c>
      <c r="D6" s="1253">
        <f>-29.353-C6-B6</f>
        <v>-11.313000000000002</v>
      </c>
      <c r="E6" s="1461">
        <f>-41.022-D6-C6-B6</f>
        <v>-11.668999999999997</v>
      </c>
      <c r="F6" s="1235">
        <v>-15.888</v>
      </c>
      <c r="G6" s="1253">
        <f>-33.038-F6</f>
        <v>-17.149999999999999</v>
      </c>
      <c r="H6" s="1253">
        <f>-53.907-SUM(F6:G6)</f>
        <v>-20.869</v>
      </c>
      <c r="I6" s="1461">
        <f>-73.521-H6-G6-F6</f>
        <v>-19.614000000000004</v>
      </c>
      <c r="J6" s="1235">
        <v>-21.44</v>
      </c>
      <c r="K6" s="1253">
        <f>-43.068-J6</f>
        <v>-21.627999999999997</v>
      </c>
      <c r="L6" s="1253">
        <f>-60.708-SUM(J6:K6)</f>
        <v>-17.64</v>
      </c>
      <c r="M6" s="1253">
        <f>-99.013-SUM(J6:L6)</f>
        <v>-38.305000000000007</v>
      </c>
      <c r="N6" s="1255">
        <v>-22.977</v>
      </c>
      <c r="O6" s="1253">
        <f>-34.937-N6</f>
        <v>-11.959999999999997</v>
      </c>
      <c r="P6" s="1253">
        <f>-40.795-O6-N6</f>
        <v>-5.8580000000000041</v>
      </c>
      <c r="Q6" s="1461">
        <f>-42.731-SUM(N6:P6)</f>
        <v>-1.9359999999999999</v>
      </c>
      <c r="R6" s="1253">
        <f>BG6</f>
        <v>-7.7480000000000002</v>
      </c>
      <c r="S6" s="1253">
        <f>BH6-BG6</f>
        <v>-11.637999999999998</v>
      </c>
      <c r="T6" s="1253">
        <f t="shared" ref="T6:U10" si="0">BI6-BH6</f>
        <v>-16.245999999999999</v>
      </c>
      <c r="U6" s="1461">
        <f t="shared" si="0"/>
        <v>-11.045000000000002</v>
      </c>
      <c r="V6" s="1253">
        <f>BK6</f>
        <v>-24.506</v>
      </c>
      <c r="W6" s="1253">
        <f>BL6-BK6</f>
        <v>-27.499000000000002</v>
      </c>
      <c r="X6" s="1253">
        <f>BM6-BL6</f>
        <v>-18.729999999999997</v>
      </c>
      <c r="Y6" s="1461">
        <f t="shared" ref="Y6:Y10" si="1">BN6-BM6</f>
        <v>-21.486999999999995</v>
      </c>
      <c r="Z6" s="1255">
        <f>BO6</f>
        <v>-25.097000000000001</v>
      </c>
      <c r="AA6" s="1253">
        <f>BP6-BO6</f>
        <v>-15.973999999999997</v>
      </c>
      <c r="AB6" s="1253">
        <f>BQ6-BP6</f>
        <v>-15.565000000000005</v>
      </c>
      <c r="AC6" s="1461">
        <f t="shared" ref="AC6:AC19" si="2">BR6-BQ6</f>
        <v>-21.648000000000003</v>
      </c>
      <c r="AD6" s="1255">
        <f t="shared" ref="AD6:AD19" si="3">BS6</f>
        <v>-14.385999999999999</v>
      </c>
      <c r="AE6" s="1253">
        <f t="shared" ref="AE6:AK10" si="4">BT6-BS6</f>
        <v>-14.571999999999999</v>
      </c>
      <c r="AF6" s="1253">
        <f t="shared" si="4"/>
        <v>-9.2109999999999985</v>
      </c>
      <c r="AG6" s="1253">
        <f t="shared" si="4"/>
        <v>1.867999999999995</v>
      </c>
      <c r="AH6" s="1255">
        <f t="shared" ref="AH6:AH19" si="5">BW6</f>
        <v>-22.934999999999999</v>
      </c>
      <c r="AI6" s="1253">
        <f t="shared" si="4"/>
        <v>-14.706</v>
      </c>
      <c r="AJ6" s="1253">
        <f t="shared" si="4"/>
        <v>2.259999999999998</v>
      </c>
      <c r="AK6" s="1253">
        <f t="shared" si="4"/>
        <v>-0.73700000000000188</v>
      </c>
      <c r="AL6" s="1255">
        <f>'Income Statement'!AL99</f>
        <v>-16.964041178964166</v>
      </c>
      <c r="AM6" s="1253">
        <f>'Income Statement'!AM99</f>
        <v>-11.691935053096008</v>
      </c>
      <c r="AN6" s="1253">
        <f>'Income Statement'!AN99</f>
        <v>7.0317379032612592E-2</v>
      </c>
      <c r="AO6" s="1461">
        <f>'Income Statement'!AO99</f>
        <v>3.3324622449040979</v>
      </c>
      <c r="AP6" s="1255">
        <f>'Income Statement'!AP99</f>
        <v>-17.846869749907533</v>
      </c>
      <c r="AQ6" s="1253">
        <f>'Income Statement'!AQ99</f>
        <v>-9.0722846675737543</v>
      </c>
      <c r="AR6" s="1253">
        <f>'Income Statement'!AR99</f>
        <v>3.4749053005565234</v>
      </c>
      <c r="AS6" s="1461">
        <f>'Income Statement'!AS99</f>
        <v>6.9987382838528474</v>
      </c>
      <c r="AT6" s="594"/>
      <c r="AU6" s="1462">
        <f t="shared" ref="AU6" si="6">SUM(B6:E6)</f>
        <v>-41.021999999999998</v>
      </c>
      <c r="AV6" s="1463">
        <f t="shared" ref="AV6" si="7">SUM(F6:I6)</f>
        <v>-73.521000000000001</v>
      </c>
      <c r="AW6" s="1463">
        <f t="shared" ref="AW6" si="8">SUM(J6:M6)</f>
        <v>-99.013000000000005</v>
      </c>
      <c r="AX6" s="1463">
        <f t="shared" ref="AX6" si="9">SUM(N6:Q6)</f>
        <v>-42.731000000000002</v>
      </c>
      <c r="AY6" s="1463">
        <f t="shared" ref="AY6" si="10">SUM(R6:U6)</f>
        <v>-46.677</v>
      </c>
      <c r="AZ6" s="1464">
        <f>SUM(V6:Y6)</f>
        <v>-92.221999999999994</v>
      </c>
      <c r="BA6" s="1465">
        <f>SUM(Z6:AC6)</f>
        <v>-78.284000000000006</v>
      </c>
      <c r="BB6" s="1466">
        <f>SUM(AD6:AG6)</f>
        <v>-36.301000000000002</v>
      </c>
      <c r="BC6" s="1466">
        <f>SUM(AH6:AK6)</f>
        <v>-36.118000000000002</v>
      </c>
      <c r="BD6" s="1466">
        <f>SUM(AL6:AO6)</f>
        <v>-25.253196608123467</v>
      </c>
      <c r="BE6" s="1466">
        <f>SUM(AP6:AS6)</f>
        <v>-16.445510833071918</v>
      </c>
      <c r="BF6" s="1467"/>
      <c r="BG6" s="1253">
        <v>-7.7480000000000002</v>
      </c>
      <c r="BH6" s="1231">
        <v>-19.385999999999999</v>
      </c>
      <c r="BI6" s="1231">
        <v>-35.631999999999998</v>
      </c>
      <c r="BJ6" s="1232">
        <v>-46.677</v>
      </c>
      <c r="BK6" s="1253">
        <v>-24.506</v>
      </c>
      <c r="BL6" s="1231">
        <v>-52.005000000000003</v>
      </c>
      <c r="BM6" s="1231">
        <v>-70.734999999999999</v>
      </c>
      <c r="BN6" s="1232">
        <v>-92.221999999999994</v>
      </c>
      <c r="BO6" s="1233">
        <v>-25.097000000000001</v>
      </c>
      <c r="BP6" s="1231">
        <v>-41.070999999999998</v>
      </c>
      <c r="BQ6" s="1231">
        <v>-56.636000000000003</v>
      </c>
      <c r="BR6" s="1232">
        <v>-78.284000000000006</v>
      </c>
      <c r="BS6" s="1233">
        <v>-14.385999999999999</v>
      </c>
      <c r="BT6" s="1231">
        <v>-28.957999999999998</v>
      </c>
      <c r="BU6" s="1231">
        <v>-38.168999999999997</v>
      </c>
      <c r="BV6" s="1232">
        <f>-36.301</f>
        <v>-36.301000000000002</v>
      </c>
      <c r="BW6" s="1233">
        <v>-22.934999999999999</v>
      </c>
      <c r="BX6" s="1231">
        <v>-37.640999999999998</v>
      </c>
      <c r="BY6" s="1231">
        <v>-35.381</v>
      </c>
      <c r="BZ6" s="1232">
        <v>-36.118000000000002</v>
      </c>
    </row>
    <row r="7" spans="1:78" ht="12" customHeight="1">
      <c r="A7" s="139" t="s">
        <v>297</v>
      </c>
      <c r="B7" s="1253">
        <v>9.6000000000000002E-2</v>
      </c>
      <c r="C7" s="1253">
        <f>0.318-B7</f>
        <v>0.222</v>
      </c>
      <c r="D7" s="1253">
        <f>0.486-C7-B7</f>
        <v>0.16800000000000001</v>
      </c>
      <c r="E7" s="1254">
        <f>-0.873-D7-C7-B7</f>
        <v>-1.359</v>
      </c>
      <c r="F7" s="1235">
        <v>0</v>
      </c>
      <c r="G7" s="1253">
        <v>0</v>
      </c>
      <c r="H7" s="1253">
        <v>0</v>
      </c>
      <c r="I7" s="1254">
        <v>0</v>
      </c>
      <c r="J7" s="1235">
        <v>0</v>
      </c>
      <c r="K7" s="1253">
        <v>0</v>
      </c>
      <c r="L7" s="1253">
        <v>0</v>
      </c>
      <c r="M7" s="1254">
        <v>0</v>
      </c>
      <c r="N7" s="1255">
        <v>4.1000000000000002E-2</v>
      </c>
      <c r="O7" s="1253">
        <f>0-N7</f>
        <v>-4.1000000000000002E-2</v>
      </c>
      <c r="P7" s="1253">
        <f>0-O7-N7</f>
        <v>0</v>
      </c>
      <c r="Q7" s="1254">
        <f>0.161-SUM(N7:P7)</f>
        <v>0.161</v>
      </c>
      <c r="R7" s="1253">
        <f>BG7</f>
        <v>0</v>
      </c>
      <c r="S7" s="1253">
        <f>BH7-BG7</f>
        <v>0</v>
      </c>
      <c r="T7" s="1253">
        <f>BI7-BH7</f>
        <v>0</v>
      </c>
      <c r="U7" s="1232">
        <f>BJ7-BI7</f>
        <v>-10.468</v>
      </c>
      <c r="V7" s="1253">
        <f>BK7</f>
        <v>0</v>
      </c>
      <c r="W7" s="1253">
        <f>BL7-BK7</f>
        <v>0</v>
      </c>
      <c r="X7" s="1253">
        <f>BM7-BL7</f>
        <v>0</v>
      </c>
      <c r="Y7" s="1232">
        <f>BN7-BM7</f>
        <v>-2.7810000000000001</v>
      </c>
      <c r="Z7" s="1233">
        <f>BO7</f>
        <v>0</v>
      </c>
      <c r="AA7" s="1253">
        <f>BP7-BO7</f>
        <v>0</v>
      </c>
      <c r="AB7" s="1253">
        <f>BQ7-BP7</f>
        <v>0</v>
      </c>
      <c r="AC7" s="1232">
        <f t="shared" si="2"/>
        <v>0.26500000000000001</v>
      </c>
      <c r="AD7" s="1233">
        <f t="shared" si="3"/>
        <v>0</v>
      </c>
      <c r="AE7" s="1253">
        <f t="shared" si="4"/>
        <v>0</v>
      </c>
      <c r="AF7" s="1253">
        <f t="shared" si="4"/>
        <v>0</v>
      </c>
      <c r="AG7" s="1253">
        <f t="shared" si="4"/>
        <v>0</v>
      </c>
      <c r="AH7" s="1233">
        <f t="shared" si="5"/>
        <v>0</v>
      </c>
      <c r="AI7" s="1253">
        <f t="shared" si="4"/>
        <v>0</v>
      </c>
      <c r="AJ7" s="1253">
        <f t="shared" si="4"/>
        <v>0</v>
      </c>
      <c r="AK7" s="1253">
        <f t="shared" si="4"/>
        <v>0</v>
      </c>
      <c r="AL7" s="1233">
        <v>0</v>
      </c>
      <c r="AM7" s="1231">
        <v>0</v>
      </c>
      <c r="AN7" s="1231">
        <v>0</v>
      </c>
      <c r="AO7" s="1232">
        <v>0</v>
      </c>
      <c r="AP7" s="1233">
        <v>0</v>
      </c>
      <c r="AQ7" s="1231">
        <v>0</v>
      </c>
      <c r="AR7" s="1231">
        <v>0</v>
      </c>
      <c r="AS7" s="1232">
        <v>0</v>
      </c>
      <c r="AT7" s="1468"/>
      <c r="AU7" s="1462">
        <f>SUM(B7:E7)</f>
        <v>-0.873</v>
      </c>
      <c r="AV7" s="1463">
        <f>SUM(F7:I7)</f>
        <v>0</v>
      </c>
      <c r="AW7" s="1463">
        <f>SUM(J7:M7)</f>
        <v>0</v>
      </c>
      <c r="AX7" s="1463">
        <f>SUM(N7:Q7)</f>
        <v>0.161</v>
      </c>
      <c r="AY7" s="1463">
        <f>SUM(R7:U7)</f>
        <v>-10.468</v>
      </c>
      <c r="AZ7" s="1464">
        <f>SUM(V7:Y7)</f>
        <v>-2.7810000000000001</v>
      </c>
      <c r="BA7" s="1465">
        <f>SUM(Z7:AC7)</f>
        <v>0.26500000000000001</v>
      </c>
      <c r="BB7" s="1466">
        <f>SUM(AD7:AG7)</f>
        <v>0</v>
      </c>
      <c r="BC7" s="1466">
        <f t="shared" ref="BC7:BC10" si="11">SUM(AH7:AK7)</f>
        <v>0</v>
      </c>
      <c r="BD7" s="1466">
        <f t="shared" ref="BD7:BD10" si="12">SUM(AL7:AO7)</f>
        <v>0</v>
      </c>
      <c r="BE7" s="1466">
        <f>SUM(AP7:AS7)</f>
        <v>0</v>
      </c>
      <c r="BF7" s="1467"/>
      <c r="BG7" s="1253">
        <v>0</v>
      </c>
      <c r="BH7" s="1350">
        <v>0</v>
      </c>
      <c r="BI7" s="1231">
        <v>0</v>
      </c>
      <c r="BJ7" s="1232">
        <v>-10.468</v>
      </c>
      <c r="BK7" s="1253">
        <v>0</v>
      </c>
      <c r="BL7" s="1350">
        <v>0</v>
      </c>
      <c r="BM7" s="1231">
        <v>0</v>
      </c>
      <c r="BN7" s="1232">
        <v>-2.7810000000000001</v>
      </c>
      <c r="BO7" s="1233">
        <v>0</v>
      </c>
      <c r="BP7" s="1231">
        <v>0</v>
      </c>
      <c r="BQ7" s="1231">
        <v>0</v>
      </c>
      <c r="BR7" s="1232">
        <v>0.26500000000000001</v>
      </c>
      <c r="BS7" s="1233">
        <v>0</v>
      </c>
      <c r="BT7" s="1231">
        <v>0</v>
      </c>
      <c r="BU7" s="1231">
        <v>0</v>
      </c>
      <c r="BV7" s="1232">
        <v>0</v>
      </c>
      <c r="BW7" s="1233">
        <v>0</v>
      </c>
      <c r="BX7" s="1231">
        <v>0</v>
      </c>
      <c r="BY7" s="1231">
        <v>0</v>
      </c>
      <c r="BZ7" s="1232">
        <v>0</v>
      </c>
    </row>
    <row r="8" spans="1:78" ht="12" customHeight="1">
      <c r="A8" s="139" t="s">
        <v>298</v>
      </c>
      <c r="B8" s="1253">
        <v>1.036</v>
      </c>
      <c r="C8" s="1253">
        <f>2.121-B8</f>
        <v>1.085</v>
      </c>
      <c r="D8" s="1253">
        <f>3.316-C8-B8</f>
        <v>1.1949999999999998</v>
      </c>
      <c r="E8" s="1254">
        <f>4.692-D8-C8-B8</f>
        <v>1.3760000000000003</v>
      </c>
      <c r="F8" s="1235">
        <v>1.454</v>
      </c>
      <c r="G8" s="1253">
        <f>2.994-F8</f>
        <v>1.5400000000000003</v>
      </c>
      <c r="H8" s="1253">
        <f>4.58-SUM(F8:G8)</f>
        <v>1.5859999999999999</v>
      </c>
      <c r="I8" s="1254">
        <f>6.192-H8-G8-F8</f>
        <v>1.6119999999999999</v>
      </c>
      <c r="J8" s="1235">
        <v>1.6220000000000001</v>
      </c>
      <c r="K8" s="1253">
        <f>3.089-J8</f>
        <v>1.4669999999999999</v>
      </c>
      <c r="L8" s="1253">
        <f>4.604-K8-J8</f>
        <v>1.5150000000000003</v>
      </c>
      <c r="M8" s="1253">
        <f>6.88-SUM(J8:L8)</f>
        <v>2.2759999999999998</v>
      </c>
      <c r="N8" s="1255">
        <v>2.6779999999999999</v>
      </c>
      <c r="O8" s="1253">
        <f>5.268-N8</f>
        <v>2.59</v>
      </c>
      <c r="P8" s="1253">
        <f>7.98-O8-N8</f>
        <v>2.7120000000000006</v>
      </c>
      <c r="Q8" s="1254">
        <f>10.633-SUM(N8:P8)</f>
        <v>2.6529999999999987</v>
      </c>
      <c r="R8" s="1253">
        <f t="shared" ref="R8:R10" si="13">BG8</f>
        <v>2.8159999999999998</v>
      </c>
      <c r="S8" s="1253">
        <f t="shared" ref="S8:S10" si="14">BH8-BG8</f>
        <v>3.9910000000000005</v>
      </c>
      <c r="T8" s="1253">
        <f t="shared" si="0"/>
        <v>4.3159999999999989</v>
      </c>
      <c r="U8" s="1254">
        <f t="shared" si="0"/>
        <v>5.0470000000000024</v>
      </c>
      <c r="V8" s="1253">
        <f t="shared" ref="V8:V10" si="15">BK8</f>
        <v>4.8959999999999999</v>
      </c>
      <c r="W8" s="1253">
        <f t="shared" ref="W8:X10" si="16">BL8-BK8</f>
        <v>5.2450000000000001</v>
      </c>
      <c r="X8" s="1253">
        <f t="shared" si="16"/>
        <v>5.77</v>
      </c>
      <c r="Y8" s="1254">
        <f t="shared" si="1"/>
        <v>6.2829999999999995</v>
      </c>
      <c r="Z8" s="1255">
        <f t="shared" ref="Z8:Z10" si="17">BO8</f>
        <v>6.3650000000000002</v>
      </c>
      <c r="AA8" s="1253">
        <f t="shared" ref="AA8:AB10" si="18">BP8-BO8</f>
        <v>6.2590000000000003</v>
      </c>
      <c r="AB8" s="1253">
        <f t="shared" si="18"/>
        <v>6.275999999999998</v>
      </c>
      <c r="AC8" s="1254">
        <f t="shared" si="2"/>
        <v>8.208000000000002</v>
      </c>
      <c r="AD8" s="1255">
        <f t="shared" si="3"/>
        <v>8.2319999999999993</v>
      </c>
      <c r="AE8" s="1253">
        <f t="shared" si="4"/>
        <v>7.6320000000000014</v>
      </c>
      <c r="AF8" s="1253">
        <f t="shared" si="4"/>
        <v>8.57</v>
      </c>
      <c r="AG8" s="1253">
        <f t="shared" si="4"/>
        <v>8.7750000000000021</v>
      </c>
      <c r="AH8" s="1255">
        <f t="shared" si="5"/>
        <v>9.8539999999999992</v>
      </c>
      <c r="AI8" s="1253">
        <f t="shared" si="4"/>
        <v>10.826000000000001</v>
      </c>
      <c r="AJ8" s="1253">
        <f t="shared" si="4"/>
        <v>11.137</v>
      </c>
      <c r="AK8" s="1253">
        <f t="shared" si="4"/>
        <v>10.137999999999998</v>
      </c>
      <c r="AL8" s="1255">
        <f t="shared" ref="AL8:AS8" si="19">AL76</f>
        <v>11.242696992057521</v>
      </c>
      <c r="AM8" s="1253">
        <f t="shared" si="19"/>
        <v>11.362936499465221</v>
      </c>
      <c r="AN8" s="1253">
        <f t="shared" si="19"/>
        <v>11.418322666277136</v>
      </c>
      <c r="AO8" s="1254">
        <f t="shared" si="19"/>
        <v>11.567403870226588</v>
      </c>
      <c r="AP8" s="1255">
        <f t="shared" si="19"/>
        <v>11.536665752093993</v>
      </c>
      <c r="AQ8" s="1253">
        <f t="shared" si="19"/>
        <v>11.66448712458719</v>
      </c>
      <c r="AR8" s="1253">
        <f t="shared" si="19"/>
        <v>11.722800097226125</v>
      </c>
      <c r="AS8" s="1254">
        <f t="shared" si="19"/>
        <v>11.881430408658694</v>
      </c>
      <c r="AT8" s="1468"/>
      <c r="AU8" s="1462">
        <f t="shared" ref="AU8:AU10" si="20">SUM(B8:E8)</f>
        <v>4.6920000000000002</v>
      </c>
      <c r="AV8" s="1463">
        <f t="shared" ref="AV8:AV10" si="21">SUM(F8:I8)</f>
        <v>6.1920000000000002</v>
      </c>
      <c r="AW8" s="1463">
        <f t="shared" ref="AW8:AW10" si="22">SUM(J8:M8)</f>
        <v>6.88</v>
      </c>
      <c r="AX8" s="1463">
        <f t="shared" ref="AX8:AX10" si="23">SUM(N8:Q8)</f>
        <v>10.632999999999999</v>
      </c>
      <c r="AY8" s="1463">
        <f t="shared" ref="AY8:AY10" si="24">SUM(R8:U8)</f>
        <v>16.170000000000002</v>
      </c>
      <c r="AZ8" s="1464">
        <f t="shared" ref="AZ8:AZ10" si="25">SUM(V8:Y8)</f>
        <v>22.193999999999999</v>
      </c>
      <c r="BA8" s="1465">
        <f t="shared" ref="BA8:BA10" si="26">SUM(Z8:AC8)</f>
        <v>27.108000000000001</v>
      </c>
      <c r="BB8" s="1466">
        <f t="shared" ref="BB8:BB10" si="27">SUM(AD8:AG8)</f>
        <v>33.209000000000003</v>
      </c>
      <c r="BC8" s="1466">
        <f t="shared" si="11"/>
        <v>41.954999999999998</v>
      </c>
      <c r="BD8" s="1466">
        <f t="shared" si="12"/>
        <v>45.591360028026472</v>
      </c>
      <c r="BE8" s="1466">
        <f>SUM(AP8:AS8)</f>
        <v>46.805383382566006</v>
      </c>
      <c r="BF8" s="1467"/>
      <c r="BG8" s="1253">
        <v>2.8159999999999998</v>
      </c>
      <c r="BH8" s="1231">
        <v>6.8070000000000004</v>
      </c>
      <c r="BI8" s="1231">
        <v>11.122999999999999</v>
      </c>
      <c r="BJ8" s="1232">
        <v>16.170000000000002</v>
      </c>
      <c r="BK8" s="1253">
        <v>4.8959999999999999</v>
      </c>
      <c r="BL8" s="1231">
        <v>10.141</v>
      </c>
      <c r="BM8" s="1231">
        <v>15.911</v>
      </c>
      <c r="BN8" s="1232">
        <v>22.193999999999999</v>
      </c>
      <c r="BO8" s="1233">
        <v>6.3650000000000002</v>
      </c>
      <c r="BP8" s="1231">
        <v>12.624000000000001</v>
      </c>
      <c r="BQ8" s="1231">
        <v>18.899999999999999</v>
      </c>
      <c r="BR8" s="1232">
        <v>27.108000000000001</v>
      </c>
      <c r="BS8" s="1233">
        <v>8.2319999999999993</v>
      </c>
      <c r="BT8" s="1231">
        <v>15.864000000000001</v>
      </c>
      <c r="BU8" s="1231">
        <v>24.434000000000001</v>
      </c>
      <c r="BV8" s="1232">
        <v>33.209000000000003</v>
      </c>
      <c r="BW8" s="1233">
        <v>9.8539999999999992</v>
      </c>
      <c r="BX8" s="1231">
        <v>20.68</v>
      </c>
      <c r="BY8" s="1231">
        <v>31.817</v>
      </c>
      <c r="BZ8" s="1232">
        <v>41.954999999999998</v>
      </c>
    </row>
    <row r="9" spans="1:78" ht="12" customHeight="1">
      <c r="A9" s="139" t="s">
        <v>299</v>
      </c>
      <c r="B9" s="1253">
        <v>1.6259999999999999</v>
      </c>
      <c r="C9" s="1253">
        <f>3.475-B9</f>
        <v>1.8490000000000002</v>
      </c>
      <c r="D9" s="1253">
        <f>5.503-C9-B9</f>
        <v>2.028</v>
      </c>
      <c r="E9" s="1254">
        <f>7.76-D9-C9-B9</f>
        <v>2.2569999999999992</v>
      </c>
      <c r="F9" s="1235">
        <v>2.399</v>
      </c>
      <c r="G9" s="1253">
        <f>5.423-F9</f>
        <v>3.024</v>
      </c>
      <c r="H9" s="1253">
        <f>14.206-G9-F9</f>
        <v>8.7829999999999977</v>
      </c>
      <c r="I9" s="1254">
        <f>22.875-H9-G9-F9</f>
        <v>8.6690000000000005</v>
      </c>
      <c r="J9" s="1235">
        <v>9.3190000000000008</v>
      </c>
      <c r="K9" s="1253">
        <f>20.692-J9</f>
        <v>11.372999999999999</v>
      </c>
      <c r="L9" s="1253">
        <f>31.191-K9-J9</f>
        <v>10.498999999999997</v>
      </c>
      <c r="M9" s="1253">
        <f>41.61-SUM(J9:L9)</f>
        <v>10.419000000000004</v>
      </c>
      <c r="N9" s="1255">
        <v>13.035</v>
      </c>
      <c r="O9" s="1253">
        <f>28.701-N9</f>
        <v>15.666</v>
      </c>
      <c r="P9" s="1253">
        <f>44.001-O9-N9</f>
        <v>15.299999999999997</v>
      </c>
      <c r="Q9" s="1254">
        <f>59.573-SUM(N9:P9)</f>
        <v>15.572000000000003</v>
      </c>
      <c r="R9" s="1253">
        <f t="shared" si="13"/>
        <v>16.952000000000002</v>
      </c>
      <c r="S9" s="1253">
        <f t="shared" si="14"/>
        <v>20.468999999999998</v>
      </c>
      <c r="T9" s="1253">
        <f t="shared" si="0"/>
        <v>20.911999999999999</v>
      </c>
      <c r="U9" s="1254">
        <f t="shared" si="0"/>
        <v>21.072000000000003</v>
      </c>
      <c r="V9" s="1253">
        <f t="shared" si="15"/>
        <v>25.398</v>
      </c>
      <c r="W9" s="1253">
        <f t="shared" si="16"/>
        <v>31.913</v>
      </c>
      <c r="X9" s="1253">
        <f t="shared" si="16"/>
        <v>32.642999999999994</v>
      </c>
      <c r="Y9" s="1254">
        <f t="shared" si="1"/>
        <v>30.679000000000002</v>
      </c>
      <c r="Z9" s="1255">
        <f t="shared" si="17"/>
        <v>34.116999999999997</v>
      </c>
      <c r="AA9" s="1253">
        <f t="shared" si="18"/>
        <v>37.860000000000007</v>
      </c>
      <c r="AB9" s="1253">
        <f t="shared" si="18"/>
        <v>36.834999999999994</v>
      </c>
      <c r="AC9" s="1254">
        <f t="shared" si="2"/>
        <v>36.515000000000001</v>
      </c>
      <c r="AD9" s="1255">
        <f t="shared" si="3"/>
        <v>39.719000000000001</v>
      </c>
      <c r="AE9" s="1253">
        <f t="shared" si="4"/>
        <v>41.398000000000003</v>
      </c>
      <c r="AF9" s="1253">
        <f t="shared" si="4"/>
        <v>41.683999999999997</v>
      </c>
      <c r="AG9" s="1254">
        <f t="shared" si="4"/>
        <v>40.713999999999984</v>
      </c>
      <c r="AH9" s="1255">
        <f t="shared" si="5"/>
        <v>55.902999999999999</v>
      </c>
      <c r="AI9" s="1253">
        <f t="shared" si="4"/>
        <v>46.526000000000003</v>
      </c>
      <c r="AJ9" s="1253">
        <f t="shared" si="4"/>
        <v>44.882000000000005</v>
      </c>
      <c r="AK9" s="1254">
        <f t="shared" si="4"/>
        <v>44.501999999999981</v>
      </c>
      <c r="AL9" s="1255">
        <f>'Income Statement'!AL82</f>
        <v>54.299024850000002</v>
      </c>
      <c r="AM9" s="1253">
        <f>'Income Statement'!AM82</f>
        <v>47.796576299999998</v>
      </c>
      <c r="AN9" s="1253">
        <f>'Income Statement'!AN82</f>
        <v>48.374464500000002</v>
      </c>
      <c r="AO9" s="1254">
        <f>'Income Statement'!AO82</f>
        <v>49.929947999999989</v>
      </c>
      <c r="AP9" s="1255">
        <f>'Income Statement'!AP82</f>
        <v>57.877438051965001</v>
      </c>
      <c r="AQ9" s="1253">
        <f>'Income Statement'!AQ82</f>
        <v>50.942895281639991</v>
      </c>
      <c r="AR9" s="1253">
        <f>'Income Statement'!AR82</f>
        <v>51.551321188950013</v>
      </c>
      <c r="AS9" s="1254">
        <f>'Income Statement'!AS82</f>
        <v>53.206438168800005</v>
      </c>
      <c r="AT9" s="1468"/>
      <c r="AU9" s="1462">
        <f t="shared" si="20"/>
        <v>7.76</v>
      </c>
      <c r="AV9" s="1463">
        <f t="shared" si="21"/>
        <v>22.875</v>
      </c>
      <c r="AW9" s="1463">
        <f t="shared" si="22"/>
        <v>41.61</v>
      </c>
      <c r="AX9" s="1463">
        <f t="shared" si="23"/>
        <v>59.573</v>
      </c>
      <c r="AY9" s="1463">
        <f t="shared" si="24"/>
        <v>79.405000000000001</v>
      </c>
      <c r="AZ9" s="1464">
        <f t="shared" si="25"/>
        <v>120.633</v>
      </c>
      <c r="BA9" s="1465">
        <f t="shared" si="26"/>
        <v>145.327</v>
      </c>
      <c r="BB9" s="1466">
        <f t="shared" si="27"/>
        <v>163.51499999999999</v>
      </c>
      <c r="BC9" s="1466">
        <f t="shared" si="11"/>
        <v>191.81299999999999</v>
      </c>
      <c r="BD9" s="1466">
        <f t="shared" si="12"/>
        <v>200.40001364999998</v>
      </c>
      <c r="BE9" s="1466">
        <f>SUM(AP9:AS9)</f>
        <v>213.57809269135498</v>
      </c>
      <c r="BF9" s="1467"/>
      <c r="BG9" s="1253">
        <v>16.952000000000002</v>
      </c>
      <c r="BH9" s="1231">
        <v>37.420999999999999</v>
      </c>
      <c r="BI9" s="1231">
        <v>58.332999999999998</v>
      </c>
      <c r="BJ9" s="1232">
        <v>79.405000000000001</v>
      </c>
      <c r="BK9" s="1253">
        <v>25.398</v>
      </c>
      <c r="BL9" s="1231">
        <v>57.311</v>
      </c>
      <c r="BM9" s="1231">
        <v>89.953999999999994</v>
      </c>
      <c r="BN9" s="1232">
        <v>120.633</v>
      </c>
      <c r="BO9" s="1233">
        <v>34.116999999999997</v>
      </c>
      <c r="BP9" s="1231">
        <v>71.977000000000004</v>
      </c>
      <c r="BQ9" s="1231">
        <v>108.812</v>
      </c>
      <c r="BR9" s="1232">
        <v>145.327</v>
      </c>
      <c r="BS9" s="1233">
        <v>39.719000000000001</v>
      </c>
      <c r="BT9" s="1231">
        <v>81.117000000000004</v>
      </c>
      <c r="BU9" s="1231">
        <v>122.801</v>
      </c>
      <c r="BV9" s="1232">
        <v>163.51499999999999</v>
      </c>
      <c r="BW9" s="1233">
        <v>55.902999999999999</v>
      </c>
      <c r="BX9" s="1231">
        <v>102.429</v>
      </c>
      <c r="BY9" s="1231">
        <v>147.31100000000001</v>
      </c>
      <c r="BZ9" s="1232">
        <v>191.81299999999999</v>
      </c>
    </row>
    <row r="10" spans="1:78" ht="11.65">
      <c r="A10" s="915" t="s">
        <v>300</v>
      </c>
      <c r="B10" s="1253">
        <v>-0.01</v>
      </c>
      <c r="C10" s="1253">
        <f>-0.039-B10</f>
        <v>-2.8999999999999998E-2</v>
      </c>
      <c r="D10" s="1253">
        <f>0.023-C10-B10</f>
        <v>6.2E-2</v>
      </c>
      <c r="E10" s="1254">
        <f>0.125-D10-C10-B10</f>
        <v>0.10199999999999999</v>
      </c>
      <c r="F10" s="1235">
        <v>0.08</v>
      </c>
      <c r="G10" s="1253">
        <f>0.664-F10</f>
        <v>0.58400000000000007</v>
      </c>
      <c r="H10" s="1253">
        <f>0.771-G10-F10</f>
        <v>0.10699999999999994</v>
      </c>
      <c r="I10" s="1254">
        <f>0.533-H10-G10-F10</f>
        <v>-0.23799999999999999</v>
      </c>
      <c r="J10" s="1235">
        <v>-0.28399999999999997</v>
      </c>
      <c r="K10" s="1253">
        <f>-1.022-J10</f>
        <v>-0.73799999999999999</v>
      </c>
      <c r="L10" s="1253">
        <f>-0.787-K10-J10</f>
        <v>0.23499999999999993</v>
      </c>
      <c r="M10" s="1254">
        <f>3.459-SUM(J10:L10)</f>
        <v>4.2460000000000004</v>
      </c>
      <c r="N10" s="1255">
        <v>0.47399999999999998</v>
      </c>
      <c r="O10" s="1253">
        <f>0.606-N10</f>
        <v>0.13200000000000001</v>
      </c>
      <c r="P10" s="1253">
        <f>1.009-O10-N10</f>
        <v>0.40299999999999991</v>
      </c>
      <c r="Q10" s="1254">
        <f>1.071-SUM(N10:P10)</f>
        <v>6.2000000000000055E-2</v>
      </c>
      <c r="R10" s="1253">
        <f t="shared" si="13"/>
        <v>0.313</v>
      </c>
      <c r="S10" s="421">
        <f t="shared" si="14"/>
        <v>-0.58099999999999996</v>
      </c>
      <c r="T10" s="421">
        <f t="shared" si="0"/>
        <v>1.1000000000000001</v>
      </c>
      <c r="U10" s="1232">
        <f t="shared" si="0"/>
        <v>3.0830000000000002</v>
      </c>
      <c r="V10" s="1253">
        <f t="shared" si="15"/>
        <v>1.323</v>
      </c>
      <c r="W10" s="421">
        <f t="shared" si="16"/>
        <v>-0.65799999999999992</v>
      </c>
      <c r="X10" s="421">
        <f t="shared" si="16"/>
        <v>1.4369999999999998</v>
      </c>
      <c r="Y10" s="1232">
        <f t="shared" si="1"/>
        <v>3.4019999999999997</v>
      </c>
      <c r="Z10" s="1233">
        <f t="shared" si="17"/>
        <v>-1.556</v>
      </c>
      <c r="AA10" s="421">
        <f t="shared" si="18"/>
        <v>-1.2389999999999999</v>
      </c>
      <c r="AB10" s="421">
        <f t="shared" si="18"/>
        <v>4.633</v>
      </c>
      <c r="AC10" s="1232">
        <f t="shared" si="2"/>
        <v>-1.3630000000000007</v>
      </c>
      <c r="AD10" s="1233">
        <f t="shared" si="3"/>
        <v>-0.34399999999999986</v>
      </c>
      <c r="AE10" s="421">
        <f t="shared" si="4"/>
        <v>3.3399999999999994</v>
      </c>
      <c r="AF10" s="421">
        <f t="shared" si="4"/>
        <v>-0.92999999999999972</v>
      </c>
      <c r="AG10" s="1469">
        <f t="shared" si="4"/>
        <v>1.2749999999999995</v>
      </c>
      <c r="AH10" s="1233">
        <f t="shared" si="5"/>
        <v>0.14800000000000002</v>
      </c>
      <c r="AI10" s="421">
        <f t="shared" si="4"/>
        <v>7.9999999999999738E-2</v>
      </c>
      <c r="AJ10" s="421">
        <f t="shared" si="4"/>
        <v>1.0678000000000001</v>
      </c>
      <c r="AK10" s="1469">
        <f t="shared" si="4"/>
        <v>0.88920000000000021</v>
      </c>
      <c r="AL10" s="1233">
        <v>0</v>
      </c>
      <c r="AM10" s="1231">
        <v>0</v>
      </c>
      <c r="AN10" s="1231">
        <v>0</v>
      </c>
      <c r="AO10" s="1232">
        <v>0</v>
      </c>
      <c r="AP10" s="1233">
        <v>0</v>
      </c>
      <c r="AQ10" s="1231">
        <v>0</v>
      </c>
      <c r="AR10" s="1231">
        <v>0</v>
      </c>
      <c r="AS10" s="1232">
        <v>0</v>
      </c>
      <c r="AT10" s="1467"/>
      <c r="AU10" s="1462">
        <f t="shared" si="20"/>
        <v>0.125</v>
      </c>
      <c r="AV10" s="1463">
        <f t="shared" si="21"/>
        <v>0.53300000000000003</v>
      </c>
      <c r="AW10" s="1463">
        <f t="shared" si="22"/>
        <v>3.4590000000000005</v>
      </c>
      <c r="AX10" s="1463">
        <f t="shared" si="23"/>
        <v>1.071</v>
      </c>
      <c r="AY10" s="1463">
        <f t="shared" si="24"/>
        <v>3.915</v>
      </c>
      <c r="AZ10" s="1464">
        <f t="shared" si="25"/>
        <v>5.5039999999999996</v>
      </c>
      <c r="BA10" s="1465">
        <f t="shared" si="26"/>
        <v>0.47499999999999942</v>
      </c>
      <c r="BB10" s="1466">
        <f t="shared" si="27"/>
        <v>3.3409999999999993</v>
      </c>
      <c r="BC10" s="1466">
        <f t="shared" si="11"/>
        <v>2.1850000000000001</v>
      </c>
      <c r="BD10" s="1466">
        <f t="shared" si="12"/>
        <v>0</v>
      </c>
      <c r="BE10" s="1466">
        <f>SUM(AP10:AS10)</f>
        <v>0</v>
      </c>
      <c r="BF10" s="1467"/>
      <c r="BG10" s="1253">
        <v>0.313</v>
      </c>
      <c r="BH10" s="1231">
        <v>-0.26800000000000002</v>
      </c>
      <c r="BI10" s="531">
        <v>0.83199999999999996</v>
      </c>
      <c r="BJ10" s="1470">
        <v>3.915</v>
      </c>
      <c r="BK10" s="1253">
        <v>1.323</v>
      </c>
      <c r="BL10" s="1231">
        <v>0.66500000000000004</v>
      </c>
      <c r="BM10" s="1231">
        <v>2.1019999999999999</v>
      </c>
      <c r="BN10" s="1470">
        <v>5.5039999999999996</v>
      </c>
      <c r="BO10" s="1233">
        <v>-1.556</v>
      </c>
      <c r="BP10" s="1231">
        <v>-2.7949999999999999</v>
      </c>
      <c r="BQ10" s="1231">
        <v>1.8380000000000001</v>
      </c>
      <c r="BR10" s="33">
        <f>-8.323+5.617+1.267+1.914</f>
        <v>0.47499999999999942</v>
      </c>
      <c r="BS10" s="1233">
        <f>-2.284+0.329+1.611</f>
        <v>-0.34399999999999986</v>
      </c>
      <c r="BT10" s="1231">
        <f>-4.378+0.662+4.528+2.184</f>
        <v>2.9959999999999996</v>
      </c>
      <c r="BU10" s="1231">
        <f>-6.141+1.003-1.452+4.528+4.128</f>
        <v>2.0659999999999998</v>
      </c>
      <c r="BV10" s="1232">
        <f>-7.595+1.353-1.452+4.528+6.507</f>
        <v>3.3409999999999993</v>
      </c>
      <c r="BW10" s="1233">
        <v>0.14800000000000002</v>
      </c>
      <c r="BX10" s="1231">
        <f>-1.975+0.707+1.496</f>
        <v>0.22799999999999976</v>
      </c>
      <c r="BY10" s="1231">
        <f>-2.568+1.071+0.0018+0+2.791</f>
        <v>1.2957999999999998</v>
      </c>
      <c r="BZ10" s="1232">
        <f>-3.131+1.442+0.018+3.856</f>
        <v>2.1850000000000001</v>
      </c>
    </row>
    <row r="11" spans="1:78" s="45" customFormat="1" ht="12" customHeight="1">
      <c r="A11" s="1471" t="s">
        <v>301</v>
      </c>
      <c r="B11" s="1253"/>
      <c r="C11" s="1253"/>
      <c r="D11" s="1253"/>
      <c r="E11" s="1254"/>
      <c r="F11" s="1235"/>
      <c r="G11" s="1253"/>
      <c r="H11" s="1253"/>
      <c r="I11" s="1254"/>
      <c r="J11" s="1235"/>
      <c r="K11" s="1253"/>
      <c r="L11" s="1253"/>
      <c r="M11" s="1253"/>
      <c r="N11" s="1255"/>
      <c r="O11" s="1253"/>
      <c r="P11" s="184"/>
      <c r="Q11" s="1273"/>
      <c r="R11" s="184"/>
      <c r="S11" s="184"/>
      <c r="T11" s="184"/>
      <c r="U11" s="1245"/>
      <c r="V11" s="184"/>
      <c r="W11" s="184"/>
      <c r="X11" s="184"/>
      <c r="Y11" s="1245"/>
      <c r="Z11" s="189"/>
      <c r="AA11" s="184"/>
      <c r="AB11" s="184"/>
      <c r="AC11" s="1245"/>
      <c r="AD11" s="189"/>
      <c r="AE11" s="184"/>
      <c r="AF11" s="184"/>
      <c r="AG11" s="1273"/>
      <c r="AH11" s="189"/>
      <c r="AI11" s="184"/>
      <c r="AJ11" s="184"/>
      <c r="AK11" s="1273"/>
      <c r="AL11" s="189"/>
      <c r="AM11" s="189"/>
      <c r="AN11" s="189"/>
      <c r="AO11" s="1245"/>
      <c r="AP11" s="189"/>
      <c r="AQ11" s="189"/>
      <c r="AR11" s="189"/>
      <c r="AS11" s="1245"/>
      <c r="AT11" s="41"/>
      <c r="AU11" s="1462"/>
      <c r="AV11" s="1466"/>
      <c r="AW11" s="1472"/>
      <c r="AX11" s="1462"/>
      <c r="AY11" s="1463"/>
      <c r="AZ11" s="1464"/>
      <c r="BA11" s="1465"/>
      <c r="BB11" s="1472"/>
      <c r="BC11" s="1472"/>
      <c r="BD11" s="1472"/>
      <c r="BE11" s="1472"/>
      <c r="BF11" s="1473"/>
      <c r="BG11" s="184"/>
      <c r="BH11" s="1231"/>
      <c r="BI11" s="189"/>
      <c r="BJ11" s="1474"/>
      <c r="BK11" s="184"/>
      <c r="BL11" s="1231"/>
      <c r="BM11" s="1231"/>
      <c r="BN11" s="1474"/>
      <c r="BO11" s="1246"/>
      <c r="BP11" s="1231"/>
      <c r="BQ11" s="1231"/>
      <c r="BR11" s="1474"/>
      <c r="BS11" s="1246"/>
      <c r="BT11" s="1231"/>
      <c r="BU11" s="1231"/>
      <c r="BV11" s="1474"/>
      <c r="BW11" s="1246"/>
      <c r="BX11" s="1231"/>
      <c r="BY11" s="1231"/>
      <c r="BZ11" s="1474"/>
    </row>
    <row r="12" spans="1:78" ht="12" customHeight="1">
      <c r="A12" s="1475" t="s">
        <v>302</v>
      </c>
      <c r="B12" s="1253">
        <v>5.1980000000000004</v>
      </c>
      <c r="C12" s="1253">
        <f>-1.205-B12</f>
        <v>-6.4030000000000005</v>
      </c>
      <c r="D12" s="1253">
        <f>-8.435-C12-B12</f>
        <v>-7.23</v>
      </c>
      <c r="E12" s="1461">
        <f>-14.769-D12-C12-B12</f>
        <v>-6.3339999999999996</v>
      </c>
      <c r="F12" s="1235">
        <v>7.7919999999999998</v>
      </c>
      <c r="G12" s="1253">
        <f>0.85-F12</f>
        <v>-6.9420000000000002</v>
      </c>
      <c r="H12" s="1253">
        <f>-8.19-G12-F12</f>
        <v>-9.0399999999999991</v>
      </c>
      <c r="I12" s="1461">
        <f>-17.408-H12-G12-F12</f>
        <v>-9.2180000000000017</v>
      </c>
      <c r="J12" s="1235">
        <v>11.103999999999999</v>
      </c>
      <c r="K12" s="1253">
        <f>-0.658-J12</f>
        <v>-11.761999999999999</v>
      </c>
      <c r="L12" s="1253">
        <f>-13.309-K12-J12</f>
        <v>-12.651</v>
      </c>
      <c r="M12" s="1253">
        <f>+-25.941-SUM(J12:L12)</f>
        <v>-12.632</v>
      </c>
      <c r="N12" s="1255">
        <v>20.812999999999999</v>
      </c>
      <c r="O12" s="1253">
        <f>13.512-N12</f>
        <v>-7.3009999999999984</v>
      </c>
      <c r="P12" s="1253">
        <f>7.774-O12-N12</f>
        <v>-5.7379999999999995</v>
      </c>
      <c r="Q12" s="1461">
        <f>-20.012-SUM(N12:P12)</f>
        <v>-27.786000000000001</v>
      </c>
      <c r="R12" s="1253">
        <f t="shared" ref="R12:R19" si="28">BG12</f>
        <v>32.454999999999998</v>
      </c>
      <c r="S12" s="1253">
        <f t="shared" ref="S12:U19" si="29">BH12-BG12</f>
        <v>-13.469999999999999</v>
      </c>
      <c r="T12" s="1253">
        <f t="shared" si="29"/>
        <v>-14.991999999999999</v>
      </c>
      <c r="U12" s="1461">
        <f t="shared" si="29"/>
        <v>-21.221</v>
      </c>
      <c r="V12" s="1253">
        <f t="shared" ref="V12:V19" si="30">BK12</f>
        <v>40.341000000000001</v>
      </c>
      <c r="W12" s="1253">
        <f t="shared" ref="W12:Y19" si="31">BL12-BK12</f>
        <v>-12.677</v>
      </c>
      <c r="X12" s="1253">
        <f t="shared" si="31"/>
        <v>-38.391000000000005</v>
      </c>
      <c r="Y12" s="1461">
        <f t="shared" si="31"/>
        <v>-40.528999999999996</v>
      </c>
      <c r="Z12" s="1253">
        <f t="shared" ref="Z12:Z19" si="32">BO12</f>
        <v>64.438999999999993</v>
      </c>
      <c r="AA12" s="1253">
        <f t="shared" ref="AA12:AB19" si="33">BP12-BO12</f>
        <v>-30.441999999999993</v>
      </c>
      <c r="AB12" s="1253">
        <f t="shared" si="33"/>
        <v>-24.913</v>
      </c>
      <c r="AC12" s="1461">
        <f t="shared" si="2"/>
        <v>-39.126000000000005</v>
      </c>
      <c r="AD12" s="1253">
        <f t="shared" si="3"/>
        <v>63.436999999999998</v>
      </c>
      <c r="AE12" s="1253">
        <f t="shared" ref="AE12:AK19" si="34">BT12-BS12</f>
        <v>-22.974999999999994</v>
      </c>
      <c r="AF12" s="1253">
        <f t="shared" si="34"/>
        <v>-13.551000000000002</v>
      </c>
      <c r="AG12" s="1461">
        <f t="shared" si="34"/>
        <v>-65.640999999999991</v>
      </c>
      <c r="AH12" s="1253">
        <f t="shared" si="5"/>
        <v>92.968000000000004</v>
      </c>
      <c r="AI12" s="1253">
        <f t="shared" si="34"/>
        <v>-13.201999999999998</v>
      </c>
      <c r="AJ12" s="1253">
        <f t="shared" si="34"/>
        <v>-20.033000000000008</v>
      </c>
      <c r="AK12" s="1461">
        <f t="shared" si="34"/>
        <v>-77.968999999999994</v>
      </c>
      <c r="AL12" s="1253">
        <f>'Balance Sheet'!AK8-'Balance Sheet'!AL8</f>
        <v>103.39110349030778</v>
      </c>
      <c r="AM12" s="1253">
        <f>'Balance Sheet'!AL8-'Balance Sheet'!AM8</f>
        <v>-12.894866528172003</v>
      </c>
      <c r="AN12" s="1253">
        <f>'Balance Sheet'!AM8-'Balance Sheet'!AN8</f>
        <v>-19.432562084265726</v>
      </c>
      <c r="AO12" s="1461">
        <f>'Balance Sheet'!AN8-'Balance Sheet'!AO8</f>
        <v>-83.043981393975713</v>
      </c>
      <c r="AP12" s="1253">
        <f>'Balance Sheet'!AO8-'Balance Sheet'!AP8</f>
        <v>109.8292489137007</v>
      </c>
      <c r="AQ12" s="1253">
        <f>'Balance Sheet'!AP8-'Balance Sheet'!AQ8</f>
        <v>-13.568178708632303</v>
      </c>
      <c r="AR12" s="1253">
        <f>'Balance Sheet'!AQ8-'Balance Sheet'!AR8</f>
        <v>-20.605394432429392</v>
      </c>
      <c r="AS12" s="1461">
        <f>'Balance Sheet'!AR8-'Balance Sheet'!AS8</f>
        <v>-88.281439720849761</v>
      </c>
      <c r="AT12" s="594"/>
      <c r="AU12" s="1462">
        <f t="shared" ref="AU12:AU19" si="35">SUM(B12:E12)</f>
        <v>-14.769</v>
      </c>
      <c r="AV12" s="1466">
        <f t="shared" ref="AV12:AV20" si="36">SUM(F12:I12)</f>
        <v>-17.408000000000001</v>
      </c>
      <c r="AW12" s="1472">
        <f t="shared" ref="AW12:AW20" si="37">SUM(J12:M12)</f>
        <v>-25.940999999999999</v>
      </c>
      <c r="AX12" s="1462">
        <f t="shared" ref="AX12:AX20" si="38">SUM(N12:Q12)</f>
        <v>-20.012</v>
      </c>
      <c r="AY12" s="1463">
        <f t="shared" ref="AY12:AY20" si="39">SUM(R12:U12)</f>
        <v>-17.228000000000002</v>
      </c>
      <c r="AZ12" s="1464">
        <f t="shared" ref="AZ12:AZ20" si="40">SUM(V12:Y12)</f>
        <v>-51.256</v>
      </c>
      <c r="BA12" s="1465">
        <f t="shared" ref="BA12:BA20" si="41">SUM(Z12:AC12)</f>
        <v>-30.042000000000005</v>
      </c>
      <c r="BB12" s="1466">
        <f t="shared" ref="BB12:BB20" si="42">SUM(AD12:AG12)</f>
        <v>-38.72999999999999</v>
      </c>
      <c r="BC12" s="1466">
        <f t="shared" ref="BC12:BC20" si="43">SUM(AH12:AK12)</f>
        <v>-18.235999999999997</v>
      </c>
      <c r="BD12" s="1466">
        <f t="shared" ref="BD12:BD20" si="44">SUM(AL12:AO12)</f>
        <v>-11.980306516105657</v>
      </c>
      <c r="BE12" s="1466">
        <f t="shared" ref="BE12:BE20" si="45">SUM(AP12:AS12)</f>
        <v>-12.625763948210761</v>
      </c>
      <c r="BF12" s="1460"/>
      <c r="BG12" s="1253">
        <v>32.454999999999998</v>
      </c>
      <c r="BH12" s="1231">
        <v>18.984999999999999</v>
      </c>
      <c r="BI12" s="1231">
        <v>3.9929999999999999</v>
      </c>
      <c r="BJ12" s="1472">
        <v>-17.228000000000002</v>
      </c>
      <c r="BK12" s="1253">
        <v>40.341000000000001</v>
      </c>
      <c r="BL12" s="1231">
        <v>27.664000000000001</v>
      </c>
      <c r="BM12" s="1231">
        <v>-10.727</v>
      </c>
      <c r="BN12" s="1472">
        <v>-51.256</v>
      </c>
      <c r="BO12" s="1233">
        <v>64.438999999999993</v>
      </c>
      <c r="BP12" s="1231">
        <v>33.997</v>
      </c>
      <c r="BQ12" s="1231">
        <v>9.0839999999999996</v>
      </c>
      <c r="BR12" s="1472">
        <v>-30.042000000000002</v>
      </c>
      <c r="BS12" s="1233">
        <v>63.436999999999998</v>
      </c>
      <c r="BT12" s="1231">
        <v>40.462000000000003</v>
      </c>
      <c r="BU12" s="1231">
        <v>26.911000000000001</v>
      </c>
      <c r="BV12" s="1472">
        <v>-38.729999999999997</v>
      </c>
      <c r="BW12" s="1233">
        <v>92.968000000000004</v>
      </c>
      <c r="BX12" s="1231">
        <v>79.766000000000005</v>
      </c>
      <c r="BY12" s="1231">
        <v>59.732999999999997</v>
      </c>
      <c r="BZ12" s="1472">
        <v>-18.236000000000001</v>
      </c>
    </row>
    <row r="13" spans="1:78" ht="12" customHeight="1">
      <c r="A13" s="1475" t="s">
        <v>303</v>
      </c>
      <c r="B13" s="1253">
        <v>0.69099999999999995</v>
      </c>
      <c r="C13" s="1253">
        <f>-0.205-B13</f>
        <v>-0.89599999999999991</v>
      </c>
      <c r="D13" s="1253">
        <f>-0.54-C13-B13</f>
        <v>-0.33500000000000008</v>
      </c>
      <c r="E13" s="1461">
        <f>-8.345-D13-C13-B13</f>
        <v>-7.8049999999999997</v>
      </c>
      <c r="F13" s="1235">
        <v>1.196</v>
      </c>
      <c r="G13" s="1253">
        <f>2.625-F13</f>
        <v>1.429</v>
      </c>
      <c r="H13" s="1253">
        <f>1.228-G13-F13</f>
        <v>-1.397</v>
      </c>
      <c r="I13" s="1461">
        <f>-6.105-H13-G13-F13</f>
        <v>-7.3330000000000002</v>
      </c>
      <c r="J13" s="1235">
        <v>1.3740000000000001</v>
      </c>
      <c r="K13" s="1253">
        <f>1.673-J13</f>
        <v>0.29899999999999993</v>
      </c>
      <c r="L13" s="1253">
        <f>0.82-K13-J13</f>
        <v>-0.85300000000000009</v>
      </c>
      <c r="M13" s="1253">
        <f>-5.188-SUM(J13:L13)</f>
        <v>-6.008</v>
      </c>
      <c r="N13" s="1255">
        <v>1.663</v>
      </c>
      <c r="O13" s="1253">
        <f>1.058-N13</f>
        <v>-0.60499999999999998</v>
      </c>
      <c r="P13" s="1253">
        <f>-6.69-O13-N13</f>
        <v>-7.7480000000000011</v>
      </c>
      <c r="Q13" s="1461">
        <f>-19.372-SUM(N13:P13)</f>
        <v>-12.681999999999999</v>
      </c>
      <c r="R13" s="1253">
        <f t="shared" si="28"/>
        <v>5.4269999999999996</v>
      </c>
      <c r="S13" s="1253">
        <f t="shared" si="29"/>
        <v>-0.34999999999999964</v>
      </c>
      <c r="T13" s="1253">
        <f t="shared" si="29"/>
        <v>-10.361000000000001</v>
      </c>
      <c r="U13" s="1461">
        <f t="shared" si="29"/>
        <v>-40.923000000000002</v>
      </c>
      <c r="V13" s="1253">
        <f t="shared" si="30"/>
        <v>8.4629999999999992</v>
      </c>
      <c r="W13" s="1253">
        <f t="shared" si="31"/>
        <v>8.3020000000000014</v>
      </c>
      <c r="X13" s="1253">
        <f t="shared" si="31"/>
        <v>3.59</v>
      </c>
      <c r="Y13" s="1461">
        <f t="shared" si="31"/>
        <v>-23.283999999999999</v>
      </c>
      <c r="Z13" s="1253">
        <f t="shared" si="32"/>
        <v>-2.7759999999999998</v>
      </c>
      <c r="AA13" s="1253">
        <f t="shared" si="33"/>
        <v>15.424999999999999</v>
      </c>
      <c r="AB13" s="1253">
        <f t="shared" si="33"/>
        <v>4.8750000000000018</v>
      </c>
      <c r="AC13" s="1461">
        <f t="shared" si="2"/>
        <v>-15.835000000000001</v>
      </c>
      <c r="AD13" s="1253">
        <f t="shared" si="3"/>
        <v>5.2160000000000002</v>
      </c>
      <c r="AE13" s="1253">
        <f t="shared" si="34"/>
        <v>12.888999999999999</v>
      </c>
      <c r="AF13" s="1253">
        <f t="shared" si="34"/>
        <v>11.762999999999998</v>
      </c>
      <c r="AG13" s="1461">
        <f t="shared" si="34"/>
        <v>-3.6979999999999968</v>
      </c>
      <c r="AH13" s="1253">
        <f t="shared" si="5"/>
        <v>-9.875</v>
      </c>
      <c r="AI13" s="1253">
        <f t="shared" si="34"/>
        <v>14.966999999999999</v>
      </c>
      <c r="AJ13" s="1253">
        <f t="shared" si="34"/>
        <v>11.785</v>
      </c>
      <c r="AK13" s="1461">
        <f t="shared" si="34"/>
        <v>-4.1099999999999994</v>
      </c>
      <c r="AL13" s="1253">
        <f>('Balance Sheet'!AK10-'Balance Sheet'!AL10)</f>
        <v>-30.633667640576533</v>
      </c>
      <c r="AM13" s="1253">
        <f>('Balance Sheet'!AL10-'Balance Sheet'!AM10)</f>
        <v>14.559935065972319</v>
      </c>
      <c r="AN13" s="1253">
        <f>('Balance Sheet'!AM10-'Balance Sheet'!AN10)</f>
        <v>11.059892070959783</v>
      </c>
      <c r="AO13" s="1461">
        <f>('Balance Sheet'!AN10-'Balance Sheet'!AO10)</f>
        <v>5.2426268487062941</v>
      </c>
      <c r="AP13" s="1253">
        <f>('Balance Sheet'!AO10-'Balance Sheet'!AP10)</f>
        <v>-32.717722788875761</v>
      </c>
      <c r="AQ13" s="1253">
        <f>('Balance Sheet'!AP10-'Balance Sheet'!AQ10)</f>
        <v>15.59769482590039</v>
      </c>
      <c r="AR13" s="1253">
        <f>('Balance Sheet'!AQ10-'Balance Sheet'!AR10)</f>
        <v>11.828615540954097</v>
      </c>
      <c r="AS13" s="1461">
        <f>('Balance Sheet'!AR10-'Balance Sheet'!AS10)</f>
        <v>5.6808453011868494</v>
      </c>
      <c r="AT13" s="594"/>
      <c r="AU13" s="1462">
        <f t="shared" si="35"/>
        <v>-8.3449999999999989</v>
      </c>
      <c r="AV13" s="1463">
        <f t="shared" si="36"/>
        <v>-6.1050000000000004</v>
      </c>
      <c r="AW13" s="1463">
        <f t="shared" si="37"/>
        <v>-5.1879999999999997</v>
      </c>
      <c r="AX13" s="1463">
        <f t="shared" si="38"/>
        <v>-19.372</v>
      </c>
      <c r="AY13" s="1463">
        <f t="shared" si="39"/>
        <v>-46.207000000000001</v>
      </c>
      <c r="AZ13" s="1464">
        <f t="shared" si="40"/>
        <v>-2.9289999999999985</v>
      </c>
      <c r="BA13" s="1465">
        <f t="shared" si="41"/>
        <v>1.6890000000000001</v>
      </c>
      <c r="BB13" s="1466">
        <f t="shared" si="42"/>
        <v>26.17</v>
      </c>
      <c r="BC13" s="1466">
        <f t="shared" si="43"/>
        <v>12.766999999999999</v>
      </c>
      <c r="BD13" s="1466">
        <f t="shared" si="44"/>
        <v>0.22878634506186302</v>
      </c>
      <c r="BE13" s="1466">
        <f t="shared" si="45"/>
        <v>0.38943287916557523</v>
      </c>
      <c r="BF13" s="1460"/>
      <c r="BG13" s="1253">
        <v>5.4269999999999996</v>
      </c>
      <c r="BH13" s="1231">
        <v>5.077</v>
      </c>
      <c r="BI13" s="1231">
        <v>-5.2839999999999998</v>
      </c>
      <c r="BJ13" s="1472">
        <v>-46.207000000000001</v>
      </c>
      <c r="BK13" s="1253">
        <v>8.4629999999999992</v>
      </c>
      <c r="BL13" s="1231">
        <v>16.765000000000001</v>
      </c>
      <c r="BM13" s="1231">
        <v>20.355</v>
      </c>
      <c r="BN13" s="1472">
        <v>-2.9289999999999998</v>
      </c>
      <c r="BO13" s="1233">
        <v>-2.7759999999999998</v>
      </c>
      <c r="BP13" s="1231">
        <v>12.648999999999999</v>
      </c>
      <c r="BQ13" s="1231">
        <v>17.524000000000001</v>
      </c>
      <c r="BR13" s="1472">
        <v>1.6890000000000001</v>
      </c>
      <c r="BS13" s="1233">
        <v>5.2160000000000002</v>
      </c>
      <c r="BT13" s="1231">
        <v>18.105</v>
      </c>
      <c r="BU13" s="1231">
        <v>29.867999999999999</v>
      </c>
      <c r="BV13" s="1472">
        <v>26.17</v>
      </c>
      <c r="BW13" s="1233">
        <v>-9.875</v>
      </c>
      <c r="BX13" s="1231">
        <v>5.0919999999999996</v>
      </c>
      <c r="BY13" s="1231">
        <v>16.876999999999999</v>
      </c>
      <c r="BZ13" s="1472">
        <v>12.766999999999999</v>
      </c>
    </row>
    <row r="14" spans="1:78" ht="12" customHeight="1">
      <c r="A14" s="1475" t="s">
        <v>304</v>
      </c>
      <c r="B14" s="1253">
        <v>-1.788</v>
      </c>
      <c r="C14" s="1253">
        <f>-6.134-B14</f>
        <v>-4.3460000000000001</v>
      </c>
      <c r="D14" s="1253">
        <f>-11.275-C14-B14</f>
        <v>-5.141</v>
      </c>
      <c r="E14" s="1461">
        <f>-20.058-D14-C14-B14</f>
        <v>-8.7829999999999995</v>
      </c>
      <c r="F14" s="1235">
        <v>-0.27600000000000002</v>
      </c>
      <c r="G14" s="1253">
        <f>-0.629-F14</f>
        <v>-0.35299999999999998</v>
      </c>
      <c r="H14" s="1253">
        <f>-2.708-G14-F14</f>
        <v>-2.0790000000000006</v>
      </c>
      <c r="I14" s="1461">
        <f>-9.258-H14-G14-F14</f>
        <v>-6.5499999999999989</v>
      </c>
      <c r="J14" s="1235">
        <v>-0.377</v>
      </c>
      <c r="K14" s="1253">
        <f>-2.432-J14</f>
        <v>-2.0549999999999997</v>
      </c>
      <c r="L14" s="1253">
        <f>-5.089-K14-J14</f>
        <v>-2.6570000000000009</v>
      </c>
      <c r="M14" s="1253">
        <f>-12.831-SUM(J14:L14)</f>
        <v>-7.7419999999999991</v>
      </c>
      <c r="N14" s="1255">
        <v>1.5229999999999999</v>
      </c>
      <c r="O14" s="1253">
        <f>0.497-N14</f>
        <v>-1.0259999999999998</v>
      </c>
      <c r="P14" s="1253">
        <f>0.381-O14-N14</f>
        <v>-0.1160000000000001</v>
      </c>
      <c r="Q14" s="1461">
        <f>0-SUM(N14:P14)</f>
        <v>-0.38100000000000001</v>
      </c>
      <c r="R14" s="1231">
        <f t="shared" si="28"/>
        <v>0</v>
      </c>
      <c r="S14" s="1231">
        <f t="shared" si="29"/>
        <v>0</v>
      </c>
      <c r="T14" s="1231">
        <f t="shared" si="29"/>
        <v>0</v>
      </c>
      <c r="U14" s="1472">
        <f t="shared" si="29"/>
        <v>0</v>
      </c>
      <c r="V14" s="1231">
        <f t="shared" si="30"/>
        <v>0</v>
      </c>
      <c r="W14" s="1231">
        <f t="shared" si="31"/>
        <v>0</v>
      </c>
      <c r="X14" s="1231">
        <f t="shared" si="31"/>
        <v>0</v>
      </c>
      <c r="Y14" s="1472">
        <f t="shared" si="31"/>
        <v>0</v>
      </c>
      <c r="Z14" s="1233">
        <f t="shared" si="32"/>
        <v>0</v>
      </c>
      <c r="AA14" s="1231">
        <f t="shared" si="33"/>
        <v>0</v>
      </c>
      <c r="AB14" s="1231">
        <f t="shared" si="33"/>
        <v>0</v>
      </c>
      <c r="AC14" s="1472">
        <f t="shared" si="2"/>
        <v>0</v>
      </c>
      <c r="AD14" s="1233">
        <f t="shared" si="3"/>
        <v>0</v>
      </c>
      <c r="AE14" s="1231">
        <f t="shared" si="34"/>
        <v>0</v>
      </c>
      <c r="AF14" s="1231">
        <f t="shared" si="34"/>
        <v>0</v>
      </c>
      <c r="AG14" s="1472">
        <f t="shared" si="34"/>
        <v>0</v>
      </c>
      <c r="AH14" s="1233">
        <f t="shared" si="5"/>
        <v>0</v>
      </c>
      <c r="AI14" s="1231">
        <f t="shared" si="34"/>
        <v>0</v>
      </c>
      <c r="AJ14" s="1231">
        <f t="shared" si="34"/>
        <v>0</v>
      </c>
      <c r="AK14" s="1472">
        <f t="shared" si="34"/>
        <v>0</v>
      </c>
      <c r="AL14" s="1233">
        <f>('Balance Sheet'!AK9-'Balance Sheet'!AL9)+('Balance Sheet'!AK14-'Balance Sheet'!AL14)</f>
        <v>3.4790264723815199</v>
      </c>
      <c r="AM14" s="1231">
        <f>('Balance Sheet'!AL9-'Balance Sheet'!AM9)+('Balance Sheet'!AL14-'Balance Sheet'!AM14)</f>
        <v>2.9144611553161965</v>
      </c>
      <c r="AN14" s="1231">
        <f>('Balance Sheet'!AM9-'Balance Sheet'!AN9)+('Balance Sheet'!AM14-'Balance Sheet'!AN14)</f>
        <v>1.0752659863095744</v>
      </c>
      <c r="AO14" s="1472">
        <f>('Balance Sheet'!AN9-'Balance Sheet'!AO9)+('Balance Sheet'!AN14-'Balance Sheet'!AO14)</f>
        <v>-9.9840545160964638</v>
      </c>
      <c r="AP14" s="1233">
        <f>('Balance Sheet'!AO9-'Balance Sheet'!AP9)+('Balance Sheet'!AO14-'Balance Sheet'!AP14)</f>
        <v>3.5224413058523822</v>
      </c>
      <c r="AQ14" s="1231">
        <f>('Balance Sheet'!AP9-'Balance Sheet'!AQ9)+('Balance Sheet'!AP14-'Balance Sheet'!AQ14)</f>
        <v>3.2635458265085902</v>
      </c>
      <c r="AR14" s="1231">
        <f>('Balance Sheet'!AQ9-'Balance Sheet'!AR9)+('Balance Sheet'!AQ14-'Balance Sheet'!AR14)</f>
        <v>1.2318228101469444</v>
      </c>
      <c r="AS14" s="1472">
        <f>('Balance Sheet'!AR9-'Balance Sheet'!AS9)+('Balance Sheet'!AR14-'Balance Sheet'!AS14)</f>
        <v>-10.4494139976943</v>
      </c>
      <c r="AT14" s="594"/>
      <c r="AU14" s="1472">
        <f t="shared" si="35"/>
        <v>-20.058</v>
      </c>
      <c r="AV14" s="1472">
        <f t="shared" si="36"/>
        <v>-9.2579999999999991</v>
      </c>
      <c r="AW14" s="1465">
        <f t="shared" si="37"/>
        <v>-12.831</v>
      </c>
      <c r="AX14" s="1465">
        <f t="shared" si="38"/>
        <v>0</v>
      </c>
      <c r="AY14" s="1472">
        <f t="shared" si="39"/>
        <v>0</v>
      </c>
      <c r="AZ14" s="1231">
        <f t="shared" si="40"/>
        <v>0</v>
      </c>
      <c r="BA14" s="1465">
        <f t="shared" si="41"/>
        <v>0</v>
      </c>
      <c r="BB14" s="1472">
        <f t="shared" si="42"/>
        <v>0</v>
      </c>
      <c r="BC14" s="1472">
        <f t="shared" si="43"/>
        <v>0</v>
      </c>
      <c r="BD14" s="1472">
        <f t="shared" si="44"/>
        <v>-2.515300902089173</v>
      </c>
      <c r="BE14" s="1472">
        <f t="shared" si="45"/>
        <v>-2.4316040551863836</v>
      </c>
      <c r="BF14" s="1460"/>
      <c r="BG14" s="1253">
        <v>0</v>
      </c>
      <c r="BH14" s="1231">
        <v>0</v>
      </c>
      <c r="BI14" s="1231">
        <v>0</v>
      </c>
      <c r="BJ14" s="1472">
        <v>0</v>
      </c>
      <c r="BK14" s="1253">
        <v>0</v>
      </c>
      <c r="BL14" s="1231">
        <v>0</v>
      </c>
      <c r="BM14" s="1231">
        <v>0</v>
      </c>
      <c r="BN14" s="1472">
        <v>0</v>
      </c>
      <c r="BO14" s="1233"/>
      <c r="BP14" s="1231"/>
      <c r="BQ14" s="1231"/>
      <c r="BR14" s="1472"/>
      <c r="BS14" s="1233"/>
      <c r="BT14" s="1231"/>
      <c r="BU14" s="1231"/>
      <c r="BV14" s="1472"/>
      <c r="BW14" s="1233">
        <v>0</v>
      </c>
      <c r="BX14" s="1231"/>
      <c r="BY14" s="1231"/>
      <c r="BZ14" s="1472"/>
    </row>
    <row r="15" spans="1:78" ht="12" customHeight="1">
      <c r="A15" s="1476" t="s">
        <v>305</v>
      </c>
      <c r="B15" s="1231">
        <v>0.16900000000000001</v>
      </c>
      <c r="C15" s="1231">
        <f>0.219-B15</f>
        <v>4.9999999999999989E-2</v>
      </c>
      <c r="D15" s="1231">
        <f>-1.537-C15-B15</f>
        <v>-1.756</v>
      </c>
      <c r="E15" s="1472">
        <f>-3.267-D15-C15-B15</f>
        <v>-1.73</v>
      </c>
      <c r="F15" s="1464">
        <v>0.73</v>
      </c>
      <c r="G15" s="1231">
        <f>1.26-F15</f>
        <v>0.53</v>
      </c>
      <c r="H15" s="1231">
        <f>0.564-G15-F15</f>
        <v>-0.69600000000000006</v>
      </c>
      <c r="I15" s="1472">
        <f>-1.876-H15-G15-F15</f>
        <v>-2.4399999999999995</v>
      </c>
      <c r="J15" s="1464">
        <v>5.3999999999999999E-2</v>
      </c>
      <c r="K15" s="1231">
        <f>-1.209-J15</f>
        <v>-1.2630000000000001</v>
      </c>
      <c r="L15" s="1231">
        <f>-2.386-K15-J15</f>
        <v>-1.177</v>
      </c>
      <c r="M15" s="1231">
        <f>-3.336-SUM(J15:L15)</f>
        <v>-0.94999999999999973</v>
      </c>
      <c r="N15" s="1233">
        <v>2.1549999999999998</v>
      </c>
      <c r="O15" s="1231">
        <f>13.177-N15</f>
        <v>11.022</v>
      </c>
      <c r="P15" s="1231">
        <f>17.691-O15-N15</f>
        <v>4.5139999999999993</v>
      </c>
      <c r="Q15" s="1472">
        <f>0-SUM(N15:P15)</f>
        <v>-17.690999999999999</v>
      </c>
      <c r="R15" s="1231">
        <f t="shared" si="28"/>
        <v>0</v>
      </c>
      <c r="S15" s="1231">
        <f t="shared" si="29"/>
        <v>0</v>
      </c>
      <c r="T15" s="1231">
        <f t="shared" si="29"/>
        <v>0</v>
      </c>
      <c r="U15" s="1472">
        <f t="shared" si="29"/>
        <v>0</v>
      </c>
      <c r="V15" s="1231">
        <f t="shared" si="30"/>
        <v>0</v>
      </c>
      <c r="W15" s="1231">
        <f t="shared" si="31"/>
        <v>0</v>
      </c>
      <c r="X15" s="1231">
        <f t="shared" si="31"/>
        <v>0</v>
      </c>
      <c r="Y15" s="1472">
        <f t="shared" si="31"/>
        <v>0</v>
      </c>
      <c r="Z15" s="1233">
        <f t="shared" si="32"/>
        <v>0</v>
      </c>
      <c r="AA15" s="1231">
        <f t="shared" si="33"/>
        <v>0</v>
      </c>
      <c r="AB15" s="1231">
        <f t="shared" si="33"/>
        <v>0</v>
      </c>
      <c r="AC15" s="1472">
        <f t="shared" si="2"/>
        <v>0</v>
      </c>
      <c r="AD15" s="1233">
        <f t="shared" si="3"/>
        <v>0</v>
      </c>
      <c r="AE15" s="1231">
        <f t="shared" si="34"/>
        <v>0</v>
      </c>
      <c r="AF15" s="1231">
        <f t="shared" si="34"/>
        <v>0</v>
      </c>
      <c r="AG15" s="1472">
        <f t="shared" si="34"/>
        <v>0</v>
      </c>
      <c r="AH15" s="1233">
        <f t="shared" si="5"/>
        <v>0</v>
      </c>
      <c r="AI15" s="1231">
        <f t="shared" si="34"/>
        <v>0</v>
      </c>
      <c r="AJ15" s="1231">
        <f t="shared" si="34"/>
        <v>0</v>
      </c>
      <c r="AK15" s="1472">
        <f t="shared" si="34"/>
        <v>0</v>
      </c>
      <c r="AL15" s="1233">
        <f>'Balance Sheet'!AK18-'Balance Sheet'!AL18</f>
        <v>-1.7877442846569132</v>
      </c>
      <c r="AM15" s="1231">
        <f>'Balance Sheet'!AL18-'Balance Sheet'!AM18</f>
        <v>0.62169850855953968</v>
      </c>
      <c r="AN15" s="1231">
        <f>'Balance Sheet'!AM18-'Balance Sheet'!AN18</f>
        <v>1.0530308647322979</v>
      </c>
      <c r="AO15" s="1472">
        <f>'Balance Sheet'!AN18-'Balance Sheet'!AO18</f>
        <v>-0.76465920131930609</v>
      </c>
      <c r="AP15" s="1233">
        <f>'Balance Sheet'!AO18-'Balance Sheet'!AP18</f>
        <v>-1.9219123072518887</v>
      </c>
      <c r="AQ15" s="1231">
        <f>'Balance Sheet'!AP18-'Balance Sheet'!AQ18</f>
        <v>0.66377002736642687</v>
      </c>
      <c r="AR15" s="1231">
        <f>'Balance Sheet'!AQ18-'Balance Sheet'!AR18</f>
        <v>1.1244707096172686</v>
      </c>
      <c r="AS15" s="1472">
        <f>'Balance Sheet'!AR18-'Balance Sheet'!AS18</f>
        <v>-0.81414748677471849</v>
      </c>
      <c r="AT15" s="594"/>
      <c r="AU15" s="1472">
        <f t="shared" si="35"/>
        <v>-3.2669999999999999</v>
      </c>
      <c r="AV15" s="1472">
        <f t="shared" si="36"/>
        <v>-1.8759999999999994</v>
      </c>
      <c r="AW15" s="1465">
        <f t="shared" si="37"/>
        <v>-3.3359999999999999</v>
      </c>
      <c r="AX15" s="1465">
        <f t="shared" si="38"/>
        <v>0</v>
      </c>
      <c r="AY15" s="1472">
        <f t="shared" si="39"/>
        <v>0</v>
      </c>
      <c r="AZ15" s="1231">
        <f t="shared" si="40"/>
        <v>0</v>
      </c>
      <c r="BA15" s="1465">
        <f t="shared" si="41"/>
        <v>0</v>
      </c>
      <c r="BB15" s="1472">
        <f t="shared" si="42"/>
        <v>0</v>
      </c>
      <c r="BC15" s="1472">
        <f t="shared" si="43"/>
        <v>0</v>
      </c>
      <c r="BD15" s="1472">
        <f t="shared" si="44"/>
        <v>-0.87767411268438167</v>
      </c>
      <c r="BE15" s="1472">
        <f t="shared" si="45"/>
        <v>-0.94781905704291169</v>
      </c>
      <c r="BF15" s="1460"/>
      <c r="BG15" s="1253">
        <v>0</v>
      </c>
      <c r="BH15" s="1231">
        <v>0</v>
      </c>
      <c r="BI15" s="1231">
        <v>0</v>
      </c>
      <c r="BJ15" s="1472">
        <v>0</v>
      </c>
      <c r="BK15" s="1253">
        <v>0</v>
      </c>
      <c r="BL15" s="1231">
        <v>0</v>
      </c>
      <c r="BM15" s="1231">
        <v>0</v>
      </c>
      <c r="BN15" s="1472">
        <v>0</v>
      </c>
      <c r="BO15" s="1233"/>
      <c r="BP15" s="1231"/>
      <c r="BQ15" s="1231"/>
      <c r="BR15" s="1472"/>
      <c r="BS15" s="1233"/>
      <c r="BT15" s="1231"/>
      <c r="BU15" s="1231"/>
      <c r="BV15" s="1472"/>
      <c r="BW15" s="1233">
        <v>0</v>
      </c>
      <c r="BX15" s="1231"/>
      <c r="BY15" s="1231"/>
      <c r="BZ15" s="1472"/>
    </row>
    <row r="16" spans="1:78" ht="12" customHeight="1">
      <c r="A16" s="1475" t="s">
        <v>306</v>
      </c>
      <c r="B16" s="1253">
        <v>1.004</v>
      </c>
      <c r="C16" s="1253">
        <f>1.846-B16</f>
        <v>0.84200000000000008</v>
      </c>
      <c r="D16" s="1253">
        <f>2.485-C16-B16</f>
        <v>0.63899999999999979</v>
      </c>
      <c r="E16" s="1461">
        <f>1.922-D16-C16-B16</f>
        <v>-0.56299999999999994</v>
      </c>
      <c r="F16" s="1235">
        <v>2.6120000000000001</v>
      </c>
      <c r="G16" s="1253">
        <f>2.326-F16</f>
        <v>-0.28600000000000003</v>
      </c>
      <c r="H16" s="1253">
        <f>1.93+1.252-G16-F16</f>
        <v>0.85599999999999987</v>
      </c>
      <c r="I16" s="1461">
        <f>0.294-H16-G16-F16</f>
        <v>-2.8879999999999999</v>
      </c>
      <c r="J16" s="1235">
        <v>3.3719999999999999</v>
      </c>
      <c r="K16" s="1253">
        <f>5.646-3.092-J16</f>
        <v>-0.81800000000000006</v>
      </c>
      <c r="L16" s="1253">
        <f>3.892-K16-J16</f>
        <v>1.3380000000000001</v>
      </c>
      <c r="M16" s="1253">
        <f>4.244-SUM(J16:L16)</f>
        <v>0.35199999999999987</v>
      </c>
      <c r="N16" s="1255">
        <v>3.669</v>
      </c>
      <c r="O16" s="1253">
        <f>-3.023-N16</f>
        <v>-6.6920000000000002</v>
      </c>
      <c r="P16" s="1253">
        <f>-3.873-O16-N16</f>
        <v>-0.85000000000000009</v>
      </c>
      <c r="Q16" s="1461">
        <f>-5.282-SUM(N16:P16)</f>
        <v>-1.4089999999999998</v>
      </c>
      <c r="R16" s="1253">
        <f t="shared" si="28"/>
        <v>-6.0030000000000001</v>
      </c>
      <c r="S16" s="1253">
        <f t="shared" si="29"/>
        <v>6.9880000000000004</v>
      </c>
      <c r="T16" s="1253">
        <f t="shared" si="29"/>
        <v>3.0379999999999998</v>
      </c>
      <c r="U16" s="1461">
        <f t="shared" si="29"/>
        <v>20.306999999999999</v>
      </c>
      <c r="V16" s="1253">
        <f t="shared" si="30"/>
        <v>-18.745000000000001</v>
      </c>
      <c r="W16" s="1253">
        <f t="shared" si="31"/>
        <v>4.495000000000001</v>
      </c>
      <c r="X16" s="1253">
        <f t="shared" si="31"/>
        <v>5.4209999999999994</v>
      </c>
      <c r="Y16" s="1461">
        <f t="shared" si="31"/>
        <v>9.2380000000000013</v>
      </c>
      <c r="Z16" s="1255">
        <f t="shared" si="32"/>
        <v>-12.664999999999999</v>
      </c>
      <c r="AA16" s="1253">
        <f t="shared" si="33"/>
        <v>11.388999999999999</v>
      </c>
      <c r="AB16" s="1253">
        <f t="shared" si="33"/>
        <v>1.7230000000000001</v>
      </c>
      <c r="AC16" s="1461">
        <f t="shared" si="2"/>
        <v>6.6239999999999997</v>
      </c>
      <c r="AD16" s="1255">
        <f t="shared" si="3"/>
        <v>-22.016999999999999</v>
      </c>
      <c r="AE16" s="1253">
        <f t="shared" si="34"/>
        <v>1.8550000000000004</v>
      </c>
      <c r="AF16" s="1253">
        <f t="shared" si="34"/>
        <v>-2.7590000000000003</v>
      </c>
      <c r="AG16" s="1461">
        <f t="shared" si="34"/>
        <v>14.664</v>
      </c>
      <c r="AH16" s="1255">
        <f t="shared" si="5"/>
        <v>-8.4909999999999997</v>
      </c>
      <c r="AI16" s="1253">
        <f t="shared" si="34"/>
        <v>4.3709999999999996</v>
      </c>
      <c r="AJ16" s="1253">
        <f t="shared" si="34"/>
        <v>-5.6749999999999998</v>
      </c>
      <c r="AK16" s="1461">
        <f t="shared" si="34"/>
        <v>21.942</v>
      </c>
      <c r="AL16" s="1255">
        <f>'Balance Sheet'!AL22-'Balance Sheet'!AK22</f>
        <v>-1.6311681665653168</v>
      </c>
      <c r="AM16" s="1253">
        <f>'Balance Sheet'!AM22-'Balance Sheet'!AL22</f>
        <v>1.1231351099193745</v>
      </c>
      <c r="AN16" s="1253">
        <f>'Balance Sheet'!AN22-'Balance Sheet'!AM22</f>
        <v>0.34478672766082141</v>
      </c>
      <c r="AO16" s="1461">
        <f>'Balance Sheet'!AO22-'Balance Sheet'!AN22</f>
        <v>2.6354323782518421</v>
      </c>
      <c r="AP16" s="1255">
        <f>'Balance Sheet'!AP22-'Balance Sheet'!AO22</f>
        <v>-1.5442961885220363</v>
      </c>
      <c r="AQ16" s="1253">
        <f>'Balance Sheet'!AQ22-'Balance Sheet'!AP22</f>
        <v>1.2246993460778697</v>
      </c>
      <c r="AR16" s="1253">
        <f>'Balance Sheet'!AR22-'Balance Sheet'!AQ22</f>
        <v>0.36462733123865476</v>
      </c>
      <c r="AS16" s="1461">
        <f>'Balance Sheet'!AS22-'Balance Sheet'!AR22</f>
        <v>2.8309459050658674</v>
      </c>
      <c r="AT16" s="594"/>
      <c r="AU16" s="1462">
        <f t="shared" si="35"/>
        <v>1.9219999999999999</v>
      </c>
      <c r="AV16" s="1463">
        <f t="shared" si="36"/>
        <v>0.29400000000000004</v>
      </c>
      <c r="AW16" s="1463">
        <f t="shared" si="37"/>
        <v>4.2439999999999998</v>
      </c>
      <c r="AX16" s="1463">
        <f t="shared" si="38"/>
        <v>-5.282</v>
      </c>
      <c r="AY16" s="1463">
        <f t="shared" si="39"/>
        <v>24.33</v>
      </c>
      <c r="AZ16" s="1464">
        <f t="shared" si="40"/>
        <v>0.4090000000000007</v>
      </c>
      <c r="BA16" s="1257">
        <f t="shared" si="41"/>
        <v>7.0709999999999997</v>
      </c>
      <c r="BB16" s="1463">
        <f t="shared" si="42"/>
        <v>-8.2569999999999997</v>
      </c>
      <c r="BC16" s="1463">
        <f t="shared" si="43"/>
        <v>12.147</v>
      </c>
      <c r="BD16" s="1466">
        <f t="shared" si="44"/>
        <v>2.4721860492667211</v>
      </c>
      <c r="BE16" s="1466">
        <f t="shared" si="45"/>
        <v>2.8759763938603555</v>
      </c>
      <c r="BF16" s="1467"/>
      <c r="BG16" s="1253">
        <v>-6.0030000000000001</v>
      </c>
      <c r="BH16" s="1231">
        <v>0.98499999999999999</v>
      </c>
      <c r="BI16" s="1231">
        <v>4.0229999999999997</v>
      </c>
      <c r="BJ16" s="1232">
        <v>24.33</v>
      </c>
      <c r="BK16" s="1253">
        <v>-18.745000000000001</v>
      </c>
      <c r="BL16" s="1231">
        <v>-14.25</v>
      </c>
      <c r="BM16" s="1231">
        <v>-8.8290000000000006</v>
      </c>
      <c r="BN16" s="1232">
        <v>0.40899999999999997</v>
      </c>
      <c r="BO16" s="1233">
        <v>-12.664999999999999</v>
      </c>
      <c r="BP16" s="1231">
        <v>-1.276</v>
      </c>
      <c r="BQ16" s="1231">
        <v>0.44700000000000001</v>
      </c>
      <c r="BR16" s="1232">
        <v>7.0709999999999997</v>
      </c>
      <c r="BS16" s="1233">
        <v>-22.016999999999999</v>
      </c>
      <c r="BT16" s="1231">
        <v>-20.161999999999999</v>
      </c>
      <c r="BU16" s="1231">
        <v>-22.920999999999999</v>
      </c>
      <c r="BV16" s="1232">
        <v>-8.2569999999999997</v>
      </c>
      <c r="BW16" s="1233">
        <v>-8.4909999999999997</v>
      </c>
      <c r="BX16" s="1231">
        <v>-4.12</v>
      </c>
      <c r="BY16" s="1231">
        <v>-9.7949999999999999</v>
      </c>
      <c r="BZ16" s="1232">
        <v>12.147</v>
      </c>
    </row>
    <row r="17" spans="1:78" ht="12" customHeight="1">
      <c r="A17" s="1475" t="s">
        <v>307</v>
      </c>
      <c r="B17" s="1253">
        <f>-2.602-0.195</f>
        <v>-2.7969999999999997</v>
      </c>
      <c r="C17" s="1253">
        <f>-0.878-0.517-B17</f>
        <v>1.4019999999999997</v>
      </c>
      <c r="D17" s="1253">
        <f>-0.715-0.84-C17-B17</f>
        <v>-0.16000000000000014</v>
      </c>
      <c r="E17" s="1254">
        <f>4.298+0.421-D17-C17-B17</f>
        <v>6.2740000000000009</v>
      </c>
      <c r="F17" s="1235">
        <f>-4.303+0.079</f>
        <v>-4.2240000000000002</v>
      </c>
      <c r="G17" s="1253">
        <f>-2.62-0.003-F17</f>
        <v>1.601</v>
      </c>
      <c r="H17" s="1253">
        <f>0.036-G17-F17</f>
        <v>2.6590000000000003</v>
      </c>
      <c r="I17" s="1254">
        <f>11.112+0.408-H17-G17-F17</f>
        <v>11.483999999999998</v>
      </c>
      <c r="J17" s="1235">
        <f>-7.233-0.429</f>
        <v>-7.6619999999999999</v>
      </c>
      <c r="K17" s="1253">
        <f>-0.487-J17</f>
        <v>7.1749999999999998</v>
      </c>
      <c r="L17" s="1253">
        <f>-5.35-0.195-K17-J17</f>
        <v>-5.0579999999999989</v>
      </c>
      <c r="M17" s="1253">
        <f>6.269+0.255-SUM(J17:L17)</f>
        <v>12.068999999999999</v>
      </c>
      <c r="N17" s="1255">
        <f>-13.277-0.535</f>
        <v>-13.811999999999999</v>
      </c>
      <c r="O17" s="1253">
        <f>-5.274-N17</f>
        <v>8.5380000000000003</v>
      </c>
      <c r="P17" s="1253">
        <f>-8.39-O17-N17</f>
        <v>-3.1160000000000014</v>
      </c>
      <c r="Q17" s="1254">
        <f>0-SUM(N17:P17)</f>
        <v>8.39</v>
      </c>
      <c r="R17" s="1253">
        <f t="shared" si="28"/>
        <v>0</v>
      </c>
      <c r="S17" s="1253">
        <f t="shared" si="29"/>
        <v>0</v>
      </c>
      <c r="T17" s="1253">
        <f t="shared" si="29"/>
        <v>0</v>
      </c>
      <c r="U17" s="1254">
        <f t="shared" si="29"/>
        <v>0</v>
      </c>
      <c r="V17" s="1253">
        <f t="shared" si="30"/>
        <v>0</v>
      </c>
      <c r="W17" s="1253">
        <f t="shared" si="31"/>
        <v>0</v>
      </c>
      <c r="X17" s="1253">
        <f t="shared" si="31"/>
        <v>0</v>
      </c>
      <c r="Y17" s="1254">
        <f t="shared" si="31"/>
        <v>0</v>
      </c>
      <c r="Z17" s="1255">
        <f t="shared" si="32"/>
        <v>0</v>
      </c>
      <c r="AA17" s="1253">
        <f t="shared" si="33"/>
        <v>0</v>
      </c>
      <c r="AB17" s="1253">
        <f t="shared" si="33"/>
        <v>0</v>
      </c>
      <c r="AC17" s="1254">
        <f t="shared" si="2"/>
        <v>0</v>
      </c>
      <c r="AD17" s="1255">
        <f t="shared" si="3"/>
        <v>0</v>
      </c>
      <c r="AE17" s="1253">
        <f t="shared" si="34"/>
        <v>0</v>
      </c>
      <c r="AF17" s="1253">
        <f t="shared" si="34"/>
        <v>0</v>
      </c>
      <c r="AG17" s="1254">
        <f t="shared" si="34"/>
        <v>0</v>
      </c>
      <c r="AH17" s="1255">
        <f t="shared" si="5"/>
        <v>0</v>
      </c>
      <c r="AI17" s="1253">
        <f t="shared" si="34"/>
        <v>0</v>
      </c>
      <c r="AJ17" s="1253">
        <f t="shared" si="34"/>
        <v>0</v>
      </c>
      <c r="AK17" s="1254">
        <f t="shared" si="34"/>
        <v>0</v>
      </c>
      <c r="AL17" s="1255">
        <f>'Balance Sheet'!AL24-'Balance Sheet'!AK24</f>
        <v>-13.555170700811658</v>
      </c>
      <c r="AM17" s="1253">
        <f>'Balance Sheet'!AM24-'Balance Sheet'!AL24</f>
        <v>4.0625462081611801</v>
      </c>
      <c r="AN17" s="1253">
        <f>'Balance Sheet'!AN24-'Balance Sheet'!AM24</f>
        <v>-8.1159770216697495</v>
      </c>
      <c r="AO17" s="1254">
        <f>'Balance Sheet'!AO24-'Balance Sheet'!AN24</f>
        <v>22.083406738994256</v>
      </c>
      <c r="AP17" s="1255">
        <f>'Balance Sheet'!AP24-'Balance Sheet'!AO24</f>
        <v>-14.365112214099213</v>
      </c>
      <c r="AQ17" s="1253">
        <f>'Balance Sheet'!AQ24-'Balance Sheet'!AP24</f>
        <v>4.3258189574045218</v>
      </c>
      <c r="AR17" s="1253">
        <f>'Balance Sheet'!AR24-'Balance Sheet'!AQ24</f>
        <v>-8.6582265699164296</v>
      </c>
      <c r="AS17" s="1254">
        <f>'Balance Sheet'!AS24-'Balance Sheet'!AR24</f>
        <v>23.529957752265695</v>
      </c>
      <c r="AT17" s="1468"/>
      <c r="AU17" s="1463">
        <f t="shared" si="35"/>
        <v>4.7190000000000012</v>
      </c>
      <c r="AV17" s="1463">
        <f t="shared" si="36"/>
        <v>11.519999999999998</v>
      </c>
      <c r="AW17" s="1463">
        <f t="shared" si="37"/>
        <v>6.524</v>
      </c>
      <c r="AX17" s="1463">
        <f t="shared" si="38"/>
        <v>0</v>
      </c>
      <c r="AY17" s="1463">
        <f t="shared" si="39"/>
        <v>0</v>
      </c>
      <c r="AZ17" s="1464">
        <f t="shared" si="40"/>
        <v>0</v>
      </c>
      <c r="BA17" s="1257">
        <f t="shared" si="41"/>
        <v>0</v>
      </c>
      <c r="BB17" s="1463">
        <f t="shared" si="42"/>
        <v>0</v>
      </c>
      <c r="BC17" s="1463">
        <f t="shared" si="43"/>
        <v>0</v>
      </c>
      <c r="BD17" s="1466">
        <f t="shared" si="44"/>
        <v>4.4748052246740286</v>
      </c>
      <c r="BE17" s="1466">
        <f t="shared" si="45"/>
        <v>4.832437925654574</v>
      </c>
      <c r="BF17" s="1467"/>
      <c r="BG17" s="1253">
        <v>0</v>
      </c>
      <c r="BH17" s="1231">
        <v>0</v>
      </c>
      <c r="BI17" s="1231">
        <v>0</v>
      </c>
      <c r="BJ17" s="1232">
        <v>0</v>
      </c>
      <c r="BK17" s="1253">
        <v>0</v>
      </c>
      <c r="BL17" s="1231">
        <v>0</v>
      </c>
      <c r="BM17" s="1231">
        <v>0</v>
      </c>
      <c r="BN17" s="1232">
        <v>0</v>
      </c>
      <c r="BO17" s="1233"/>
      <c r="BP17" s="1231"/>
      <c r="BQ17" s="1231"/>
      <c r="BR17" s="1232"/>
      <c r="BS17" s="1233"/>
      <c r="BT17" s="1231"/>
      <c r="BU17" s="1231"/>
      <c r="BV17" s="1232"/>
      <c r="BW17" s="1233">
        <v>0</v>
      </c>
      <c r="BX17" s="1231"/>
      <c r="BY17" s="1231"/>
      <c r="BZ17" s="1232"/>
    </row>
    <row r="18" spans="1:78" ht="12" customHeight="1">
      <c r="A18" s="1475" t="s">
        <v>308</v>
      </c>
      <c r="B18" s="1253">
        <v>4.915</v>
      </c>
      <c r="C18" s="1253">
        <f>19.468-B18</f>
        <v>14.553000000000001</v>
      </c>
      <c r="D18" s="1253">
        <f>40.066-C18-B18</f>
        <v>20.598000000000003</v>
      </c>
      <c r="E18" s="1254">
        <f>63.404-D18-C18-B18</f>
        <v>23.337999999999997</v>
      </c>
      <c r="F18" s="1235">
        <v>4.7969999999999997</v>
      </c>
      <c r="G18" s="1253">
        <f>21.319-F18</f>
        <v>16.521999999999998</v>
      </c>
      <c r="H18" s="1253">
        <f>39.88-G18-F18</f>
        <v>18.561000000000003</v>
      </c>
      <c r="I18" s="1254">
        <f>64.085-H18-G18-F18</f>
        <v>24.204999999999988</v>
      </c>
      <c r="J18" s="1235">
        <v>2.0019999999999998</v>
      </c>
      <c r="K18" s="1253">
        <f>17.43-J18</f>
        <v>15.428000000000001</v>
      </c>
      <c r="L18" s="1253">
        <f>39.472-K18-J18</f>
        <v>22.042000000000002</v>
      </c>
      <c r="M18" s="1253">
        <f>72.799-SUM(J18:L18)</f>
        <v>33.327000000000005</v>
      </c>
      <c r="N18" s="1255">
        <v>-5.0359999999999996</v>
      </c>
      <c r="O18" s="1253">
        <f>2.182-N18</f>
        <v>7.218</v>
      </c>
      <c r="P18" s="1253">
        <f>27.075-O18-N18</f>
        <v>24.893000000000001</v>
      </c>
      <c r="Q18" s="1254">
        <f>71.383-SUM(N18:P18)</f>
        <v>44.307999999999993</v>
      </c>
      <c r="R18" s="1253">
        <f t="shared" si="28"/>
        <v>-5.6479999999999997</v>
      </c>
      <c r="S18" s="1253">
        <f t="shared" si="29"/>
        <v>12.312999999999999</v>
      </c>
      <c r="T18" s="1253">
        <f t="shared" si="29"/>
        <v>32.082000000000001</v>
      </c>
      <c r="U18" s="1254">
        <f t="shared" si="29"/>
        <v>53.739000000000004</v>
      </c>
      <c r="V18" s="1253">
        <f t="shared" si="30"/>
        <v>-3.5430000000000001</v>
      </c>
      <c r="W18" s="1253">
        <f t="shared" si="31"/>
        <v>19.617999999999999</v>
      </c>
      <c r="X18" s="1253">
        <f t="shared" si="31"/>
        <v>45.656000000000006</v>
      </c>
      <c r="Y18" s="1254">
        <f t="shared" si="31"/>
        <v>70.89100000000002</v>
      </c>
      <c r="Z18" s="1255">
        <f t="shared" si="32"/>
        <v>-22.533999999999999</v>
      </c>
      <c r="AA18" s="1253">
        <f t="shared" si="33"/>
        <v>8.1259999999999994</v>
      </c>
      <c r="AB18" s="1253">
        <f t="shared" si="33"/>
        <v>31.264000000000003</v>
      </c>
      <c r="AC18" s="1254">
        <f t="shared" si="2"/>
        <v>64.899000000000001</v>
      </c>
      <c r="AD18" s="1255">
        <f t="shared" si="3"/>
        <v>-27.789000000000001</v>
      </c>
      <c r="AE18" s="1253">
        <f t="shared" si="34"/>
        <v>2.9820000000000029</v>
      </c>
      <c r="AF18" s="1253">
        <f t="shared" si="34"/>
        <v>21.654</v>
      </c>
      <c r="AG18" s="1254">
        <f t="shared" si="34"/>
        <v>85.734000000000009</v>
      </c>
      <c r="AH18" s="1255">
        <f t="shared" si="5"/>
        <v>-32.506999999999998</v>
      </c>
      <c r="AI18" s="1253">
        <f t="shared" si="34"/>
        <v>-10.600000000000001</v>
      </c>
      <c r="AJ18" s="1253">
        <f t="shared" si="34"/>
        <v>12.693999999999999</v>
      </c>
      <c r="AK18" s="1254">
        <f t="shared" si="34"/>
        <v>88.774000000000001</v>
      </c>
      <c r="AL18" s="1255">
        <f>('Balance Sheet'!AL25-'Balance Sheet'!AK25)+('Balance Sheet'!AL32-'Balance Sheet'!AK32)</f>
        <v>-26.8279650134441</v>
      </c>
      <c r="AM18" s="1253">
        <f>('Balance Sheet'!AM25-'Balance Sheet'!AL25)+('Balance Sheet'!AM32-'Balance Sheet'!AL32)</f>
        <v>-11.345393270426115</v>
      </c>
      <c r="AN18" s="1253">
        <f>('Balance Sheet'!AN25-'Balance Sheet'!AM25)+('Balance Sheet'!AN32-'Balance Sheet'!AM32)</f>
        <v>13.514002279155619</v>
      </c>
      <c r="AO18" s="1254">
        <f>('Balance Sheet'!AO25-'Balance Sheet'!AN25)+('Balance Sheet'!AO32-'Balance Sheet'!AN32)</f>
        <v>94.516311514472051</v>
      </c>
      <c r="AP18" s="1255">
        <f>('Balance Sheet'!AP25-'Balance Sheet'!AO25)+('Balance Sheet'!AP32-'Balance Sheet'!AO32)</f>
        <v>-28.595981003623621</v>
      </c>
      <c r="AQ18" s="1253">
        <f>('Balance Sheet'!AQ25-'Balance Sheet'!AP25)+('Balance Sheet'!AQ32-'Balance Sheet'!AP32)</f>
        <v>-12.092229737893035</v>
      </c>
      <c r="AR18" s="1253">
        <f>('Balance Sheet'!AR25-'Balance Sheet'!AQ25)+('Balance Sheet'!AR32-'Balance Sheet'!AQ32)</f>
        <v>14.401496310950193</v>
      </c>
      <c r="AS18" s="1254">
        <f>('Balance Sheet'!AS25-'Balance Sheet'!AR25)+('Balance Sheet'!AS32-'Balance Sheet'!AR32)</f>
        <v>100.718636529279</v>
      </c>
      <c r="AT18" s="1468"/>
      <c r="AU18" s="1462">
        <f t="shared" si="35"/>
        <v>63.403999999999996</v>
      </c>
      <c r="AV18" s="1463">
        <f t="shared" si="36"/>
        <v>64.084999999999994</v>
      </c>
      <c r="AW18" s="1463">
        <f t="shared" si="37"/>
        <v>72.799000000000007</v>
      </c>
      <c r="AX18" s="1463">
        <f t="shared" si="38"/>
        <v>71.382999999999996</v>
      </c>
      <c r="AY18" s="1463">
        <f t="shared" si="39"/>
        <v>92.486000000000004</v>
      </c>
      <c r="AZ18" s="1464">
        <f t="shared" si="40"/>
        <v>132.62200000000001</v>
      </c>
      <c r="BA18" s="1257">
        <f t="shared" si="41"/>
        <v>81.754999999999995</v>
      </c>
      <c r="BB18" s="1463">
        <f t="shared" si="42"/>
        <v>82.581000000000017</v>
      </c>
      <c r="BC18" s="1463">
        <f t="shared" si="43"/>
        <v>58.361000000000004</v>
      </c>
      <c r="BD18" s="1466">
        <f t="shared" si="44"/>
        <v>69.856955509757455</v>
      </c>
      <c r="BE18" s="1466">
        <f t="shared" si="45"/>
        <v>74.431922098712533</v>
      </c>
      <c r="BF18" s="1467"/>
      <c r="BG18" s="1253">
        <v>-5.6479999999999997</v>
      </c>
      <c r="BH18" s="1231">
        <v>6.665</v>
      </c>
      <c r="BI18" s="1231">
        <v>38.747</v>
      </c>
      <c r="BJ18" s="1232">
        <v>92.486000000000004</v>
      </c>
      <c r="BK18" s="1253">
        <v>-3.5430000000000001</v>
      </c>
      <c r="BL18" s="1231">
        <v>16.074999999999999</v>
      </c>
      <c r="BM18" s="1231">
        <v>61.731000000000002</v>
      </c>
      <c r="BN18" s="1232">
        <v>132.62200000000001</v>
      </c>
      <c r="BO18" s="1233">
        <v>-22.533999999999999</v>
      </c>
      <c r="BP18" s="1231">
        <v>-14.407999999999999</v>
      </c>
      <c r="BQ18" s="1231">
        <v>16.856000000000002</v>
      </c>
      <c r="BR18" s="1232">
        <v>81.754999999999995</v>
      </c>
      <c r="BS18" s="1233">
        <v>-27.789000000000001</v>
      </c>
      <c r="BT18" s="1231">
        <v>-24.806999999999999</v>
      </c>
      <c r="BU18" s="1231">
        <v>-3.153</v>
      </c>
      <c r="BV18" s="1232">
        <v>82.581000000000003</v>
      </c>
      <c r="BW18" s="1233">
        <v>-32.506999999999998</v>
      </c>
      <c r="BX18" s="1231">
        <v>-43.106999999999999</v>
      </c>
      <c r="BY18" s="1231">
        <v>-30.413</v>
      </c>
      <c r="BZ18" s="1232">
        <v>58.360999999999997</v>
      </c>
    </row>
    <row r="19" spans="1:78" ht="12" customHeight="1">
      <c r="A19" s="1475" t="s">
        <v>309</v>
      </c>
      <c r="B19" s="1253">
        <v>-0.127</v>
      </c>
      <c r="C19" s="1253">
        <f>-0.261-B19</f>
        <v>-0.13400000000000001</v>
      </c>
      <c r="D19" s="1253">
        <f>0.002-C19-B19</f>
        <v>0.26300000000000001</v>
      </c>
      <c r="E19" s="1254">
        <f>-0.554-D19-C19-B19</f>
        <v>-0.55600000000000005</v>
      </c>
      <c r="F19" s="1253">
        <v>-0.16800000000000001</v>
      </c>
      <c r="G19" s="1253">
        <f>-0.425-F19</f>
        <v>-0.25700000000000001</v>
      </c>
      <c r="H19" s="1253">
        <f>-0.647-G19-F19</f>
        <v>-0.222</v>
      </c>
      <c r="I19" s="1254">
        <f>0.11-H19-G19-F19</f>
        <v>0.75700000000000001</v>
      </c>
      <c r="J19" s="1253">
        <v>4.2000000000000003E-2</v>
      </c>
      <c r="K19" s="1253">
        <f>0.441-J19</f>
        <v>0.39900000000000002</v>
      </c>
      <c r="L19" s="1253">
        <f>0.173-K19-J19</f>
        <v>-0.26800000000000002</v>
      </c>
      <c r="M19" s="1253">
        <f>0.049-SUM(J19:L19)</f>
        <v>-0.12399999999999999</v>
      </c>
      <c r="N19" s="1255">
        <v>0.26600000000000001</v>
      </c>
      <c r="O19" s="1253">
        <f>-0.276-N19</f>
        <v>-0.54200000000000004</v>
      </c>
      <c r="P19" s="1253">
        <f>0.135-O19-N19</f>
        <v>0.41100000000000003</v>
      </c>
      <c r="Q19" s="1254">
        <f>8.808-SUM(N19:P19)</f>
        <v>8.673</v>
      </c>
      <c r="R19" s="1253">
        <f t="shared" si="28"/>
        <v>6.0999999999999999E-2</v>
      </c>
      <c r="S19" s="1253">
        <f t="shared" si="29"/>
        <v>-1.1869999999999998</v>
      </c>
      <c r="T19" s="1253">
        <f t="shared" si="29"/>
        <v>-0.21600000000000019</v>
      </c>
      <c r="U19" s="1254">
        <f t="shared" si="29"/>
        <v>2.3810000000000002</v>
      </c>
      <c r="V19" s="1253">
        <f t="shared" si="30"/>
        <v>-0.76500000000000001</v>
      </c>
      <c r="W19" s="1253">
        <f t="shared" si="31"/>
        <v>1.7789999999999999</v>
      </c>
      <c r="X19" s="1253">
        <f t="shared" si="31"/>
        <v>-1.5430000000000001</v>
      </c>
      <c r="Y19" s="1254">
        <f t="shared" si="31"/>
        <v>-0.49399999999999988</v>
      </c>
      <c r="Z19" s="1255">
        <f t="shared" si="32"/>
        <v>-1.5469999999999999</v>
      </c>
      <c r="AA19" s="1253">
        <f t="shared" si="33"/>
        <v>-1.2110000000000001</v>
      </c>
      <c r="AB19" s="1253">
        <f t="shared" si="33"/>
        <v>-2.7169999999999996</v>
      </c>
      <c r="AC19" s="1254">
        <f t="shared" si="2"/>
        <v>-3.4000000000000696E-2</v>
      </c>
      <c r="AD19" s="1255">
        <f t="shared" si="3"/>
        <v>-1.742</v>
      </c>
      <c r="AE19" s="1253">
        <f t="shared" si="34"/>
        <v>-1.125</v>
      </c>
      <c r="AF19" s="1253">
        <f t="shared" si="34"/>
        <v>-2.6130000000000004</v>
      </c>
      <c r="AG19" s="1477">
        <f t="shared" si="34"/>
        <v>-2.5719999999999992</v>
      </c>
      <c r="AH19" s="1255">
        <f t="shared" si="5"/>
        <v>2.3420000000000001</v>
      </c>
      <c r="AI19" s="1253">
        <f t="shared" si="34"/>
        <v>4.2010000000000005</v>
      </c>
      <c r="AJ19" s="1253">
        <f t="shared" si="34"/>
        <v>-4.2840000000000007</v>
      </c>
      <c r="AK19" s="1477">
        <f t="shared" si="34"/>
        <v>-0.38300000000000001</v>
      </c>
      <c r="AL19" s="1255">
        <f>('Balance Sheet'!AL27-'Balance Sheet'!AK27)+('Balance Sheet'!AL35-'Balance Sheet'!AK35)</f>
        <v>0.9473873379485438</v>
      </c>
      <c r="AM19" s="1253">
        <f>('Balance Sheet'!AM27-'Balance Sheet'!AL27)+('Balance Sheet'!AM35-'Balance Sheet'!AL35)</f>
        <v>1.0565231127682111</v>
      </c>
      <c r="AN19" s="1253">
        <f>('Balance Sheet'!AN27-'Balance Sheet'!AM27)+('Balance Sheet'!AN35-'Balance Sheet'!AM35)</f>
        <v>-3.3509287298127788</v>
      </c>
      <c r="AO19" s="1254">
        <f>('Balance Sheet'!AO27-'Balance Sheet'!AN27)+('Balance Sheet'!AO35-'Balance Sheet'!AN35)</f>
        <v>2.4001495783940001</v>
      </c>
      <c r="AP19" s="1255">
        <f>('Balance Sheet'!AP27-'Balance Sheet'!AO27)+('Balance Sheet'!AP35-'Balance Sheet'!AO35)</f>
        <v>1.0294431553502452</v>
      </c>
      <c r="AQ19" s="1253">
        <f>('Balance Sheet'!AQ27-'Balance Sheet'!AP27)+('Balance Sheet'!AQ35-'Balance Sheet'!AP35)</f>
        <v>1.1247845759563075</v>
      </c>
      <c r="AR19" s="1253">
        <f>('Balance Sheet'!AR27-'Balance Sheet'!AQ27)+('Balance Sheet'!AR35-'Balance Sheet'!AQ35)</f>
        <v>-3.5738271445892851</v>
      </c>
      <c r="AS19" s="1254">
        <f>('Balance Sheet'!AS27-'Balance Sheet'!AR27)+('Balance Sheet'!AS35-'Balance Sheet'!AR35)</f>
        <v>2.5568984410392188</v>
      </c>
      <c r="AT19" s="1468"/>
      <c r="AU19" s="1478">
        <f t="shared" si="35"/>
        <v>-0.55400000000000005</v>
      </c>
      <c r="AV19" s="1478">
        <f t="shared" si="36"/>
        <v>0.10999999999999999</v>
      </c>
      <c r="AW19" s="1478">
        <f t="shared" si="37"/>
        <v>4.9000000000000002E-2</v>
      </c>
      <c r="AX19" s="1478">
        <f t="shared" si="38"/>
        <v>8.8079999999999998</v>
      </c>
      <c r="AY19" s="1478">
        <f t="shared" si="39"/>
        <v>1.0390000000000001</v>
      </c>
      <c r="AZ19" s="1479">
        <f t="shared" si="40"/>
        <v>-1.0230000000000001</v>
      </c>
      <c r="BA19" s="1480">
        <f t="shared" si="41"/>
        <v>-5.5090000000000003</v>
      </c>
      <c r="BB19" s="1478">
        <f t="shared" si="42"/>
        <v>-8.0519999999999996</v>
      </c>
      <c r="BC19" s="1478">
        <f t="shared" si="43"/>
        <v>1.8760000000000003</v>
      </c>
      <c r="BD19" s="1481">
        <f t="shared" si="44"/>
        <v>1.0531312992979762</v>
      </c>
      <c r="BE19" s="1481">
        <f t="shared" si="45"/>
        <v>1.1372990277564865</v>
      </c>
      <c r="BF19" s="1467"/>
      <c r="BG19" s="1253">
        <v>6.0999999999999999E-2</v>
      </c>
      <c r="BH19" s="1231">
        <v>-1.1259999999999999</v>
      </c>
      <c r="BI19" s="1231">
        <v>-1.3420000000000001</v>
      </c>
      <c r="BJ19" s="1232">
        <v>1.0389999999999999</v>
      </c>
      <c r="BK19" s="1253">
        <v>-0.76500000000000001</v>
      </c>
      <c r="BL19" s="1231">
        <v>1.014</v>
      </c>
      <c r="BM19" s="1231">
        <v>-0.52900000000000003</v>
      </c>
      <c r="BN19" s="1232">
        <v>-1.0229999999999999</v>
      </c>
      <c r="BO19" s="1233">
        <v>-1.5469999999999999</v>
      </c>
      <c r="BP19" s="1231">
        <v>-2.758</v>
      </c>
      <c r="BQ19" s="1231">
        <v>-5.4749999999999996</v>
      </c>
      <c r="BR19" s="1232">
        <v>-5.5090000000000003</v>
      </c>
      <c r="BS19" s="1233">
        <v>-1.742</v>
      </c>
      <c r="BT19" s="1231">
        <v>-2.867</v>
      </c>
      <c r="BU19" s="1231">
        <v>-5.48</v>
      </c>
      <c r="BV19" s="1232">
        <v>-8.0519999999999996</v>
      </c>
      <c r="BW19" s="1233">
        <v>2.3420000000000001</v>
      </c>
      <c r="BX19" s="1231">
        <v>6.5430000000000001</v>
      </c>
      <c r="BY19" s="1231">
        <v>2.2589999999999999</v>
      </c>
      <c r="BZ19" s="1232">
        <v>1.8759999999999999</v>
      </c>
    </row>
    <row r="20" spans="1:78" ht="12" customHeight="1">
      <c r="A20" s="1482" t="s">
        <v>310</v>
      </c>
      <c r="B20" s="1263">
        <f t="shared" ref="B20:AE20" si="46">SUM(B6:B19)</f>
        <v>1.1869999999999996</v>
      </c>
      <c r="C20" s="1263">
        <f t="shared" si="46"/>
        <v>-1.0189999999999997</v>
      </c>
      <c r="D20" s="1263">
        <f t="shared" si="46"/>
        <v>-0.98200000000000098</v>
      </c>
      <c r="E20" s="1264">
        <f t="shared" si="46"/>
        <v>-5.4519999999999973</v>
      </c>
      <c r="F20" s="1265">
        <f t="shared" si="46"/>
        <v>0.50399999999999967</v>
      </c>
      <c r="G20" s="1263">
        <f t="shared" si="46"/>
        <v>0.24199999999999522</v>
      </c>
      <c r="H20" s="1263">
        <f t="shared" si="46"/>
        <v>-1.7509999999999999</v>
      </c>
      <c r="I20" s="1264">
        <f t="shared" si="46"/>
        <v>-1.554000000000014</v>
      </c>
      <c r="J20" s="1265">
        <f t="shared" si="46"/>
        <v>-0.87400000000000211</v>
      </c>
      <c r="K20" s="1263">
        <f t="shared" si="46"/>
        <v>-2.1229999999999984</v>
      </c>
      <c r="L20" s="1263">
        <f t="shared" si="46"/>
        <v>-4.6749999999999998</v>
      </c>
      <c r="M20" s="1263">
        <f t="shared" si="46"/>
        <v>-3.0720000000000005</v>
      </c>
      <c r="N20" s="1265">
        <f t="shared" si="46"/>
        <v>4.4920000000000027</v>
      </c>
      <c r="O20" s="1263">
        <f t="shared" si="46"/>
        <v>16.999000000000002</v>
      </c>
      <c r="P20" s="1263">
        <f t="shared" si="46"/>
        <v>24.806999999999992</v>
      </c>
      <c r="Q20" s="1264">
        <f t="shared" si="46"/>
        <v>17.934000000000005</v>
      </c>
      <c r="R20" s="1263">
        <f t="shared" si="46"/>
        <v>38.624999999999993</v>
      </c>
      <c r="S20" s="1263">
        <f t="shared" si="46"/>
        <v>16.535</v>
      </c>
      <c r="T20" s="1263">
        <f t="shared" si="46"/>
        <v>19.632999999999999</v>
      </c>
      <c r="U20" s="1264">
        <f t="shared" si="46"/>
        <v>21.972000000000008</v>
      </c>
      <c r="V20" s="1263">
        <f t="shared" si="46"/>
        <v>32.862000000000002</v>
      </c>
      <c r="W20" s="1263">
        <f t="shared" si="46"/>
        <v>30.518000000000001</v>
      </c>
      <c r="X20" s="1263">
        <f t="shared" si="46"/>
        <v>35.853000000000002</v>
      </c>
      <c r="Y20" s="1264">
        <f t="shared" si="46"/>
        <v>31.918000000000035</v>
      </c>
      <c r="Z20" s="1265">
        <f t="shared" ref="Z20:AA20" si="47">SUM(Z6:Z19)</f>
        <v>38.745999999999995</v>
      </c>
      <c r="AA20" s="1263">
        <f t="shared" si="47"/>
        <v>30.193000000000012</v>
      </c>
      <c r="AB20" s="1263">
        <f t="shared" si="46"/>
        <v>42.410999999999994</v>
      </c>
      <c r="AC20" s="1264">
        <f t="shared" si="46"/>
        <v>38.504999999999988</v>
      </c>
      <c r="AD20" s="1265">
        <f t="shared" si="46"/>
        <v>50.325999999999986</v>
      </c>
      <c r="AE20" s="1263">
        <f t="shared" si="46"/>
        <v>31.424000000000007</v>
      </c>
      <c r="AF20" s="1263">
        <f t="shared" ref="AF20:AS20" si="48">SUM(AF6:AF19)</f>
        <v>54.606999999999999</v>
      </c>
      <c r="AG20" s="1263">
        <f t="shared" si="48"/>
        <v>81.119</v>
      </c>
      <c r="AH20" s="1265">
        <f t="shared" si="48"/>
        <v>87.407000000000025</v>
      </c>
      <c r="AI20" s="1263">
        <f t="shared" si="48"/>
        <v>42.463000000000001</v>
      </c>
      <c r="AJ20" s="1263">
        <f t="shared" si="48"/>
        <v>53.833800000000004</v>
      </c>
      <c r="AK20" s="1263">
        <f t="shared" si="48"/>
        <v>83.046199999999985</v>
      </c>
      <c r="AL20" s="1265">
        <f t="shared" si="48"/>
        <v>81.959482157676689</v>
      </c>
      <c r="AM20" s="1263">
        <f t="shared" si="48"/>
        <v>47.565617108467912</v>
      </c>
      <c r="AN20" s="1263">
        <f t="shared" si="48"/>
        <v>56.010614638379593</v>
      </c>
      <c r="AO20" s="1264">
        <f t="shared" si="48"/>
        <v>97.91504606255765</v>
      </c>
      <c r="AP20" s="1265">
        <f t="shared" si="48"/>
        <v>86.803342926682305</v>
      </c>
      <c r="AQ20" s="1263">
        <f t="shared" si="48"/>
        <v>54.075002851342184</v>
      </c>
      <c r="AR20" s="1263">
        <f t="shared" si="48"/>
        <v>62.862611142704722</v>
      </c>
      <c r="AS20" s="1264">
        <f t="shared" si="48"/>
        <v>107.8588895848294</v>
      </c>
      <c r="AT20" s="1468"/>
      <c r="AU20" s="1483">
        <f t="shared" ref="AU20" si="49">SUM(B20:E20)</f>
        <v>-6.2659999999999982</v>
      </c>
      <c r="AV20" s="1483">
        <f t="shared" si="36"/>
        <v>-2.5590000000000188</v>
      </c>
      <c r="AW20" s="1483">
        <f t="shared" si="37"/>
        <v>-10.744000000000002</v>
      </c>
      <c r="AX20" s="1483">
        <f t="shared" si="38"/>
        <v>64.231999999999999</v>
      </c>
      <c r="AY20" s="1483">
        <f t="shared" si="39"/>
        <v>96.765000000000001</v>
      </c>
      <c r="AZ20" s="1484">
        <f t="shared" si="40"/>
        <v>131.15100000000004</v>
      </c>
      <c r="BA20" s="1485">
        <f t="shared" si="41"/>
        <v>149.85499999999999</v>
      </c>
      <c r="BB20" s="1483">
        <f t="shared" si="42"/>
        <v>217.476</v>
      </c>
      <c r="BC20" s="1483">
        <f t="shared" si="43"/>
        <v>266.75</v>
      </c>
      <c r="BD20" s="1486">
        <f t="shared" si="44"/>
        <v>283.45075996708181</v>
      </c>
      <c r="BE20" s="1486">
        <f t="shared" si="45"/>
        <v>311.59984650555862</v>
      </c>
      <c r="BF20" s="454"/>
      <c r="BG20" s="1487">
        <f t="shared" ref="BG20:BQ20" si="50">SUM(BG6:BG19)</f>
        <v>38.624999999999993</v>
      </c>
      <c r="BH20" s="1266">
        <f t="shared" si="50"/>
        <v>55.16</v>
      </c>
      <c r="BI20" s="1263">
        <f t="shared" si="50"/>
        <v>74.793000000000006</v>
      </c>
      <c r="BJ20" s="1264">
        <f t="shared" si="50"/>
        <v>96.765000000000001</v>
      </c>
      <c r="BK20" s="1487">
        <f t="shared" si="50"/>
        <v>32.862000000000002</v>
      </c>
      <c r="BL20" s="1266">
        <f t="shared" si="50"/>
        <v>63.38</v>
      </c>
      <c r="BM20" s="1263">
        <f t="shared" si="50"/>
        <v>99.233000000000004</v>
      </c>
      <c r="BN20" s="1263">
        <f t="shared" si="50"/>
        <v>131.15100000000001</v>
      </c>
      <c r="BO20" s="1265">
        <f t="shared" si="50"/>
        <v>38.745999999999995</v>
      </c>
      <c r="BP20" s="1266">
        <f t="shared" si="50"/>
        <v>68.939000000000007</v>
      </c>
      <c r="BQ20" s="1263">
        <f t="shared" si="50"/>
        <v>111.35</v>
      </c>
      <c r="BR20" s="1264">
        <f>SUM(BR6:BR19)</f>
        <v>149.85499999999996</v>
      </c>
      <c r="BS20" s="1265">
        <f t="shared" ref="BS20:BU20" si="51">SUM(BS6:BS19)</f>
        <v>50.325999999999986</v>
      </c>
      <c r="BT20" s="1266">
        <f>SUM(BT6:BT19)</f>
        <v>81.75</v>
      </c>
      <c r="BU20" s="1266">
        <f t="shared" si="51"/>
        <v>136.35700000000003</v>
      </c>
      <c r="BV20" s="1267">
        <f>SUM(BV6:BV19)</f>
        <v>217.47600000000003</v>
      </c>
      <c r="BW20" s="1265">
        <f t="shared" ref="BW20" si="52">SUM(BW6:BW19)</f>
        <v>87.407000000000025</v>
      </c>
      <c r="BX20" s="1266">
        <f>SUM(BX6:BX19)</f>
        <v>129.87</v>
      </c>
      <c r="BY20" s="1266">
        <f t="shared" ref="BY20" si="53">SUM(BY6:BY19)</f>
        <v>183.7038</v>
      </c>
      <c r="BZ20" s="1267">
        <f>SUM(BZ6:BZ19)</f>
        <v>266.74999999999994</v>
      </c>
    </row>
    <row r="21" spans="1:78" ht="12" customHeight="1">
      <c r="A21" s="139"/>
      <c r="B21" s="559"/>
      <c r="C21" s="559"/>
      <c r="D21" s="559"/>
      <c r="E21" s="1488"/>
      <c r="F21" s="1455"/>
      <c r="G21" s="559"/>
      <c r="H21" s="559"/>
      <c r="I21" s="1488"/>
      <c r="J21" s="1455"/>
      <c r="K21" s="559"/>
      <c r="L21" s="559"/>
      <c r="M21" s="1488"/>
      <c r="N21" s="1455"/>
      <c r="O21" s="559"/>
      <c r="P21" s="559"/>
      <c r="Q21" s="1488"/>
      <c r="R21" s="1489"/>
      <c r="S21" s="1490"/>
      <c r="T21" s="1490"/>
      <c r="U21" s="1491"/>
      <c r="V21" s="1489"/>
      <c r="W21" s="1490"/>
      <c r="X21" s="1490"/>
      <c r="Y21" s="1491"/>
      <c r="Z21" s="288"/>
      <c r="AA21" s="1490"/>
      <c r="AB21" s="288"/>
      <c r="AC21" s="1492"/>
      <c r="AD21" s="288"/>
      <c r="AE21" s="288"/>
      <c r="AF21" s="288"/>
      <c r="AG21" s="288"/>
      <c r="AH21" s="1356"/>
      <c r="AI21" s="288"/>
      <c r="AJ21" s="288"/>
      <c r="AK21" s="288"/>
      <c r="AL21" s="1356"/>
      <c r="AM21" s="288"/>
      <c r="AN21" s="288"/>
      <c r="AO21" s="1456"/>
      <c r="AP21" s="1356"/>
      <c r="AQ21" s="288"/>
      <c r="AR21" s="288"/>
      <c r="AS21" s="1456"/>
      <c r="AT21" s="1493"/>
      <c r="AU21" s="1494"/>
      <c r="AV21" s="1494"/>
      <c r="AW21" s="1494"/>
      <c r="AX21" s="1495"/>
      <c r="AY21" s="1495"/>
      <c r="AZ21" s="1496"/>
      <c r="BA21" s="1497"/>
      <c r="BB21" s="1495"/>
      <c r="BC21" s="1495"/>
      <c r="BD21" s="1498"/>
      <c r="BE21" s="1498"/>
      <c r="BG21" s="1233"/>
      <c r="BH21" s="1231"/>
      <c r="BI21" s="559"/>
      <c r="BJ21" s="560"/>
      <c r="BK21" s="1233"/>
      <c r="BL21" s="1231"/>
      <c r="BM21" s="559"/>
      <c r="BN21" s="559"/>
      <c r="BO21" s="558"/>
      <c r="BP21" s="559"/>
      <c r="BQ21" s="559"/>
      <c r="BR21" s="560"/>
      <c r="BS21" s="558"/>
      <c r="BT21" s="559"/>
      <c r="BU21" s="288"/>
      <c r="BV21" s="594"/>
      <c r="BW21" s="558"/>
      <c r="BX21" s="559"/>
      <c r="BY21" s="288"/>
      <c r="BZ21" s="594"/>
    </row>
    <row r="22" spans="1:78" ht="12" customHeight="1">
      <c r="A22" s="63" t="s">
        <v>311</v>
      </c>
      <c r="B22" s="1499"/>
      <c r="C22" s="559"/>
      <c r="D22" s="559"/>
      <c r="E22" s="560"/>
      <c r="F22" s="1500"/>
      <c r="G22" s="559"/>
      <c r="H22" s="559"/>
      <c r="I22" s="560"/>
      <c r="J22" s="1500"/>
      <c r="K22" s="559"/>
      <c r="L22" s="559"/>
      <c r="M22" s="560"/>
      <c r="N22" s="1500"/>
      <c r="O22" s="559"/>
      <c r="P22" s="559"/>
      <c r="Q22" s="560"/>
      <c r="R22" s="1501"/>
      <c r="S22" s="559"/>
      <c r="T22" s="559"/>
      <c r="U22" s="1472"/>
      <c r="V22" s="1501"/>
      <c r="W22" s="559"/>
      <c r="X22" s="559"/>
      <c r="Y22" s="1472"/>
      <c r="Z22" s="288"/>
      <c r="AA22" s="559"/>
      <c r="AB22" s="1502"/>
      <c r="AC22" s="1462"/>
      <c r="AD22" s="288"/>
      <c r="AE22" s="288"/>
      <c r="AF22" s="288"/>
      <c r="AG22" s="288"/>
      <c r="AH22" s="1356"/>
      <c r="AI22" s="288"/>
      <c r="AJ22" s="288"/>
      <c r="AK22" s="288"/>
      <c r="AL22" s="1356"/>
      <c r="AM22" s="288"/>
      <c r="AN22" s="288"/>
      <c r="AO22" s="1462"/>
      <c r="AP22" s="1356"/>
      <c r="AQ22" s="288"/>
      <c r="AR22" s="288"/>
      <c r="AS22" s="1462"/>
      <c r="AT22" s="1493"/>
      <c r="AU22" s="1503"/>
      <c r="AV22" s="1503"/>
      <c r="AW22" s="1503"/>
      <c r="AX22" s="1457"/>
      <c r="AY22" s="1457"/>
      <c r="AZ22" s="1458"/>
      <c r="BA22" s="1504"/>
      <c r="BB22" s="1457"/>
      <c r="BC22" s="1457"/>
      <c r="BD22" s="1459"/>
      <c r="BE22" s="1459"/>
      <c r="BG22" s="1233"/>
      <c r="BH22" s="1231"/>
      <c r="BI22" s="559"/>
      <c r="BJ22" s="1461"/>
      <c r="BK22" s="1233"/>
      <c r="BL22" s="1231"/>
      <c r="BM22" s="559"/>
      <c r="BN22" s="1253"/>
      <c r="BO22" s="558"/>
      <c r="BP22" s="559"/>
      <c r="BQ22" s="559"/>
      <c r="BR22" s="1461"/>
      <c r="BS22" s="558"/>
      <c r="BT22" s="559"/>
      <c r="BU22" s="288"/>
      <c r="BV22" s="1472"/>
      <c r="BW22" s="558"/>
      <c r="BX22" s="559"/>
      <c r="BY22" s="288"/>
      <c r="BZ22" s="1472"/>
    </row>
    <row r="23" spans="1:78" ht="12" customHeight="1">
      <c r="A23" s="128" t="s">
        <v>312</v>
      </c>
      <c r="B23" s="1253">
        <v>-0.46</v>
      </c>
      <c r="C23" s="1253">
        <f>-0.681-B23</f>
        <v>-0.22100000000000003</v>
      </c>
      <c r="D23" s="1253">
        <f>-1.628-C23-B23</f>
        <v>-0.94699999999999984</v>
      </c>
      <c r="E23" s="1461">
        <f>-2.755-D23-C23-B23</f>
        <v>-1.127</v>
      </c>
      <c r="F23" s="1235">
        <v>-1.5960000000000001</v>
      </c>
      <c r="G23" s="1253">
        <f>-2.978-F23</f>
        <v>-1.3820000000000001</v>
      </c>
      <c r="H23" s="1253">
        <f>-4.14-G23-F23</f>
        <v>-1.1619999999999995</v>
      </c>
      <c r="I23" s="1461">
        <f>-5.733-H23-G23-F23</f>
        <v>-1.5929999999999995</v>
      </c>
      <c r="J23" s="1235">
        <v>-2.306</v>
      </c>
      <c r="K23" s="1253">
        <f>-5.335-J23</f>
        <v>-3.0289999999999999</v>
      </c>
      <c r="L23" s="1253">
        <f>-10.262-K23-J23</f>
        <v>-4.9270000000000005</v>
      </c>
      <c r="M23" s="1461">
        <f>-20.674-SUM(J23:L23)</f>
        <v>-10.411999999999999</v>
      </c>
      <c r="N23" s="1255">
        <v>-0.61399999999999999</v>
      </c>
      <c r="O23" s="1253">
        <f>-11.004-N23</f>
        <v>-10.389999999999999</v>
      </c>
      <c r="P23" s="1253">
        <f>-19.073-O23-N23</f>
        <v>-8.0690000000000008</v>
      </c>
      <c r="Q23" s="1253">
        <f>-20.277-SUM(N23:P23)</f>
        <v>-1.2040000000000006</v>
      </c>
      <c r="R23" s="1255">
        <f t="shared" ref="R23:R28" si="54">BG23</f>
        <v>-1.0609999999999999</v>
      </c>
      <c r="S23" s="1253">
        <f t="shared" ref="S23:U28" si="55">BH23-BG23</f>
        <v>-1.5340000000000003</v>
      </c>
      <c r="T23" s="1253">
        <f t="shared" si="55"/>
        <v>-1.1739999999999999</v>
      </c>
      <c r="U23" s="1461">
        <f t="shared" si="55"/>
        <v>-2.7919999999999998</v>
      </c>
      <c r="V23" s="1255">
        <f t="shared" ref="V23:V28" si="56">BK23</f>
        <v>-4.8109999999999999</v>
      </c>
      <c r="W23" s="1253">
        <f t="shared" ref="W23:Y28" si="57">BL23-BK23</f>
        <v>-4.7520000000000007</v>
      </c>
      <c r="X23" s="1253">
        <f t="shared" si="57"/>
        <v>-4.3469999999999995</v>
      </c>
      <c r="Y23" s="1461">
        <f t="shared" si="57"/>
        <v>-5.2379999999999995</v>
      </c>
      <c r="Z23" s="1231">
        <f t="shared" ref="Z23:Z28" si="58">BO23</f>
        <v>-0.38700000000000001</v>
      </c>
      <c r="AA23" s="1253">
        <f t="shared" ref="AA23:AK28" si="59">BP23-BO23</f>
        <v>-0.71100000000000008</v>
      </c>
      <c r="AB23" s="1253">
        <f t="shared" si="59"/>
        <v>-0.20099999999999985</v>
      </c>
      <c r="AC23" s="1253">
        <f t="shared" si="59"/>
        <v>-0.40500000000000003</v>
      </c>
      <c r="AD23" s="1255">
        <f t="shared" ref="AD23:AD28" si="60">BS23</f>
        <v>-0.66500000000000004</v>
      </c>
      <c r="AE23" s="1253">
        <f t="shared" si="59"/>
        <v>-0.52600000000000002</v>
      </c>
      <c r="AF23" s="1253">
        <f t="shared" si="59"/>
        <v>-0.73299999999999987</v>
      </c>
      <c r="AG23" s="1253">
        <f t="shared" si="59"/>
        <v>-2.323</v>
      </c>
      <c r="AH23" s="1255">
        <f t="shared" ref="AH23:AH28" si="61">BW23</f>
        <v>-6.5529999999999999</v>
      </c>
      <c r="AI23" s="1253">
        <f t="shared" si="59"/>
        <v>-4.3479999999999999</v>
      </c>
      <c r="AJ23" s="1253">
        <f t="shared" si="59"/>
        <v>-0.86700000000000088</v>
      </c>
      <c r="AK23" s="1253">
        <f t="shared" si="59"/>
        <v>-0.33399999999999963</v>
      </c>
      <c r="AL23" s="1505">
        <f>AH23-0.5</f>
        <v>-7.0529999999999999</v>
      </c>
      <c r="AM23" s="1506">
        <f t="shared" ref="AM23:AS23" si="62">AI23-0.5</f>
        <v>-4.8479999999999999</v>
      </c>
      <c r="AN23" s="1506">
        <f t="shared" si="62"/>
        <v>-1.3670000000000009</v>
      </c>
      <c r="AO23" s="1506">
        <f t="shared" si="62"/>
        <v>-0.83399999999999963</v>
      </c>
      <c r="AP23" s="1505">
        <f t="shared" si="62"/>
        <v>-7.5529999999999999</v>
      </c>
      <c r="AQ23" s="1506">
        <f t="shared" si="62"/>
        <v>-5.3479999999999999</v>
      </c>
      <c r="AR23" s="1506">
        <f t="shared" si="62"/>
        <v>-1.8670000000000009</v>
      </c>
      <c r="AS23" s="1506">
        <f t="shared" si="62"/>
        <v>-1.3339999999999996</v>
      </c>
      <c r="AT23" s="1493"/>
      <c r="AU23" s="1463">
        <f t="shared" ref="AU23:AU29" si="63">SUM(B23:E23)</f>
        <v>-2.7549999999999999</v>
      </c>
      <c r="AV23" s="1463">
        <f t="shared" ref="AV23:AV29" si="64">SUM(F23:I23)</f>
        <v>-5.7329999999999988</v>
      </c>
      <c r="AW23" s="1463">
        <f t="shared" ref="AW23:AW29" si="65">SUM(J23:M23)</f>
        <v>-20.673999999999999</v>
      </c>
      <c r="AX23" s="1463">
        <f t="shared" ref="AX23:AX29" si="66">SUM(N23:Q23)</f>
        <v>-20.277000000000001</v>
      </c>
      <c r="AY23" s="1463">
        <f t="shared" ref="AY23:AY29" si="67">SUM(R23:U23)</f>
        <v>-6.5609999999999999</v>
      </c>
      <c r="AZ23" s="1464">
        <f t="shared" ref="AZ23:AZ29" si="68">SUM(V23:Y23)</f>
        <v>-19.148</v>
      </c>
      <c r="BA23" s="1257">
        <f t="shared" ref="BA23:BA29" si="69">SUM(Z23:AC23)</f>
        <v>-1.704</v>
      </c>
      <c r="BB23" s="1463">
        <f t="shared" ref="BB23:BB29" si="70">SUM(AD23:AG23)</f>
        <v>-4.2469999999999999</v>
      </c>
      <c r="BC23" s="1463">
        <f t="shared" ref="BC23:BC29" si="71">SUM(AH23:AK23)</f>
        <v>-12.102</v>
      </c>
      <c r="BD23" s="1466">
        <f t="shared" ref="BD23:BD29" si="72">SUM(AL23:AO23)</f>
        <v>-14.102</v>
      </c>
      <c r="BE23" s="1466">
        <f t="shared" ref="BE23:BE29" si="73">SUM(AP23:AS23)</f>
        <v>-16.102</v>
      </c>
      <c r="BG23" s="1233">
        <v>-1.0609999999999999</v>
      </c>
      <c r="BH23" s="1231">
        <v>-2.5950000000000002</v>
      </c>
      <c r="BI23" s="1231">
        <v>-3.7690000000000001</v>
      </c>
      <c r="BJ23" s="1461">
        <v>-6.5609999999999999</v>
      </c>
      <c r="BK23" s="1233">
        <v>-4.8109999999999999</v>
      </c>
      <c r="BL23" s="1231">
        <v>-9.5630000000000006</v>
      </c>
      <c r="BM23" s="1231">
        <v>-13.91</v>
      </c>
      <c r="BN23" s="1253">
        <f>-9.359-9.789</f>
        <v>-19.148</v>
      </c>
      <c r="BO23" s="1233">
        <f>-0.387</f>
        <v>-0.38700000000000001</v>
      </c>
      <c r="BP23" s="1231">
        <f>-1.098</f>
        <v>-1.0980000000000001</v>
      </c>
      <c r="BQ23" s="1231">
        <f>-1.299</f>
        <v>-1.2989999999999999</v>
      </c>
      <c r="BR23" s="1461">
        <v>-1.704</v>
      </c>
      <c r="BS23" s="1233">
        <v>-0.66500000000000004</v>
      </c>
      <c r="BT23" s="1231">
        <v>-1.1910000000000001</v>
      </c>
      <c r="BU23" s="1231">
        <v>-1.9239999999999999</v>
      </c>
      <c r="BV23" s="1472">
        <v>-4.2469999999999999</v>
      </c>
      <c r="BW23" s="1233">
        <v>-6.5529999999999999</v>
      </c>
      <c r="BX23" s="1231">
        <v>-10.901</v>
      </c>
      <c r="BY23" s="1231">
        <v>-11.768000000000001</v>
      </c>
      <c r="BZ23" s="1472">
        <v>-12.102</v>
      </c>
    </row>
    <row r="24" spans="1:78" ht="12" customHeight="1">
      <c r="A24" s="128" t="s">
        <v>313</v>
      </c>
      <c r="B24" s="1507"/>
      <c r="C24" s="1507"/>
      <c r="D24" s="1507"/>
      <c r="E24" s="1508"/>
      <c r="F24" s="1509"/>
      <c r="G24" s="1507"/>
      <c r="H24" s="1507"/>
      <c r="I24" s="1508"/>
      <c r="J24" s="1509"/>
      <c r="K24" s="1507"/>
      <c r="L24" s="1507"/>
      <c r="M24" s="1508"/>
      <c r="N24" s="1510"/>
      <c r="O24" s="1507"/>
      <c r="P24" s="1507"/>
      <c r="Q24" s="1507"/>
      <c r="R24" s="1510"/>
      <c r="S24" s="1507"/>
      <c r="T24" s="1507"/>
      <c r="U24" s="1508"/>
      <c r="V24" s="1233"/>
      <c r="W24" s="1231"/>
      <c r="X24" s="1231"/>
      <c r="Y24" s="1472"/>
      <c r="Z24" s="1231">
        <f t="shared" si="58"/>
        <v>-1.0229999999999999</v>
      </c>
      <c r="AA24" s="1253">
        <f t="shared" si="59"/>
        <v>-1.7900000000000003</v>
      </c>
      <c r="AB24" s="1253">
        <f t="shared" si="59"/>
        <v>-1.8939999999999997</v>
      </c>
      <c r="AC24" s="1461">
        <f t="shared" si="59"/>
        <v>-2.3449999999999998</v>
      </c>
      <c r="AD24" s="1255">
        <f t="shared" si="60"/>
        <v>-2.532</v>
      </c>
      <c r="AE24" s="1253">
        <f t="shared" si="59"/>
        <v>-2.2350000000000003</v>
      </c>
      <c r="AF24" s="1253">
        <f t="shared" si="59"/>
        <v>-1.1629999999999994</v>
      </c>
      <c r="AG24" s="1253">
        <f t="shared" si="59"/>
        <v>-0.52099999999999991</v>
      </c>
      <c r="AH24" s="1255">
        <f t="shared" si="61"/>
        <v>-0.624</v>
      </c>
      <c r="AI24" s="1253">
        <f t="shared" si="59"/>
        <v>-0.69899999999999995</v>
      </c>
      <c r="AJ24" s="1253">
        <f t="shared" si="59"/>
        <v>-1.3530000000000002</v>
      </c>
      <c r="AK24" s="1253">
        <f t="shared" si="59"/>
        <v>-1.798</v>
      </c>
      <c r="AL24" s="1505">
        <f>AK24-0.05</f>
        <v>-1.8480000000000001</v>
      </c>
      <c r="AM24" s="1506">
        <f t="shared" ref="AM24:AS24" si="74">AL24-0.05</f>
        <v>-1.8980000000000001</v>
      </c>
      <c r="AN24" s="1506">
        <f t="shared" si="74"/>
        <v>-1.9480000000000002</v>
      </c>
      <c r="AO24" s="1506">
        <f t="shared" si="74"/>
        <v>-1.9980000000000002</v>
      </c>
      <c r="AP24" s="1505">
        <f t="shared" si="74"/>
        <v>-2.048</v>
      </c>
      <c r="AQ24" s="1506">
        <f t="shared" si="74"/>
        <v>-2.0979999999999999</v>
      </c>
      <c r="AR24" s="1506">
        <f t="shared" si="74"/>
        <v>-2.1479999999999997</v>
      </c>
      <c r="AS24" s="1506">
        <f t="shared" si="74"/>
        <v>-2.1979999999999995</v>
      </c>
      <c r="AT24" s="1493"/>
      <c r="AU24" s="1463"/>
      <c r="AV24" s="1463"/>
      <c r="AW24" s="1463"/>
      <c r="AX24" s="1463"/>
      <c r="AY24" s="1463"/>
      <c r="AZ24" s="1464"/>
      <c r="BA24" s="1257">
        <f t="shared" si="69"/>
        <v>-7.0519999999999996</v>
      </c>
      <c r="BB24" s="1463">
        <f t="shared" si="70"/>
        <v>-6.4509999999999996</v>
      </c>
      <c r="BC24" s="1463">
        <f t="shared" si="71"/>
        <v>-4.4740000000000002</v>
      </c>
      <c r="BD24" s="1466">
        <f t="shared" si="72"/>
        <v>-7.6920000000000011</v>
      </c>
      <c r="BE24" s="1466">
        <f t="shared" si="73"/>
        <v>-8.4919999999999991</v>
      </c>
      <c r="BG24" s="1233"/>
      <c r="BH24" s="1231"/>
      <c r="BI24" s="1231"/>
      <c r="BJ24" s="1461"/>
      <c r="BK24" s="1233"/>
      <c r="BL24" s="1231"/>
      <c r="BM24" s="1231"/>
      <c r="BN24" s="1253"/>
      <c r="BO24" s="1233">
        <v>-1.0229999999999999</v>
      </c>
      <c r="BP24" s="1231">
        <v>-2.8130000000000002</v>
      </c>
      <c r="BQ24" s="1231">
        <v>-4.7069999999999999</v>
      </c>
      <c r="BR24" s="1461">
        <v>-7.0519999999999996</v>
      </c>
      <c r="BS24" s="1233">
        <v>-2.532</v>
      </c>
      <c r="BT24" s="1231">
        <v>-4.7670000000000003</v>
      </c>
      <c r="BU24" s="1231">
        <v>-5.93</v>
      </c>
      <c r="BV24" s="1472">
        <v>-6.4509999999999996</v>
      </c>
      <c r="BW24" s="1233">
        <v>-0.624</v>
      </c>
      <c r="BX24" s="1231">
        <v>-1.323</v>
      </c>
      <c r="BY24" s="1231">
        <v>-2.6760000000000002</v>
      </c>
      <c r="BZ24" s="1472">
        <v>-4.4740000000000002</v>
      </c>
    </row>
    <row r="25" spans="1:78" ht="12" customHeight="1">
      <c r="A25" s="128" t="s">
        <v>314</v>
      </c>
      <c r="B25" s="1253">
        <v>0</v>
      </c>
      <c r="C25" s="1253">
        <v>0</v>
      </c>
      <c r="D25" s="1253">
        <v>0</v>
      </c>
      <c r="E25" s="1461">
        <v>0</v>
      </c>
      <c r="F25" s="1235">
        <v>0</v>
      </c>
      <c r="G25" s="1253">
        <v>0</v>
      </c>
      <c r="H25" s="1253">
        <f>-34.114-G25-F25</f>
        <v>-34.113999999999997</v>
      </c>
      <c r="I25" s="1461">
        <f>-117.488-H25-G25-F25</f>
        <v>-83.373999999999995</v>
      </c>
      <c r="J25" s="1235">
        <v>-53.914999999999999</v>
      </c>
      <c r="K25" s="1253">
        <f>-102.453-J25</f>
        <v>-48.538000000000004</v>
      </c>
      <c r="L25" s="1253">
        <f>-179.703-K25-J25</f>
        <v>-77.25</v>
      </c>
      <c r="M25" s="1461">
        <f>-242.059-SUM(J25:L25)</f>
        <v>-62.355999999999995</v>
      </c>
      <c r="N25" s="1255">
        <v>-58.831000000000003</v>
      </c>
      <c r="O25" s="1253">
        <f>-91.908-N25</f>
        <v>-33.076999999999998</v>
      </c>
      <c r="P25" s="1253">
        <f>-157.557-O25-N25</f>
        <v>-65.648999999999987</v>
      </c>
      <c r="Q25" s="1253">
        <f>-184.516-SUM(N25:P25)</f>
        <v>-26.959000000000003</v>
      </c>
      <c r="R25" s="1255">
        <f t="shared" si="54"/>
        <v>-29.361000000000001</v>
      </c>
      <c r="S25" s="1253">
        <f t="shared" si="55"/>
        <v>-58.262999999999991</v>
      </c>
      <c r="T25" s="1253">
        <f t="shared" si="55"/>
        <v>-124.131</v>
      </c>
      <c r="U25" s="1472">
        <f t="shared" si="55"/>
        <v>-75.682999999999993</v>
      </c>
      <c r="V25" s="1255">
        <f t="shared" si="56"/>
        <v>-60.85</v>
      </c>
      <c r="W25" s="1253">
        <f t="shared" si="57"/>
        <v>-58.768999999999998</v>
      </c>
      <c r="X25" s="1253">
        <f t="shared" si="57"/>
        <v>-70.820999999999998</v>
      </c>
      <c r="Y25" s="1472">
        <f t="shared" si="57"/>
        <v>-86.252999999999986</v>
      </c>
      <c r="Z25" s="1231">
        <f t="shared" si="58"/>
        <v>-48.749000000000002</v>
      </c>
      <c r="AA25" s="1253">
        <f t="shared" si="59"/>
        <v>-98.685000000000002</v>
      </c>
      <c r="AB25" s="1253">
        <f t="shared" si="59"/>
        <v>-69.805000000000007</v>
      </c>
      <c r="AC25" s="1472">
        <f t="shared" si="59"/>
        <v>-60.97</v>
      </c>
      <c r="AD25" s="1255">
        <f t="shared" si="60"/>
        <v>-77.465000000000003</v>
      </c>
      <c r="AE25" s="1253">
        <f t="shared" si="59"/>
        <v>-82.94</v>
      </c>
      <c r="AF25" s="1253">
        <f t="shared" si="59"/>
        <v>-66.805000000000007</v>
      </c>
      <c r="AG25" s="1253">
        <f t="shared" si="59"/>
        <v>-60.587000000000018</v>
      </c>
      <c r="AH25" s="1255">
        <f t="shared" si="61"/>
        <v>-38.445</v>
      </c>
      <c r="AI25" s="1253">
        <f t="shared" si="59"/>
        <v>-44.892999999999994</v>
      </c>
      <c r="AJ25" s="1253">
        <f t="shared" si="59"/>
        <v>-33.349000000000004</v>
      </c>
      <c r="AK25" s="1253">
        <f t="shared" si="59"/>
        <v>-28.655000000000015</v>
      </c>
      <c r="AL25" s="1233">
        <v>0</v>
      </c>
      <c r="AM25" s="1231">
        <v>0</v>
      </c>
      <c r="AN25" s="1231">
        <v>0</v>
      </c>
      <c r="AO25" s="1231">
        <v>0</v>
      </c>
      <c r="AP25" s="1233">
        <v>0</v>
      </c>
      <c r="AQ25" s="1231">
        <v>0</v>
      </c>
      <c r="AR25" s="1231">
        <v>0</v>
      </c>
      <c r="AS25" s="1231">
        <v>0</v>
      </c>
      <c r="AT25" s="1493"/>
      <c r="AU25" s="1463">
        <f t="shared" si="63"/>
        <v>0</v>
      </c>
      <c r="AV25" s="1463">
        <f t="shared" si="64"/>
        <v>-117.488</v>
      </c>
      <c r="AW25" s="1463">
        <f t="shared" si="65"/>
        <v>-242.059</v>
      </c>
      <c r="AX25" s="1463">
        <f t="shared" si="66"/>
        <v>-184.51599999999999</v>
      </c>
      <c r="AY25" s="1463">
        <f t="shared" si="67"/>
        <v>-287.43799999999999</v>
      </c>
      <c r="AZ25" s="1464">
        <f t="shared" si="68"/>
        <v>-276.69299999999998</v>
      </c>
      <c r="BA25" s="1257">
        <f t="shared" si="69"/>
        <v>-278.209</v>
      </c>
      <c r="BB25" s="1463">
        <f t="shared" si="70"/>
        <v>-287.79700000000003</v>
      </c>
      <c r="BC25" s="1463">
        <f t="shared" si="71"/>
        <v>-145.34200000000001</v>
      </c>
      <c r="BD25" s="1466">
        <f t="shared" si="72"/>
        <v>0</v>
      </c>
      <c r="BE25" s="1466">
        <f t="shared" si="73"/>
        <v>0</v>
      </c>
      <c r="BG25" s="1233">
        <v>-29.361000000000001</v>
      </c>
      <c r="BH25" s="1231">
        <v>-87.623999999999995</v>
      </c>
      <c r="BI25" s="1231">
        <v>-211.755</v>
      </c>
      <c r="BJ25" s="1461">
        <f>-282.438-5</f>
        <v>-287.43799999999999</v>
      </c>
      <c r="BK25" s="1233">
        <v>-60.85</v>
      </c>
      <c r="BL25" s="1231">
        <v>-119.619</v>
      </c>
      <c r="BM25" s="1231">
        <v>-190.44</v>
      </c>
      <c r="BN25" s="1253">
        <f>-266.693-10</f>
        <v>-276.69299999999998</v>
      </c>
      <c r="BO25" s="1233">
        <v>-48.749000000000002</v>
      </c>
      <c r="BP25" s="1231">
        <v>-147.434</v>
      </c>
      <c r="BQ25" s="1231">
        <v>-217.239</v>
      </c>
      <c r="BR25" s="1461">
        <v>-278.209</v>
      </c>
      <c r="BS25" s="1233">
        <v>-77.465000000000003</v>
      </c>
      <c r="BT25" s="1231">
        <v>-160.405</v>
      </c>
      <c r="BU25" s="1231">
        <v>-227.21</v>
      </c>
      <c r="BV25" s="1472">
        <v>-287.79700000000003</v>
      </c>
      <c r="BW25" s="1233">
        <v>-38.445</v>
      </c>
      <c r="BX25" s="1231">
        <v>-83.337999999999994</v>
      </c>
      <c r="BY25" s="1231">
        <v>-116.687</v>
      </c>
      <c r="BZ25" s="1472">
        <v>-145.34200000000001</v>
      </c>
    </row>
    <row r="26" spans="1:78" ht="12" customHeight="1">
      <c r="A26" s="128" t="s">
        <v>315</v>
      </c>
      <c r="B26" s="1253">
        <v>0</v>
      </c>
      <c r="C26" s="1253">
        <v>0</v>
      </c>
      <c r="D26" s="1253">
        <v>0</v>
      </c>
      <c r="E26" s="1461">
        <v>0</v>
      </c>
      <c r="F26" s="1235">
        <v>0</v>
      </c>
      <c r="G26" s="1253">
        <v>0</v>
      </c>
      <c r="H26" s="1253">
        <v>0</v>
      </c>
      <c r="I26" s="1461">
        <v>0</v>
      </c>
      <c r="J26" s="1235">
        <v>41.75</v>
      </c>
      <c r="K26" s="1253">
        <f>110.75-J26</f>
        <v>69</v>
      </c>
      <c r="L26" s="1253">
        <f>174.485-K26-J26</f>
        <v>63.735000000000014</v>
      </c>
      <c r="M26" s="1461">
        <f>224.594-SUM(J26:L26)</f>
        <v>50.10899999999998</v>
      </c>
      <c r="N26" s="1255">
        <v>78.174999999999997</v>
      </c>
      <c r="O26" s="1253">
        <f>124.675-N26</f>
        <v>46.5</v>
      </c>
      <c r="P26" s="1253">
        <f>168.175-O26-N26</f>
        <v>43.500000000000014</v>
      </c>
      <c r="Q26" s="1253">
        <f>209.148-SUM(N26:P26)</f>
        <v>40.972999999999985</v>
      </c>
      <c r="R26" s="1255">
        <f t="shared" si="54"/>
        <v>31</v>
      </c>
      <c r="S26" s="1253">
        <f t="shared" si="55"/>
        <v>45</v>
      </c>
      <c r="T26" s="1253">
        <f t="shared" si="55"/>
        <v>33</v>
      </c>
      <c r="U26" s="1472">
        <f t="shared" si="55"/>
        <v>51.873999999999995</v>
      </c>
      <c r="V26" s="1255">
        <f t="shared" si="56"/>
        <v>55.134999999999998</v>
      </c>
      <c r="W26" s="1253">
        <f t="shared" si="57"/>
        <v>53.723000000000006</v>
      </c>
      <c r="X26" s="1253">
        <f t="shared" si="57"/>
        <v>54.481999999999999</v>
      </c>
      <c r="Y26" s="1472">
        <f t="shared" si="57"/>
        <v>71.228999999999985</v>
      </c>
      <c r="Z26" s="1231">
        <f t="shared" si="58"/>
        <v>61.298999999999999</v>
      </c>
      <c r="AA26" s="1253">
        <f t="shared" si="59"/>
        <v>87.460999999999984</v>
      </c>
      <c r="AB26" s="1253">
        <f t="shared" si="59"/>
        <v>94.104000000000013</v>
      </c>
      <c r="AC26" s="1472">
        <f t="shared" si="59"/>
        <v>74.787000000000006</v>
      </c>
      <c r="AD26" s="1255">
        <f t="shared" si="60"/>
        <v>65.569999999999993</v>
      </c>
      <c r="AE26" s="1253">
        <f t="shared" si="59"/>
        <v>82.207999999999998</v>
      </c>
      <c r="AF26" s="1253">
        <f t="shared" si="59"/>
        <v>87.087000000000018</v>
      </c>
      <c r="AG26" s="1253">
        <f t="shared" si="59"/>
        <v>49.09899999999999</v>
      </c>
      <c r="AH26" s="1255">
        <f t="shared" si="61"/>
        <v>61.344999999999999</v>
      </c>
      <c r="AI26" s="1253">
        <f t="shared" si="59"/>
        <v>60.968999999999994</v>
      </c>
      <c r="AJ26" s="1253">
        <f t="shared" si="59"/>
        <v>33.856999999999999</v>
      </c>
      <c r="AK26" s="1253">
        <f t="shared" si="59"/>
        <v>26.498999999999995</v>
      </c>
      <c r="AL26" s="1233">
        <v>0</v>
      </c>
      <c r="AM26" s="1231">
        <v>0</v>
      </c>
      <c r="AN26" s="1231">
        <v>0</v>
      </c>
      <c r="AO26" s="1231">
        <v>0</v>
      </c>
      <c r="AP26" s="1233">
        <v>0</v>
      </c>
      <c r="AQ26" s="1231">
        <v>0</v>
      </c>
      <c r="AR26" s="1231">
        <v>0</v>
      </c>
      <c r="AS26" s="1231">
        <v>0</v>
      </c>
      <c r="AT26" s="1493"/>
      <c r="AU26" s="1463">
        <f t="shared" si="63"/>
        <v>0</v>
      </c>
      <c r="AV26" s="1463">
        <f t="shared" si="64"/>
        <v>0</v>
      </c>
      <c r="AW26" s="1463">
        <f t="shared" si="65"/>
        <v>224.59399999999999</v>
      </c>
      <c r="AX26" s="1463">
        <f t="shared" si="66"/>
        <v>209.148</v>
      </c>
      <c r="AY26" s="1463">
        <f t="shared" si="67"/>
        <v>160.874</v>
      </c>
      <c r="AZ26" s="1464">
        <f t="shared" si="68"/>
        <v>234.56899999999999</v>
      </c>
      <c r="BA26" s="1257">
        <f t="shared" si="69"/>
        <v>317.65100000000001</v>
      </c>
      <c r="BB26" s="1463">
        <f t="shared" si="70"/>
        <v>283.964</v>
      </c>
      <c r="BC26" s="1463">
        <f t="shared" si="71"/>
        <v>182.67</v>
      </c>
      <c r="BD26" s="1466">
        <f t="shared" si="72"/>
        <v>0</v>
      </c>
      <c r="BE26" s="1466">
        <f t="shared" si="73"/>
        <v>0</v>
      </c>
      <c r="BG26" s="1233">
        <v>31</v>
      </c>
      <c r="BH26" s="1231">
        <v>76</v>
      </c>
      <c r="BI26" s="1231">
        <v>109</v>
      </c>
      <c r="BJ26" s="1461">
        <f>160.874</f>
        <v>160.874</v>
      </c>
      <c r="BK26" s="1233">
        <v>55.134999999999998</v>
      </c>
      <c r="BL26" s="1231">
        <v>108.858</v>
      </c>
      <c r="BM26" s="1231">
        <v>163.34</v>
      </c>
      <c r="BN26" s="1253">
        <v>234.56899999999999</v>
      </c>
      <c r="BO26" s="1233">
        <v>61.298999999999999</v>
      </c>
      <c r="BP26" s="1231">
        <v>148.76</v>
      </c>
      <c r="BQ26" s="1231">
        <v>242.864</v>
      </c>
      <c r="BR26" s="1461">
        <v>317.65100000000001</v>
      </c>
      <c r="BS26" s="1233">
        <v>65.569999999999993</v>
      </c>
      <c r="BT26" s="1231">
        <v>147.77799999999999</v>
      </c>
      <c r="BU26" s="1231">
        <v>234.86500000000001</v>
      </c>
      <c r="BV26" s="1472">
        <v>283.964</v>
      </c>
      <c r="BW26" s="1233">
        <v>61.344999999999999</v>
      </c>
      <c r="BX26" s="1231">
        <v>122.31399999999999</v>
      </c>
      <c r="BY26" s="1231">
        <v>156.17099999999999</v>
      </c>
      <c r="BZ26" s="1472">
        <v>182.67</v>
      </c>
    </row>
    <row r="27" spans="1:78" ht="12" customHeight="1">
      <c r="A27" s="128" t="s">
        <v>316</v>
      </c>
      <c r="B27" s="1253">
        <v>0</v>
      </c>
      <c r="C27" s="1253">
        <v>0</v>
      </c>
      <c r="D27" s="1253">
        <v>0</v>
      </c>
      <c r="E27" s="1461">
        <v>0</v>
      </c>
      <c r="F27" s="1235">
        <v>0</v>
      </c>
      <c r="G27" s="1253">
        <v>0</v>
      </c>
      <c r="H27" s="1253">
        <v>0</v>
      </c>
      <c r="I27" s="1461">
        <v>0</v>
      </c>
      <c r="J27" s="1235">
        <v>0</v>
      </c>
      <c r="K27" s="1253">
        <v>0</v>
      </c>
      <c r="L27" s="1253">
        <v>0</v>
      </c>
      <c r="M27" s="1461">
        <f>-74.911-SUM(J27:L27)</f>
        <v>-74.911000000000001</v>
      </c>
      <c r="N27" s="1255">
        <v>0</v>
      </c>
      <c r="O27" s="1253">
        <v>0</v>
      </c>
      <c r="P27" s="1253">
        <f>0-O27-N27</f>
        <v>0</v>
      </c>
      <c r="Q27" s="1253">
        <f>-0.276-SUM(N27:P27)</f>
        <v>-0.27600000000000002</v>
      </c>
      <c r="R27" s="1255">
        <f t="shared" si="54"/>
        <v>0</v>
      </c>
      <c r="S27" s="1253">
        <f t="shared" si="55"/>
        <v>-98.489000000000004</v>
      </c>
      <c r="T27" s="1253">
        <f t="shared" si="55"/>
        <v>0</v>
      </c>
      <c r="U27" s="1472">
        <f t="shared" si="55"/>
        <v>-159.97599999999997</v>
      </c>
      <c r="V27" s="1255">
        <f t="shared" si="56"/>
        <v>-22.96</v>
      </c>
      <c r="W27" s="1253">
        <f t="shared" si="57"/>
        <v>-44.032999999999994</v>
      </c>
      <c r="X27" s="1253">
        <f t="shared" si="57"/>
        <v>0</v>
      </c>
      <c r="Y27" s="1472">
        <f t="shared" si="57"/>
        <v>0.22599999999999909</v>
      </c>
      <c r="Z27" s="1231">
        <f t="shared" si="58"/>
        <v>0</v>
      </c>
      <c r="AA27" s="1253">
        <f t="shared" si="59"/>
        <v>0</v>
      </c>
      <c r="AB27" s="1253">
        <f t="shared" si="59"/>
        <v>0</v>
      </c>
      <c r="AC27" s="1472">
        <f t="shared" si="59"/>
        <v>-243.30099999999999</v>
      </c>
      <c r="AD27" s="1255">
        <f t="shared" si="60"/>
        <v>0</v>
      </c>
      <c r="AE27" s="1253">
        <f t="shared" si="59"/>
        <v>3.512</v>
      </c>
      <c r="AF27" s="1253">
        <f t="shared" si="59"/>
        <v>-32.673999999999999</v>
      </c>
      <c r="AG27" s="1253">
        <f t="shared" si="59"/>
        <v>0</v>
      </c>
      <c r="AH27" s="1255">
        <f t="shared" si="61"/>
        <v>-148.51</v>
      </c>
      <c r="AI27" s="1253">
        <f t="shared" si="59"/>
        <v>149.17399999999998</v>
      </c>
      <c r="AJ27" s="1253">
        <f t="shared" si="59"/>
        <v>-196.84599999999998</v>
      </c>
      <c r="AK27" s="1253">
        <f t="shared" si="59"/>
        <v>0</v>
      </c>
      <c r="AL27" s="1511">
        <v>0</v>
      </c>
      <c r="AM27" s="1512">
        <v>0</v>
      </c>
      <c r="AN27" s="1512">
        <v>0</v>
      </c>
      <c r="AO27" s="1512">
        <v>0</v>
      </c>
      <c r="AP27" s="1511">
        <v>0</v>
      </c>
      <c r="AQ27" s="1512">
        <v>0</v>
      </c>
      <c r="AR27" s="1512">
        <v>0</v>
      </c>
      <c r="AS27" s="1512">
        <v>0</v>
      </c>
      <c r="AT27" s="1493"/>
      <c r="AU27" s="1463">
        <f t="shared" si="63"/>
        <v>0</v>
      </c>
      <c r="AV27" s="1463">
        <f t="shared" si="64"/>
        <v>0</v>
      </c>
      <c r="AW27" s="1463">
        <f t="shared" si="65"/>
        <v>-74.911000000000001</v>
      </c>
      <c r="AX27" s="1463">
        <f t="shared" si="66"/>
        <v>-0.27600000000000002</v>
      </c>
      <c r="AY27" s="1463">
        <f t="shared" si="67"/>
        <v>-258.46499999999997</v>
      </c>
      <c r="AZ27" s="1464">
        <f t="shared" si="68"/>
        <v>-66.766999999999996</v>
      </c>
      <c r="BA27" s="1257">
        <f t="shared" si="69"/>
        <v>-243.30099999999999</v>
      </c>
      <c r="BB27" s="1463">
        <f t="shared" si="70"/>
        <v>-29.161999999999999</v>
      </c>
      <c r="BC27" s="1463">
        <f t="shared" si="71"/>
        <v>-196.18199999999999</v>
      </c>
      <c r="BD27" s="1466">
        <f t="shared" si="72"/>
        <v>0</v>
      </c>
      <c r="BE27" s="1466">
        <f t="shared" si="73"/>
        <v>0</v>
      </c>
      <c r="BG27" s="1233">
        <v>0</v>
      </c>
      <c r="BH27" s="1231">
        <v>-98.489000000000004</v>
      </c>
      <c r="BI27" s="1231">
        <v>-98.489000000000004</v>
      </c>
      <c r="BJ27" s="1461">
        <v>-258.46499999999997</v>
      </c>
      <c r="BK27" s="1233">
        <v>-22.96</v>
      </c>
      <c r="BL27" s="1231">
        <v>-66.992999999999995</v>
      </c>
      <c r="BM27" s="1231">
        <v>-66.992999999999995</v>
      </c>
      <c r="BN27" s="1253">
        <v>-66.766999999999996</v>
      </c>
      <c r="BO27" s="1233">
        <v>0</v>
      </c>
      <c r="BP27" s="1231">
        <v>0</v>
      </c>
      <c r="BQ27" s="1231">
        <v>0</v>
      </c>
      <c r="BR27" s="1461">
        <v>-243.30099999999999</v>
      </c>
      <c r="BS27" s="1233">
        <v>0</v>
      </c>
      <c r="BT27" s="1231">
        <v>3.512</v>
      </c>
      <c r="BU27" s="1231">
        <v>-29.161999999999999</v>
      </c>
      <c r="BV27" s="1472">
        <v>-29.161999999999999</v>
      </c>
      <c r="BW27" s="1233">
        <v>-148.51</v>
      </c>
      <c r="BX27" s="1231">
        <v>0.66400000000000003</v>
      </c>
      <c r="BY27" s="1231">
        <v>-196.18199999999999</v>
      </c>
      <c r="BZ27" s="1472">
        <v>-196.18199999999999</v>
      </c>
    </row>
    <row r="28" spans="1:78" ht="12" customHeight="1">
      <c r="A28" s="128" t="s">
        <v>300</v>
      </c>
      <c r="B28" s="1253">
        <v>0</v>
      </c>
      <c r="C28" s="1253">
        <v>0</v>
      </c>
      <c r="D28" s="1253">
        <v>0</v>
      </c>
      <c r="E28" s="1461">
        <v>0</v>
      </c>
      <c r="F28" s="1235">
        <v>0</v>
      </c>
      <c r="G28" s="1253">
        <v>0</v>
      </c>
      <c r="H28" s="1253">
        <v>0</v>
      </c>
      <c r="I28" s="1461">
        <v>0</v>
      </c>
      <c r="J28" s="1235">
        <v>0</v>
      </c>
      <c r="K28" s="1253">
        <v>0</v>
      </c>
      <c r="L28" s="1253">
        <v>0</v>
      </c>
      <c r="M28" s="1461">
        <v>0</v>
      </c>
      <c r="N28" s="1235">
        <v>0</v>
      </c>
      <c r="O28" s="1253">
        <v>0</v>
      </c>
      <c r="P28" s="1253">
        <v>0</v>
      </c>
      <c r="Q28" s="1461">
        <v>0</v>
      </c>
      <c r="R28" s="1513">
        <f t="shared" si="54"/>
        <v>0</v>
      </c>
      <c r="S28" s="1253">
        <f t="shared" si="55"/>
        <v>0</v>
      </c>
      <c r="T28" s="1253">
        <f t="shared" si="55"/>
        <v>0</v>
      </c>
      <c r="U28" s="1472">
        <f t="shared" si="55"/>
        <v>0</v>
      </c>
      <c r="V28" s="1513">
        <f t="shared" si="56"/>
        <v>0</v>
      </c>
      <c r="W28" s="1253">
        <f t="shared" si="57"/>
        <v>0</v>
      </c>
      <c r="X28" s="1253">
        <f t="shared" si="57"/>
        <v>0</v>
      </c>
      <c r="Y28" s="1472">
        <f t="shared" si="57"/>
        <v>0</v>
      </c>
      <c r="Z28" s="1231">
        <f t="shared" si="58"/>
        <v>0</v>
      </c>
      <c r="AA28" s="1253">
        <f t="shared" si="59"/>
        <v>0</v>
      </c>
      <c r="AB28" s="1253">
        <f t="shared" si="59"/>
        <v>0</v>
      </c>
      <c r="AC28" s="1472">
        <f t="shared" si="59"/>
        <v>0</v>
      </c>
      <c r="AD28" s="1255">
        <f t="shared" si="60"/>
        <v>3.512</v>
      </c>
      <c r="AE28" s="1253">
        <f t="shared" si="59"/>
        <v>-32.923999999999999</v>
      </c>
      <c r="AF28" s="1253">
        <f t="shared" si="59"/>
        <v>31.673999999999999</v>
      </c>
      <c r="AG28" s="1253">
        <f t="shared" si="59"/>
        <v>0</v>
      </c>
      <c r="AH28" s="1255">
        <f t="shared" si="61"/>
        <v>0.66400000000000003</v>
      </c>
      <c r="AI28" s="1253">
        <f t="shared" si="59"/>
        <v>-196.84599999999998</v>
      </c>
      <c r="AJ28" s="1253">
        <f t="shared" si="59"/>
        <v>197.03399999999999</v>
      </c>
      <c r="AK28" s="1253">
        <f t="shared" si="59"/>
        <v>0</v>
      </c>
      <c r="AL28" s="1233">
        <v>0</v>
      </c>
      <c r="AM28" s="1231">
        <v>0</v>
      </c>
      <c r="AN28" s="1231">
        <v>0</v>
      </c>
      <c r="AO28" s="1231">
        <v>0</v>
      </c>
      <c r="AP28" s="1233">
        <v>0</v>
      </c>
      <c r="AQ28" s="1231">
        <v>0</v>
      </c>
      <c r="AR28" s="1231">
        <v>0</v>
      </c>
      <c r="AS28" s="1231">
        <v>0</v>
      </c>
      <c r="AT28" s="1493"/>
      <c r="AU28" s="1463">
        <f t="shared" si="63"/>
        <v>0</v>
      </c>
      <c r="AV28" s="1463">
        <f t="shared" si="64"/>
        <v>0</v>
      </c>
      <c r="AW28" s="1463">
        <f t="shared" si="65"/>
        <v>0</v>
      </c>
      <c r="AX28" s="1463">
        <f t="shared" si="66"/>
        <v>0</v>
      </c>
      <c r="AY28" s="1463">
        <f t="shared" si="67"/>
        <v>0</v>
      </c>
      <c r="AZ28" s="1464">
        <f t="shared" si="68"/>
        <v>0</v>
      </c>
      <c r="BA28" s="1257">
        <f t="shared" si="69"/>
        <v>0</v>
      </c>
      <c r="BB28" s="1463">
        <f t="shared" si="70"/>
        <v>2.2620000000000005</v>
      </c>
      <c r="BC28" s="1463">
        <f t="shared" si="71"/>
        <v>0.85200000000000387</v>
      </c>
      <c r="BD28" s="1466">
        <f t="shared" si="72"/>
        <v>0</v>
      </c>
      <c r="BE28" s="1466">
        <f t="shared" si="73"/>
        <v>0</v>
      </c>
      <c r="BG28" s="1233">
        <f t="shared" ref="BG28" si="75">CB28</f>
        <v>0</v>
      </c>
      <c r="BH28" s="1231">
        <v>0</v>
      </c>
      <c r="BI28" s="1231">
        <v>0</v>
      </c>
      <c r="BJ28" s="1461">
        <v>0</v>
      </c>
      <c r="BK28" s="1233">
        <v>0</v>
      </c>
      <c r="BL28" s="1231">
        <v>0</v>
      </c>
      <c r="BM28" s="1231">
        <v>0</v>
      </c>
      <c r="BN28" s="1253">
        <v>0</v>
      </c>
      <c r="BO28" s="1233">
        <v>0</v>
      </c>
      <c r="BP28" s="1231">
        <v>0</v>
      </c>
      <c r="BQ28" s="1231">
        <v>0</v>
      </c>
      <c r="BR28" s="1461"/>
      <c r="BS28" s="1233">
        <v>3.512</v>
      </c>
      <c r="BT28" s="1231">
        <f>-0.25-29.162</f>
        <v>-29.411999999999999</v>
      </c>
      <c r="BU28" s="1231">
        <f>3.512-1.25</f>
        <v>2.262</v>
      </c>
      <c r="BV28" s="1472">
        <f>3.512-1.25</f>
        <v>2.262</v>
      </c>
      <c r="BW28" s="1233">
        <v>0.66400000000000003</v>
      </c>
      <c r="BX28" s="1231">
        <v>-196.18199999999999</v>
      </c>
      <c r="BY28" s="1231">
        <v>0.85199999999999998</v>
      </c>
      <c r="BZ28" s="1472">
        <v>0.85199999999999998</v>
      </c>
    </row>
    <row r="29" spans="1:78" ht="12" customHeight="1">
      <c r="A29" s="1482" t="s">
        <v>317</v>
      </c>
      <c r="B29" s="1263">
        <f t="shared" ref="B29:AE29" si="76">SUM(B23:B28)</f>
        <v>-0.46</v>
      </c>
      <c r="C29" s="1263">
        <f t="shared" si="76"/>
        <v>-0.22100000000000003</v>
      </c>
      <c r="D29" s="1263">
        <f t="shared" si="76"/>
        <v>-0.94699999999999984</v>
      </c>
      <c r="E29" s="1264">
        <f t="shared" si="76"/>
        <v>-1.127</v>
      </c>
      <c r="F29" s="1265">
        <f t="shared" si="76"/>
        <v>-1.5960000000000001</v>
      </c>
      <c r="G29" s="1263">
        <f t="shared" si="76"/>
        <v>-1.3820000000000001</v>
      </c>
      <c r="H29" s="1263">
        <f t="shared" si="76"/>
        <v>-35.275999999999996</v>
      </c>
      <c r="I29" s="1264">
        <f t="shared" si="76"/>
        <v>-84.966999999999999</v>
      </c>
      <c r="J29" s="1514">
        <f t="shared" si="76"/>
        <v>-14.470999999999997</v>
      </c>
      <c r="K29" s="1515">
        <f t="shared" si="76"/>
        <v>17.432999999999993</v>
      </c>
      <c r="L29" s="1515">
        <f t="shared" si="76"/>
        <v>-18.441999999999993</v>
      </c>
      <c r="M29" s="1516">
        <f t="shared" si="76"/>
        <v>-97.570000000000022</v>
      </c>
      <c r="N29" s="1514">
        <f t="shared" si="76"/>
        <v>18.729999999999997</v>
      </c>
      <c r="O29" s="1515">
        <f t="shared" si="76"/>
        <v>3.0330000000000013</v>
      </c>
      <c r="P29" s="1515">
        <f t="shared" si="76"/>
        <v>-30.217999999999975</v>
      </c>
      <c r="Q29" s="1516">
        <f t="shared" si="76"/>
        <v>12.533999999999981</v>
      </c>
      <c r="R29" s="1265">
        <f t="shared" si="76"/>
        <v>0.5779999999999994</v>
      </c>
      <c r="S29" s="1263">
        <f t="shared" si="76"/>
        <v>-113.286</v>
      </c>
      <c r="T29" s="1263">
        <f t="shared" si="76"/>
        <v>-92.305000000000007</v>
      </c>
      <c r="U29" s="1264">
        <f t="shared" si="76"/>
        <v>-186.57699999999997</v>
      </c>
      <c r="V29" s="1265">
        <f t="shared" si="76"/>
        <v>-33.486000000000004</v>
      </c>
      <c r="W29" s="1263">
        <f t="shared" si="76"/>
        <v>-53.830999999999989</v>
      </c>
      <c r="X29" s="1263">
        <f t="shared" si="76"/>
        <v>-20.685999999999993</v>
      </c>
      <c r="Y29" s="1264">
        <f t="shared" si="76"/>
        <v>-20.036000000000001</v>
      </c>
      <c r="Z29" s="1263">
        <f t="shared" ref="Z29:AA29" si="77">SUM(Z23:Z28)</f>
        <v>11.14</v>
      </c>
      <c r="AA29" s="1263">
        <f t="shared" si="77"/>
        <v>-13.725000000000023</v>
      </c>
      <c r="AB29" s="1263">
        <f t="shared" si="76"/>
        <v>22.204000000000008</v>
      </c>
      <c r="AC29" s="1264">
        <f t="shared" si="76"/>
        <v>-232.23399999999998</v>
      </c>
      <c r="AD29" s="1263">
        <f t="shared" si="76"/>
        <v>-11.580000000000013</v>
      </c>
      <c r="AE29" s="1263">
        <f t="shared" si="76"/>
        <v>-32.904999999999994</v>
      </c>
      <c r="AF29" s="1263">
        <f t="shared" ref="AF29:AS29" si="78">SUM(AF23:AF28)</f>
        <v>17.38600000000001</v>
      </c>
      <c r="AG29" s="1263">
        <f t="shared" si="78"/>
        <v>-14.332000000000029</v>
      </c>
      <c r="AH29" s="1265">
        <f t="shared" si="78"/>
        <v>-132.12299999999999</v>
      </c>
      <c r="AI29" s="1263">
        <f t="shared" si="78"/>
        <v>-36.643000000000001</v>
      </c>
      <c r="AJ29" s="1263">
        <f t="shared" si="78"/>
        <v>-1.5240000000000009</v>
      </c>
      <c r="AK29" s="1263">
        <f t="shared" si="78"/>
        <v>-4.288000000000018</v>
      </c>
      <c r="AL29" s="1265">
        <f t="shared" si="78"/>
        <v>-8.9009999999999998</v>
      </c>
      <c r="AM29" s="1263">
        <f t="shared" si="78"/>
        <v>-6.7460000000000004</v>
      </c>
      <c r="AN29" s="1263">
        <f t="shared" si="78"/>
        <v>-3.3150000000000013</v>
      </c>
      <c r="AO29" s="1264">
        <f t="shared" si="78"/>
        <v>-2.8319999999999999</v>
      </c>
      <c r="AP29" s="1265">
        <f t="shared" si="78"/>
        <v>-9.6009999999999991</v>
      </c>
      <c r="AQ29" s="1263">
        <f t="shared" si="78"/>
        <v>-7.4459999999999997</v>
      </c>
      <c r="AR29" s="1263">
        <f t="shared" si="78"/>
        <v>-4.0150000000000006</v>
      </c>
      <c r="AS29" s="1264">
        <f t="shared" si="78"/>
        <v>-3.5319999999999991</v>
      </c>
      <c r="AT29" s="1459"/>
      <c r="AU29" s="1517">
        <f t="shared" si="63"/>
        <v>-2.7549999999999999</v>
      </c>
      <c r="AV29" s="1483">
        <f t="shared" si="64"/>
        <v>-123.221</v>
      </c>
      <c r="AW29" s="1483">
        <f t="shared" si="65"/>
        <v>-113.05000000000001</v>
      </c>
      <c r="AX29" s="1483">
        <f t="shared" si="66"/>
        <v>4.0790000000000042</v>
      </c>
      <c r="AY29" s="1483">
        <f t="shared" si="67"/>
        <v>-391.59</v>
      </c>
      <c r="AZ29" s="1484">
        <f t="shared" si="68"/>
        <v>-128.03899999999999</v>
      </c>
      <c r="BA29" s="1485">
        <f t="shared" si="69"/>
        <v>-212.61500000000001</v>
      </c>
      <c r="BB29" s="1483">
        <f t="shared" si="70"/>
        <v>-41.431000000000026</v>
      </c>
      <c r="BC29" s="1483">
        <f t="shared" si="71"/>
        <v>-174.578</v>
      </c>
      <c r="BD29" s="1486">
        <f t="shared" si="72"/>
        <v>-21.794000000000004</v>
      </c>
      <c r="BE29" s="1486">
        <f t="shared" si="73"/>
        <v>-24.593999999999998</v>
      </c>
      <c r="BF29" s="454"/>
      <c r="BG29" s="1487">
        <f>SUM(BG23:BG28)</f>
        <v>0.5779999999999994</v>
      </c>
      <c r="BH29" s="1266">
        <f>SUM(BH23:BH28)</f>
        <v>-112.708</v>
      </c>
      <c r="BI29" s="1263">
        <f>SUM(BI23:BI28)</f>
        <v>-205.01300000000001</v>
      </c>
      <c r="BJ29" s="1264">
        <f>SUM(BJ23:BJ28)</f>
        <v>-391.58999999999992</v>
      </c>
      <c r="BK29" s="1487">
        <f t="shared" ref="BK29:BW29" si="79">SUM(BK23:BK28)</f>
        <v>-33.486000000000004</v>
      </c>
      <c r="BL29" s="1266">
        <f t="shared" si="79"/>
        <v>-87.316999999999979</v>
      </c>
      <c r="BM29" s="1263">
        <f t="shared" si="79"/>
        <v>-108.00299999999999</v>
      </c>
      <c r="BN29" s="1263">
        <f t="shared" si="79"/>
        <v>-128.03900000000002</v>
      </c>
      <c r="BO29" s="1265">
        <f t="shared" si="79"/>
        <v>11.14</v>
      </c>
      <c r="BP29" s="1263">
        <f t="shared" si="79"/>
        <v>-2.585000000000008</v>
      </c>
      <c r="BQ29" s="1263">
        <f t="shared" si="79"/>
        <v>19.619</v>
      </c>
      <c r="BR29" s="1264">
        <f t="shared" si="79"/>
        <v>-212.61500000000001</v>
      </c>
      <c r="BS29" s="1265">
        <f t="shared" si="79"/>
        <v>-11.580000000000013</v>
      </c>
      <c r="BT29" s="1263">
        <f>SUM(BT23:BT28)</f>
        <v>-44.485000000000007</v>
      </c>
      <c r="BU29" s="1266">
        <f t="shared" si="79"/>
        <v>-27.099000000000011</v>
      </c>
      <c r="BV29" s="1267">
        <f t="shared" si="79"/>
        <v>-41.431000000000004</v>
      </c>
      <c r="BW29" s="1265">
        <f t="shared" si="79"/>
        <v>-132.12299999999999</v>
      </c>
      <c r="BX29" s="1263">
        <f>SUM(BX23:BX28)</f>
        <v>-168.76599999999999</v>
      </c>
      <c r="BY29" s="1266">
        <f t="shared" ref="BY29:BZ29" si="80">SUM(BY23:BY28)</f>
        <v>-170.29</v>
      </c>
      <c r="BZ29" s="1267">
        <f t="shared" si="80"/>
        <v>-174.578</v>
      </c>
    </row>
    <row r="30" spans="1:78" ht="12" customHeight="1">
      <c r="A30" s="139"/>
      <c r="B30" s="559"/>
      <c r="C30" s="559"/>
      <c r="D30" s="559"/>
      <c r="E30" s="560"/>
      <c r="F30" s="1455"/>
      <c r="G30" s="559"/>
      <c r="H30" s="559"/>
      <c r="I30" s="560"/>
      <c r="J30" s="1455"/>
      <c r="K30" s="559"/>
      <c r="L30" s="559"/>
      <c r="M30" s="560"/>
      <c r="N30" s="1455"/>
      <c r="O30" s="559"/>
      <c r="P30" s="559"/>
      <c r="Q30" s="560"/>
      <c r="R30" s="1455"/>
      <c r="S30" s="559"/>
      <c r="T30" s="559"/>
      <c r="U30" s="1456"/>
      <c r="V30" s="1455"/>
      <c r="W30" s="559"/>
      <c r="X30" s="559"/>
      <c r="Y30" s="1456"/>
      <c r="Z30" s="1458"/>
      <c r="AA30" s="559"/>
      <c r="AB30" s="288"/>
      <c r="AC30" s="594"/>
      <c r="AD30" s="288"/>
      <c r="AE30" s="288"/>
      <c r="AF30" s="288"/>
      <c r="AG30" s="288"/>
      <c r="AH30" s="1356"/>
      <c r="AI30" s="288"/>
      <c r="AJ30" s="288"/>
      <c r="AK30" s="1518"/>
      <c r="AL30" s="288"/>
      <c r="AM30" s="288"/>
      <c r="AN30" s="288"/>
      <c r="AO30" s="1456"/>
      <c r="AP30" s="1356"/>
      <c r="AQ30" s="288"/>
      <c r="AR30" s="288"/>
      <c r="AS30" s="1456"/>
      <c r="AT30" s="1459"/>
      <c r="AU30" s="1519"/>
      <c r="AV30" s="1520"/>
      <c r="AW30" s="1521"/>
      <c r="AX30" s="1522"/>
      <c r="AY30" s="1522"/>
      <c r="AZ30" s="1523"/>
      <c r="BA30" s="1524"/>
      <c r="BB30" s="1522"/>
      <c r="BC30" s="1522"/>
      <c r="BD30" s="1525"/>
      <c r="BE30" s="1525"/>
      <c r="BG30" s="1455"/>
      <c r="BH30" s="1231"/>
      <c r="BI30" s="559"/>
      <c r="BJ30" s="560"/>
      <c r="BK30" s="1455"/>
      <c r="BL30" s="1231"/>
      <c r="BM30" s="559"/>
      <c r="BN30" s="559"/>
      <c r="BO30" s="558"/>
      <c r="BP30" s="559"/>
      <c r="BQ30" s="559"/>
      <c r="BR30" s="560"/>
      <c r="BS30" s="558"/>
      <c r="BT30" s="559"/>
      <c r="BU30" s="559"/>
      <c r="BV30" s="560"/>
      <c r="BW30" s="558"/>
      <c r="BX30" s="559"/>
      <c r="BY30" s="559"/>
      <c r="BZ30" s="560"/>
    </row>
    <row r="31" spans="1:78" ht="12" customHeight="1">
      <c r="A31" s="63" t="s">
        <v>318</v>
      </c>
      <c r="B31" s="559"/>
      <c r="C31" s="559"/>
      <c r="D31" s="559"/>
      <c r="E31" s="560"/>
      <c r="F31" s="1455"/>
      <c r="G31" s="559"/>
      <c r="H31" s="559"/>
      <c r="I31" s="560"/>
      <c r="J31" s="1455"/>
      <c r="K31" s="559"/>
      <c r="L31" s="559"/>
      <c r="M31" s="560"/>
      <c r="N31" s="1455"/>
      <c r="O31" s="559"/>
      <c r="P31" s="559"/>
      <c r="Q31" s="560"/>
      <c r="R31" s="1455"/>
      <c r="S31" s="559"/>
      <c r="T31" s="559"/>
      <c r="U31" s="1456"/>
      <c r="V31" s="1455"/>
      <c r="W31" s="559"/>
      <c r="X31" s="559"/>
      <c r="Y31" s="1456"/>
      <c r="Z31" s="1458"/>
      <c r="AA31" s="559"/>
      <c r="AB31" s="288"/>
      <c r="AC31" s="594"/>
      <c r="AD31" s="288"/>
      <c r="AE31" s="288"/>
      <c r="AF31" s="288"/>
      <c r="AG31" s="288"/>
      <c r="AH31" s="1356"/>
      <c r="AI31" s="288"/>
      <c r="AJ31" s="288"/>
      <c r="AK31" s="594"/>
      <c r="AL31" s="288"/>
      <c r="AM31" s="288"/>
      <c r="AN31" s="288"/>
      <c r="AO31" s="1456"/>
      <c r="AP31" s="288"/>
      <c r="AQ31" s="288"/>
      <c r="AR31" s="288"/>
      <c r="AS31" s="1456"/>
      <c r="AT31" s="1459"/>
      <c r="AU31" s="1526"/>
      <c r="AV31" s="1520"/>
      <c r="AW31" s="1521"/>
      <c r="AX31" s="1522"/>
      <c r="AY31" s="1522"/>
      <c r="AZ31" s="1523"/>
      <c r="BA31" s="1524"/>
      <c r="BB31" s="1522"/>
      <c r="BC31" s="1522"/>
      <c r="BD31" s="1525"/>
      <c r="BE31" s="1525"/>
      <c r="BF31" s="1467"/>
      <c r="BG31" s="559"/>
      <c r="BH31" s="1231"/>
      <c r="BI31" s="559"/>
      <c r="BJ31" s="1488"/>
      <c r="BK31" s="559"/>
      <c r="BL31" s="1231"/>
      <c r="BM31" s="559"/>
      <c r="BN31" s="559"/>
      <c r="BO31" s="558"/>
      <c r="BP31" s="559"/>
      <c r="BQ31" s="559"/>
      <c r="BR31" s="1488"/>
      <c r="BS31" s="558"/>
      <c r="BT31" s="559"/>
      <c r="BU31" s="288"/>
      <c r="BV31" s="1468"/>
      <c r="BW31" s="558"/>
      <c r="BX31" s="559"/>
      <c r="BY31" s="288"/>
      <c r="BZ31" s="1468"/>
    </row>
    <row r="32" spans="1:78" ht="12" customHeight="1">
      <c r="A32" s="128" t="s">
        <v>319</v>
      </c>
      <c r="B32" s="1253">
        <v>0</v>
      </c>
      <c r="C32" s="1253">
        <v>0</v>
      </c>
      <c r="D32" s="1253">
        <v>0</v>
      </c>
      <c r="E32" s="1254">
        <v>0</v>
      </c>
      <c r="F32" s="1235">
        <v>0</v>
      </c>
      <c r="G32" s="1253">
        <v>0</v>
      </c>
      <c r="H32" s="1253">
        <v>0</v>
      </c>
      <c r="I32" s="1254">
        <v>0</v>
      </c>
      <c r="J32" s="1235">
        <v>0</v>
      </c>
      <c r="K32" s="1253">
        <v>0</v>
      </c>
      <c r="L32" s="1253">
        <v>0</v>
      </c>
      <c r="M32" s="1254">
        <v>0</v>
      </c>
      <c r="N32" s="1235">
        <v>0</v>
      </c>
      <c r="O32" s="1253">
        <v>0</v>
      </c>
      <c r="P32" s="1253">
        <v>0</v>
      </c>
      <c r="Q32" s="1254">
        <v>0</v>
      </c>
      <c r="R32" s="1235">
        <f t="shared" ref="R32:R38" si="81">BG32</f>
        <v>0</v>
      </c>
      <c r="S32" s="1253">
        <f t="shared" ref="S32:U38" si="82">BH32-BG32</f>
        <v>0</v>
      </c>
      <c r="T32" s="1253">
        <f t="shared" si="82"/>
        <v>375</v>
      </c>
      <c r="U32" s="1462">
        <f t="shared" si="82"/>
        <v>0</v>
      </c>
      <c r="V32" s="1235">
        <f t="shared" ref="V32:V38" si="83">BK32</f>
        <v>0</v>
      </c>
      <c r="W32" s="1253">
        <f t="shared" ref="W32:Y38" si="84">BL32-BK32</f>
        <v>0</v>
      </c>
      <c r="X32" s="1253">
        <f t="shared" si="84"/>
        <v>0</v>
      </c>
      <c r="Y32" s="1462">
        <f t="shared" si="84"/>
        <v>0</v>
      </c>
      <c r="Z32" s="1464">
        <f t="shared" ref="Z32:Z38" si="85">BO32</f>
        <v>-0.93799999999999994</v>
      </c>
      <c r="AA32" s="1253">
        <f t="shared" ref="AA32:AK38" si="86">BP32-BO32</f>
        <v>-0.93700000000000006</v>
      </c>
      <c r="AB32" s="1253">
        <f t="shared" si="86"/>
        <v>-0.93800000000000017</v>
      </c>
      <c r="AC32" s="1462">
        <f t="shared" si="86"/>
        <v>-0.93699999999999983</v>
      </c>
      <c r="AD32" s="1255">
        <f t="shared" ref="AD32:AD38" si="87">BS32</f>
        <v>-0.93799999999999994</v>
      </c>
      <c r="AE32" s="1253">
        <f t="shared" si="86"/>
        <v>-0.93700000000000006</v>
      </c>
      <c r="AF32" s="1253">
        <f t="shared" si="86"/>
        <v>-0.93800000000000017</v>
      </c>
      <c r="AG32" s="1253">
        <f t="shared" si="86"/>
        <v>-0.93699999999999983</v>
      </c>
      <c r="AH32" s="1255">
        <f t="shared" ref="AH32:AH38" si="88">BW32</f>
        <v>-0.93799999999999994</v>
      </c>
      <c r="AI32" s="1253">
        <f t="shared" si="86"/>
        <v>-0.93700000000000006</v>
      </c>
      <c r="AJ32" s="1253">
        <f t="shared" si="86"/>
        <v>-0.93800000000000017</v>
      </c>
      <c r="AK32" s="1254">
        <f t="shared" si="86"/>
        <v>-0.93699999999999983</v>
      </c>
      <c r="AL32" s="1358">
        <v>0</v>
      </c>
      <c r="AM32" s="1358">
        <v>0</v>
      </c>
      <c r="AN32" s="1358">
        <v>0</v>
      </c>
      <c r="AO32" s="1527">
        <v>0</v>
      </c>
      <c r="AP32" s="1528">
        <v>0</v>
      </c>
      <c r="AQ32" s="1358">
        <v>0</v>
      </c>
      <c r="AR32" s="1358">
        <v>0</v>
      </c>
      <c r="AS32" s="1527">
        <v>0</v>
      </c>
      <c r="AT32" s="1459"/>
      <c r="AU32" s="1526">
        <f t="shared" ref="AU32:AU39" si="89">SUM(B32:E32)</f>
        <v>0</v>
      </c>
      <c r="AV32" s="1520">
        <f t="shared" ref="AV32:AV39" si="90">SUM(F32:I32)</f>
        <v>0</v>
      </c>
      <c r="AW32" s="1520">
        <f t="shared" ref="AW32:AW39" si="91">SUM(J32:M32)</f>
        <v>0</v>
      </c>
      <c r="AX32" s="1462">
        <f t="shared" ref="AX32:AX39" si="92">SUM(N32:Q32)</f>
        <v>0</v>
      </c>
      <c r="AY32" s="1462">
        <f t="shared" ref="AY32:AY39" si="93">SUM(R32:U32)</f>
        <v>375</v>
      </c>
      <c r="AZ32" s="1231">
        <f t="shared" ref="AZ32:AZ39" si="94">SUM(V32:Y32)</f>
        <v>0</v>
      </c>
      <c r="BA32" s="1529">
        <f t="shared" ref="BA32:BA39" si="95">SUM(Z32:AC32)</f>
        <v>-3.75</v>
      </c>
      <c r="BB32" s="1462">
        <f t="shared" ref="BB32:BB39" si="96">SUM(AD32:AG32)</f>
        <v>-3.75</v>
      </c>
      <c r="BC32" s="1462">
        <f t="shared" ref="BC32:BC39" si="97">SUM(AH32:AK32)</f>
        <v>-3.75</v>
      </c>
      <c r="BD32" s="1472">
        <f t="shared" ref="BD32:BD43" si="98">SUM(AL32:AO32)</f>
        <v>0</v>
      </c>
      <c r="BE32" s="1472">
        <f t="shared" ref="BE32:BE39" si="99">SUM(AP32:AS32)</f>
        <v>0</v>
      </c>
      <c r="BF32" s="1460"/>
      <c r="BG32" s="1231">
        <v>0</v>
      </c>
      <c r="BH32" s="1231">
        <v>0</v>
      </c>
      <c r="BI32" s="1231">
        <v>375</v>
      </c>
      <c r="BJ32" s="1472">
        <v>375</v>
      </c>
      <c r="BK32" s="1231">
        <v>0</v>
      </c>
      <c r="BL32" s="1231">
        <v>0</v>
      </c>
      <c r="BM32" s="1231">
        <v>0</v>
      </c>
      <c r="BN32" s="1231">
        <v>0</v>
      </c>
      <c r="BO32" s="1530">
        <v>-0.93799999999999994</v>
      </c>
      <c r="BP32" s="1231">
        <v>-1.875</v>
      </c>
      <c r="BQ32" s="1231">
        <v>-2.8130000000000002</v>
      </c>
      <c r="BR32" s="560">
        <v>-3.75</v>
      </c>
      <c r="BS32" s="1530">
        <v>-0.93799999999999994</v>
      </c>
      <c r="BT32" s="1231">
        <v>-1.875</v>
      </c>
      <c r="BU32" s="1231">
        <v>-2.8130000000000002</v>
      </c>
      <c r="BV32" s="594">
        <v>-3.75</v>
      </c>
      <c r="BW32" s="1530">
        <v>-0.93799999999999994</v>
      </c>
      <c r="BX32" s="1231">
        <v>-1.875</v>
      </c>
      <c r="BY32" s="1231">
        <v>-2.8130000000000002</v>
      </c>
      <c r="BZ32" s="594">
        <v>-3.75</v>
      </c>
    </row>
    <row r="33" spans="1:176" ht="12" customHeight="1">
      <c r="A33" s="1531" t="s">
        <v>320</v>
      </c>
      <c r="B33" s="1253">
        <v>0</v>
      </c>
      <c r="C33" s="1253">
        <v>0</v>
      </c>
      <c r="D33" s="1253">
        <v>0</v>
      </c>
      <c r="E33" s="1461">
        <v>0</v>
      </c>
      <c r="F33" s="1235">
        <v>0</v>
      </c>
      <c r="G33" s="1253">
        <v>0</v>
      </c>
      <c r="H33" s="1253">
        <v>0</v>
      </c>
      <c r="I33" s="1461">
        <v>0</v>
      </c>
      <c r="J33" s="1235">
        <v>0</v>
      </c>
      <c r="K33" s="1253">
        <v>0</v>
      </c>
      <c r="L33" s="1253">
        <v>0</v>
      </c>
      <c r="M33" s="1461">
        <v>0</v>
      </c>
      <c r="N33" s="1235">
        <v>0</v>
      </c>
      <c r="O33" s="1253">
        <f>2-N33</f>
        <v>2</v>
      </c>
      <c r="P33" s="1253">
        <f>2-O33-N33</f>
        <v>0</v>
      </c>
      <c r="Q33" s="1461">
        <f>2-SUM(N33:P33)</f>
        <v>0</v>
      </c>
      <c r="R33" s="1235">
        <f t="shared" si="81"/>
        <v>0</v>
      </c>
      <c r="S33" s="1253">
        <f t="shared" si="82"/>
        <v>0</v>
      </c>
      <c r="T33" s="1253">
        <f t="shared" si="82"/>
        <v>0</v>
      </c>
      <c r="U33" s="1462">
        <f t="shared" si="82"/>
        <v>0</v>
      </c>
      <c r="V33" s="1235">
        <f t="shared" si="83"/>
        <v>-0.93799999999999994</v>
      </c>
      <c r="W33" s="1253">
        <f t="shared" si="84"/>
        <v>-0.93700000000000006</v>
      </c>
      <c r="X33" s="1253">
        <f t="shared" si="84"/>
        <v>-0.93800000000000017</v>
      </c>
      <c r="Y33" s="1462">
        <f t="shared" si="84"/>
        <v>-0.93699999999999983</v>
      </c>
      <c r="Z33" s="1464">
        <f t="shared" si="85"/>
        <v>0</v>
      </c>
      <c r="AA33" s="1253">
        <f t="shared" si="86"/>
        <v>0.42399999999999999</v>
      </c>
      <c r="AB33" s="1253">
        <f t="shared" si="86"/>
        <v>0</v>
      </c>
      <c r="AC33" s="1462">
        <f t="shared" si="86"/>
        <v>-0.42399999999999999</v>
      </c>
      <c r="AD33" s="1255">
        <f t="shared" si="87"/>
        <v>0</v>
      </c>
      <c r="AE33" s="1253">
        <f t="shared" si="86"/>
        <v>0</v>
      </c>
      <c r="AF33" s="1253">
        <f t="shared" si="86"/>
        <v>0</v>
      </c>
      <c r="AG33" s="1253">
        <f t="shared" si="86"/>
        <v>0</v>
      </c>
      <c r="AH33" s="1255">
        <f t="shared" si="88"/>
        <v>0</v>
      </c>
      <c r="AI33" s="1253">
        <f t="shared" si="86"/>
        <v>0</v>
      </c>
      <c r="AJ33" s="1253">
        <f t="shared" si="86"/>
        <v>0</v>
      </c>
      <c r="AK33" s="1461">
        <f t="shared" si="86"/>
        <v>0</v>
      </c>
      <c r="AL33" s="1358">
        <v>0</v>
      </c>
      <c r="AM33" s="1358">
        <v>0</v>
      </c>
      <c r="AN33" s="1358">
        <v>0</v>
      </c>
      <c r="AO33" s="1527">
        <v>0</v>
      </c>
      <c r="AP33" s="1528">
        <v>0</v>
      </c>
      <c r="AQ33" s="1358">
        <v>0</v>
      </c>
      <c r="AR33" s="1358">
        <v>0</v>
      </c>
      <c r="AS33" s="1527">
        <v>0</v>
      </c>
      <c r="AT33" s="1459"/>
      <c r="AU33" s="1526">
        <f t="shared" ref="AU33" si="100">SUM(B33:E33)</f>
        <v>0</v>
      </c>
      <c r="AV33" s="1520">
        <f t="shared" ref="AV33" si="101">SUM(F33:I33)</f>
        <v>0</v>
      </c>
      <c r="AW33" s="1520">
        <f t="shared" ref="AW33" si="102">SUM(J33:M33)</f>
        <v>0</v>
      </c>
      <c r="AX33" s="1462">
        <f t="shared" ref="AX33" si="103">SUM(N33:Q33)</f>
        <v>2</v>
      </c>
      <c r="AY33" s="1462">
        <f t="shared" ref="AY33" si="104">SUM(R33:U33)</f>
        <v>0</v>
      </c>
      <c r="AZ33" s="1231">
        <f t="shared" ref="AZ33" si="105">SUM(V33:Y33)</f>
        <v>-3.75</v>
      </c>
      <c r="BA33" s="1529">
        <f t="shared" ref="BA33" si="106">SUM(Z33:AC33)</f>
        <v>0</v>
      </c>
      <c r="BB33" s="1462">
        <f t="shared" ref="BB33" si="107">SUM(AD33:AG33)</f>
        <v>0</v>
      </c>
      <c r="BC33" s="1462">
        <f t="shared" si="97"/>
        <v>0</v>
      </c>
      <c r="BD33" s="1472">
        <f t="shared" si="98"/>
        <v>0</v>
      </c>
      <c r="BE33" s="1472">
        <f t="shared" si="99"/>
        <v>0</v>
      </c>
      <c r="BF33" s="1460"/>
      <c r="BG33" s="1231">
        <v>0</v>
      </c>
      <c r="BH33" s="1231">
        <v>0</v>
      </c>
      <c r="BI33" s="1231">
        <v>0</v>
      </c>
      <c r="BJ33" s="1472">
        <v>0</v>
      </c>
      <c r="BK33" s="1231">
        <v>-0.93799999999999994</v>
      </c>
      <c r="BL33" s="1231">
        <v>-1.875</v>
      </c>
      <c r="BM33" s="1231">
        <v>-2.8130000000000002</v>
      </c>
      <c r="BN33" s="1231">
        <v>-3.75</v>
      </c>
      <c r="BO33" s="1530">
        <v>0</v>
      </c>
      <c r="BP33" s="1231">
        <v>0.42399999999999999</v>
      </c>
      <c r="BQ33" s="1231">
        <v>0.42399999999999999</v>
      </c>
      <c r="BR33" s="560">
        <v>0</v>
      </c>
      <c r="BS33" s="1530"/>
      <c r="BT33" s="1231">
        <v>0</v>
      </c>
      <c r="BU33" s="1231">
        <v>0</v>
      </c>
      <c r="BV33" s="594"/>
      <c r="BW33" s="1530"/>
      <c r="BX33" s="1231">
        <v>0</v>
      </c>
      <c r="BY33" s="1231">
        <v>0</v>
      </c>
      <c r="BZ33" s="594"/>
    </row>
    <row r="34" spans="1:176" ht="12" customHeight="1">
      <c r="A34" s="1531" t="s">
        <v>321</v>
      </c>
      <c r="B34" s="1253">
        <v>-3.9E-2</v>
      </c>
      <c r="C34" s="1253">
        <f>-0.09-B34</f>
        <v>-5.0999999999999997E-2</v>
      </c>
      <c r="D34" s="1253">
        <f>-0.173-C34-B34</f>
        <v>-8.299999999999999E-2</v>
      </c>
      <c r="E34" s="1461">
        <f>-0.306-D34-C34-B34</f>
        <v>-0.13300000000000001</v>
      </c>
      <c r="F34" s="1235">
        <v>-0.11600000000000001</v>
      </c>
      <c r="G34" s="1253">
        <f>-0.252-F34</f>
        <v>-0.13600000000000001</v>
      </c>
      <c r="H34" s="1253">
        <f>-0.389-G34-F34</f>
        <v>-0.13700000000000001</v>
      </c>
      <c r="I34" s="1461">
        <f>-1.443-H34-G34-F34</f>
        <v>-1.0539999999999998</v>
      </c>
      <c r="J34" s="1235">
        <v>0</v>
      </c>
      <c r="K34" s="1253">
        <v>0</v>
      </c>
      <c r="L34" s="1253">
        <v>0</v>
      </c>
      <c r="M34" s="1461">
        <v>0</v>
      </c>
      <c r="N34" s="1235">
        <v>-4.0000000000000001E-3</v>
      </c>
      <c r="O34" s="1253">
        <f>-0.008-N34</f>
        <v>-4.0000000000000001E-3</v>
      </c>
      <c r="P34" s="1253">
        <f>+-0.011-O34-N34</f>
        <v>-2.9999999999999992E-3</v>
      </c>
      <c r="Q34" s="1461">
        <f>0-SUM(N34:P34)</f>
        <v>1.0999999999999999E-2</v>
      </c>
      <c r="R34" s="1235">
        <f t="shared" si="81"/>
        <v>0</v>
      </c>
      <c r="S34" s="1253">
        <f t="shared" si="82"/>
        <v>0</v>
      </c>
      <c r="T34" s="1253">
        <f t="shared" si="82"/>
        <v>0</v>
      </c>
      <c r="U34" s="1462">
        <f t="shared" si="82"/>
        <v>0</v>
      </c>
      <c r="V34" s="1235">
        <f t="shared" si="83"/>
        <v>0</v>
      </c>
      <c r="W34" s="1253">
        <f t="shared" si="84"/>
        <v>0</v>
      </c>
      <c r="X34" s="1253">
        <f t="shared" si="84"/>
        <v>0</v>
      </c>
      <c r="Y34" s="1462">
        <f t="shared" si="84"/>
        <v>0</v>
      </c>
      <c r="Z34" s="1464">
        <f t="shared" si="85"/>
        <v>0</v>
      </c>
      <c r="AA34" s="1253">
        <f t="shared" si="86"/>
        <v>0</v>
      </c>
      <c r="AB34" s="1253">
        <f t="shared" si="86"/>
        <v>0</v>
      </c>
      <c r="AC34" s="1462">
        <f t="shared" si="86"/>
        <v>0</v>
      </c>
      <c r="AD34" s="1255">
        <f t="shared" si="87"/>
        <v>0</v>
      </c>
      <c r="AE34" s="1253">
        <f t="shared" si="86"/>
        <v>0</v>
      </c>
      <c r="AF34" s="1253">
        <f t="shared" si="86"/>
        <v>0</v>
      </c>
      <c r="AG34" s="1253">
        <f t="shared" si="86"/>
        <v>0</v>
      </c>
      <c r="AH34" s="1255">
        <f t="shared" si="88"/>
        <v>0</v>
      </c>
      <c r="AI34" s="1253">
        <f t="shared" si="86"/>
        <v>0</v>
      </c>
      <c r="AJ34" s="1253">
        <f t="shared" si="86"/>
        <v>0</v>
      </c>
      <c r="AK34" s="1461">
        <f t="shared" si="86"/>
        <v>0</v>
      </c>
      <c r="AL34" s="1358">
        <v>0</v>
      </c>
      <c r="AM34" s="1358">
        <v>0</v>
      </c>
      <c r="AN34" s="1358">
        <v>0</v>
      </c>
      <c r="AO34" s="1527">
        <v>0</v>
      </c>
      <c r="AP34" s="1528">
        <v>0</v>
      </c>
      <c r="AQ34" s="1358">
        <v>0</v>
      </c>
      <c r="AR34" s="1358">
        <v>0</v>
      </c>
      <c r="AS34" s="1527">
        <v>0</v>
      </c>
      <c r="AT34" s="1459"/>
      <c r="AU34" s="1532">
        <f t="shared" si="89"/>
        <v>-0.30599999999999999</v>
      </c>
      <c r="AV34" s="1533">
        <f t="shared" si="90"/>
        <v>-1.4429999999999998</v>
      </c>
      <c r="AW34" s="1533">
        <f t="shared" si="91"/>
        <v>0</v>
      </c>
      <c r="AX34" s="1462">
        <f t="shared" si="92"/>
        <v>0</v>
      </c>
      <c r="AY34" s="1462">
        <f t="shared" si="93"/>
        <v>0</v>
      </c>
      <c r="AZ34" s="1231">
        <f t="shared" si="94"/>
        <v>0</v>
      </c>
      <c r="BA34" s="1529">
        <f t="shared" si="95"/>
        <v>0</v>
      </c>
      <c r="BB34" s="1462">
        <f t="shared" si="96"/>
        <v>0</v>
      </c>
      <c r="BC34" s="1462">
        <f t="shared" si="97"/>
        <v>0</v>
      </c>
      <c r="BD34" s="1472">
        <f t="shared" si="98"/>
        <v>0</v>
      </c>
      <c r="BE34" s="1472">
        <f t="shared" si="99"/>
        <v>0</v>
      </c>
      <c r="BF34" s="1460"/>
      <c r="BG34" s="1231">
        <v>0</v>
      </c>
      <c r="BH34" s="1231">
        <v>0</v>
      </c>
      <c r="BI34" s="1231">
        <v>0</v>
      </c>
      <c r="BJ34" s="1472">
        <v>0</v>
      </c>
      <c r="BK34" s="1231">
        <v>0</v>
      </c>
      <c r="BL34" s="1231">
        <v>0</v>
      </c>
      <c r="BM34" s="1231">
        <v>0</v>
      </c>
      <c r="BN34" s="1231">
        <v>0</v>
      </c>
      <c r="BO34" s="1530">
        <v>0</v>
      </c>
      <c r="BP34" s="1231">
        <v>0</v>
      </c>
      <c r="BQ34" s="1231">
        <v>0</v>
      </c>
      <c r="BR34" s="560">
        <v>0</v>
      </c>
      <c r="BS34" s="1530">
        <v>0</v>
      </c>
      <c r="BT34" s="1231">
        <v>0</v>
      </c>
      <c r="BU34" s="1231">
        <v>0</v>
      </c>
      <c r="BV34" s="594"/>
      <c r="BW34" s="1530"/>
      <c r="BX34" s="1231">
        <v>0</v>
      </c>
      <c r="BY34" s="1231">
        <v>0</v>
      </c>
      <c r="BZ34" s="594"/>
    </row>
    <row r="35" spans="1:176" ht="12" customHeight="1">
      <c r="A35" s="1531" t="s">
        <v>322</v>
      </c>
      <c r="B35" s="1253">
        <v>0</v>
      </c>
      <c r="C35" s="1253">
        <v>0</v>
      </c>
      <c r="D35" s="1253">
        <v>0</v>
      </c>
      <c r="E35" s="1461">
        <v>0</v>
      </c>
      <c r="F35" s="1235">
        <v>0</v>
      </c>
      <c r="G35" s="1253">
        <v>0</v>
      </c>
      <c r="H35" s="1253">
        <f>268.531-3.732-G35-F35</f>
        <v>264.79899999999998</v>
      </c>
      <c r="I35" s="1461">
        <f>268.531-3.932-H35-G35-F35</f>
        <v>-0.19999999999998863</v>
      </c>
      <c r="J35" s="1235">
        <v>8.5790000000000006</v>
      </c>
      <c r="K35" s="1253">
        <f>8.579-J35</f>
        <v>0</v>
      </c>
      <c r="L35" s="1253">
        <f>15.129-K35-J35</f>
        <v>6.5499999999999989</v>
      </c>
      <c r="M35" s="1461">
        <f>15.129-SUM(J35:L35)</f>
        <v>0</v>
      </c>
      <c r="N35" s="1235">
        <v>7.3070000000000004</v>
      </c>
      <c r="O35" s="1253">
        <f>7.307-N35</f>
        <v>0</v>
      </c>
      <c r="P35" s="1253">
        <f>13.04-O35-N35</f>
        <v>5.7329999999999988</v>
      </c>
      <c r="Q35" s="1461">
        <f>13.04-SUM(N35:P35)</f>
        <v>0</v>
      </c>
      <c r="R35" s="1235">
        <f t="shared" si="81"/>
        <v>8.0459999999999994</v>
      </c>
      <c r="S35" s="1253">
        <f t="shared" si="82"/>
        <v>0</v>
      </c>
      <c r="T35" s="1253">
        <f t="shared" si="82"/>
        <v>5.6900000000000013</v>
      </c>
      <c r="U35" s="1462">
        <f t="shared" si="82"/>
        <v>0</v>
      </c>
      <c r="V35" s="1235">
        <f t="shared" si="83"/>
        <v>8.8819999999999997</v>
      </c>
      <c r="W35" s="1253">
        <f t="shared" si="84"/>
        <v>0</v>
      </c>
      <c r="X35" s="1253">
        <f t="shared" si="84"/>
        <v>5.9090000000000007</v>
      </c>
      <c r="Y35" s="1462">
        <f t="shared" si="84"/>
        <v>0</v>
      </c>
      <c r="Z35" s="1464">
        <f t="shared" si="85"/>
        <v>9.9139999999999997</v>
      </c>
      <c r="AA35" s="1253">
        <f t="shared" si="86"/>
        <v>0</v>
      </c>
      <c r="AB35" s="1253">
        <f t="shared" si="86"/>
        <v>6.3100000000000005</v>
      </c>
      <c r="AC35" s="1462">
        <f t="shared" si="86"/>
        <v>0</v>
      </c>
      <c r="AD35" s="1255">
        <f t="shared" si="87"/>
        <v>9.8840000000000003</v>
      </c>
      <c r="AE35" s="1253">
        <f t="shared" si="86"/>
        <v>-6.0000000000002274E-3</v>
      </c>
      <c r="AF35" s="1253">
        <f t="shared" si="86"/>
        <v>6.3840000000000003</v>
      </c>
      <c r="AG35" s="1253">
        <f t="shared" si="86"/>
        <v>0</v>
      </c>
      <c r="AH35" s="1255">
        <f t="shared" si="88"/>
        <v>9.7010000000000005</v>
      </c>
      <c r="AI35" s="1253">
        <f t="shared" si="86"/>
        <v>1.0999999999999233E-2</v>
      </c>
      <c r="AJ35" s="1253">
        <f t="shared" si="86"/>
        <v>5.77</v>
      </c>
      <c r="AK35" s="1461">
        <f t="shared" si="86"/>
        <v>0</v>
      </c>
      <c r="AL35" s="1358">
        <v>0</v>
      </c>
      <c r="AM35" s="1358">
        <v>0</v>
      </c>
      <c r="AN35" s="1358">
        <v>0</v>
      </c>
      <c r="AO35" s="1527">
        <v>0</v>
      </c>
      <c r="AP35" s="1528">
        <v>0</v>
      </c>
      <c r="AQ35" s="1358">
        <v>0</v>
      </c>
      <c r="AR35" s="1358">
        <v>0</v>
      </c>
      <c r="AS35" s="1527">
        <v>0</v>
      </c>
      <c r="AT35" s="1459"/>
      <c r="AU35" s="1534">
        <f t="shared" si="89"/>
        <v>0</v>
      </c>
      <c r="AV35" s="1462">
        <f t="shared" si="90"/>
        <v>264.59899999999999</v>
      </c>
      <c r="AW35" s="1462">
        <f t="shared" si="91"/>
        <v>15.129</v>
      </c>
      <c r="AX35" s="1462">
        <f t="shared" si="92"/>
        <v>13.04</v>
      </c>
      <c r="AY35" s="1462">
        <f t="shared" si="93"/>
        <v>13.736000000000001</v>
      </c>
      <c r="AZ35" s="1231">
        <f t="shared" si="94"/>
        <v>14.791</v>
      </c>
      <c r="BA35" s="1529">
        <f t="shared" si="95"/>
        <v>16.224</v>
      </c>
      <c r="BB35" s="1462">
        <f t="shared" si="96"/>
        <v>16.262</v>
      </c>
      <c r="BC35" s="1462">
        <f t="shared" si="97"/>
        <v>15.481999999999999</v>
      </c>
      <c r="BD35" s="1472">
        <f t="shared" si="98"/>
        <v>0</v>
      </c>
      <c r="BE35" s="1472">
        <f t="shared" si="99"/>
        <v>0</v>
      </c>
      <c r="BF35" s="1460"/>
      <c r="BG35" s="1231">
        <v>8.0459999999999994</v>
      </c>
      <c r="BH35" s="1231">
        <v>8.0459999999999994</v>
      </c>
      <c r="BI35" s="1231">
        <v>13.736000000000001</v>
      </c>
      <c r="BJ35" s="1461">
        <v>13.736000000000001</v>
      </c>
      <c r="BK35" s="1231">
        <v>8.8819999999999997</v>
      </c>
      <c r="BL35" s="1231">
        <v>8.8819999999999997</v>
      </c>
      <c r="BM35" s="1231">
        <v>14.791</v>
      </c>
      <c r="BN35" s="1461">
        <v>14.791</v>
      </c>
      <c r="BO35" s="1231">
        <v>9.9139999999999997</v>
      </c>
      <c r="BP35" s="1231">
        <v>9.9139999999999997</v>
      </c>
      <c r="BQ35" s="1231">
        <v>16.224</v>
      </c>
      <c r="BR35" s="1461">
        <v>16.224</v>
      </c>
      <c r="BS35" s="1231">
        <v>9.8840000000000003</v>
      </c>
      <c r="BT35" s="1231">
        <v>9.8780000000000001</v>
      </c>
      <c r="BU35" s="1231">
        <v>16.262</v>
      </c>
      <c r="BV35" s="1472">
        <v>16.262</v>
      </c>
      <c r="BW35" s="1231">
        <v>9.7010000000000005</v>
      </c>
      <c r="BX35" s="1231">
        <v>9.7119999999999997</v>
      </c>
      <c r="BY35" s="1231">
        <v>15.481999999999999</v>
      </c>
      <c r="BZ35" s="1472">
        <v>15.481999999999999</v>
      </c>
    </row>
    <row r="36" spans="1:176" ht="12" customHeight="1">
      <c r="A36" s="1531" t="s">
        <v>323</v>
      </c>
      <c r="B36" s="1253">
        <v>1.621</v>
      </c>
      <c r="C36" s="1253">
        <f>2.467-B36</f>
        <v>0.84600000000000009</v>
      </c>
      <c r="D36" s="1253">
        <f>2.847-C36-B36</f>
        <v>0.37999999999999989</v>
      </c>
      <c r="E36" s="1461">
        <f>3.02-D36-C36-B36</f>
        <v>0.17300000000000004</v>
      </c>
      <c r="F36" s="1535">
        <v>0.47899999999999998</v>
      </c>
      <c r="G36" s="1253">
        <f>1.01-F36</f>
        <v>0.53100000000000003</v>
      </c>
      <c r="H36" s="1253">
        <f>1.415-G36-F36</f>
        <v>0.40500000000000003</v>
      </c>
      <c r="I36" s="1461">
        <f>1.668-H36-G36-F36</f>
        <v>0.25299999999999989</v>
      </c>
      <c r="J36" s="1535">
        <v>9.8780000000000001</v>
      </c>
      <c r="K36" s="1253">
        <f>12.727-J36</f>
        <v>2.8490000000000002</v>
      </c>
      <c r="L36" s="1253">
        <f>15.448-K36-J36</f>
        <v>2.7210000000000001</v>
      </c>
      <c r="M36" s="1461">
        <f>19.048-SUM(J36:L36)</f>
        <v>3.5999999999999979</v>
      </c>
      <c r="N36" s="1535">
        <v>3.9780000000000002</v>
      </c>
      <c r="O36" s="1253">
        <f>10.974-N36</f>
        <v>6.9960000000000004</v>
      </c>
      <c r="P36" s="1253">
        <f>15.782-O36-N36</f>
        <v>4.8079999999999998</v>
      </c>
      <c r="Q36" s="1461">
        <f>21.709-SUM(N36:P36)</f>
        <v>5.9269999999999996</v>
      </c>
      <c r="R36" s="1535">
        <f t="shared" si="81"/>
        <v>4.0149999999999997</v>
      </c>
      <c r="S36" s="1253">
        <f t="shared" si="82"/>
        <v>4.6890000000000009</v>
      </c>
      <c r="T36" s="1253">
        <f t="shared" si="82"/>
        <v>2.2149999999999999</v>
      </c>
      <c r="U36" s="1462">
        <f t="shared" si="82"/>
        <v>7.3490000000000002</v>
      </c>
      <c r="V36" s="1535">
        <f t="shared" si="83"/>
        <v>2.5870000000000002</v>
      </c>
      <c r="W36" s="1253">
        <f t="shared" si="84"/>
        <v>6.0890000000000004</v>
      </c>
      <c r="X36" s="1253">
        <f t="shared" si="84"/>
        <v>1.9789999999999992</v>
      </c>
      <c r="Y36" s="1462">
        <f t="shared" si="84"/>
        <v>1.0660000000000007</v>
      </c>
      <c r="Z36" s="1536">
        <f t="shared" si="85"/>
        <v>0.94199999999999995</v>
      </c>
      <c r="AA36" s="1253">
        <f t="shared" si="86"/>
        <v>0.59499999999999997</v>
      </c>
      <c r="AB36" s="1253">
        <f t="shared" si="86"/>
        <v>0.8839999999999999</v>
      </c>
      <c r="AC36" s="1462">
        <f t="shared" si="86"/>
        <v>1.08</v>
      </c>
      <c r="AD36" s="1537">
        <f t="shared" si="87"/>
        <v>1.8740000000000001</v>
      </c>
      <c r="AE36" s="1253">
        <f t="shared" si="86"/>
        <v>2.2609999999999997</v>
      </c>
      <c r="AF36" s="1253">
        <f t="shared" si="86"/>
        <v>0.66300000000000026</v>
      </c>
      <c r="AG36" s="1253">
        <f t="shared" si="86"/>
        <v>3.266</v>
      </c>
      <c r="AH36" s="1537">
        <f t="shared" si="88"/>
        <v>0.34699999999999998</v>
      </c>
      <c r="AI36" s="1253">
        <f t="shared" si="86"/>
        <v>0.5109999999999999</v>
      </c>
      <c r="AJ36" s="1253">
        <f t="shared" si="86"/>
        <v>0.2330000000000001</v>
      </c>
      <c r="AK36" s="1254">
        <f t="shared" si="86"/>
        <v>2.5280000000000005</v>
      </c>
      <c r="AL36" s="1358">
        <v>0</v>
      </c>
      <c r="AM36" s="1358">
        <v>0</v>
      </c>
      <c r="AN36" s="1358">
        <v>0</v>
      </c>
      <c r="AO36" s="1527">
        <v>0</v>
      </c>
      <c r="AP36" s="1538">
        <v>0</v>
      </c>
      <c r="AQ36" s="1358">
        <v>0</v>
      </c>
      <c r="AR36" s="1358">
        <v>0</v>
      </c>
      <c r="AS36" s="1527">
        <v>0</v>
      </c>
      <c r="AT36" s="1539"/>
      <c r="AU36" s="1540">
        <f t="shared" si="89"/>
        <v>3.02</v>
      </c>
      <c r="AV36" s="1462">
        <f t="shared" si="90"/>
        <v>1.6679999999999999</v>
      </c>
      <c r="AW36" s="1462">
        <f t="shared" si="91"/>
        <v>19.047999999999998</v>
      </c>
      <c r="AX36" s="1462">
        <f t="shared" si="92"/>
        <v>21.709</v>
      </c>
      <c r="AY36" s="1462">
        <f t="shared" si="93"/>
        <v>18.268000000000001</v>
      </c>
      <c r="AZ36" s="1231">
        <f t="shared" si="94"/>
        <v>11.721</v>
      </c>
      <c r="BA36" s="1541">
        <f t="shared" si="95"/>
        <v>3.5009999999999999</v>
      </c>
      <c r="BB36" s="1462">
        <f t="shared" si="96"/>
        <v>8.0640000000000001</v>
      </c>
      <c r="BC36" s="1462">
        <f t="shared" si="97"/>
        <v>3.6190000000000007</v>
      </c>
      <c r="BD36" s="1472">
        <f t="shared" si="98"/>
        <v>0</v>
      </c>
      <c r="BE36" s="1472">
        <f t="shared" si="99"/>
        <v>0</v>
      </c>
      <c r="BF36" s="1460"/>
      <c r="BG36" s="1231">
        <v>4.0149999999999997</v>
      </c>
      <c r="BH36" s="1231">
        <v>8.7040000000000006</v>
      </c>
      <c r="BI36" s="1231">
        <v>10.919</v>
      </c>
      <c r="BJ36" s="1461">
        <v>18.268000000000001</v>
      </c>
      <c r="BK36" s="1231">
        <v>2.5870000000000002</v>
      </c>
      <c r="BL36" s="1231">
        <v>8.6760000000000002</v>
      </c>
      <c r="BM36" s="1231">
        <v>10.654999999999999</v>
      </c>
      <c r="BN36" s="1461">
        <v>11.721</v>
      </c>
      <c r="BO36" s="1231">
        <v>0.94199999999999995</v>
      </c>
      <c r="BP36" s="1231">
        <v>1.5369999999999999</v>
      </c>
      <c r="BQ36" s="1231">
        <v>2.4209999999999998</v>
      </c>
      <c r="BR36" s="1461">
        <v>3.5009999999999999</v>
      </c>
      <c r="BS36" s="1231">
        <v>1.8740000000000001</v>
      </c>
      <c r="BT36" s="1231">
        <v>4.1349999999999998</v>
      </c>
      <c r="BU36" s="1231">
        <v>4.798</v>
      </c>
      <c r="BV36" s="1472">
        <v>8.0640000000000001</v>
      </c>
      <c r="BW36" s="1231">
        <v>0.34699999999999998</v>
      </c>
      <c r="BX36" s="1231">
        <f>2.187-1.329</f>
        <v>0.85799999999999987</v>
      </c>
      <c r="BY36" s="1231">
        <f>2.42-1.329</f>
        <v>1.091</v>
      </c>
      <c r="BZ36" s="1472">
        <v>3.6190000000000002</v>
      </c>
    </row>
    <row r="37" spans="1:176" ht="12" customHeight="1">
      <c r="A37" s="1542" t="s">
        <v>324</v>
      </c>
      <c r="B37" s="1253">
        <v>-0.17399999999999999</v>
      </c>
      <c r="C37" s="1253">
        <f>-0.385-B37</f>
        <v>-0.21100000000000002</v>
      </c>
      <c r="D37" s="1253">
        <f>-0.385-C37-B37</f>
        <v>0</v>
      </c>
      <c r="E37" s="1461">
        <f>-0.385-D37-C37-B37</f>
        <v>0</v>
      </c>
      <c r="F37" s="1535">
        <v>0</v>
      </c>
      <c r="G37" s="1253">
        <f>-0.075-F37</f>
        <v>-7.4999999999999997E-2</v>
      </c>
      <c r="H37" s="1253">
        <f>-0.075-G37-F37</f>
        <v>0</v>
      </c>
      <c r="I37" s="1461">
        <f>-0.075-H37-G37-F37</f>
        <v>0</v>
      </c>
      <c r="J37" s="1535">
        <v>0</v>
      </c>
      <c r="K37" s="1253">
        <v>0</v>
      </c>
      <c r="L37" s="1253">
        <v>0</v>
      </c>
      <c r="M37" s="1461">
        <v>0</v>
      </c>
      <c r="N37" s="1535">
        <v>0</v>
      </c>
      <c r="O37" s="1253">
        <v>0</v>
      </c>
      <c r="P37" s="1253">
        <f>0-O37-N37</f>
        <v>0</v>
      </c>
      <c r="Q37" s="1461">
        <f>0-SUM(N37:P37)</f>
        <v>0</v>
      </c>
      <c r="R37" s="1535">
        <f t="shared" si="81"/>
        <v>0</v>
      </c>
      <c r="S37" s="1253">
        <f t="shared" si="82"/>
        <v>0</v>
      </c>
      <c r="T37" s="1253">
        <f t="shared" si="82"/>
        <v>0</v>
      </c>
      <c r="U37" s="1258">
        <f t="shared" si="82"/>
        <v>0</v>
      </c>
      <c r="V37" s="1535">
        <f t="shared" si="83"/>
        <v>0</v>
      </c>
      <c r="W37" s="1253">
        <f t="shared" si="84"/>
        <v>0</v>
      </c>
      <c r="X37" s="1253">
        <f t="shared" si="84"/>
        <v>0</v>
      </c>
      <c r="Y37" s="1258">
        <f t="shared" si="84"/>
        <v>0</v>
      </c>
      <c r="Z37" s="1535">
        <f t="shared" si="85"/>
        <v>0</v>
      </c>
      <c r="AA37" s="1253">
        <f t="shared" si="86"/>
        <v>0</v>
      </c>
      <c r="AB37" s="1253">
        <f t="shared" si="86"/>
        <v>0</v>
      </c>
      <c r="AC37" s="1258">
        <f t="shared" si="86"/>
        <v>-14.933999999999999</v>
      </c>
      <c r="AD37" s="1537">
        <f t="shared" si="87"/>
        <v>-24.991</v>
      </c>
      <c r="AE37" s="1253">
        <f>BT37-BS37</f>
        <v>-25</v>
      </c>
      <c r="AF37" s="1253">
        <f>BU37-BT37</f>
        <v>0</v>
      </c>
      <c r="AG37" s="1253">
        <f>BV37-BU37</f>
        <v>-49.986000000000004</v>
      </c>
      <c r="AH37" s="1537">
        <f t="shared" si="88"/>
        <v>-60</v>
      </c>
      <c r="AI37" s="1253">
        <f>BX37-BW37</f>
        <v>-64.998999999999995</v>
      </c>
      <c r="AJ37" s="1253">
        <f>BY37-BX37</f>
        <v>-59.968999999999994</v>
      </c>
      <c r="AK37" s="1254">
        <f>BZ37-BY37</f>
        <v>-64.478000000000009</v>
      </c>
      <c r="AL37" s="1543">
        <v>0</v>
      </c>
      <c r="AM37" s="1543">
        <v>0</v>
      </c>
      <c r="AN37" s="1543">
        <v>0</v>
      </c>
      <c r="AO37" s="1544">
        <v>0</v>
      </c>
      <c r="AP37" s="1545">
        <v>0</v>
      </c>
      <c r="AQ37" s="1543">
        <v>0</v>
      </c>
      <c r="AR37" s="1543">
        <v>0</v>
      </c>
      <c r="AS37" s="1544">
        <v>0</v>
      </c>
      <c r="AT37" s="1539"/>
      <c r="AU37" s="1540">
        <f t="shared" si="89"/>
        <v>-0.38500000000000001</v>
      </c>
      <c r="AV37" s="1462">
        <f t="shared" si="90"/>
        <v>-7.4999999999999997E-2</v>
      </c>
      <c r="AW37" s="1462">
        <f t="shared" si="91"/>
        <v>0</v>
      </c>
      <c r="AX37" s="1462">
        <f t="shared" si="92"/>
        <v>0</v>
      </c>
      <c r="AY37" s="1462">
        <f t="shared" si="93"/>
        <v>0</v>
      </c>
      <c r="AZ37" s="1231">
        <f t="shared" si="94"/>
        <v>0</v>
      </c>
      <c r="BA37" s="1541">
        <f t="shared" si="95"/>
        <v>-14.933999999999999</v>
      </c>
      <c r="BB37" s="1462">
        <f t="shared" si="96"/>
        <v>-99.977000000000004</v>
      </c>
      <c r="BC37" s="1462">
        <f t="shared" si="97"/>
        <v>-249.446</v>
      </c>
      <c r="BD37" s="1472">
        <f t="shared" si="98"/>
        <v>0</v>
      </c>
      <c r="BE37" s="1472">
        <f t="shared" si="99"/>
        <v>0</v>
      </c>
      <c r="BF37" s="1460"/>
      <c r="BG37" s="1231">
        <v>0</v>
      </c>
      <c r="BH37" s="1231">
        <v>0</v>
      </c>
      <c r="BI37" s="1231">
        <v>0</v>
      </c>
      <c r="BJ37" s="1461">
        <v>0</v>
      </c>
      <c r="BK37" s="1231">
        <v>0</v>
      </c>
      <c r="BL37" s="1231">
        <v>0</v>
      </c>
      <c r="BM37" s="1231">
        <v>0</v>
      </c>
      <c r="BN37" s="1461">
        <v>0</v>
      </c>
      <c r="BO37" s="1231">
        <v>0</v>
      </c>
      <c r="BP37" s="1231">
        <v>0</v>
      </c>
      <c r="BQ37" s="1231">
        <v>0</v>
      </c>
      <c r="BR37" s="1461">
        <v>-14.933999999999999</v>
      </c>
      <c r="BS37" s="1231">
        <v>-24.991</v>
      </c>
      <c r="BT37" s="1231">
        <v>-49.991</v>
      </c>
      <c r="BU37" s="1231">
        <v>-49.991</v>
      </c>
      <c r="BV37" s="1472">
        <v>-99.977000000000004</v>
      </c>
      <c r="BW37" s="1231">
        <v>-60</v>
      </c>
      <c r="BX37" s="1231">
        <v>-124.999</v>
      </c>
      <c r="BY37" s="1231">
        <v>-184.96799999999999</v>
      </c>
      <c r="BZ37" s="1472">
        <f>-247.468-1.978</f>
        <v>-249.446</v>
      </c>
    </row>
    <row r="38" spans="1:176" ht="12" customHeight="1">
      <c r="A38" s="1542" t="s">
        <v>325</v>
      </c>
      <c r="B38" s="1253">
        <v>0</v>
      </c>
      <c r="C38" s="1253">
        <f>-0.238-B38</f>
        <v>-0.23799999999999999</v>
      </c>
      <c r="D38" s="1253">
        <f>-0.238-C38-B38</f>
        <v>0</v>
      </c>
      <c r="E38" s="1461">
        <f>-0.238-D38-C38-B38</f>
        <v>0</v>
      </c>
      <c r="F38" s="1546">
        <v>0</v>
      </c>
      <c r="G38" s="1253">
        <f>-1.515-F38</f>
        <v>-1.5149999999999999</v>
      </c>
      <c r="H38" s="1253">
        <f>0-G38-F38</f>
        <v>1.5149999999999999</v>
      </c>
      <c r="I38" s="1461">
        <f>0-H38-G38-F38</f>
        <v>0</v>
      </c>
      <c r="J38" s="1546">
        <v>-4.0000000000000001E-3</v>
      </c>
      <c r="K38" s="1253">
        <f>-0.008-J38</f>
        <v>-4.0000000000000001E-3</v>
      </c>
      <c r="L38" s="1253">
        <f>-0.012-K38-J38</f>
        <v>-4.0000000000000001E-3</v>
      </c>
      <c r="M38" s="1461">
        <f>-0.016-SUM(J38:L38)</f>
        <v>-4.0000000000000001E-3</v>
      </c>
      <c r="N38" s="1546">
        <v>0</v>
      </c>
      <c r="O38" s="1253">
        <v>0</v>
      </c>
      <c r="P38" s="1253">
        <f>-0.333-O38-N38</f>
        <v>-0.33300000000000002</v>
      </c>
      <c r="Q38" s="1461">
        <f>-0.346-SUM(N38:P38)</f>
        <v>-1.2999999999999956E-2</v>
      </c>
      <c r="R38" s="1546">
        <f t="shared" si="81"/>
        <v>-3.0000000000000001E-3</v>
      </c>
      <c r="S38" s="1253">
        <f t="shared" si="82"/>
        <v>-2E-3</v>
      </c>
      <c r="T38" s="1253">
        <f t="shared" si="82"/>
        <v>-9.3509999999999991</v>
      </c>
      <c r="U38" s="1258">
        <f t="shared" si="82"/>
        <v>-2.0000000000006679E-3</v>
      </c>
      <c r="V38" s="1546">
        <f t="shared" si="83"/>
        <v>-3.3E-3</v>
      </c>
      <c r="W38" s="1253">
        <f t="shared" si="84"/>
        <v>0.56929999999999992</v>
      </c>
      <c r="X38" s="1253">
        <f t="shared" si="84"/>
        <v>-3.9999999999998925E-3</v>
      </c>
      <c r="Y38" s="1258">
        <f t="shared" si="84"/>
        <v>-6.0000000000000053E-3</v>
      </c>
      <c r="Z38" s="1546">
        <f t="shared" si="85"/>
        <v>-0.128</v>
      </c>
      <c r="AA38" s="1253">
        <f t="shared" si="86"/>
        <v>-1.0000000000000009E-3</v>
      </c>
      <c r="AB38" s="1253">
        <f t="shared" si="86"/>
        <v>-8.3999999999999991E-2</v>
      </c>
      <c r="AC38" s="1258">
        <f t="shared" si="86"/>
        <v>0.42299999999999999</v>
      </c>
      <c r="AD38" s="1547">
        <f t="shared" si="87"/>
        <v>0</v>
      </c>
      <c r="AE38" s="1253">
        <f t="shared" si="86"/>
        <v>0</v>
      </c>
      <c r="AF38" s="1253">
        <f t="shared" si="86"/>
        <v>0</v>
      </c>
      <c r="AG38" s="1253">
        <f t="shared" si="86"/>
        <v>0</v>
      </c>
      <c r="AH38" s="1547">
        <f t="shared" si="88"/>
        <v>0</v>
      </c>
      <c r="AI38" s="1253">
        <f t="shared" si="86"/>
        <v>0</v>
      </c>
      <c r="AJ38" s="1253">
        <f t="shared" si="86"/>
        <v>0</v>
      </c>
      <c r="AK38" s="1548">
        <f t="shared" si="86"/>
        <v>0</v>
      </c>
      <c r="AL38" s="1543">
        <v>0</v>
      </c>
      <c r="AM38" s="1543">
        <v>0</v>
      </c>
      <c r="AN38" s="1543">
        <v>0</v>
      </c>
      <c r="AO38" s="1544">
        <v>0</v>
      </c>
      <c r="AP38" s="1549">
        <v>0</v>
      </c>
      <c r="AQ38" s="1543">
        <v>0</v>
      </c>
      <c r="AR38" s="1543">
        <v>0</v>
      </c>
      <c r="AS38" s="1544">
        <v>0</v>
      </c>
      <c r="AT38" s="1550"/>
      <c r="AU38" s="1551">
        <f t="shared" si="89"/>
        <v>-0.23799999999999999</v>
      </c>
      <c r="AV38" s="1462">
        <f t="shared" si="90"/>
        <v>0</v>
      </c>
      <c r="AW38" s="1462">
        <f t="shared" si="91"/>
        <v>-1.6E-2</v>
      </c>
      <c r="AX38" s="1462">
        <f t="shared" si="92"/>
        <v>-0.34599999999999997</v>
      </c>
      <c r="AY38" s="1462">
        <f t="shared" si="93"/>
        <v>-9.3580000000000005</v>
      </c>
      <c r="AZ38" s="1231">
        <f t="shared" si="94"/>
        <v>0.55600000000000005</v>
      </c>
      <c r="BA38" s="1541">
        <f t="shared" si="95"/>
        <v>0.21</v>
      </c>
      <c r="BB38" s="1462">
        <f t="shared" si="96"/>
        <v>0</v>
      </c>
      <c r="BC38" s="1462">
        <f t="shared" si="97"/>
        <v>0</v>
      </c>
      <c r="BD38" s="1472">
        <f t="shared" si="98"/>
        <v>0</v>
      </c>
      <c r="BE38" s="1472">
        <f t="shared" si="99"/>
        <v>0</v>
      </c>
      <c r="BF38" s="1460"/>
      <c r="BG38" s="1231">
        <v>-3.0000000000000001E-3</v>
      </c>
      <c r="BH38" s="1231">
        <v>-5.0000000000000001E-3</v>
      </c>
      <c r="BI38" s="1231">
        <f>-0.008-9.348</f>
        <v>-9.3559999999999999</v>
      </c>
      <c r="BJ38" s="1461">
        <f>-9.348-0.01</f>
        <v>-9.3580000000000005</v>
      </c>
      <c r="BK38" s="1231">
        <v>-3.3E-3</v>
      </c>
      <c r="BL38" s="1231">
        <v>0.56599999999999995</v>
      </c>
      <c r="BM38" s="1231">
        <v>0.56200000000000006</v>
      </c>
      <c r="BN38" s="1461">
        <v>0.55600000000000005</v>
      </c>
      <c r="BO38" s="1231">
        <v>-0.128</v>
      </c>
      <c r="BP38" s="1231">
        <v>-0.129</v>
      </c>
      <c r="BQ38" s="1231">
        <v>-0.21299999999999999</v>
      </c>
      <c r="BR38" s="1461">
        <f>0.21</f>
        <v>0.21</v>
      </c>
      <c r="BS38" s="1231">
        <v>0</v>
      </c>
      <c r="BT38" s="1231">
        <v>0</v>
      </c>
      <c r="BU38" s="1231"/>
      <c r="BV38" s="1472"/>
      <c r="BW38" s="1231">
        <v>0</v>
      </c>
      <c r="BX38" s="1231">
        <v>0</v>
      </c>
      <c r="BY38" s="1231"/>
      <c r="BZ38" s="1472"/>
    </row>
    <row r="39" spans="1:176" ht="12" customHeight="1">
      <c r="A39" s="1482" t="s">
        <v>326</v>
      </c>
      <c r="B39" s="1552">
        <f>SUM(B32:B38)</f>
        <v>1.4080000000000001</v>
      </c>
      <c r="C39" s="1552">
        <f t="shared" ref="C39:AD39" si="108">SUM(C32:C38)</f>
        <v>0.34600000000000009</v>
      </c>
      <c r="D39" s="1552">
        <f t="shared" si="108"/>
        <v>0.29699999999999993</v>
      </c>
      <c r="E39" s="1553">
        <f t="shared" si="108"/>
        <v>4.0000000000000036E-2</v>
      </c>
      <c r="F39" s="1270">
        <f t="shared" si="108"/>
        <v>0.36299999999999999</v>
      </c>
      <c r="G39" s="1552">
        <f t="shared" si="108"/>
        <v>-1.1949999999999998</v>
      </c>
      <c r="H39" s="1552">
        <f t="shared" si="108"/>
        <v>266.58199999999994</v>
      </c>
      <c r="I39" s="1553">
        <f t="shared" si="108"/>
        <v>-1.0009999999999886</v>
      </c>
      <c r="J39" s="1270">
        <f t="shared" si="108"/>
        <v>18.452999999999999</v>
      </c>
      <c r="K39" s="1552">
        <f t="shared" si="108"/>
        <v>2.8450000000000002</v>
      </c>
      <c r="L39" s="1552">
        <f t="shared" si="108"/>
        <v>9.2669999999999995</v>
      </c>
      <c r="M39" s="1553">
        <f t="shared" si="108"/>
        <v>3.5959999999999979</v>
      </c>
      <c r="N39" s="1270">
        <f t="shared" si="108"/>
        <v>11.281000000000001</v>
      </c>
      <c r="O39" s="1552">
        <f t="shared" si="108"/>
        <v>8.9920000000000009</v>
      </c>
      <c r="P39" s="1552">
        <f t="shared" si="108"/>
        <v>10.204999999999998</v>
      </c>
      <c r="Q39" s="1553">
        <f t="shared" si="108"/>
        <v>5.9249999999999998</v>
      </c>
      <c r="R39" s="1270">
        <f t="shared" si="108"/>
        <v>12.058</v>
      </c>
      <c r="S39" s="1552">
        <f t="shared" si="108"/>
        <v>4.6870000000000012</v>
      </c>
      <c r="T39" s="1552">
        <f t="shared" si="108"/>
        <v>373.55399999999997</v>
      </c>
      <c r="U39" s="1554">
        <f t="shared" si="108"/>
        <v>7.3469999999999995</v>
      </c>
      <c r="V39" s="1270">
        <f t="shared" si="108"/>
        <v>10.527700000000001</v>
      </c>
      <c r="W39" s="1552">
        <f t="shared" si="108"/>
        <v>5.7213000000000003</v>
      </c>
      <c r="X39" s="1552">
        <f t="shared" si="108"/>
        <v>6.9459999999999997</v>
      </c>
      <c r="Y39" s="1554">
        <f t="shared" si="108"/>
        <v>0.12300000000000089</v>
      </c>
      <c r="Z39" s="1270">
        <f t="shared" si="108"/>
        <v>9.7899999999999991</v>
      </c>
      <c r="AA39" s="1552">
        <f t="shared" si="108"/>
        <v>8.099999999999985E-2</v>
      </c>
      <c r="AB39" s="1552">
        <f t="shared" si="108"/>
        <v>6.1720000000000006</v>
      </c>
      <c r="AC39" s="1554">
        <f t="shared" si="108"/>
        <v>-14.792</v>
      </c>
      <c r="AD39" s="1270">
        <f t="shared" si="108"/>
        <v>-14.170999999999999</v>
      </c>
      <c r="AE39" s="1552">
        <f>SUM(AE32:AE38)</f>
        <v>-23.682000000000002</v>
      </c>
      <c r="AF39" s="1552">
        <f>SUM(AF32:AF38)</f>
        <v>6.109</v>
      </c>
      <c r="AG39" s="1552">
        <f>SUM(AG32:AG38)</f>
        <v>-47.657000000000004</v>
      </c>
      <c r="AH39" s="1270">
        <f t="shared" ref="AH39" si="109">SUM(AH32:AH38)</f>
        <v>-50.89</v>
      </c>
      <c r="AI39" s="1552">
        <f>SUM(AI32:AI38)</f>
        <v>-65.414000000000001</v>
      </c>
      <c r="AJ39" s="1552">
        <f>SUM(AJ32:AJ38)</f>
        <v>-54.903999999999996</v>
      </c>
      <c r="AK39" s="1552">
        <f>SUM(AK32:AK38)</f>
        <v>-62.887000000000008</v>
      </c>
      <c r="AL39" s="1555">
        <f t="shared" ref="AL39:AS39" si="110">SUM(AL32:AL38)</f>
        <v>0</v>
      </c>
      <c r="AM39" s="1556">
        <f t="shared" si="110"/>
        <v>0</v>
      </c>
      <c r="AN39" s="1556">
        <f t="shared" si="110"/>
        <v>0</v>
      </c>
      <c r="AO39" s="1557">
        <f t="shared" si="110"/>
        <v>0</v>
      </c>
      <c r="AP39" s="1555">
        <f t="shared" si="110"/>
        <v>0</v>
      </c>
      <c r="AQ39" s="1556">
        <f t="shared" si="110"/>
        <v>0</v>
      </c>
      <c r="AR39" s="1556">
        <f t="shared" si="110"/>
        <v>0</v>
      </c>
      <c r="AS39" s="1557">
        <f t="shared" si="110"/>
        <v>0</v>
      </c>
      <c r="AT39" s="1550"/>
      <c r="AU39" s="1558">
        <f t="shared" si="89"/>
        <v>2.0910000000000002</v>
      </c>
      <c r="AV39" s="1559">
        <f t="shared" si="90"/>
        <v>264.74899999999997</v>
      </c>
      <c r="AW39" s="1559">
        <f t="shared" si="91"/>
        <v>34.160999999999994</v>
      </c>
      <c r="AX39" s="1483">
        <f t="shared" si="92"/>
        <v>36.402999999999999</v>
      </c>
      <c r="AY39" s="1484">
        <f t="shared" si="93"/>
        <v>397.64599999999996</v>
      </c>
      <c r="AZ39" s="1560">
        <f t="shared" si="94"/>
        <v>23.318000000000001</v>
      </c>
      <c r="BA39" s="1485">
        <f t="shared" si="95"/>
        <v>1.2509999999999994</v>
      </c>
      <c r="BB39" s="1483">
        <f t="shared" si="96"/>
        <v>-79.40100000000001</v>
      </c>
      <c r="BC39" s="1483">
        <f t="shared" si="97"/>
        <v>-234.095</v>
      </c>
      <c r="BD39" s="1486">
        <f t="shared" si="98"/>
        <v>0</v>
      </c>
      <c r="BE39" s="1486">
        <f t="shared" si="99"/>
        <v>0</v>
      </c>
      <c r="BF39" s="454"/>
      <c r="BG39" s="1487">
        <f t="shared" ref="BG39:BI39" si="111">SUM(BG32:BG38)</f>
        <v>12.058</v>
      </c>
      <c r="BH39" s="1266">
        <f t="shared" si="111"/>
        <v>16.745000000000001</v>
      </c>
      <c r="BI39" s="1263">
        <f t="shared" si="111"/>
        <v>390.29899999999998</v>
      </c>
      <c r="BJ39" s="1264">
        <f>SUM(BJ32:BJ38)</f>
        <v>397.64600000000002</v>
      </c>
      <c r="BK39" s="1487">
        <f t="shared" ref="BK39:BR39" si="112">SUM(BK32:BK38)</f>
        <v>10.527700000000001</v>
      </c>
      <c r="BL39" s="1266">
        <f t="shared" si="112"/>
        <v>16.248999999999999</v>
      </c>
      <c r="BM39" s="1263">
        <f t="shared" si="112"/>
        <v>23.195</v>
      </c>
      <c r="BN39" s="1264">
        <f t="shared" si="112"/>
        <v>23.318000000000001</v>
      </c>
      <c r="BO39" s="1265">
        <f>SUM(BO32:BO38)</f>
        <v>9.7899999999999991</v>
      </c>
      <c r="BP39" s="1263">
        <f t="shared" si="112"/>
        <v>9.8710000000000004</v>
      </c>
      <c r="BQ39" s="1263">
        <f t="shared" si="112"/>
        <v>16.042999999999999</v>
      </c>
      <c r="BR39" s="1264">
        <f t="shared" si="112"/>
        <v>1.2510000000000003</v>
      </c>
      <c r="BS39" s="1265">
        <f>SUM(BS32:BS38)</f>
        <v>-14.170999999999999</v>
      </c>
      <c r="BT39" s="1263">
        <f>SUM(BT32:BT38)</f>
        <v>-37.853000000000002</v>
      </c>
      <c r="BU39" s="1263">
        <f t="shared" ref="BU39:BV39" si="113">SUM(BU32:BU38)</f>
        <v>-31.744</v>
      </c>
      <c r="BV39" s="1267">
        <f t="shared" si="113"/>
        <v>-79.40100000000001</v>
      </c>
      <c r="BW39" s="1265">
        <f>SUM(BW32:BW38)</f>
        <v>-50.89</v>
      </c>
      <c r="BX39" s="1263">
        <f>SUM(BX32:BX38)</f>
        <v>-116.304</v>
      </c>
      <c r="BY39" s="1263">
        <f t="shared" ref="BY39:BZ39" si="114">SUM(BY32:BY38)</f>
        <v>-171.208</v>
      </c>
      <c r="BZ39" s="1267">
        <f t="shared" si="114"/>
        <v>-234.095</v>
      </c>
    </row>
    <row r="40" spans="1:176" ht="12" customHeight="1">
      <c r="A40" s="1561"/>
      <c r="B40" s="559"/>
      <c r="C40" s="559"/>
      <c r="D40" s="559"/>
      <c r="E40" s="560"/>
      <c r="F40" s="1562"/>
      <c r="G40" s="559"/>
      <c r="H40" s="559"/>
      <c r="I40" s="560"/>
      <c r="J40" s="1562"/>
      <c r="K40" s="559"/>
      <c r="L40" s="559"/>
      <c r="M40" s="560"/>
      <c r="N40" s="1562"/>
      <c r="O40" s="559"/>
      <c r="P40" s="559"/>
      <c r="Q40" s="560"/>
      <c r="R40" s="1562"/>
      <c r="S40" s="559"/>
      <c r="T40" s="559"/>
      <c r="U40" s="1454"/>
      <c r="V40" s="1562"/>
      <c r="W40" s="559"/>
      <c r="X40" s="559"/>
      <c r="Y40" s="1454"/>
      <c r="Z40" s="1562"/>
      <c r="AA40" s="559"/>
      <c r="AB40" s="559"/>
      <c r="AC40" s="1454"/>
      <c r="AD40" s="1562"/>
      <c r="AE40" s="559"/>
      <c r="AF40" s="559"/>
      <c r="AG40" s="559"/>
      <c r="AH40" s="1562"/>
      <c r="AI40" s="559"/>
      <c r="AJ40" s="559"/>
      <c r="AK40" s="559"/>
      <c r="AL40" s="1562"/>
      <c r="AM40" s="559"/>
      <c r="AN40" s="559"/>
      <c r="AO40" s="1454"/>
      <c r="AP40" s="1562"/>
      <c r="AQ40" s="559"/>
      <c r="AR40" s="559"/>
      <c r="AS40" s="1454"/>
      <c r="AT40" s="1550"/>
      <c r="AU40" s="1563"/>
      <c r="AV40" s="1563"/>
      <c r="AW40" s="1563"/>
      <c r="AX40" s="1563"/>
      <c r="AY40" s="1564"/>
      <c r="AZ40" s="1565"/>
      <c r="BA40" s="1566"/>
      <c r="BB40" s="1563"/>
      <c r="BC40" s="1563"/>
      <c r="BD40" s="1550"/>
      <c r="BE40" s="1550"/>
      <c r="BG40" s="1567"/>
      <c r="BH40" s="1231"/>
      <c r="BI40" s="559"/>
      <c r="BJ40" s="1568"/>
      <c r="BK40" s="1567"/>
      <c r="BL40" s="1231"/>
      <c r="BM40" s="559"/>
      <c r="BN40" s="1568"/>
      <c r="BO40" s="1569"/>
      <c r="BP40" s="559"/>
      <c r="BQ40" s="559"/>
      <c r="BR40" s="560"/>
      <c r="BS40" s="1569"/>
      <c r="BT40" s="559"/>
      <c r="BU40" s="559"/>
      <c r="BV40" s="560"/>
      <c r="BW40" s="1569"/>
      <c r="BX40" s="559"/>
      <c r="BY40" s="559"/>
      <c r="BZ40" s="560"/>
    </row>
    <row r="41" spans="1:176" ht="12" customHeight="1">
      <c r="A41" s="1570" t="s">
        <v>327</v>
      </c>
      <c r="B41" s="1253">
        <v>7.0000000000000001E-3</v>
      </c>
      <c r="C41" s="1253">
        <f>0.045-B41</f>
        <v>3.7999999999999999E-2</v>
      </c>
      <c r="D41" s="1253">
        <f>0.022-C41-B41</f>
        <v>-2.3E-2</v>
      </c>
      <c r="E41" s="1461">
        <f>-0.068-D41-C41-B41</f>
        <v>-9.0000000000000011E-2</v>
      </c>
      <c r="F41" s="1235">
        <v>-5.7000000000000002E-2</v>
      </c>
      <c r="G41" s="1253">
        <f>-0.491-F41</f>
        <v>-0.434</v>
      </c>
      <c r="H41" s="1253">
        <f>-0.675-G41-F41</f>
        <v>-0.18400000000000005</v>
      </c>
      <c r="I41" s="1461">
        <f>-1.063-H41-G41-F41</f>
        <v>-0.3879999999999999</v>
      </c>
      <c r="J41" s="1235">
        <v>-0.25800000000000001</v>
      </c>
      <c r="K41" s="1253">
        <f>-0.716-J41</f>
        <v>-0.45799999999999996</v>
      </c>
      <c r="L41" s="1253">
        <f>-1.226-K41-J41</f>
        <v>-0.51</v>
      </c>
      <c r="M41" s="1461">
        <f>-1.08-L41-K41-J41</f>
        <v>0.14599999999999991</v>
      </c>
      <c r="N41" s="1235">
        <v>-1.097</v>
      </c>
      <c r="O41" s="1253">
        <f>-1.463-N41</f>
        <v>-0.3660000000000001</v>
      </c>
      <c r="P41" s="1253">
        <f>-1.359-O41-N41</f>
        <v>0.10400000000000009</v>
      </c>
      <c r="Q41" s="1461">
        <f>-0.916-P41-O41-N41</f>
        <v>0.44300000000000006</v>
      </c>
      <c r="R41" s="1235">
        <f t="shared" ref="R41" si="115">BG41</f>
        <v>-1.0680000000000001</v>
      </c>
      <c r="S41" s="1253">
        <f t="shared" ref="S41:U41" si="116">BH41-BG41</f>
        <v>-0.39500000000000002</v>
      </c>
      <c r="T41" s="1253">
        <f t="shared" si="116"/>
        <v>-0.95500000000000007</v>
      </c>
      <c r="U41" s="1258">
        <f t="shared" si="116"/>
        <v>-0.59499999999999975</v>
      </c>
      <c r="V41" s="1235">
        <f t="shared" ref="V41" si="117">BK41</f>
        <v>-0.44900000000000001</v>
      </c>
      <c r="W41" s="1253">
        <f t="shared" ref="W41:Y41" si="118">BL41-BK41</f>
        <v>-2.0220000000000002</v>
      </c>
      <c r="X41" s="1253">
        <f t="shared" si="118"/>
        <v>-1.8049999999999997</v>
      </c>
      <c r="Y41" s="1258">
        <f t="shared" si="118"/>
        <v>0.44099999999999984</v>
      </c>
      <c r="Z41" s="1235">
        <f t="shared" ref="Z41" si="119">BO41</f>
        <v>-0.108</v>
      </c>
      <c r="AA41" s="1253">
        <f t="shared" ref="AA41:AK41" si="120">BP41-BO41</f>
        <v>-0.92400000000000004</v>
      </c>
      <c r="AB41" s="1253">
        <f t="shared" si="120"/>
        <v>-1.5299999999999998</v>
      </c>
      <c r="AC41" s="1258">
        <f t="shared" si="120"/>
        <v>0.33699999999999974</v>
      </c>
      <c r="AD41" s="1235">
        <f t="shared" ref="AD41" si="121">BS41</f>
        <v>-1.73</v>
      </c>
      <c r="AE41" s="1253">
        <f t="shared" si="120"/>
        <v>-1.347</v>
      </c>
      <c r="AF41" s="1253">
        <f t="shared" si="120"/>
        <v>0.6379999999999999</v>
      </c>
      <c r="AG41" s="1253">
        <f t="shared" si="120"/>
        <v>-2.6899999999999995</v>
      </c>
      <c r="AH41" s="1235">
        <f t="shared" ref="AH41" si="122">BW41</f>
        <v>0.4</v>
      </c>
      <c r="AI41" s="1253">
        <f t="shared" si="120"/>
        <v>-1.9780000000000002</v>
      </c>
      <c r="AJ41" s="1253">
        <f t="shared" si="120"/>
        <v>2.5609999999999999</v>
      </c>
      <c r="AK41" s="1253">
        <f t="shared" si="120"/>
        <v>5.5000000000000049E-2</v>
      </c>
      <c r="AL41" s="1235">
        <v>0</v>
      </c>
      <c r="AM41" s="1253">
        <v>0</v>
      </c>
      <c r="AN41" s="1253">
        <v>0</v>
      </c>
      <c r="AO41" s="1258">
        <v>0</v>
      </c>
      <c r="AP41" s="1235">
        <v>0</v>
      </c>
      <c r="AQ41" s="1253">
        <v>0</v>
      </c>
      <c r="AR41" s="1253">
        <v>0</v>
      </c>
      <c r="AS41" s="1258">
        <v>0</v>
      </c>
      <c r="AT41" s="1459"/>
      <c r="AU41" s="1463">
        <f t="shared" ref="AU41:AU43" si="123">SUM(B41:E41)</f>
        <v>-6.8000000000000005E-2</v>
      </c>
      <c r="AV41" s="1463">
        <f t="shared" ref="AV41:AV43" si="124">SUM(F41:I41)</f>
        <v>-1.0629999999999999</v>
      </c>
      <c r="AW41" s="1463">
        <f t="shared" ref="AW41:AW43" si="125">SUM(J41:M41)</f>
        <v>-1.08</v>
      </c>
      <c r="AX41" s="1463">
        <f t="shared" ref="AX41:AX43" si="126">SUM(N41:Q41)</f>
        <v>-0.91599999999999993</v>
      </c>
      <c r="AY41" s="1464">
        <f t="shared" ref="AY41:AY43" si="127">SUM(R41:U41)</f>
        <v>-3.0129999999999999</v>
      </c>
      <c r="AZ41" s="1233">
        <f t="shared" ref="AZ41:AZ43" si="128">SUM(V41:Y41)</f>
        <v>-3.835</v>
      </c>
      <c r="BA41" s="1257">
        <f t="shared" ref="BA41:BA43" si="129">SUM(Z41:AC41)</f>
        <v>-2.2250000000000001</v>
      </c>
      <c r="BB41" s="1463">
        <f t="shared" ref="BB41:BB43" si="130">SUM(AD41:AG41)</f>
        <v>-5.1289999999999996</v>
      </c>
      <c r="BC41" s="1463">
        <f t="shared" ref="BC41:BC43" si="131">SUM(AH41:AK41)</f>
        <v>1.0379999999999998</v>
      </c>
      <c r="BD41" s="1466">
        <f t="shared" si="98"/>
        <v>0</v>
      </c>
      <c r="BE41" s="1466">
        <f>SUM(AP41:AS41)</f>
        <v>0</v>
      </c>
      <c r="BG41" s="1233">
        <v>-1.0680000000000001</v>
      </c>
      <c r="BH41" s="1231">
        <v>-1.4630000000000001</v>
      </c>
      <c r="BI41" s="1253">
        <v>-2.4180000000000001</v>
      </c>
      <c r="BJ41" s="1254">
        <v>-3.0129999999999999</v>
      </c>
      <c r="BK41" s="1233">
        <v>-0.44900000000000001</v>
      </c>
      <c r="BL41" s="1231">
        <v>-2.4710000000000001</v>
      </c>
      <c r="BM41" s="1253">
        <v>-4.2759999999999998</v>
      </c>
      <c r="BN41" s="1254">
        <v>-3.835</v>
      </c>
      <c r="BO41" s="1255">
        <v>-0.108</v>
      </c>
      <c r="BP41" s="1253">
        <v>-1.032</v>
      </c>
      <c r="BQ41" s="1253">
        <v>-2.5619999999999998</v>
      </c>
      <c r="BR41" s="1254">
        <v>-2.2250000000000001</v>
      </c>
      <c r="BS41" s="1235">
        <v>-1.73</v>
      </c>
      <c r="BT41" s="1231">
        <v>-3.077</v>
      </c>
      <c r="BU41" s="1253">
        <v>-2.4390000000000001</v>
      </c>
      <c r="BV41" s="1232">
        <v>-5.1289999999999996</v>
      </c>
      <c r="BW41" s="1235">
        <v>0.4</v>
      </c>
      <c r="BX41" s="1231">
        <v>-1.5780000000000001</v>
      </c>
      <c r="BY41" s="1253">
        <v>0.98299999999999998</v>
      </c>
      <c r="BZ41" s="1232">
        <v>1.038</v>
      </c>
    </row>
    <row r="42" spans="1:176" s="45" customFormat="1" ht="12" customHeight="1">
      <c r="A42" s="1571" t="s">
        <v>328</v>
      </c>
      <c r="B42" s="184">
        <f t="shared" ref="B42:AS42" si="132">B20+B29+B39+B41</f>
        <v>2.1419999999999999</v>
      </c>
      <c r="C42" s="184">
        <f t="shared" si="132"/>
        <v>-0.85599999999999965</v>
      </c>
      <c r="D42" s="184">
        <f t="shared" si="132"/>
        <v>-1.6550000000000007</v>
      </c>
      <c r="E42" s="1273">
        <f t="shared" si="132"/>
        <v>-6.6289999999999969</v>
      </c>
      <c r="F42" s="1248">
        <f t="shared" si="132"/>
        <v>-0.78600000000000059</v>
      </c>
      <c r="G42" s="184">
        <f t="shared" si="132"/>
        <v>-2.769000000000005</v>
      </c>
      <c r="H42" s="184">
        <f t="shared" si="132"/>
        <v>229.37099999999995</v>
      </c>
      <c r="I42" s="1273">
        <f t="shared" si="132"/>
        <v>-87.910000000000011</v>
      </c>
      <c r="J42" s="1248">
        <f t="shared" si="132"/>
        <v>2.8500000000000005</v>
      </c>
      <c r="K42" s="184">
        <f t="shared" si="132"/>
        <v>17.696999999999996</v>
      </c>
      <c r="L42" s="184">
        <f t="shared" si="132"/>
        <v>-14.359999999999994</v>
      </c>
      <c r="M42" s="1273">
        <f t="shared" si="132"/>
        <v>-96.90000000000002</v>
      </c>
      <c r="N42" s="1248">
        <f t="shared" si="132"/>
        <v>33.405999999999999</v>
      </c>
      <c r="O42" s="184">
        <f t="shared" si="132"/>
        <v>28.658000000000005</v>
      </c>
      <c r="P42" s="184">
        <f t="shared" si="132"/>
        <v>4.8980000000000148</v>
      </c>
      <c r="Q42" s="1273">
        <f t="shared" si="132"/>
        <v>36.835999999999984</v>
      </c>
      <c r="R42" s="1248">
        <f t="shared" si="132"/>
        <v>50.192999999999991</v>
      </c>
      <c r="S42" s="184">
        <f t="shared" si="132"/>
        <v>-92.459000000000003</v>
      </c>
      <c r="T42" s="184">
        <f t="shared" si="132"/>
        <v>299.92699999999996</v>
      </c>
      <c r="U42" s="1572">
        <f t="shared" si="132"/>
        <v>-157.85299999999995</v>
      </c>
      <c r="V42" s="1248">
        <f t="shared" si="132"/>
        <v>9.454699999999999</v>
      </c>
      <c r="W42" s="184">
        <f t="shared" si="132"/>
        <v>-19.613699999999987</v>
      </c>
      <c r="X42" s="184">
        <f t="shared" si="132"/>
        <v>20.308000000000007</v>
      </c>
      <c r="Y42" s="1572">
        <f t="shared" si="132"/>
        <v>12.446000000000033</v>
      </c>
      <c r="Z42" s="1248">
        <f t="shared" si="132"/>
        <v>59.567999999999998</v>
      </c>
      <c r="AA42" s="184">
        <f t="shared" si="132"/>
        <v>15.624999999999989</v>
      </c>
      <c r="AB42" s="184">
        <f t="shared" si="132"/>
        <v>69.257000000000005</v>
      </c>
      <c r="AC42" s="1572">
        <f t="shared" si="132"/>
        <v>-208.184</v>
      </c>
      <c r="AD42" s="1248">
        <f t="shared" si="132"/>
        <v>22.844999999999974</v>
      </c>
      <c r="AE42" s="184">
        <f t="shared" si="132"/>
        <v>-26.509999999999991</v>
      </c>
      <c r="AF42" s="184">
        <f t="shared" si="132"/>
        <v>78.740000000000009</v>
      </c>
      <c r="AG42" s="184">
        <f t="shared" si="132"/>
        <v>16.439999999999976</v>
      </c>
      <c r="AH42" s="1248">
        <f t="shared" si="132"/>
        <v>-95.20599999999996</v>
      </c>
      <c r="AI42" s="184">
        <f t="shared" si="132"/>
        <v>-61.572000000000003</v>
      </c>
      <c r="AJ42" s="184">
        <f t="shared" si="132"/>
        <v>-3.3199999999993679E-2</v>
      </c>
      <c r="AK42" s="184">
        <f t="shared" si="132"/>
        <v>15.926199999999952</v>
      </c>
      <c r="AL42" s="1248">
        <f t="shared" si="132"/>
        <v>73.058482157676693</v>
      </c>
      <c r="AM42" s="184">
        <f t="shared" si="132"/>
        <v>40.819617108467909</v>
      </c>
      <c r="AN42" s="184">
        <f t="shared" si="132"/>
        <v>52.695614638379595</v>
      </c>
      <c r="AO42" s="1572">
        <f t="shared" si="132"/>
        <v>95.083046062557656</v>
      </c>
      <c r="AP42" s="1248">
        <f t="shared" si="132"/>
        <v>77.202342926682306</v>
      </c>
      <c r="AQ42" s="184">
        <f t="shared" si="132"/>
        <v>46.629002851342186</v>
      </c>
      <c r="AR42" s="184">
        <f t="shared" si="132"/>
        <v>58.847611142704721</v>
      </c>
      <c r="AS42" s="1572">
        <f t="shared" si="132"/>
        <v>104.3268895848294</v>
      </c>
      <c r="AT42" s="1573"/>
      <c r="AU42" s="1574">
        <f t="shared" si="123"/>
        <v>-6.9979999999999976</v>
      </c>
      <c r="AV42" s="1574">
        <f t="shared" si="124"/>
        <v>137.90599999999995</v>
      </c>
      <c r="AW42" s="1574">
        <f t="shared" si="125"/>
        <v>-90.713000000000022</v>
      </c>
      <c r="AX42" s="1574">
        <f t="shared" si="126"/>
        <v>103.798</v>
      </c>
      <c r="AY42" s="1575">
        <f t="shared" si="127"/>
        <v>99.807999999999993</v>
      </c>
      <c r="AZ42" s="1246">
        <f t="shared" si="128"/>
        <v>22.595000000000052</v>
      </c>
      <c r="BA42" s="1576">
        <f t="shared" si="129"/>
        <v>-63.734000000000009</v>
      </c>
      <c r="BB42" s="1574">
        <f t="shared" si="130"/>
        <v>91.514999999999958</v>
      </c>
      <c r="BC42" s="1574">
        <f t="shared" si="131"/>
        <v>-140.88499999999999</v>
      </c>
      <c r="BD42" s="1577">
        <f t="shared" si="98"/>
        <v>261.65675996708183</v>
      </c>
      <c r="BE42" s="1577">
        <f>SUM(AP42:AS42)</f>
        <v>287.00584650555862</v>
      </c>
      <c r="BG42" s="1246">
        <f t="shared" ref="BG42:BR42" si="133">+BG41+BG39+BG29+BG20</f>
        <v>50.192999999999991</v>
      </c>
      <c r="BH42" s="189">
        <f t="shared" si="133"/>
        <v>-42.266000000000005</v>
      </c>
      <c r="BI42" s="184">
        <f t="shared" si="133"/>
        <v>257.66099999999994</v>
      </c>
      <c r="BJ42" s="1578">
        <f t="shared" si="133"/>
        <v>99.808000000000121</v>
      </c>
      <c r="BK42" s="184">
        <f t="shared" si="133"/>
        <v>9.454699999999999</v>
      </c>
      <c r="BL42" s="184">
        <f t="shared" si="133"/>
        <v>-10.158999999999985</v>
      </c>
      <c r="BM42" s="184">
        <f t="shared" si="133"/>
        <v>10.149000000000015</v>
      </c>
      <c r="BN42" s="1578">
        <f t="shared" si="133"/>
        <v>22.594999999999999</v>
      </c>
      <c r="BO42" s="1274">
        <f>+BO41+BO39+BO29+BO20</f>
        <v>59.567999999999998</v>
      </c>
      <c r="BP42" s="184">
        <f>+BP41+BP39+BP29+BP20</f>
        <v>75.192999999999998</v>
      </c>
      <c r="BQ42" s="184">
        <f t="shared" si="133"/>
        <v>144.44999999999999</v>
      </c>
      <c r="BR42" s="184">
        <f t="shared" si="133"/>
        <v>-63.734000000000037</v>
      </c>
      <c r="BS42" s="1274">
        <f>+BS41+BS39+BS29+BS20</f>
        <v>22.844999999999974</v>
      </c>
      <c r="BT42" s="184">
        <f>+BT41+BT39+BT29+BT20</f>
        <v>-3.6650000000000063</v>
      </c>
      <c r="BU42" s="184">
        <f t="shared" ref="BU42:BV42" si="134">+BU41+BU39+BU29+BU20</f>
        <v>75.075000000000017</v>
      </c>
      <c r="BV42" s="1578">
        <f t="shared" si="134"/>
        <v>91.515000000000015</v>
      </c>
      <c r="BW42" s="1274">
        <f>+BW41+BW39+BW29+BW20</f>
        <v>-95.205999999999975</v>
      </c>
      <c r="BX42" s="184">
        <f>+BX41+BX39+BX29+BX20</f>
        <v>-156.77800000000002</v>
      </c>
      <c r="BY42" s="184">
        <f t="shared" ref="BY42:BZ42" si="135">+BY41+BY39+BY29+BY20</f>
        <v>-156.81119999999999</v>
      </c>
      <c r="BZ42" s="1578">
        <f t="shared" si="135"/>
        <v>-140.88500000000005</v>
      </c>
    </row>
    <row r="43" spans="1:176" ht="12" customHeight="1">
      <c r="A43" s="1579" t="s">
        <v>329</v>
      </c>
      <c r="B43" s="1253">
        <v>0</v>
      </c>
      <c r="C43" s="1253">
        <v>0</v>
      </c>
      <c r="D43" s="1253">
        <v>0</v>
      </c>
      <c r="E43" s="1258">
        <v>0</v>
      </c>
      <c r="F43" s="1235">
        <v>0</v>
      </c>
      <c r="G43" s="1253">
        <v>0</v>
      </c>
      <c r="H43" s="1253">
        <v>0</v>
      </c>
      <c r="I43" s="1258">
        <v>0</v>
      </c>
      <c r="J43" s="1235">
        <v>0</v>
      </c>
      <c r="K43" s="1253">
        <v>0</v>
      </c>
      <c r="L43" s="1253">
        <v>0</v>
      </c>
      <c r="M43" s="1258">
        <v>0</v>
      </c>
      <c r="N43" s="1235">
        <v>0</v>
      </c>
      <c r="O43" s="1253">
        <v>0</v>
      </c>
      <c r="P43" s="1253">
        <v>0</v>
      </c>
      <c r="Q43" s="1258">
        <v>0</v>
      </c>
      <c r="R43" s="1235">
        <v>0</v>
      </c>
      <c r="S43" s="1253">
        <v>0</v>
      </c>
      <c r="T43" s="1253">
        <v>0</v>
      </c>
      <c r="U43" s="1258">
        <v>0</v>
      </c>
      <c r="V43" s="1235">
        <v>0</v>
      </c>
      <c r="W43" s="1253">
        <v>0</v>
      </c>
      <c r="X43" s="1253">
        <v>0</v>
      </c>
      <c r="Y43" s="1258">
        <v>0</v>
      </c>
      <c r="Z43" s="1235">
        <v>0</v>
      </c>
      <c r="AA43" s="1253">
        <v>0</v>
      </c>
      <c r="AB43" s="1253">
        <v>0</v>
      </c>
      <c r="AC43" s="1258">
        <v>0</v>
      </c>
      <c r="AD43" s="1235">
        <v>0</v>
      </c>
      <c r="AE43" s="1253">
        <v>0</v>
      </c>
      <c r="AF43" s="1253">
        <v>0</v>
      </c>
      <c r="AG43" s="1258">
        <v>0</v>
      </c>
      <c r="AH43" s="1235">
        <v>0</v>
      </c>
      <c r="AI43" s="1253">
        <v>0</v>
      </c>
      <c r="AJ43" s="1253">
        <v>0</v>
      </c>
      <c r="AK43" s="1258">
        <v>0</v>
      </c>
      <c r="AL43" s="1235">
        <v>0</v>
      </c>
      <c r="AM43" s="1253">
        <v>0</v>
      </c>
      <c r="AN43" s="1253">
        <v>0</v>
      </c>
      <c r="AO43" s="1258">
        <v>0</v>
      </c>
      <c r="AP43" s="1235">
        <v>0</v>
      </c>
      <c r="AQ43" s="1253">
        <v>0</v>
      </c>
      <c r="AR43" s="1253">
        <v>0</v>
      </c>
      <c r="AS43" s="1258">
        <v>0</v>
      </c>
      <c r="AT43" s="288"/>
      <c r="AU43" s="1463">
        <f t="shared" si="123"/>
        <v>0</v>
      </c>
      <c r="AV43" s="1463">
        <f t="shared" si="124"/>
        <v>0</v>
      </c>
      <c r="AW43" s="1463">
        <f t="shared" si="125"/>
        <v>0</v>
      </c>
      <c r="AX43" s="1463">
        <f t="shared" si="126"/>
        <v>0</v>
      </c>
      <c r="AY43" s="1464">
        <f t="shared" si="127"/>
        <v>0</v>
      </c>
      <c r="AZ43" s="1233">
        <f t="shared" si="128"/>
        <v>0</v>
      </c>
      <c r="BA43" s="1257">
        <f t="shared" si="129"/>
        <v>0</v>
      </c>
      <c r="BB43" s="1463">
        <f t="shared" si="130"/>
        <v>0</v>
      </c>
      <c r="BC43" s="1463">
        <f t="shared" si="131"/>
        <v>0</v>
      </c>
      <c r="BD43" s="1466">
        <f t="shared" si="98"/>
        <v>0</v>
      </c>
      <c r="BE43" s="1466">
        <f>SUM(AP43:AS43)</f>
        <v>0</v>
      </c>
      <c r="BG43" s="1356"/>
      <c r="BH43" s="288"/>
      <c r="BI43" s="288"/>
      <c r="BJ43" s="594"/>
      <c r="BK43" s="288"/>
      <c r="BL43" s="288"/>
      <c r="BM43" s="288"/>
      <c r="BN43" s="594"/>
      <c r="BO43" s="1356"/>
      <c r="BP43" s="288"/>
      <c r="BQ43" s="288"/>
      <c r="BR43" s="288"/>
      <c r="BS43" s="1356"/>
      <c r="BT43" s="288"/>
      <c r="BU43" s="288"/>
      <c r="BV43" s="594"/>
      <c r="BW43" s="1356"/>
      <c r="BX43" s="288"/>
      <c r="BY43" s="288"/>
      <c r="BZ43" s="594"/>
    </row>
    <row r="44" spans="1:176" ht="12" customHeight="1">
      <c r="A44" s="473" t="s">
        <v>330</v>
      </c>
      <c r="B44" s="1253">
        <v>34.47</v>
      </c>
      <c r="C44" s="1253">
        <f>B45</f>
        <v>36.612000000000002</v>
      </c>
      <c r="D44" s="1253">
        <f>C45</f>
        <v>35.756</v>
      </c>
      <c r="E44" s="1258">
        <f>D45</f>
        <v>34.100999999999999</v>
      </c>
      <c r="F44" s="1253">
        <f>E45</f>
        <v>27.472000000000001</v>
      </c>
      <c r="G44" s="1253">
        <f t="shared" ref="G44:AS44" si="136">F45</f>
        <v>26.686</v>
      </c>
      <c r="H44" s="1253">
        <f t="shared" si="136"/>
        <v>23.916999999999994</v>
      </c>
      <c r="I44" s="1258">
        <f t="shared" si="136"/>
        <v>253.28799999999995</v>
      </c>
      <c r="J44" s="1253">
        <f t="shared" si="136"/>
        <v>165.37799999999993</v>
      </c>
      <c r="K44" s="1253">
        <f t="shared" si="136"/>
        <v>168.22799999999992</v>
      </c>
      <c r="L44" s="1253">
        <f t="shared" si="136"/>
        <v>185.92499999999993</v>
      </c>
      <c r="M44" s="1258">
        <f t="shared" si="136"/>
        <v>171.56499999999994</v>
      </c>
      <c r="N44" s="1253">
        <f t="shared" si="136"/>
        <v>74.664999999999921</v>
      </c>
      <c r="O44" s="1253">
        <f t="shared" si="136"/>
        <v>108.07099999999991</v>
      </c>
      <c r="P44" s="1253">
        <f t="shared" si="136"/>
        <v>136.72899999999993</v>
      </c>
      <c r="Q44" s="1258">
        <f t="shared" si="136"/>
        <v>141.62699999999995</v>
      </c>
      <c r="R44" s="1253">
        <f t="shared" si="136"/>
        <v>178.46299999999994</v>
      </c>
      <c r="S44" s="1253">
        <f t="shared" si="136"/>
        <v>228.65599999999992</v>
      </c>
      <c r="T44" s="1253">
        <f t="shared" si="136"/>
        <v>136.19699999999992</v>
      </c>
      <c r="U44" s="1258">
        <f t="shared" si="136"/>
        <v>436.12399999999991</v>
      </c>
      <c r="V44" s="1253">
        <f t="shared" si="136"/>
        <v>278.27099999999996</v>
      </c>
      <c r="W44" s="1253">
        <f t="shared" si="136"/>
        <v>287.72569999999996</v>
      </c>
      <c r="X44" s="1253">
        <f t="shared" si="136"/>
        <v>268.11199999999997</v>
      </c>
      <c r="Y44" s="1258">
        <f t="shared" si="136"/>
        <v>288.41999999999996</v>
      </c>
      <c r="Z44" s="1235">
        <f t="shared" si="136"/>
        <v>300.86599999999999</v>
      </c>
      <c r="AA44" s="1253">
        <f t="shared" si="136"/>
        <v>360.43399999999997</v>
      </c>
      <c r="AB44" s="1253">
        <f t="shared" si="136"/>
        <v>376.05899999999997</v>
      </c>
      <c r="AC44" s="1258">
        <f t="shared" si="136"/>
        <v>445.31599999999997</v>
      </c>
      <c r="AD44" s="1235">
        <f t="shared" si="136"/>
        <v>237.13199999999998</v>
      </c>
      <c r="AE44" s="1253">
        <f t="shared" si="136"/>
        <v>259.97699999999998</v>
      </c>
      <c r="AF44" s="1253">
        <f t="shared" si="136"/>
        <v>233.46699999999998</v>
      </c>
      <c r="AG44" s="1258">
        <f t="shared" si="136"/>
        <v>312.20699999999999</v>
      </c>
      <c r="AH44" s="1235">
        <f t="shared" si="136"/>
        <v>328.64699999999999</v>
      </c>
      <c r="AI44" s="1253">
        <f t="shared" si="136"/>
        <v>233.44100000000003</v>
      </c>
      <c r="AJ44" s="1253">
        <f t="shared" si="136"/>
        <v>171.86900000000003</v>
      </c>
      <c r="AK44" s="1258">
        <f t="shared" si="136"/>
        <v>171.83580000000003</v>
      </c>
      <c r="AL44" s="1235">
        <f t="shared" si="136"/>
        <v>187.762</v>
      </c>
      <c r="AM44" s="1253">
        <f t="shared" si="136"/>
        <v>260.82048215767668</v>
      </c>
      <c r="AN44" s="1253">
        <f t="shared" si="136"/>
        <v>301.6400992661446</v>
      </c>
      <c r="AO44" s="1258">
        <f t="shared" si="136"/>
        <v>354.3357139045242</v>
      </c>
      <c r="AP44" s="1235">
        <f t="shared" si="136"/>
        <v>449.41875996708188</v>
      </c>
      <c r="AQ44" s="1253">
        <f t="shared" si="136"/>
        <v>526.62110289376415</v>
      </c>
      <c r="AR44" s="1253">
        <f t="shared" si="136"/>
        <v>573.25010574510634</v>
      </c>
      <c r="AS44" s="1258">
        <f t="shared" si="136"/>
        <v>632.09771688781109</v>
      </c>
      <c r="AT44" s="288"/>
      <c r="AU44" s="1463">
        <f>B44</f>
        <v>34.47</v>
      </c>
      <c r="AV44" s="1463">
        <f>AU45</f>
        <v>27.472000000000001</v>
      </c>
      <c r="AW44" s="1463">
        <f>AV45</f>
        <v>165.37799999999996</v>
      </c>
      <c r="AX44" s="1463">
        <f t="shared" ref="AX44:BE44" si="137">AW45</f>
        <v>74.664999999999935</v>
      </c>
      <c r="AY44" s="1464">
        <f t="shared" si="137"/>
        <v>178.46299999999994</v>
      </c>
      <c r="AZ44" s="1233">
        <f t="shared" si="137"/>
        <v>278.27099999999996</v>
      </c>
      <c r="BA44" s="1257">
        <f t="shared" si="137"/>
        <v>300.86599999999999</v>
      </c>
      <c r="BB44" s="1463">
        <f t="shared" si="137"/>
        <v>237.13199999999998</v>
      </c>
      <c r="BC44" s="1463">
        <f t="shared" si="137"/>
        <v>328.64699999999993</v>
      </c>
      <c r="BD44" s="1466">
        <f t="shared" si="137"/>
        <v>187.76199999999994</v>
      </c>
      <c r="BE44" s="1466">
        <f t="shared" si="137"/>
        <v>449.41875996708177</v>
      </c>
      <c r="BG44" s="1233"/>
      <c r="BH44" s="1231"/>
      <c r="BI44" s="1231"/>
      <c r="BJ44" s="1472"/>
      <c r="BK44" s="1231"/>
      <c r="BL44" s="1231"/>
      <c r="BM44" s="1231"/>
      <c r="BN44" s="1472"/>
      <c r="BO44" s="1233"/>
      <c r="BP44" s="1231"/>
      <c r="BQ44" s="1231"/>
      <c r="BR44" s="1231"/>
      <c r="BS44" s="1233"/>
      <c r="BT44" s="1231"/>
      <c r="BU44" s="1231"/>
      <c r="BV44" s="1472"/>
      <c r="BW44" s="1233"/>
      <c r="BX44" s="1231"/>
      <c r="BY44" s="1231"/>
      <c r="BZ44" s="1472"/>
    </row>
    <row r="45" spans="1:176" ht="12" customHeight="1">
      <c r="A45" s="1580" t="s">
        <v>331</v>
      </c>
      <c r="B45" s="1581">
        <f t="shared" ref="B45:AS45" si="138">B42+B44-B43</f>
        <v>36.612000000000002</v>
      </c>
      <c r="C45" s="1581">
        <f t="shared" si="138"/>
        <v>35.756</v>
      </c>
      <c r="D45" s="1581">
        <f t="shared" si="138"/>
        <v>34.100999999999999</v>
      </c>
      <c r="E45" s="1582">
        <f t="shared" si="138"/>
        <v>27.472000000000001</v>
      </c>
      <c r="F45" s="1583">
        <f t="shared" si="138"/>
        <v>26.686</v>
      </c>
      <c r="G45" s="1581">
        <f t="shared" si="138"/>
        <v>23.916999999999994</v>
      </c>
      <c r="H45" s="1581">
        <f t="shared" si="138"/>
        <v>253.28799999999995</v>
      </c>
      <c r="I45" s="1582">
        <f t="shared" si="138"/>
        <v>165.37799999999993</v>
      </c>
      <c r="J45" s="1583">
        <f t="shared" si="138"/>
        <v>168.22799999999992</v>
      </c>
      <c r="K45" s="1581">
        <f t="shared" si="138"/>
        <v>185.92499999999993</v>
      </c>
      <c r="L45" s="1581">
        <f t="shared" si="138"/>
        <v>171.56499999999994</v>
      </c>
      <c r="M45" s="1582">
        <f t="shared" si="138"/>
        <v>74.664999999999921</v>
      </c>
      <c r="N45" s="1235">
        <f t="shared" si="138"/>
        <v>108.07099999999991</v>
      </c>
      <c r="O45" s="1253">
        <f t="shared" si="138"/>
        <v>136.72899999999993</v>
      </c>
      <c r="P45" s="1253">
        <f t="shared" si="138"/>
        <v>141.62699999999995</v>
      </c>
      <c r="Q45" s="1258">
        <f t="shared" si="138"/>
        <v>178.46299999999994</v>
      </c>
      <c r="R45" s="1583">
        <f t="shared" si="138"/>
        <v>228.65599999999992</v>
      </c>
      <c r="S45" s="1581">
        <f t="shared" si="138"/>
        <v>136.19699999999992</v>
      </c>
      <c r="T45" s="1581">
        <f t="shared" si="138"/>
        <v>436.12399999999991</v>
      </c>
      <c r="U45" s="1582">
        <f t="shared" si="138"/>
        <v>278.27099999999996</v>
      </c>
      <c r="V45" s="1235">
        <f t="shared" si="138"/>
        <v>287.72569999999996</v>
      </c>
      <c r="W45" s="1253">
        <f t="shared" si="138"/>
        <v>268.11199999999997</v>
      </c>
      <c r="X45" s="1253">
        <f t="shared" si="138"/>
        <v>288.41999999999996</v>
      </c>
      <c r="Y45" s="1258">
        <f t="shared" si="138"/>
        <v>300.86599999999999</v>
      </c>
      <c r="Z45" s="1583">
        <f t="shared" si="138"/>
        <v>360.43399999999997</v>
      </c>
      <c r="AA45" s="1581">
        <f t="shared" si="138"/>
        <v>376.05899999999997</v>
      </c>
      <c r="AB45" s="1581">
        <f t="shared" si="138"/>
        <v>445.31599999999997</v>
      </c>
      <c r="AC45" s="1582">
        <f t="shared" si="138"/>
        <v>237.13199999999998</v>
      </c>
      <c r="AD45" s="1235">
        <f t="shared" si="138"/>
        <v>259.97699999999998</v>
      </c>
      <c r="AE45" s="1253">
        <f t="shared" si="138"/>
        <v>233.46699999999998</v>
      </c>
      <c r="AF45" s="1253">
        <f t="shared" si="138"/>
        <v>312.20699999999999</v>
      </c>
      <c r="AG45" s="1258">
        <f t="shared" si="138"/>
        <v>328.64699999999999</v>
      </c>
      <c r="AH45" s="1235">
        <f t="shared" si="138"/>
        <v>233.44100000000003</v>
      </c>
      <c r="AI45" s="1253">
        <f t="shared" si="138"/>
        <v>171.86900000000003</v>
      </c>
      <c r="AJ45" s="1253">
        <f t="shared" si="138"/>
        <v>171.83580000000003</v>
      </c>
      <c r="AK45" s="1258">
        <f t="shared" si="138"/>
        <v>187.762</v>
      </c>
      <c r="AL45" s="1235">
        <f t="shared" si="138"/>
        <v>260.82048215767668</v>
      </c>
      <c r="AM45" s="1253">
        <f t="shared" si="138"/>
        <v>301.6400992661446</v>
      </c>
      <c r="AN45" s="1253">
        <f t="shared" si="138"/>
        <v>354.3357139045242</v>
      </c>
      <c r="AO45" s="1258">
        <f t="shared" si="138"/>
        <v>449.41875996708188</v>
      </c>
      <c r="AP45" s="1235">
        <f t="shared" si="138"/>
        <v>526.62110289376415</v>
      </c>
      <c r="AQ45" s="1253">
        <f t="shared" si="138"/>
        <v>573.25010574510634</v>
      </c>
      <c r="AR45" s="1253">
        <f t="shared" si="138"/>
        <v>632.09771688781109</v>
      </c>
      <c r="AS45" s="1258">
        <f t="shared" si="138"/>
        <v>736.42460647264045</v>
      </c>
      <c r="AT45" s="288"/>
      <c r="AU45" s="1463">
        <f>E45</f>
        <v>27.472000000000001</v>
      </c>
      <c r="AV45" s="1584">
        <f t="shared" ref="AV45:BE45" si="139">AV42+AV44-AV43</f>
        <v>165.37799999999996</v>
      </c>
      <c r="AW45" s="1463">
        <f t="shared" si="139"/>
        <v>74.664999999999935</v>
      </c>
      <c r="AX45" s="1584">
        <f t="shared" si="139"/>
        <v>178.46299999999994</v>
      </c>
      <c r="AY45" s="1464">
        <f t="shared" si="139"/>
        <v>278.27099999999996</v>
      </c>
      <c r="AZ45" s="1585">
        <f t="shared" si="139"/>
        <v>300.86599999999999</v>
      </c>
      <c r="BA45" s="1257">
        <f t="shared" si="139"/>
        <v>237.13199999999998</v>
      </c>
      <c r="BB45" s="1463">
        <f t="shared" si="139"/>
        <v>328.64699999999993</v>
      </c>
      <c r="BC45" s="1463">
        <f t="shared" si="139"/>
        <v>187.76199999999994</v>
      </c>
      <c r="BD45" s="1466">
        <f t="shared" si="139"/>
        <v>449.41875996708177</v>
      </c>
      <c r="BE45" s="1466">
        <f t="shared" si="139"/>
        <v>736.42460647264033</v>
      </c>
      <c r="BG45" s="1586"/>
      <c r="BH45" s="1587"/>
      <c r="BI45" s="1587"/>
      <c r="BJ45" s="1588"/>
      <c r="BK45" s="1587"/>
      <c r="BL45" s="1587"/>
      <c r="BM45" s="1587"/>
      <c r="BN45" s="1588"/>
      <c r="BO45" s="1586"/>
      <c r="BP45" s="1587"/>
      <c r="BQ45" s="1587"/>
      <c r="BR45" s="1587"/>
      <c r="BS45" s="1586"/>
      <c r="BT45" s="1587"/>
      <c r="BU45" s="1587"/>
      <c r="BV45" s="1588"/>
      <c r="BW45" s="1586"/>
      <c r="BX45" s="1587"/>
      <c r="BY45" s="1587"/>
      <c r="BZ45" s="1588"/>
    </row>
    <row r="46" spans="1:176">
      <c r="A46" s="512"/>
      <c r="B46" s="454"/>
      <c r="C46" s="454"/>
      <c r="D46" s="454"/>
      <c r="E46" s="454"/>
      <c r="F46" s="1589"/>
      <c r="G46" s="454"/>
      <c r="H46" s="454"/>
      <c r="I46" s="454"/>
      <c r="J46" s="1589"/>
      <c r="K46" s="454"/>
      <c r="L46" s="454"/>
      <c r="M46" s="454"/>
      <c r="N46" s="1590"/>
      <c r="O46" s="1591"/>
      <c r="P46" s="1591"/>
      <c r="Q46" s="1592"/>
      <c r="R46" s="454"/>
      <c r="S46" s="454"/>
      <c r="T46" s="454"/>
      <c r="U46" s="454"/>
      <c r="V46" s="1590"/>
      <c r="W46" s="1591"/>
      <c r="X46" s="1591"/>
      <c r="Y46" s="1592"/>
      <c r="Z46" s="454"/>
      <c r="AA46" s="454"/>
      <c r="AB46" s="454"/>
      <c r="AC46" s="454"/>
      <c r="AD46" s="1590"/>
      <c r="AE46" s="1591"/>
      <c r="AF46" s="1591"/>
      <c r="AG46" s="1592"/>
      <c r="AH46" s="1590"/>
      <c r="AI46" s="1591"/>
      <c r="AJ46" s="1591"/>
      <c r="AK46" s="1592"/>
      <c r="AL46" s="1590"/>
      <c r="AM46" s="1591"/>
      <c r="AN46" s="1591"/>
      <c r="AO46" s="1592"/>
      <c r="AP46" s="1590"/>
      <c r="AQ46" s="1591"/>
      <c r="AR46" s="1591"/>
      <c r="AS46" s="1592"/>
      <c r="AT46" s="454"/>
      <c r="AU46" s="1593"/>
      <c r="AV46" s="454"/>
      <c r="AW46" s="1593"/>
      <c r="AX46" s="454"/>
      <c r="AY46" s="1590"/>
      <c r="AZ46" s="1261"/>
      <c r="BA46" s="1593"/>
      <c r="BB46" s="1593"/>
      <c r="BC46" s="1593"/>
      <c r="BD46" s="1593"/>
      <c r="BE46" s="1593"/>
      <c r="BF46" s="454"/>
      <c r="BG46" s="454"/>
      <c r="BH46" s="454"/>
      <c r="BI46" s="454"/>
      <c r="BJ46" s="454"/>
      <c r="BK46" s="454"/>
      <c r="BL46" s="454"/>
      <c r="BM46" s="454"/>
      <c r="BN46" s="454"/>
      <c r="BO46" s="454"/>
      <c r="BP46" s="454"/>
      <c r="BQ46" s="454"/>
      <c r="BR46" s="454"/>
      <c r="BS46" s="454"/>
      <c r="BT46" s="454"/>
      <c r="BU46" s="454"/>
      <c r="BV46" s="454"/>
      <c r="BW46" s="454"/>
      <c r="BX46" s="454"/>
      <c r="BY46" s="454"/>
      <c r="BZ46" s="454"/>
      <c r="CA46" s="454"/>
      <c r="CB46" s="454"/>
      <c r="CC46" s="454"/>
      <c r="CD46" s="454"/>
      <c r="CE46" s="454"/>
      <c r="CF46" s="454"/>
      <c r="CG46" s="454"/>
      <c r="CH46" s="454"/>
      <c r="CI46" s="454"/>
      <c r="CJ46" s="454"/>
      <c r="CK46" s="454"/>
      <c r="CL46" s="454"/>
      <c r="CM46" s="454"/>
      <c r="CN46" s="454"/>
      <c r="CO46" s="454"/>
      <c r="CP46" s="454"/>
      <c r="CQ46" s="454"/>
      <c r="CR46" s="454"/>
      <c r="CS46" s="454"/>
      <c r="CT46" s="454"/>
      <c r="CU46" s="454"/>
      <c r="CV46" s="454"/>
      <c r="CW46" s="454"/>
      <c r="CX46" s="454"/>
      <c r="CY46" s="454"/>
      <c r="CZ46" s="454"/>
      <c r="DA46" s="454"/>
      <c r="DB46" s="454"/>
      <c r="DC46" s="454"/>
      <c r="DD46" s="454"/>
      <c r="DE46" s="454"/>
      <c r="DF46" s="454"/>
      <c r="DG46" s="454"/>
      <c r="DH46" s="454"/>
      <c r="DI46" s="454"/>
      <c r="DJ46" s="454"/>
      <c r="DK46" s="454"/>
      <c r="DL46" s="454"/>
      <c r="DM46" s="454"/>
      <c r="DN46" s="454"/>
      <c r="DO46" s="454"/>
      <c r="DP46" s="454"/>
      <c r="DQ46" s="454"/>
      <c r="DR46" s="454"/>
      <c r="DS46" s="454"/>
      <c r="DT46" s="454"/>
      <c r="DU46" s="454"/>
      <c r="DV46" s="454"/>
      <c r="DW46" s="454"/>
      <c r="DX46" s="454"/>
      <c r="DY46" s="454"/>
      <c r="DZ46" s="454"/>
      <c r="EA46" s="454"/>
      <c r="EB46" s="454"/>
      <c r="EC46" s="454"/>
      <c r="ED46" s="454"/>
      <c r="EE46" s="454"/>
      <c r="EF46" s="454"/>
      <c r="EG46" s="454"/>
      <c r="EH46" s="454"/>
      <c r="EI46" s="454"/>
      <c r="EJ46" s="454"/>
      <c r="EK46" s="454"/>
      <c r="EL46" s="454"/>
      <c r="EM46" s="454"/>
      <c r="EN46" s="454"/>
      <c r="EO46" s="454"/>
      <c r="EP46" s="454"/>
      <c r="EQ46" s="454"/>
      <c r="ER46" s="454"/>
      <c r="ES46" s="454"/>
      <c r="ET46" s="454"/>
      <c r="EU46" s="454"/>
      <c r="EV46" s="454"/>
      <c r="EW46" s="454"/>
      <c r="EX46" s="454"/>
      <c r="EY46" s="454"/>
      <c r="EZ46" s="454"/>
      <c r="FA46" s="454"/>
      <c r="FB46" s="454"/>
      <c r="FC46" s="454"/>
      <c r="FD46" s="454"/>
      <c r="FE46" s="454"/>
      <c r="FF46" s="454"/>
      <c r="FG46" s="454"/>
      <c r="FH46" s="454"/>
      <c r="FI46" s="454"/>
      <c r="FJ46" s="454"/>
      <c r="FK46" s="454"/>
      <c r="FL46" s="454"/>
      <c r="FM46" s="454"/>
      <c r="FN46" s="454"/>
      <c r="FO46" s="454"/>
      <c r="FP46" s="454"/>
      <c r="FQ46" s="454"/>
      <c r="FR46" s="454"/>
      <c r="FS46" s="454"/>
      <c r="FT46" s="454"/>
    </row>
    <row r="47" spans="1:176" s="1600" customFormat="1" ht="11.65">
      <c r="A47" s="1594" t="s">
        <v>332</v>
      </c>
      <c r="B47" s="1595"/>
      <c r="C47" s="1595"/>
      <c r="D47" s="1595"/>
      <c r="E47" s="1595"/>
      <c r="F47" s="1596"/>
      <c r="G47" s="1595"/>
      <c r="H47" s="1595"/>
      <c r="I47" s="1595"/>
      <c r="J47" s="1596"/>
      <c r="K47" s="1595"/>
      <c r="L47" s="1595"/>
      <c r="M47" s="1595"/>
      <c r="N47" s="1596"/>
      <c r="O47" s="1595"/>
      <c r="P47" s="1595"/>
      <c r="Q47" s="1597"/>
      <c r="R47" s="1595"/>
      <c r="S47" s="1595"/>
      <c r="T47" s="1595"/>
      <c r="U47" s="1595"/>
      <c r="V47" s="1596"/>
      <c r="W47" s="1595"/>
      <c r="X47" s="1595"/>
      <c r="Y47" s="1597"/>
      <c r="Z47" s="1595"/>
      <c r="AA47" s="1595"/>
      <c r="AB47" s="1595"/>
      <c r="AC47" s="1595"/>
      <c r="AD47" s="1596"/>
      <c r="AE47" s="1595"/>
      <c r="AF47" s="1595"/>
      <c r="AG47" s="1597"/>
      <c r="AH47" s="1596"/>
      <c r="AI47" s="1595"/>
      <c r="AJ47" s="1595"/>
      <c r="AK47" s="1597"/>
      <c r="AL47" s="1596"/>
      <c r="AM47" s="1595"/>
      <c r="AN47" s="1595"/>
      <c r="AO47" s="1597"/>
      <c r="AP47" s="1596"/>
      <c r="AQ47" s="1595"/>
      <c r="AR47" s="1595"/>
      <c r="AS47" s="1597"/>
      <c r="AT47" s="1598"/>
      <c r="AU47" s="1599"/>
      <c r="AV47" s="1595"/>
      <c r="AW47" s="1599"/>
      <c r="AX47" s="1595"/>
      <c r="AY47" s="1596"/>
      <c r="AZ47" s="1596"/>
      <c r="BA47" s="1599"/>
      <c r="BB47" s="1599"/>
      <c r="BC47" s="1599"/>
      <c r="BD47" s="1599"/>
      <c r="BE47" s="1599"/>
    </row>
    <row r="48" spans="1:176" s="31" customFormat="1" ht="11.65">
      <c r="A48" s="139" t="s">
        <v>333</v>
      </c>
      <c r="B48" s="1601">
        <f>B20+B23+B24</f>
        <v>0.72699999999999965</v>
      </c>
      <c r="C48" s="1601">
        <f t="shared" ref="C48:BD48" si="140">C20+C23+C24</f>
        <v>-1.2399999999999998</v>
      </c>
      <c r="D48" s="1601">
        <f t="shared" si="140"/>
        <v>-1.9290000000000007</v>
      </c>
      <c r="E48" s="1601">
        <f t="shared" si="140"/>
        <v>-6.5789999999999971</v>
      </c>
      <c r="F48" s="1602">
        <f t="shared" si="140"/>
        <v>-1.0920000000000005</v>
      </c>
      <c r="G48" s="1601">
        <f t="shared" si="140"/>
        <v>-1.140000000000005</v>
      </c>
      <c r="H48" s="1601">
        <f t="shared" si="140"/>
        <v>-2.9129999999999994</v>
      </c>
      <c r="I48" s="1601">
        <f t="shared" si="140"/>
        <v>-3.1470000000000136</v>
      </c>
      <c r="J48" s="1602">
        <f t="shared" si="140"/>
        <v>-3.1800000000000024</v>
      </c>
      <c r="K48" s="1601">
        <f t="shared" si="140"/>
        <v>-5.1519999999999984</v>
      </c>
      <c r="L48" s="1601">
        <f t="shared" si="140"/>
        <v>-9.6020000000000003</v>
      </c>
      <c r="M48" s="1601">
        <f t="shared" si="140"/>
        <v>-13.484</v>
      </c>
      <c r="N48" s="1602">
        <f t="shared" si="140"/>
        <v>3.8780000000000028</v>
      </c>
      <c r="O48" s="1601">
        <f t="shared" si="140"/>
        <v>6.6090000000000035</v>
      </c>
      <c r="P48" s="1601">
        <f t="shared" si="140"/>
        <v>16.737999999999992</v>
      </c>
      <c r="Q48" s="1603">
        <f t="shared" si="140"/>
        <v>16.730000000000004</v>
      </c>
      <c r="R48" s="1601">
        <f t="shared" si="140"/>
        <v>37.563999999999993</v>
      </c>
      <c r="S48" s="1601">
        <f t="shared" si="140"/>
        <v>15.000999999999999</v>
      </c>
      <c r="T48" s="1601">
        <f t="shared" si="140"/>
        <v>18.459</v>
      </c>
      <c r="U48" s="1601">
        <f t="shared" si="140"/>
        <v>19.180000000000007</v>
      </c>
      <c r="V48" s="1602">
        <f t="shared" si="140"/>
        <v>28.051000000000002</v>
      </c>
      <c r="W48" s="1601">
        <f t="shared" si="140"/>
        <v>25.765999999999998</v>
      </c>
      <c r="X48" s="1601">
        <f t="shared" si="140"/>
        <v>31.506</v>
      </c>
      <c r="Y48" s="1603">
        <f t="shared" si="140"/>
        <v>26.680000000000035</v>
      </c>
      <c r="Z48" s="1602">
        <f t="shared" si="140"/>
        <v>37.335999999999991</v>
      </c>
      <c r="AA48" s="1601">
        <f t="shared" si="140"/>
        <v>27.692000000000014</v>
      </c>
      <c r="AB48" s="1601">
        <f t="shared" si="140"/>
        <v>40.315999999999995</v>
      </c>
      <c r="AC48" s="1603">
        <f t="shared" si="140"/>
        <v>35.754999999999988</v>
      </c>
      <c r="AD48" s="1602">
        <f t="shared" si="140"/>
        <v>47.128999999999991</v>
      </c>
      <c r="AE48" s="1601">
        <f t="shared" si="140"/>
        <v>28.663000000000007</v>
      </c>
      <c r="AF48" s="1601">
        <f t="shared" si="140"/>
        <v>52.711000000000006</v>
      </c>
      <c r="AG48" s="1603">
        <f t="shared" si="140"/>
        <v>78.275000000000006</v>
      </c>
      <c r="AH48" s="1602">
        <f t="shared" si="140"/>
        <v>80.230000000000032</v>
      </c>
      <c r="AI48" s="1601">
        <f t="shared" si="140"/>
        <v>37.416000000000004</v>
      </c>
      <c r="AJ48" s="1601">
        <f t="shared" si="140"/>
        <v>51.613800000000005</v>
      </c>
      <c r="AK48" s="1603">
        <f t="shared" si="140"/>
        <v>80.91419999999998</v>
      </c>
      <c r="AL48" s="1602">
        <f t="shared" si="140"/>
        <v>73.058482157676693</v>
      </c>
      <c r="AM48" s="1601">
        <f t="shared" si="140"/>
        <v>40.819617108467909</v>
      </c>
      <c r="AN48" s="1601">
        <f t="shared" si="140"/>
        <v>52.695614638379588</v>
      </c>
      <c r="AO48" s="1603">
        <f t="shared" si="140"/>
        <v>95.083046062557642</v>
      </c>
      <c r="AP48" s="1602">
        <f t="shared" si="140"/>
        <v>77.202342926682306</v>
      </c>
      <c r="AQ48" s="1601">
        <f t="shared" si="140"/>
        <v>46.629002851342186</v>
      </c>
      <c r="AR48" s="1601">
        <f t="shared" si="140"/>
        <v>58.847611142704721</v>
      </c>
      <c r="AS48" s="1603">
        <f t="shared" si="140"/>
        <v>104.3268895848294</v>
      </c>
      <c r="AT48" s="1601"/>
      <c r="AU48" s="1604">
        <f t="shared" si="140"/>
        <v>-9.0209999999999972</v>
      </c>
      <c r="AV48" s="1601">
        <f t="shared" si="140"/>
        <v>-8.2920000000000176</v>
      </c>
      <c r="AW48" s="1604">
        <f t="shared" si="140"/>
        <v>-31.417999999999999</v>
      </c>
      <c r="AX48" s="1601">
        <f t="shared" si="140"/>
        <v>43.954999999999998</v>
      </c>
      <c r="AY48" s="1602">
        <f t="shared" si="140"/>
        <v>90.204000000000008</v>
      </c>
      <c r="AZ48" s="1602">
        <f t="shared" si="140"/>
        <v>112.00300000000004</v>
      </c>
      <c r="BA48" s="1604">
        <f t="shared" si="140"/>
        <v>141.09899999999999</v>
      </c>
      <c r="BB48" s="1604">
        <f>BB20+BB23+BB24</f>
        <v>206.77799999999999</v>
      </c>
      <c r="BC48" s="1604">
        <f t="shared" si="140"/>
        <v>250.17400000000001</v>
      </c>
      <c r="BD48" s="1604">
        <f t="shared" si="140"/>
        <v>261.65675996708183</v>
      </c>
      <c r="BE48" s="1604">
        <f>BE20+BE23+BE24</f>
        <v>287.00584650555862</v>
      </c>
      <c r="BO48" s="1600"/>
      <c r="BP48" s="1600"/>
      <c r="BQ48" s="1600"/>
      <c r="BS48" s="1600"/>
      <c r="BT48" s="1600"/>
      <c r="BU48" s="1600"/>
      <c r="BW48" s="1600"/>
      <c r="BX48" s="1600"/>
      <c r="BY48" s="1600"/>
    </row>
    <row r="49" spans="1:89" s="31" customFormat="1" ht="11.65">
      <c r="A49" s="1605" t="s">
        <v>334</v>
      </c>
      <c r="B49" s="1606"/>
      <c r="C49" s="1606"/>
      <c r="D49" s="1606"/>
      <c r="E49" s="1606"/>
      <c r="F49" s="1607"/>
      <c r="G49" s="1606"/>
      <c r="H49" s="1606"/>
      <c r="I49" s="1606"/>
      <c r="J49" s="1602"/>
      <c r="K49" s="1601"/>
      <c r="L49" s="1601"/>
      <c r="M49" s="1601"/>
      <c r="N49" s="1602"/>
      <c r="O49" s="1601"/>
      <c r="P49" s="1601"/>
      <c r="Q49" s="1603"/>
      <c r="R49" s="1601">
        <v>7.0999999999999994E-2</v>
      </c>
      <c r="S49" s="1601">
        <v>7.9000000000000001E-2</v>
      </c>
      <c r="T49" s="1601">
        <v>1.6140000000000001</v>
      </c>
      <c r="U49" s="1601">
        <v>3.214</v>
      </c>
      <c r="V49" s="1602">
        <v>4.0510000000000002</v>
      </c>
      <c r="W49" s="1601">
        <v>3.3149999999999999</v>
      </c>
      <c r="X49" s="1601">
        <v>3.2530000000000001</v>
      </c>
      <c r="Y49" s="1603">
        <v>5.4279999999999999</v>
      </c>
      <c r="Z49" s="1601">
        <v>6.82</v>
      </c>
      <c r="AA49" s="1601">
        <v>12.122999999999999</v>
      </c>
      <c r="AB49" s="1601">
        <v>8</v>
      </c>
      <c r="AC49" s="1601">
        <v>7.7</v>
      </c>
      <c r="AD49" s="1608">
        <v>7.6109999999999998</v>
      </c>
      <c r="AE49" s="1609">
        <f>AD49+0.15</f>
        <v>7.7610000000000001</v>
      </c>
      <c r="AF49" s="1610">
        <v>8.0549999999999997</v>
      </c>
      <c r="AG49" s="1609">
        <f t="shared" ref="AG49" si="141">AF49+0.15</f>
        <v>8.2050000000000001</v>
      </c>
      <c r="AH49" s="1611">
        <v>6.5739999999999998</v>
      </c>
      <c r="AI49" s="1609">
        <f>AH49+0.12</f>
        <v>6.694</v>
      </c>
      <c r="AJ49" s="1610">
        <v>6.8540000000000001</v>
      </c>
      <c r="AK49" s="1609">
        <v>6.5540000000000003</v>
      </c>
      <c r="AL49" s="1608">
        <f t="shared" ref="AL49:AS49" si="142">AK49+0.12</f>
        <v>6.6740000000000004</v>
      </c>
      <c r="AM49" s="1609">
        <f t="shared" si="142"/>
        <v>6.7940000000000005</v>
      </c>
      <c r="AN49" s="1609">
        <f t="shared" si="142"/>
        <v>6.9140000000000006</v>
      </c>
      <c r="AO49" s="1609">
        <f t="shared" si="142"/>
        <v>7.0340000000000007</v>
      </c>
      <c r="AP49" s="1608">
        <f t="shared" si="142"/>
        <v>7.1540000000000008</v>
      </c>
      <c r="AQ49" s="1609">
        <f t="shared" si="142"/>
        <v>7.2740000000000009</v>
      </c>
      <c r="AR49" s="1609">
        <f t="shared" si="142"/>
        <v>7.394000000000001</v>
      </c>
      <c r="AS49" s="1609">
        <f t="shared" si="142"/>
        <v>7.5140000000000011</v>
      </c>
      <c r="AT49" s="139"/>
      <c r="AU49" s="1604"/>
      <c r="AV49" s="1601"/>
      <c r="AW49" s="1604"/>
      <c r="AX49" s="1601">
        <f t="shared" ref="AX49" si="143">SUM(N49:Q49)</f>
        <v>0</v>
      </c>
      <c r="AY49" s="1602">
        <f t="shared" ref="AY49:AY50" si="144">SUM(R49:U49)</f>
        <v>4.9779999999999998</v>
      </c>
      <c r="AZ49" s="1602">
        <f t="shared" ref="AZ49:AZ50" si="145">SUM(V49:Y49)</f>
        <v>16.047000000000001</v>
      </c>
      <c r="BA49" s="1604">
        <f>SUM(Z49:AC49)</f>
        <v>34.643000000000001</v>
      </c>
      <c r="BB49" s="1604">
        <f>SUM(AD49:AG49)</f>
        <v>31.631999999999998</v>
      </c>
      <c r="BC49" s="1604">
        <f>SUM(AH49:AK49)</f>
        <v>26.676000000000002</v>
      </c>
      <c r="BD49" s="1604">
        <f t="shared" ref="BD49" si="146">SUM(AL49:AO49)</f>
        <v>27.416000000000004</v>
      </c>
      <c r="BE49" s="1604">
        <f>SUM(AP49:AS49)</f>
        <v>29.336000000000006</v>
      </c>
      <c r="BO49" s="1600"/>
      <c r="BP49" s="1600"/>
      <c r="BQ49" s="1600"/>
      <c r="BS49" s="1600"/>
      <c r="BT49" s="1600"/>
      <c r="BU49" s="1600"/>
      <c r="BW49" s="1600"/>
      <c r="BX49" s="1600"/>
      <c r="BY49" s="1600"/>
    </row>
    <row r="50" spans="1:89" s="31" customFormat="1" ht="11.65">
      <c r="A50" s="1612" t="s">
        <v>284</v>
      </c>
      <c r="B50" s="1613"/>
      <c r="C50" s="1613"/>
      <c r="D50" s="1613"/>
      <c r="E50" s="1613"/>
      <c r="F50" s="1614"/>
      <c r="G50" s="1613"/>
      <c r="H50" s="1613"/>
      <c r="I50" s="1613"/>
      <c r="J50" s="1615"/>
      <c r="K50" s="1616"/>
      <c r="L50" s="1616"/>
      <c r="M50" s="1616"/>
      <c r="N50" s="1615"/>
      <c r="O50" s="1616"/>
      <c r="P50" s="1616"/>
      <c r="Q50" s="1617"/>
      <c r="R50" s="1616">
        <f t="shared" ref="R50:S50" si="147">R48+R49</f>
        <v>37.634999999999991</v>
      </c>
      <c r="S50" s="1616">
        <f t="shared" si="147"/>
        <v>15.08</v>
      </c>
      <c r="T50" s="1616">
        <f>T48+T49</f>
        <v>20.073</v>
      </c>
      <c r="U50" s="1616">
        <f t="shared" ref="U50:AS50" si="148">U48+U49</f>
        <v>22.394000000000005</v>
      </c>
      <c r="V50" s="1615">
        <f>V48+V49</f>
        <v>32.102000000000004</v>
      </c>
      <c r="W50" s="1616">
        <f t="shared" si="148"/>
        <v>29.081</v>
      </c>
      <c r="X50" s="1616">
        <f t="shared" si="148"/>
        <v>34.759</v>
      </c>
      <c r="Y50" s="1617">
        <f t="shared" si="148"/>
        <v>32.108000000000033</v>
      </c>
      <c r="Z50" s="1616">
        <f>Z48+Z49</f>
        <v>44.155999999999992</v>
      </c>
      <c r="AA50" s="1616">
        <f t="shared" si="148"/>
        <v>39.815000000000012</v>
      </c>
      <c r="AB50" s="1616">
        <f t="shared" si="148"/>
        <v>48.315999999999995</v>
      </c>
      <c r="AC50" s="1616">
        <f t="shared" si="148"/>
        <v>43.454999999999991</v>
      </c>
      <c r="AD50" s="1615">
        <f t="shared" si="148"/>
        <v>54.739999999999988</v>
      </c>
      <c r="AE50" s="1616">
        <f t="shared" si="148"/>
        <v>36.424000000000007</v>
      </c>
      <c r="AF50" s="1616">
        <f t="shared" si="148"/>
        <v>60.766000000000005</v>
      </c>
      <c r="AG50" s="1617">
        <f t="shared" si="148"/>
        <v>86.48</v>
      </c>
      <c r="AH50" s="1615">
        <f t="shared" si="148"/>
        <v>86.80400000000003</v>
      </c>
      <c r="AI50" s="1616">
        <f t="shared" si="148"/>
        <v>44.110000000000007</v>
      </c>
      <c r="AJ50" s="1616">
        <f t="shared" si="148"/>
        <v>58.467800000000004</v>
      </c>
      <c r="AK50" s="1617">
        <f t="shared" si="148"/>
        <v>87.468199999999982</v>
      </c>
      <c r="AL50" s="1615">
        <f t="shared" si="148"/>
        <v>79.732482157676699</v>
      </c>
      <c r="AM50" s="1616">
        <f t="shared" si="148"/>
        <v>47.613617108467906</v>
      </c>
      <c r="AN50" s="1616">
        <f t="shared" si="148"/>
        <v>59.60961463837959</v>
      </c>
      <c r="AO50" s="1617">
        <f t="shared" si="148"/>
        <v>102.11704606255765</v>
      </c>
      <c r="AP50" s="1615">
        <f t="shared" si="148"/>
        <v>84.356342926682302</v>
      </c>
      <c r="AQ50" s="1616">
        <f t="shared" si="148"/>
        <v>53.903002851342187</v>
      </c>
      <c r="AR50" s="1616">
        <f t="shared" si="148"/>
        <v>66.241611142704727</v>
      </c>
      <c r="AS50" s="1617">
        <f t="shared" si="148"/>
        <v>111.8408895848294</v>
      </c>
      <c r="AT50" s="559"/>
      <c r="AU50" s="1618"/>
      <c r="AV50" s="1616"/>
      <c r="AW50" s="1618"/>
      <c r="AX50" s="1617">
        <f t="shared" ref="AX50" si="149">SUM(N50:Q50)</f>
        <v>0</v>
      </c>
      <c r="AY50" s="1615">
        <f t="shared" si="144"/>
        <v>95.181999999999988</v>
      </c>
      <c r="AZ50" s="1615">
        <f t="shared" si="145"/>
        <v>128.05000000000004</v>
      </c>
      <c r="BA50" s="1618">
        <f t="shared" ref="BA50" si="150">SUM(Z50:AC50)</f>
        <v>175.74199999999999</v>
      </c>
      <c r="BB50" s="1618">
        <f>SUM(AD50:AG50)</f>
        <v>238.41000000000003</v>
      </c>
      <c r="BC50" s="1618">
        <f>SUM(AH50:AK50)</f>
        <v>276.85000000000002</v>
      </c>
      <c r="BD50" s="1618">
        <f>SUM(AL50:AO50)</f>
        <v>289.07275996708188</v>
      </c>
      <c r="BE50" s="1618">
        <f>SUM(AP50:AS50)</f>
        <v>316.34184650555858</v>
      </c>
      <c r="BO50" s="1600"/>
      <c r="BP50" s="1600"/>
      <c r="BQ50" s="1600"/>
      <c r="BS50" s="1600"/>
      <c r="BT50" s="1600"/>
      <c r="BU50" s="1600"/>
      <c r="BW50" s="1600"/>
      <c r="BX50" s="1600"/>
      <c r="BY50" s="1600"/>
    </row>
    <row r="51" spans="1:89" s="31" customFormat="1" ht="11.65">
      <c r="A51" s="1619" t="s">
        <v>335</v>
      </c>
      <c r="B51" s="1606"/>
      <c r="C51" s="1606"/>
      <c r="D51" s="1606"/>
      <c r="E51" s="1606"/>
      <c r="F51" s="1607"/>
      <c r="G51" s="1606"/>
      <c r="H51" s="1606"/>
      <c r="I51" s="1606"/>
      <c r="J51" s="1620"/>
      <c r="K51" s="1621"/>
      <c r="L51" s="1621"/>
      <c r="M51" s="1621"/>
      <c r="N51" s="1620"/>
      <c r="O51" s="1621"/>
      <c r="P51" s="1621"/>
      <c r="Q51" s="1622"/>
      <c r="R51" s="1623"/>
      <c r="S51" s="1624"/>
      <c r="T51" s="1624"/>
      <c r="U51" s="1625"/>
      <c r="V51" s="1623">
        <f t="shared" ref="V51:X51" si="151">V50/R50-1</f>
        <v>-0.14701740401222241</v>
      </c>
      <c r="W51" s="1624">
        <f t="shared" si="151"/>
        <v>0.92844827586206891</v>
      </c>
      <c r="X51" s="1624">
        <f t="shared" si="151"/>
        <v>0.73162955213470826</v>
      </c>
      <c r="Y51" s="1625">
        <f>Y50/U50-1</f>
        <v>0.43377690452799977</v>
      </c>
      <c r="Z51" s="1623">
        <f t="shared" ref="Z51:AB51" si="152">Z50/V50-1</f>
        <v>0.37549062363715624</v>
      </c>
      <c r="AA51" s="1624">
        <f t="shared" si="152"/>
        <v>0.36910697706406292</v>
      </c>
      <c r="AB51" s="1624">
        <f t="shared" si="152"/>
        <v>0.39002848183204342</v>
      </c>
      <c r="AC51" s="1625">
        <f>AC50/Y50-1</f>
        <v>0.35340102155225939</v>
      </c>
      <c r="AD51" s="1623">
        <f t="shared" ref="AD51:AF51" si="153">AD50/Z50-1</f>
        <v>0.23969562460367788</v>
      </c>
      <c r="AE51" s="1624">
        <f t="shared" si="153"/>
        <v>-8.5168906191134153E-2</v>
      </c>
      <c r="AF51" s="1624">
        <f t="shared" si="153"/>
        <v>0.25767861577945217</v>
      </c>
      <c r="AG51" s="1625">
        <f>AG50/AC50-1</f>
        <v>0.99010470601771994</v>
      </c>
      <c r="AH51" s="1623">
        <f t="shared" ref="AH51:AJ51" si="154">AH50/AD50-1</f>
        <v>0.58575082206795859</v>
      </c>
      <c r="AI51" s="1624">
        <f t="shared" si="154"/>
        <v>0.21101471557215024</v>
      </c>
      <c r="AJ51" s="1624">
        <f t="shared" si="154"/>
        <v>-3.7820491722344807E-2</v>
      </c>
      <c r="AK51" s="1625">
        <f>AK50/AG50-1</f>
        <v>1.1426919518963574E-2</v>
      </c>
      <c r="AL51" s="1623">
        <f t="shared" ref="AL51:AN51" si="155">AL50/AH50-1</f>
        <v>-8.1465345402554346E-2</v>
      </c>
      <c r="AM51" s="1624">
        <f t="shared" si="155"/>
        <v>7.942908883400368E-2</v>
      </c>
      <c r="AN51" s="1624">
        <f t="shared" si="155"/>
        <v>1.9528948213881625E-2</v>
      </c>
      <c r="AO51" s="1625">
        <f>AO50/AK50-1</f>
        <v>0.16747624922609217</v>
      </c>
      <c r="AP51" s="1623">
        <f t="shared" ref="AP51:AR51" si="156">AP50/AL50-1</f>
        <v>5.7992183911465212E-2</v>
      </c>
      <c r="AQ51" s="1624">
        <f t="shared" si="156"/>
        <v>0.13209216448619143</v>
      </c>
      <c r="AR51" s="1624">
        <f t="shared" si="156"/>
        <v>0.11125716119048912</v>
      </c>
      <c r="AS51" s="1625">
        <f>AS50/AO50-1</f>
        <v>9.5222530392377935E-2</v>
      </c>
      <c r="AT51" s="559"/>
      <c r="AU51" s="1626"/>
      <c r="AV51" s="1621"/>
      <c r="AW51" s="1626"/>
      <c r="AX51" s="1622"/>
      <c r="AY51" s="1627"/>
      <c r="AZ51" s="1627">
        <f t="shared" ref="AZ51:BA51" si="157">AZ50/AY50-1</f>
        <v>0.34531739194385547</v>
      </c>
      <c r="BA51" s="1599">
        <f t="shared" si="157"/>
        <v>0.37244826239750051</v>
      </c>
      <c r="BB51" s="1599">
        <f>BB50/BA50-1</f>
        <v>0.35659091167734536</v>
      </c>
      <c r="BC51" s="1599">
        <f>BC50/BB50-1</f>
        <v>0.16123484753156325</v>
      </c>
      <c r="BD51" s="1599">
        <f>BD50/BC50-1</f>
        <v>4.4149394860328206E-2</v>
      </c>
      <c r="BE51" s="1599">
        <f>BE50/BD50-1</f>
        <v>9.4332951128228038E-2</v>
      </c>
      <c r="BO51" s="1600"/>
      <c r="BP51" s="1600"/>
      <c r="BQ51" s="1600"/>
      <c r="BS51" s="1600"/>
      <c r="BT51" s="1600"/>
      <c r="BU51" s="1600"/>
      <c r="BW51" s="1600"/>
      <c r="BX51" s="1600"/>
      <c r="BY51" s="1600"/>
    </row>
    <row r="52" spans="1:89" s="31" customFormat="1" ht="11.65" hidden="1" outlineLevel="1">
      <c r="A52" s="81" t="s">
        <v>285</v>
      </c>
      <c r="B52" s="1606" t="str">
        <f>'[2]VA Consensus'!C38</f>
        <v>-</v>
      </c>
      <c r="C52" s="1606" t="str">
        <f>'[2]VA Consensus'!D38</f>
        <v>-</v>
      </c>
      <c r="D52" s="1606" t="str">
        <f>'[2]VA Consensus'!E38</f>
        <v>-</v>
      </c>
      <c r="E52" s="1606" t="str">
        <f>'[2]VA Consensus'!F38</f>
        <v>-</v>
      </c>
      <c r="F52" s="1607" t="str">
        <f>'[2]VA Consensus'!G38</f>
        <v>-</v>
      </c>
      <c r="G52" s="1606" t="str">
        <f>'[2]VA Consensus'!H38</f>
        <v>-</v>
      </c>
      <c r="H52" s="1606" t="str">
        <f>'[2]VA Consensus'!I38</f>
        <v>-</v>
      </c>
      <c r="I52" s="1606" t="str">
        <f>'[2]VA Consensus'!J38</f>
        <v>-</v>
      </c>
      <c r="J52" s="1620" t="str">
        <f>'[2]VA Consensus'!K38</f>
        <v>-</v>
      </c>
      <c r="K52" s="1621" t="str">
        <f>'[2]VA Consensus'!L38</f>
        <v>-</v>
      </c>
      <c r="L52" s="1621" t="str">
        <f>'[2]VA Consensus'!M38</f>
        <v>-</v>
      </c>
      <c r="M52" s="1621" t="str">
        <f>'[2]VA Consensus'!N38</f>
        <v>-</v>
      </c>
      <c r="N52" s="1620" t="str">
        <f>'[2]VA Consensus'!O38</f>
        <v>-</v>
      </c>
      <c r="O52" s="1621" t="str">
        <f>'[2]VA Consensus'!P38</f>
        <v>-</v>
      </c>
      <c r="P52" s="1621" t="str">
        <f>'[2]VA Consensus'!Q38</f>
        <v>-</v>
      </c>
      <c r="Q52" s="1622" t="str">
        <f>'[2]VA Consensus'!R38</f>
        <v>-</v>
      </c>
      <c r="R52" s="1621" t="str">
        <f>'[2]VA Consensus'!S38</f>
        <v>-</v>
      </c>
      <c r="S52" s="1621" t="str">
        <f>'[2]VA Consensus'!T38</f>
        <v>-</v>
      </c>
      <c r="T52" s="1621" t="str">
        <f>'[2]VA Consensus'!U38</f>
        <v>-</v>
      </c>
      <c r="U52" s="1628">
        <f>'[2]VA Consensus'!V38</f>
        <v>13.964751610171598</v>
      </c>
      <c r="V52" s="1629">
        <f>'[2]VA Consensus'!W38</f>
        <v>23.618509637394556</v>
      </c>
      <c r="W52" s="1628">
        <f>'[2]VA Consensus'!X38</f>
        <v>13.377349703135881</v>
      </c>
      <c r="X52" s="1628">
        <f>'[2]VA Consensus'!Y38</f>
        <v>19.743008296548535</v>
      </c>
      <c r="Y52" s="1630">
        <f>'[2]VA Consensus'!Z38</f>
        <v>22.26498399641099</v>
      </c>
      <c r="Z52" s="1631">
        <f>'[2]VA Consensus'!AA38</f>
        <v>40.164960549175703</v>
      </c>
      <c r="AA52" s="1631">
        <f>'[2]VA Consensus'!AB38</f>
        <v>28.457831417398335</v>
      </c>
      <c r="AB52" s="1631">
        <f>'[2]VA Consensus'!AC38</f>
        <v>43.781652194960685</v>
      </c>
      <c r="AC52" s="1631">
        <f>'[2]VA Consensus'!AD38</f>
        <v>33.295777999127537</v>
      </c>
      <c r="AD52" s="1632">
        <f>'[2]VA Consensus'!AE38</f>
        <v>55.475784966331574</v>
      </c>
      <c r="AE52" s="1631">
        <f>'[2]VA Consensus'!AF38</f>
        <v>36.010037059474648</v>
      </c>
      <c r="AF52" s="1631">
        <f>'[2]VA Consensus'!AG38</f>
        <v>57.870840423847177</v>
      </c>
      <c r="AG52" s="1630">
        <f>'[2]VA Consensus'!AH38</f>
        <v>78.94612680827025</v>
      </c>
      <c r="AH52" s="1632">
        <f>'[2]VA Consensus'!AI38</f>
        <v>64.220954874427591</v>
      </c>
      <c r="AI52" s="1631">
        <f>'[2]VA Consensus'!AJ38</f>
        <v>40.779182681098774</v>
      </c>
      <c r="AJ52" s="1631">
        <f>'[2]VA Consensus'!AK38</f>
        <v>62.351258355393249</v>
      </c>
      <c r="AK52" s="1630">
        <f>'[2]VA Consensus'!AL38</f>
        <v>81.042963239708882</v>
      </c>
      <c r="AL52" s="1632">
        <f>'[2]VA Consensus'!AM38</f>
        <v>87.85975151344023</v>
      </c>
      <c r="AM52" s="1631">
        <f>'[2]VA Consensus'!AN38</f>
        <v>46.841860139663936</v>
      </c>
      <c r="AN52" s="1631">
        <f>'[2]VA Consensus'!AO38</f>
        <v>65.19158714864038</v>
      </c>
      <c r="AO52" s="1630">
        <f>'[2]VA Consensus'!AP38</f>
        <v>91.181816048150168</v>
      </c>
      <c r="AP52" s="1632">
        <f>'[2]VA Consensus'!AQ38</f>
        <v>92.186185868666115</v>
      </c>
      <c r="AQ52" s="1631">
        <f>'[2]VA Consensus'!AR38</f>
        <v>61.852169810077683</v>
      </c>
      <c r="AR52" s="1631">
        <f>'[2]VA Consensus'!AS38</f>
        <v>72.075503481157341</v>
      </c>
      <c r="AS52" s="1630">
        <f>'[2]VA Consensus'!AT38</f>
        <v>101.43384967277534</v>
      </c>
      <c r="AT52" s="559"/>
      <c r="AU52" s="1626" t="str">
        <f>'[2]VA Consensus'!AV38</f>
        <v>-</v>
      </c>
      <c r="AV52" s="1621" t="str">
        <f>'[2]VA Consensus'!AW38</f>
        <v>-</v>
      </c>
      <c r="AW52" s="1626" t="str">
        <f>'[2]VA Consensus'!AX38</f>
        <v>-</v>
      </c>
      <c r="AX52" s="1626" t="str">
        <f>'[2]VA Consensus'!AY38</f>
        <v>-</v>
      </c>
      <c r="AY52" s="1633">
        <f>'[2]VA Consensus'!AZ38</f>
        <v>84.987115246535552</v>
      </c>
      <c r="AZ52" s="1633">
        <f>'[2]VA Consensus'!BA38</f>
        <v>107.59352945095637</v>
      </c>
      <c r="BA52" s="1634">
        <f>'[2]VA Consensus'!BB38</f>
        <v>139.36408569143532</v>
      </c>
      <c r="BB52" s="1634">
        <f>'[2]VA Consensus'!BC38</f>
        <v>230.99967263741655</v>
      </c>
      <c r="BC52" s="1634">
        <f>'[2]VA Consensus'!BD38</f>
        <v>270.64549875121099</v>
      </c>
      <c r="BD52" s="1634">
        <f>'[2]VA Consensus'!BE38</f>
        <v>291.07501484989467</v>
      </c>
      <c r="BE52" s="1634">
        <f>'[2]VA Consensus'!BF38</f>
        <v>327.54770883267645</v>
      </c>
      <c r="BO52" s="1600"/>
      <c r="BP52" s="1600"/>
      <c r="BQ52" s="1600"/>
      <c r="BS52" s="1600"/>
      <c r="BT52" s="1600"/>
      <c r="BU52" s="1600"/>
      <c r="BW52" s="1600"/>
      <c r="BX52" s="1600"/>
      <c r="BY52" s="1600"/>
    </row>
    <row r="53" spans="1:89" s="1643" customFormat="1" ht="11.65" collapsed="1">
      <c r="A53" s="1635" t="s">
        <v>336</v>
      </c>
      <c r="B53" s="1636"/>
      <c r="C53" s="1636"/>
      <c r="D53" s="1636"/>
      <c r="E53" s="1636"/>
      <c r="F53" s="1637"/>
      <c r="G53" s="1636"/>
      <c r="H53" s="1636"/>
      <c r="I53" s="1636"/>
      <c r="J53" s="1638"/>
      <c r="K53" s="1639"/>
      <c r="L53" s="1639"/>
      <c r="M53" s="1639"/>
      <c r="N53" s="1638"/>
      <c r="O53" s="1639"/>
      <c r="P53" s="1639"/>
      <c r="Q53" s="1640"/>
      <c r="R53" s="1639">
        <f>+R50/'Revenue Build'!R5</f>
        <v>0.30550617344081038</v>
      </c>
      <c r="S53" s="1639">
        <f>+S50/'Revenue Build'!S5</f>
        <v>0.11576935182981597</v>
      </c>
      <c r="T53" s="1639">
        <f>+T50/'Revenue Build'!T5</f>
        <v>0.14475999538452664</v>
      </c>
      <c r="U53" s="1639">
        <f>+U50/'Revenue Build'!U5</f>
        <v>0.15027714772712025</v>
      </c>
      <c r="V53" s="1638">
        <f>+V50/'Revenue Build'!V5</f>
        <v>0.20143316098589431</v>
      </c>
      <c r="W53" s="1639">
        <f>+W50/'Revenue Build'!W5</f>
        <v>0.1769552333258286</v>
      </c>
      <c r="X53" s="1639">
        <f>+X50/'Revenue Build'!X5</f>
        <v>0.19879211442885658</v>
      </c>
      <c r="Y53" s="1640">
        <f>+Y50/'Revenue Build'!Y5</f>
        <v>0.17390362398513809</v>
      </c>
      <c r="Z53" s="1639">
        <f>+Z50/'Revenue Build'!Z5</f>
        <v>0.23382881714052703</v>
      </c>
      <c r="AA53" s="1639">
        <f>+AA50/'Revenue Build'!AA5</f>
        <v>0.20414179946266336</v>
      </c>
      <c r="AB53" s="1639">
        <f>+AB50/'Revenue Build'!AB5</f>
        <v>0.23974713316693874</v>
      </c>
      <c r="AC53" s="1639">
        <f>+AC50/'Revenue Build'!AC5</f>
        <v>0.20372141430620797</v>
      </c>
      <c r="AD53" s="1638">
        <f>+AD50/'Revenue Build'!AD5</f>
        <v>0.25347169164802902</v>
      </c>
      <c r="AE53" s="1639">
        <f>+AE50/'Revenue Build'!AE5</f>
        <v>0.16463494560230701</v>
      </c>
      <c r="AF53" s="1639">
        <f>+AF50/'Revenue Build'!AF5</f>
        <v>0.26758789544141481</v>
      </c>
      <c r="AG53" s="1640">
        <f>+AG50/'Revenue Build'!AG5</f>
        <v>0.36685883485837673</v>
      </c>
      <c r="AH53" s="1638">
        <f>+AH50/'Revenue Build'!AH5</f>
        <v>0.36298857976808285</v>
      </c>
      <c r="AI53" s="1639">
        <f>+AI50/'Revenue Build'!AI5</f>
        <v>0.1783699629996563</v>
      </c>
      <c r="AJ53" s="1639">
        <f>+AJ50/'Revenue Build'!AJ5</f>
        <v>0.23161067976548885</v>
      </c>
      <c r="AK53" s="1640">
        <f>+AK50/'Revenue Build'!AK5</f>
        <v>0.33572791162731774</v>
      </c>
      <c r="AL53" s="1638">
        <f>+AL50/'Revenue Build'!AL5</f>
        <v>0.30836320356335284</v>
      </c>
      <c r="AM53" s="1639">
        <f>+AM50/'Revenue Build'!AM5</f>
        <v>0.17931098298193845</v>
      </c>
      <c r="AN53" s="1639">
        <f>+AN50/'Revenue Build'!AN5</f>
        <v>0.22180567259629977</v>
      </c>
      <c r="AO53" s="1640">
        <f>+AO50/'Revenue Build'!AO5</f>
        <v>0.36813714068479259</v>
      </c>
      <c r="AP53" s="1638">
        <f>+AP50/'Revenue Build'!AP5</f>
        <v>0.30607491642422219</v>
      </c>
      <c r="AQ53" s="1639">
        <f>+AQ50/'Revenue Build'!AQ5</f>
        <v>0.19045914959486851</v>
      </c>
      <c r="AR53" s="1639">
        <f>+AR50/'Revenue Build'!AR5</f>
        <v>0.23129358725810198</v>
      </c>
      <c r="AS53" s="1640">
        <f>+AS50/'Revenue Build'!AS5</f>
        <v>0.37836323606931876</v>
      </c>
      <c r="AT53" s="1641"/>
      <c r="AU53" s="1642"/>
      <c r="AV53" s="1639"/>
      <c r="AW53" s="1642"/>
      <c r="AX53" s="1639">
        <f>+AX50/'Revenue Build'!AX5</f>
        <v>0</v>
      </c>
      <c r="AY53" s="1638">
        <f>+AY50/'Revenue Build'!AY5</f>
        <v>0.17589488662613417</v>
      </c>
      <c r="AZ53" s="1638">
        <f>+AZ50/'Revenue Build'!AZ5</f>
        <v>0.18742928405087309</v>
      </c>
      <c r="BA53" s="1642">
        <f>+BA50/'Revenue Build'!BA5</f>
        <v>0.22003230208711544</v>
      </c>
      <c r="BB53" s="1642">
        <f>+BB50/'Revenue Build'!BB5</f>
        <v>0.26489381914422</v>
      </c>
      <c r="BC53" s="1642">
        <f>+BC50/'Revenue Build'!BC5</f>
        <v>0.27701482382017301</v>
      </c>
      <c r="BD53" s="1642">
        <f>+BD50/'Revenue Build'!BD5</f>
        <v>0.27010114079438763</v>
      </c>
      <c r="BE53" s="1642">
        <f>+BE50/'Revenue Build'!BE5</f>
        <v>0.27734432633620754</v>
      </c>
      <c r="BO53" s="1600"/>
      <c r="BP53" s="1600"/>
      <c r="BQ53" s="1600"/>
      <c r="BS53" s="1600"/>
      <c r="BT53" s="1600"/>
      <c r="BU53" s="1600"/>
      <c r="BW53" s="1600"/>
      <c r="BX53" s="1600"/>
      <c r="BY53" s="1600"/>
    </row>
    <row r="54" spans="1:89" s="89" customFormat="1" ht="12" customHeight="1" thickBot="1">
      <c r="A54" s="90" t="s">
        <v>337</v>
      </c>
      <c r="B54" s="92"/>
      <c r="C54" s="92"/>
      <c r="D54" s="92"/>
      <c r="E54" s="92"/>
      <c r="F54" s="91"/>
      <c r="G54" s="92"/>
      <c r="H54" s="92"/>
      <c r="I54" s="92"/>
      <c r="J54" s="91"/>
      <c r="K54" s="92"/>
      <c r="L54" s="92"/>
      <c r="M54" s="92"/>
      <c r="N54" s="91"/>
      <c r="O54" s="92"/>
      <c r="P54" s="92"/>
      <c r="Q54" s="93"/>
      <c r="R54" s="92"/>
      <c r="S54" s="94"/>
      <c r="T54" s="92"/>
      <c r="U54" s="92"/>
      <c r="V54" s="91"/>
      <c r="W54" s="92"/>
      <c r="X54" s="92"/>
      <c r="Y54" s="93"/>
      <c r="Z54" s="97"/>
      <c r="AA54" s="97"/>
      <c r="AB54" s="97"/>
      <c r="AC54" s="97"/>
      <c r="AD54" s="96"/>
      <c r="AE54" s="97"/>
      <c r="AF54" s="97"/>
      <c r="AG54" s="98"/>
      <c r="AH54" s="96"/>
      <c r="AI54" s="97"/>
      <c r="AJ54" s="97"/>
      <c r="AK54" s="98"/>
      <c r="AL54" s="96"/>
      <c r="AM54" s="97"/>
      <c r="AN54" s="97"/>
      <c r="AO54" s="98"/>
      <c r="AP54" s="96"/>
      <c r="AQ54" s="97"/>
      <c r="AR54" s="97"/>
      <c r="AS54" s="98"/>
      <c r="AT54" s="99"/>
      <c r="AU54" s="100"/>
      <c r="AV54" s="92"/>
      <c r="AW54" s="101"/>
      <c r="AX54" s="92"/>
      <c r="AY54" s="91"/>
      <c r="AZ54" s="91"/>
      <c r="BA54" s="101"/>
      <c r="BB54" s="101"/>
      <c r="BC54" s="101"/>
      <c r="BD54" s="101"/>
      <c r="BE54" s="101"/>
    </row>
    <row r="55" spans="1:89" s="89" customFormat="1" ht="12" customHeight="1" thickTop="1">
      <c r="A55" s="103" t="s">
        <v>88</v>
      </c>
      <c r="B55" s="83"/>
      <c r="C55" s="83"/>
      <c r="D55" s="83"/>
      <c r="E55" s="83"/>
      <c r="F55" s="677"/>
      <c r="G55" s="83"/>
      <c r="H55" s="83"/>
      <c r="I55" s="83"/>
      <c r="J55" s="677"/>
      <c r="K55" s="83"/>
      <c r="L55" s="83"/>
      <c r="M55" s="83"/>
      <c r="N55" s="678"/>
      <c r="O55" s="107"/>
      <c r="P55" s="105"/>
      <c r="Q55" s="109"/>
      <c r="R55" s="105"/>
      <c r="S55" s="107"/>
      <c r="T55" s="105"/>
      <c r="U55" s="105"/>
      <c r="V55" s="108"/>
      <c r="W55" s="105"/>
      <c r="X55" s="105"/>
      <c r="Y55" s="106"/>
      <c r="Z55" s="667"/>
      <c r="AA55" s="667"/>
      <c r="AB55" s="667"/>
      <c r="AC55" s="667"/>
      <c r="AD55" s="835"/>
      <c r="AE55" s="667"/>
      <c r="AF55" s="667"/>
      <c r="AG55" s="106">
        <f>BB55-AF50-AE50-AD50</f>
        <v>73.069999999999993</v>
      </c>
      <c r="AH55" s="835"/>
      <c r="AI55" s="667"/>
      <c r="AJ55" s="667"/>
      <c r="AK55" s="1644"/>
      <c r="AL55" s="835"/>
      <c r="AM55" s="667"/>
      <c r="AN55" s="667"/>
      <c r="AO55" s="1644"/>
      <c r="AP55" s="835"/>
      <c r="AQ55" s="667"/>
      <c r="AR55" s="667"/>
      <c r="AS55" s="1644"/>
      <c r="AT55" s="99"/>
      <c r="AU55" s="660"/>
      <c r="AV55" s="83"/>
      <c r="AW55" s="88"/>
      <c r="AX55" s="83"/>
      <c r="AY55" s="678"/>
      <c r="AZ55" s="678">
        <v>120</v>
      </c>
      <c r="BA55" s="1645">
        <v>168</v>
      </c>
      <c r="BB55" s="1645">
        <v>225</v>
      </c>
      <c r="BC55" s="1645">
        <v>265</v>
      </c>
      <c r="BD55" s="1645"/>
      <c r="BE55" s="1645"/>
    </row>
    <row r="56" spans="1:89" s="89" customFormat="1" ht="12" customHeight="1">
      <c r="A56" s="103" t="s">
        <v>89</v>
      </c>
      <c r="B56" s="83"/>
      <c r="C56" s="83"/>
      <c r="D56" s="83"/>
      <c r="E56" s="83"/>
      <c r="F56" s="677"/>
      <c r="G56" s="83"/>
      <c r="H56" s="83"/>
      <c r="I56" s="83"/>
      <c r="J56" s="677"/>
      <c r="K56" s="83"/>
      <c r="L56" s="83"/>
      <c r="M56" s="83"/>
      <c r="N56" s="678"/>
      <c r="O56" s="107"/>
      <c r="P56" s="105"/>
      <c r="Q56" s="106"/>
      <c r="R56" s="105"/>
      <c r="S56" s="107"/>
      <c r="T56" s="105"/>
      <c r="U56" s="105"/>
      <c r="V56" s="678"/>
      <c r="W56" s="107"/>
      <c r="X56" s="107"/>
      <c r="Y56" s="106"/>
      <c r="Z56" s="667"/>
      <c r="AA56" s="667"/>
      <c r="AB56" s="667"/>
      <c r="AC56" s="667"/>
      <c r="AD56" s="835"/>
      <c r="AE56" s="667"/>
      <c r="AF56" s="667"/>
      <c r="AG56" s="106">
        <f>BB56-AF50-AE50-AD50</f>
        <v>78.069999999999993</v>
      </c>
      <c r="AH56" s="835"/>
      <c r="AI56" s="667"/>
      <c r="AJ56" s="667"/>
      <c r="AK56" s="1644"/>
      <c r="AL56" s="835"/>
      <c r="AM56" s="667"/>
      <c r="AN56" s="667"/>
      <c r="AO56" s="1644"/>
      <c r="AP56" s="835"/>
      <c r="AQ56" s="667"/>
      <c r="AR56" s="667"/>
      <c r="AS56" s="1644"/>
      <c r="AT56" s="99"/>
      <c r="AU56" s="660"/>
      <c r="AV56" s="83"/>
      <c r="AW56" s="88"/>
      <c r="AX56" s="83"/>
      <c r="AY56" s="678"/>
      <c r="AZ56" s="678">
        <f t="shared" ref="AZ56:BC56" si="158">AVERAGE(AZ55,AZ57)</f>
        <v>122.5</v>
      </c>
      <c r="BA56" s="1645">
        <f t="shared" si="158"/>
        <v>170.5</v>
      </c>
      <c r="BB56" s="1645">
        <f t="shared" si="158"/>
        <v>230</v>
      </c>
      <c r="BC56" s="1645">
        <f t="shared" si="158"/>
        <v>270</v>
      </c>
      <c r="BD56" s="1645"/>
      <c r="BE56" s="1645"/>
    </row>
    <row r="57" spans="1:89" s="89" customFormat="1" ht="12" customHeight="1">
      <c r="A57" s="1646" t="s">
        <v>90</v>
      </c>
      <c r="B57" s="1647"/>
      <c r="C57" s="1647"/>
      <c r="D57" s="1647"/>
      <c r="E57" s="1647"/>
      <c r="F57" s="1648"/>
      <c r="G57" s="1647"/>
      <c r="H57" s="1647"/>
      <c r="I57" s="1647"/>
      <c r="J57" s="1648"/>
      <c r="K57" s="1647"/>
      <c r="L57" s="1647"/>
      <c r="M57" s="1647"/>
      <c r="N57" s="1649"/>
      <c r="O57" s="1650"/>
      <c r="P57" s="1651"/>
      <c r="Q57" s="1652"/>
      <c r="R57" s="1651"/>
      <c r="S57" s="1650"/>
      <c r="T57" s="1651"/>
      <c r="U57" s="1651"/>
      <c r="V57" s="1649"/>
      <c r="W57" s="1651"/>
      <c r="X57" s="1651"/>
      <c r="Y57" s="1652"/>
      <c r="Z57" s="1653"/>
      <c r="AA57" s="1653"/>
      <c r="AB57" s="1653"/>
      <c r="AC57" s="1653"/>
      <c r="AD57" s="1654"/>
      <c r="AE57" s="1653"/>
      <c r="AF57" s="1653"/>
      <c r="AG57" s="1652">
        <f>BB57-AF50-AE50-AD50</f>
        <v>83.07</v>
      </c>
      <c r="AH57" s="1654"/>
      <c r="AI57" s="1653"/>
      <c r="AJ57" s="1653"/>
      <c r="AK57" s="1655"/>
      <c r="AL57" s="1654"/>
      <c r="AM57" s="1653"/>
      <c r="AN57" s="1653"/>
      <c r="AO57" s="1655"/>
      <c r="AP57" s="1654"/>
      <c r="AQ57" s="1653"/>
      <c r="AR57" s="1653"/>
      <c r="AS57" s="1655"/>
      <c r="AT57" s="99"/>
      <c r="AU57" s="1656"/>
      <c r="AV57" s="1647"/>
      <c r="AW57" s="1657"/>
      <c r="AX57" s="1647"/>
      <c r="AY57" s="1649"/>
      <c r="AZ57" s="1649">
        <v>125</v>
      </c>
      <c r="BA57" s="1658">
        <v>173</v>
      </c>
      <c r="BB57" s="1658">
        <v>235</v>
      </c>
      <c r="BC57" s="1658">
        <v>275</v>
      </c>
      <c r="BD57" s="1658"/>
      <c r="BE57" s="1658"/>
    </row>
    <row r="58" spans="1:89" s="949" customFormat="1" ht="11.65">
      <c r="A58" s="1659"/>
      <c r="B58" s="953"/>
      <c r="C58" s="953"/>
      <c r="D58" s="953"/>
      <c r="E58" s="953"/>
      <c r="F58" s="953"/>
      <c r="G58" s="953"/>
      <c r="H58" s="953"/>
      <c r="I58" s="953"/>
      <c r="J58" s="953"/>
      <c r="K58" s="953"/>
      <c r="L58" s="953"/>
      <c r="M58" s="953"/>
      <c r="N58" s="953"/>
      <c r="O58" s="953"/>
      <c r="P58" s="953"/>
      <c r="Q58" s="953"/>
      <c r="R58" s="953"/>
      <c r="S58" s="953"/>
      <c r="T58" s="953"/>
      <c r="U58" s="953"/>
      <c r="V58" s="953"/>
      <c r="W58" s="953"/>
      <c r="X58" s="953"/>
      <c r="Y58" s="953"/>
      <c r="Z58" s="953"/>
      <c r="AA58" s="953"/>
      <c r="AB58" s="953"/>
      <c r="AC58" s="953"/>
      <c r="AD58" s="953"/>
      <c r="AE58" s="953"/>
      <c r="AF58" s="953"/>
      <c r="AG58" s="953"/>
      <c r="AH58" s="953"/>
      <c r="AI58" s="953"/>
      <c r="AJ58" s="953"/>
      <c r="AK58" s="953"/>
      <c r="AL58" s="953"/>
      <c r="AM58" s="953"/>
      <c r="AN58" s="953"/>
      <c r="AO58" s="953"/>
      <c r="AP58" s="953"/>
      <c r="AQ58" s="953"/>
      <c r="AR58" s="953"/>
      <c r="AS58" s="953"/>
      <c r="AT58" s="1660"/>
      <c r="AU58" s="953"/>
      <c r="AV58" s="953"/>
      <c r="AW58" s="953"/>
      <c r="AX58" s="953"/>
      <c r="AY58" s="953"/>
      <c r="AZ58" s="953"/>
      <c r="BA58" s="953"/>
      <c r="BB58" s="1661"/>
      <c r="BC58" s="953"/>
      <c r="BD58" s="953"/>
      <c r="BE58" s="953"/>
    </row>
    <row r="59" spans="1:89" s="1674" customFormat="1" ht="12" customHeight="1">
      <c r="A59" s="521" t="s">
        <v>338</v>
      </c>
      <c r="B59" s="1662"/>
      <c r="C59" s="1663"/>
      <c r="D59" s="1663"/>
      <c r="E59" s="1664"/>
      <c r="F59" s="1662"/>
      <c r="G59" s="1663"/>
      <c r="H59" s="1663"/>
      <c r="I59" s="1664"/>
      <c r="J59" s="1662"/>
      <c r="K59" s="1663"/>
      <c r="L59" s="1663"/>
      <c r="M59" s="1664"/>
      <c r="N59" s="1662"/>
      <c r="O59" s="1663"/>
      <c r="P59" s="1663"/>
      <c r="Q59" s="1664"/>
      <c r="R59" s="1662"/>
      <c r="S59" s="1663"/>
      <c r="T59" s="1663"/>
      <c r="U59" s="1665"/>
      <c r="V59" s="1666">
        <f t="shared" ref="V59:AS59" si="159">-V37</f>
        <v>0</v>
      </c>
      <c r="W59" s="1666">
        <f t="shared" si="159"/>
        <v>0</v>
      </c>
      <c r="X59" s="1666">
        <f t="shared" si="159"/>
        <v>0</v>
      </c>
      <c r="Y59" s="1666">
        <f t="shared" si="159"/>
        <v>0</v>
      </c>
      <c r="Z59" s="1667">
        <f t="shared" si="159"/>
        <v>0</v>
      </c>
      <c r="AA59" s="1666">
        <f t="shared" si="159"/>
        <v>0</v>
      </c>
      <c r="AB59" s="1666">
        <f t="shared" si="159"/>
        <v>0</v>
      </c>
      <c r="AC59" s="1666">
        <f t="shared" si="159"/>
        <v>14.933999999999999</v>
      </c>
      <c r="AD59" s="1667">
        <f t="shared" si="159"/>
        <v>24.991</v>
      </c>
      <c r="AE59" s="1666">
        <f t="shared" si="159"/>
        <v>25</v>
      </c>
      <c r="AF59" s="1666">
        <f t="shared" si="159"/>
        <v>0</v>
      </c>
      <c r="AG59" s="1666">
        <f t="shared" si="159"/>
        <v>49.986000000000004</v>
      </c>
      <c r="AH59" s="1667">
        <f t="shared" si="159"/>
        <v>60</v>
      </c>
      <c r="AI59" s="1666">
        <f t="shared" si="159"/>
        <v>64.998999999999995</v>
      </c>
      <c r="AJ59" s="1666">
        <f t="shared" si="159"/>
        <v>59.968999999999994</v>
      </c>
      <c r="AK59" s="1666">
        <f t="shared" si="159"/>
        <v>64.478000000000009</v>
      </c>
      <c r="AL59" s="1667">
        <f t="shared" si="159"/>
        <v>0</v>
      </c>
      <c r="AM59" s="1666">
        <f t="shared" si="159"/>
        <v>0</v>
      </c>
      <c r="AN59" s="1666">
        <f t="shared" si="159"/>
        <v>0</v>
      </c>
      <c r="AO59" s="1666">
        <f t="shared" si="159"/>
        <v>0</v>
      </c>
      <c r="AP59" s="1667">
        <f t="shared" si="159"/>
        <v>0</v>
      </c>
      <c r="AQ59" s="1666">
        <f t="shared" si="159"/>
        <v>0</v>
      </c>
      <c r="AR59" s="1666">
        <f t="shared" si="159"/>
        <v>0</v>
      </c>
      <c r="AS59" s="1666">
        <f t="shared" si="159"/>
        <v>0</v>
      </c>
      <c r="AT59" s="1668"/>
      <c r="AU59" s="1669"/>
      <c r="AV59" s="1669"/>
      <c r="AW59" s="1669"/>
      <c r="AX59" s="1670"/>
      <c r="AY59" s="1670"/>
      <c r="AZ59" s="1671">
        <f>SUM(V59:Y59)</f>
        <v>0</v>
      </c>
      <c r="BA59" s="1667">
        <f>SUM(Z59:AC59)</f>
        <v>14.933999999999999</v>
      </c>
      <c r="BB59" s="1671">
        <f>SUM(AD59:AG59)</f>
        <v>99.977000000000004</v>
      </c>
      <c r="BC59" s="1672">
        <f>SUM(AH59:AK59)</f>
        <v>249.446</v>
      </c>
      <c r="BD59" s="1672">
        <f>SUM(AL59:AO59)</f>
        <v>0</v>
      </c>
      <c r="BE59" s="1672">
        <f>SUM(AP59:AS59)</f>
        <v>0</v>
      </c>
      <c r="BF59" s="1670"/>
      <c r="BG59" s="1670"/>
      <c r="BH59" s="1670"/>
      <c r="BI59" s="1670"/>
      <c r="BJ59" s="414"/>
      <c r="BK59" s="414"/>
      <c r="BL59" s="414"/>
      <c r="BM59" s="414"/>
      <c r="BN59" s="414"/>
      <c r="BO59" s="414"/>
      <c r="BP59" s="414"/>
      <c r="BQ59" s="414"/>
      <c r="BR59" s="1673"/>
      <c r="BS59" s="414"/>
      <c r="BT59" s="414"/>
      <c r="BU59" s="414"/>
      <c r="BV59" s="1673"/>
      <c r="BW59" s="414"/>
      <c r="BX59" s="414"/>
      <c r="BY59" s="414"/>
      <c r="BZ59" s="1673"/>
      <c r="CA59" s="179"/>
      <c r="CB59" s="179"/>
      <c r="CC59" s="179"/>
      <c r="CD59" s="179"/>
      <c r="CE59" s="414"/>
      <c r="CF59" s="414"/>
      <c r="CG59" s="414"/>
      <c r="CH59" s="414"/>
      <c r="CI59" s="414"/>
      <c r="CJ59" s="414"/>
      <c r="CK59" s="547"/>
    </row>
    <row r="60" spans="1:89" s="949" customFormat="1" ht="12" customHeight="1">
      <c r="A60" s="1476" t="s">
        <v>339</v>
      </c>
      <c r="B60" s="1160"/>
      <c r="C60" s="953"/>
      <c r="D60" s="953"/>
      <c r="E60" s="1161"/>
      <c r="F60" s="1160"/>
      <c r="G60" s="953"/>
      <c r="H60" s="953"/>
      <c r="I60" s="1161"/>
      <c r="J60" s="1160"/>
      <c r="K60" s="953"/>
      <c r="L60" s="953"/>
      <c r="M60" s="1161"/>
      <c r="N60" s="1160"/>
      <c r="O60" s="953"/>
      <c r="P60" s="953"/>
      <c r="Q60" s="1161"/>
      <c r="R60" s="1160"/>
      <c r="S60" s="953"/>
      <c r="T60" s="953"/>
      <c r="U60" s="1161"/>
      <c r="V60" s="1160"/>
      <c r="W60" s="953"/>
      <c r="X60" s="953"/>
      <c r="Y60" s="1161"/>
      <c r="Z60" s="1675"/>
      <c r="AA60" s="1676"/>
      <c r="AB60" s="1676"/>
      <c r="AC60" s="1676">
        <v>0.35624</v>
      </c>
      <c r="AD60" s="1675">
        <v>0.52577300000000005</v>
      </c>
      <c r="AE60" s="1676">
        <f>AE59/AE62</f>
        <v>0.58878944889307583</v>
      </c>
      <c r="AF60" s="1676">
        <v>0</v>
      </c>
      <c r="AG60" s="1676">
        <v>1.2</v>
      </c>
      <c r="AH60" s="1675">
        <v>1.6</v>
      </c>
      <c r="AI60" s="1676">
        <v>2</v>
      </c>
      <c r="AJ60" s="1676">
        <v>2</v>
      </c>
      <c r="AK60" s="1676"/>
      <c r="AL60" s="1675">
        <f t="shared" ref="AL60:AS60" si="160">IF(AL59=0,0,AL59/AL62)</f>
        <v>0</v>
      </c>
      <c r="AM60" s="1676">
        <f t="shared" si="160"/>
        <v>0</v>
      </c>
      <c r="AN60" s="1676">
        <f t="shared" si="160"/>
        <v>0</v>
      </c>
      <c r="AO60" s="1676">
        <f t="shared" si="160"/>
        <v>0</v>
      </c>
      <c r="AP60" s="1675">
        <f t="shared" si="160"/>
        <v>0</v>
      </c>
      <c r="AQ60" s="1676">
        <f t="shared" si="160"/>
        <v>0</v>
      </c>
      <c r="AR60" s="1676">
        <f t="shared" si="160"/>
        <v>0</v>
      </c>
      <c r="AS60" s="1676">
        <f t="shared" si="160"/>
        <v>0</v>
      </c>
      <c r="AT60" s="1160"/>
      <c r="AU60" s="953"/>
      <c r="AV60" s="953"/>
      <c r="AW60" s="953"/>
      <c r="AX60" s="1677"/>
      <c r="AY60" s="1677"/>
      <c r="AZ60" s="1678">
        <f>SUM(V60:Y60)</f>
        <v>0</v>
      </c>
      <c r="BA60" s="1675">
        <f>SUM(Z60:AC60)</f>
        <v>0.35624</v>
      </c>
      <c r="BB60" s="1678">
        <f>SUM(AD60:AG60)</f>
        <v>2.3145624488930761</v>
      </c>
      <c r="BC60" s="1679">
        <f>SUM(AH60:AK60)</f>
        <v>5.6</v>
      </c>
      <c r="BD60" s="1679">
        <f>SUM(AL60:AO60)</f>
        <v>0</v>
      </c>
      <c r="BE60" s="1679">
        <f>SUM(AP60:AS60)</f>
        <v>0</v>
      </c>
      <c r="BF60" s="1677"/>
      <c r="BG60" s="1680"/>
      <c r="BH60" s="1680"/>
      <c r="BI60" s="1680"/>
      <c r="BJ60" s="1681"/>
      <c r="BK60" s="1682"/>
      <c r="BL60" s="1682"/>
      <c r="BM60" s="1682"/>
      <c r="BN60" s="1681"/>
      <c r="BO60" s="1682"/>
      <c r="BP60" s="1682"/>
      <c r="BQ60" s="1683"/>
      <c r="BR60" s="1673"/>
      <c r="BS60" s="1682"/>
      <c r="BT60" s="1682"/>
      <c r="BU60" s="1683"/>
      <c r="BV60" s="1673"/>
      <c r="BW60" s="1682"/>
      <c r="BX60" s="1682"/>
      <c r="BY60" s="1683"/>
      <c r="BZ60" s="1673"/>
      <c r="CA60" s="1684"/>
      <c r="CB60" s="1684"/>
      <c r="CC60" s="1684"/>
      <c r="CD60" s="1684"/>
      <c r="CE60" s="1685"/>
      <c r="CF60" s="1685"/>
      <c r="CG60" s="1685"/>
      <c r="CH60" s="1685"/>
      <c r="CI60" s="1685"/>
      <c r="CJ60" s="1685"/>
      <c r="CK60" s="547"/>
    </row>
    <row r="61" spans="1:89" s="949" customFormat="1" ht="12" customHeight="1">
      <c r="A61" s="1476" t="s">
        <v>340</v>
      </c>
      <c r="B61" s="1160"/>
      <c r="C61" s="953"/>
      <c r="D61" s="953"/>
      <c r="E61" s="1161"/>
      <c r="F61" s="1160"/>
      <c r="G61" s="953"/>
      <c r="H61" s="953"/>
      <c r="I61" s="1161"/>
      <c r="J61" s="1160"/>
      <c r="K61" s="953"/>
      <c r="L61" s="953"/>
      <c r="M61" s="1161"/>
      <c r="N61" s="1160"/>
      <c r="O61" s="953"/>
      <c r="P61" s="953"/>
      <c r="Q61" s="1161"/>
      <c r="R61" s="1160"/>
      <c r="S61" s="953"/>
      <c r="T61" s="953"/>
      <c r="U61" s="1161"/>
      <c r="V61" s="1160"/>
      <c r="W61" s="953"/>
      <c r="X61" s="953"/>
      <c r="Y61" s="1161"/>
      <c r="Z61" s="1686"/>
      <c r="AA61" s="1687"/>
      <c r="AB61" s="1687"/>
      <c r="AC61" s="1687">
        <f>AC60/'Income Statement'!AC53</f>
        <v>2.9194496119584012E-3</v>
      </c>
      <c r="AD61" s="1686">
        <f>AD60/'Income Statement'!AD53</f>
        <v>4.2653529764898673E-3</v>
      </c>
      <c r="AE61" s="1687">
        <f>AE60/'Income Statement'!AE53</f>
        <v>4.784727675961155E-3</v>
      </c>
      <c r="AF61" s="1687">
        <f>IF(AF59=0,0,AF60/'Income Statement'!AF53)</f>
        <v>0</v>
      </c>
      <c r="AG61" s="1687">
        <f>AG60/'Income Statement'!AG53</f>
        <v>9.6889053959128973E-3</v>
      </c>
      <c r="AH61" s="1686">
        <f>AH60/'Income Statement'!AH53</f>
        <v>1.2887428313680005E-2</v>
      </c>
      <c r="AI61" s="1687">
        <f>AI60/'Income Statement'!AI53</f>
        <v>1.6276703967446592E-2</v>
      </c>
      <c r="AJ61" s="1687">
        <f>AJ60/'Income Statement'!AJ53</f>
        <v>1.6399760563495774E-2</v>
      </c>
      <c r="AK61" s="1687"/>
      <c r="AL61" s="1686">
        <f>AL60/'Income Statement'!AL53</f>
        <v>0</v>
      </c>
      <c r="AM61" s="1687">
        <f>AM60/'Income Statement'!AM53</f>
        <v>0</v>
      </c>
      <c r="AN61" s="1687">
        <f>AN60/'Income Statement'!AN53</f>
        <v>0</v>
      </c>
      <c r="AO61" s="1687">
        <f>AO60/'Income Statement'!AO53</f>
        <v>0</v>
      </c>
      <c r="AP61" s="1686">
        <f>AP60/'Income Statement'!AP53</f>
        <v>0</v>
      </c>
      <c r="AQ61" s="1687">
        <f>AQ60/'Income Statement'!AQ53</f>
        <v>0</v>
      </c>
      <c r="AR61" s="1687">
        <f>AR60/'Income Statement'!AR53</f>
        <v>0</v>
      </c>
      <c r="AS61" s="1687">
        <f>AS60/'Income Statement'!AS53</f>
        <v>0</v>
      </c>
      <c r="AT61" s="1160"/>
      <c r="AU61" s="953"/>
      <c r="AV61" s="953"/>
      <c r="AW61" s="953"/>
      <c r="AX61" s="1688"/>
      <c r="AY61" s="1688"/>
      <c r="AZ61" s="1689">
        <f>AZ60/'Income Statement'!AZ53</f>
        <v>0</v>
      </c>
      <c r="BA61" s="1686">
        <f>BA60/'Income Statement'!BA53</f>
        <v>2.9450814725407361E-3</v>
      </c>
      <c r="BB61" s="1689">
        <f>BB60/'Income Statement'!BB53</f>
        <v>1.8761791249946407E-2</v>
      </c>
      <c r="BC61" s="1690">
        <f>BC60/'Income Statement'!BC53</f>
        <v>4.5908224540405385E-2</v>
      </c>
      <c r="BD61" s="1690">
        <f>BD60/'Income Statement'!BD53</f>
        <v>0</v>
      </c>
      <c r="BE61" s="1690">
        <f>BE60/'Income Statement'!BE53</f>
        <v>0</v>
      </c>
      <c r="BF61" s="1688"/>
      <c r="BG61" s="1688"/>
      <c r="BH61" s="1688"/>
      <c r="BI61" s="1688"/>
      <c r="BJ61" s="525"/>
      <c r="BK61" s="525"/>
      <c r="BL61" s="1685"/>
      <c r="BM61" s="525"/>
      <c r="BN61" s="421"/>
      <c r="BO61" s="525"/>
      <c r="BP61" s="525"/>
      <c r="BQ61" s="1691"/>
      <c r="BR61" s="1673"/>
      <c r="BS61" s="525"/>
      <c r="BT61" s="525"/>
      <c r="BU61" s="1691"/>
      <c r="BV61" s="1673"/>
      <c r="BW61" s="525"/>
      <c r="BX61" s="525"/>
      <c r="BY61" s="1691"/>
      <c r="BZ61" s="1673"/>
      <c r="CA61" s="1692"/>
      <c r="CB61" s="1692"/>
      <c r="CC61" s="1692"/>
      <c r="CD61" s="1692"/>
      <c r="CE61" s="1693"/>
      <c r="CF61" s="1693"/>
      <c r="CG61" s="1693"/>
      <c r="CH61" s="525"/>
      <c r="CI61" s="525"/>
      <c r="CJ61" s="525"/>
      <c r="CK61" s="547"/>
    </row>
    <row r="62" spans="1:89" s="949" customFormat="1" ht="12" customHeight="1">
      <c r="A62" s="1476" t="s">
        <v>341</v>
      </c>
      <c r="B62" s="1160"/>
      <c r="C62" s="953"/>
      <c r="D62" s="953"/>
      <c r="E62" s="1161"/>
      <c r="F62" s="1160"/>
      <c r="G62" s="953"/>
      <c r="H62" s="953"/>
      <c r="I62" s="1161"/>
      <c r="J62" s="1160"/>
      <c r="K62" s="953"/>
      <c r="L62" s="953"/>
      <c r="M62" s="1161"/>
      <c r="N62" s="1160"/>
      <c r="O62" s="953"/>
      <c r="P62" s="953"/>
      <c r="Q62" s="1161"/>
      <c r="R62" s="1160"/>
      <c r="S62" s="953"/>
      <c r="T62" s="953"/>
      <c r="U62" s="1161"/>
      <c r="V62" s="1160"/>
      <c r="W62" s="953"/>
      <c r="X62" s="953"/>
      <c r="Y62" s="1161"/>
      <c r="Z62" s="1694"/>
      <c r="AA62" s="1695"/>
      <c r="AB62" s="1695"/>
      <c r="AC62" s="1695">
        <v>41.92</v>
      </c>
      <c r="AD62" s="1694">
        <v>47.53</v>
      </c>
      <c r="AE62" s="1695">
        <v>42.46</v>
      </c>
      <c r="AF62" s="1695" t="s">
        <v>342</v>
      </c>
      <c r="AG62" s="1695">
        <v>41.59</v>
      </c>
      <c r="AH62" s="1694"/>
      <c r="AI62" s="1695"/>
      <c r="AJ62" s="1695"/>
      <c r="AK62" s="1695"/>
      <c r="AL62" s="1694"/>
      <c r="AM62" s="1695"/>
      <c r="AN62" s="1695"/>
      <c r="AO62" s="1695"/>
      <c r="AP62" s="1694"/>
      <c r="AQ62" s="1695"/>
      <c r="AR62" s="1695"/>
      <c r="AS62" s="1695"/>
      <c r="AT62" s="1160"/>
      <c r="AU62" s="953"/>
      <c r="AV62" s="953"/>
      <c r="AW62" s="953"/>
      <c r="AX62" s="953"/>
      <c r="AY62" s="953"/>
      <c r="AZ62" s="1696" t="str">
        <f>IF(ISERROR(AZ59/AZ60),"NA",AZ59/AZ60)</f>
        <v>NA</v>
      </c>
      <c r="BA62" s="1694">
        <f>BA59/BA60</f>
        <v>41.921176734785533</v>
      </c>
      <c r="BB62" s="1696"/>
      <c r="BC62" s="1697"/>
      <c r="BD62" s="1697"/>
      <c r="BE62" s="1697"/>
      <c r="BF62" s="953"/>
      <c r="BG62" s="953"/>
      <c r="BH62" s="953"/>
      <c r="BI62" s="953"/>
      <c r="BJ62" s="953"/>
      <c r="BK62" s="1698"/>
      <c r="BL62" s="1698"/>
      <c r="BM62" s="1698"/>
      <c r="BN62" s="953"/>
      <c r="BO62" s="1698"/>
      <c r="BP62" s="1698"/>
      <c r="BQ62" s="1698"/>
      <c r="BR62" s="1698"/>
      <c r="BS62" s="1698"/>
      <c r="BT62" s="1698"/>
      <c r="BU62" s="1698"/>
      <c r="BV62" s="1698"/>
      <c r="BW62" s="1698"/>
      <c r="BX62" s="1698"/>
      <c r="BY62" s="1698"/>
      <c r="BZ62" s="1698"/>
      <c r="CA62" s="1595"/>
      <c r="CB62" s="1595"/>
      <c r="CC62" s="1595"/>
      <c r="CD62" s="1595"/>
      <c r="CE62" s="1698"/>
      <c r="CF62" s="1595"/>
      <c r="CG62" s="1595"/>
      <c r="CH62" s="1595"/>
      <c r="CI62" s="1595"/>
      <c r="CJ62" s="1595"/>
      <c r="CK62" s="1699"/>
    </row>
    <row r="63" spans="1:89" s="1674" customFormat="1" ht="12" customHeight="1">
      <c r="A63" s="1700" t="s">
        <v>343</v>
      </c>
      <c r="B63" s="1701"/>
      <c r="C63" s="1702"/>
      <c r="D63" s="1702"/>
      <c r="E63" s="1703"/>
      <c r="F63" s="1701"/>
      <c r="G63" s="1702"/>
      <c r="H63" s="1702"/>
      <c r="I63" s="1703"/>
      <c r="J63" s="1701"/>
      <c r="K63" s="1702"/>
      <c r="L63" s="1702"/>
      <c r="M63" s="1703"/>
      <c r="N63" s="1701"/>
      <c r="O63" s="1702"/>
      <c r="P63" s="1702"/>
      <c r="Q63" s="1703"/>
      <c r="R63" s="1701"/>
      <c r="S63" s="1702"/>
      <c r="T63" s="1702"/>
      <c r="U63" s="1703"/>
      <c r="V63" s="1701"/>
      <c r="W63" s="1702"/>
      <c r="X63" s="1702"/>
      <c r="Y63" s="1703"/>
      <c r="Z63" s="1704"/>
      <c r="AA63" s="1705"/>
      <c r="AB63" s="1705">
        <v>100</v>
      </c>
      <c r="AC63" s="1705">
        <f>AB63-AC59</f>
        <v>85.066000000000003</v>
      </c>
      <c r="AD63" s="1704">
        <f t="shared" ref="AD63:AJ63" si="161">AC63-AD59</f>
        <v>60.075000000000003</v>
      </c>
      <c r="AE63" s="1705">
        <f t="shared" si="161"/>
        <v>35.075000000000003</v>
      </c>
      <c r="AF63" s="1705">
        <f t="shared" si="161"/>
        <v>35.075000000000003</v>
      </c>
      <c r="AG63" s="1705">
        <f>AF63-AG59+200</f>
        <v>185.089</v>
      </c>
      <c r="AH63" s="1704">
        <f>AG63-AH59</f>
        <v>125.089</v>
      </c>
      <c r="AI63" s="1705">
        <f t="shared" si="161"/>
        <v>60.09</v>
      </c>
      <c r="AJ63" s="1705">
        <f t="shared" si="161"/>
        <v>0.12100000000000932</v>
      </c>
      <c r="AK63" s="1705">
        <f>AJ63-AK59+150</f>
        <v>85.643000000000001</v>
      </c>
      <c r="AL63" s="1704">
        <f t="shared" ref="AL63:AS63" si="162">AK63-AL59</f>
        <v>85.643000000000001</v>
      </c>
      <c r="AM63" s="1705">
        <f t="shared" si="162"/>
        <v>85.643000000000001</v>
      </c>
      <c r="AN63" s="1705">
        <f t="shared" si="162"/>
        <v>85.643000000000001</v>
      </c>
      <c r="AO63" s="1705">
        <f t="shared" si="162"/>
        <v>85.643000000000001</v>
      </c>
      <c r="AP63" s="1704">
        <f t="shared" si="162"/>
        <v>85.643000000000001</v>
      </c>
      <c r="AQ63" s="1705">
        <f t="shared" si="162"/>
        <v>85.643000000000001</v>
      </c>
      <c r="AR63" s="1705">
        <f t="shared" si="162"/>
        <v>85.643000000000001</v>
      </c>
      <c r="AS63" s="1705">
        <f t="shared" si="162"/>
        <v>85.643000000000001</v>
      </c>
      <c r="AT63" s="1668"/>
      <c r="AU63" s="1669"/>
      <c r="AV63" s="1669"/>
      <c r="AW63" s="1669"/>
      <c r="AX63" s="1670"/>
      <c r="AY63" s="1670"/>
      <c r="AZ63" s="1706">
        <f>Y63</f>
        <v>0</v>
      </c>
      <c r="BA63" s="1704">
        <f>AC63</f>
        <v>85.066000000000003</v>
      </c>
      <c r="BB63" s="1706">
        <f>AG63</f>
        <v>185.089</v>
      </c>
      <c r="BC63" s="1707">
        <f>AK63</f>
        <v>85.643000000000001</v>
      </c>
      <c r="BD63" s="1707">
        <f>AO63</f>
        <v>85.643000000000001</v>
      </c>
      <c r="BE63" s="1707">
        <f>AS63</f>
        <v>85.643000000000001</v>
      </c>
      <c r="BF63" s="1670"/>
      <c r="BG63" s="1670"/>
      <c r="BH63" s="1670"/>
      <c r="BI63" s="1670"/>
      <c r="BJ63" s="1708"/>
      <c r="BK63" s="1708"/>
      <c r="BL63" s="1708"/>
      <c r="BM63" s="1708"/>
      <c r="BN63" s="1708"/>
      <c r="BO63" s="1708"/>
      <c r="BP63" s="1708"/>
      <c r="BQ63" s="1683"/>
      <c r="BR63" s="1673"/>
      <c r="BS63" s="1708"/>
      <c r="BT63" s="1708"/>
      <c r="BU63" s="1683"/>
      <c r="BV63" s="1673"/>
      <c r="BW63" s="1708"/>
      <c r="BX63" s="1708"/>
      <c r="BY63" s="1683"/>
      <c r="BZ63" s="1673"/>
      <c r="CA63" s="1709"/>
      <c r="CB63" s="1709"/>
      <c r="CC63" s="1709"/>
      <c r="CD63" s="1709"/>
      <c r="CE63" s="1708"/>
      <c r="CF63" s="1710"/>
      <c r="CG63" s="1710"/>
      <c r="CH63" s="1709"/>
      <c r="CI63" s="1709"/>
      <c r="CJ63" s="1709"/>
      <c r="CK63" s="547"/>
    </row>
    <row r="64" spans="1:89" s="949" customFormat="1" ht="12" customHeight="1">
      <c r="A64" s="45" t="s">
        <v>130</v>
      </c>
      <c r="B64" s="1164"/>
      <c r="C64" s="1164"/>
      <c r="D64" s="1164"/>
      <c r="E64" s="1164"/>
      <c r="F64" s="1164"/>
      <c r="G64" s="1164"/>
      <c r="H64" s="1164"/>
      <c r="I64" s="1164"/>
      <c r="J64" s="1164"/>
      <c r="K64" s="1164"/>
      <c r="L64" s="1164"/>
      <c r="M64" s="1164"/>
      <c r="N64" s="1164"/>
      <c r="O64" s="1164"/>
      <c r="P64" s="1164"/>
      <c r="Q64" s="1164"/>
      <c r="R64" s="1164"/>
      <c r="S64" s="953"/>
      <c r="T64" s="953"/>
      <c r="U64" s="953"/>
      <c r="V64" s="953"/>
      <c r="W64" s="953"/>
      <c r="X64" s="953"/>
      <c r="Y64" s="953"/>
      <c r="Z64" s="953"/>
      <c r="AA64" s="953"/>
      <c r="AB64" s="953"/>
      <c r="AC64" s="953"/>
      <c r="AD64" s="953"/>
      <c r="AE64" s="953"/>
      <c r="AF64" s="953"/>
      <c r="AG64" s="953"/>
      <c r="AH64" s="953"/>
      <c r="AI64" s="953"/>
      <c r="AJ64" s="953"/>
      <c r="AK64" s="953"/>
      <c r="AL64" s="953"/>
      <c r="AM64" s="953"/>
      <c r="AN64" s="953"/>
      <c r="AO64" s="953"/>
      <c r="AP64" s="953"/>
      <c r="AQ64" s="953"/>
      <c r="AR64" s="953"/>
      <c r="AS64" s="953"/>
      <c r="AT64" s="1660"/>
      <c r="AU64" s="953"/>
      <c r="AV64" s="953"/>
      <c r="AW64" s="953"/>
      <c r="AX64" s="953"/>
      <c r="AY64" s="953"/>
      <c r="AZ64" s="953"/>
      <c r="BA64" s="953"/>
      <c r="BB64" s="953"/>
      <c r="BC64" s="953"/>
      <c r="BD64" s="953"/>
      <c r="BE64" s="953"/>
    </row>
    <row r="65" spans="1:57" s="949" customFormat="1" ht="11.65">
      <c r="A65" s="1711"/>
      <c r="B65" s="1164"/>
      <c r="C65" s="1164"/>
      <c r="D65" s="1164"/>
      <c r="E65" s="1164"/>
      <c r="F65" s="1164"/>
      <c r="G65" s="1164"/>
      <c r="H65" s="1164"/>
      <c r="I65" s="1164"/>
      <c r="J65" s="1164"/>
      <c r="K65" s="1164"/>
      <c r="L65" s="1164"/>
      <c r="M65" s="1164"/>
      <c r="N65" s="1164"/>
      <c r="O65" s="1164"/>
      <c r="P65" s="1164"/>
      <c r="Q65" s="1164"/>
      <c r="R65" s="1164"/>
      <c r="S65" s="953"/>
      <c r="T65" s="953"/>
      <c r="U65" s="953"/>
      <c r="V65" s="953"/>
      <c r="W65" s="953"/>
      <c r="X65" s="953"/>
      <c r="Y65" s="953"/>
      <c r="Z65" s="953"/>
      <c r="AA65" s="953"/>
      <c r="AB65" s="953"/>
      <c r="AC65" s="953"/>
      <c r="AD65" s="953"/>
      <c r="AE65" s="953"/>
      <c r="AF65" s="953"/>
      <c r="AG65" s="953"/>
      <c r="AH65" s="953"/>
      <c r="AI65" s="953"/>
      <c r="AJ65" s="953"/>
      <c r="AK65" s="953"/>
      <c r="AL65" s="953"/>
      <c r="AM65" s="953"/>
      <c r="AN65" s="953"/>
      <c r="AO65" s="953"/>
      <c r="AP65" s="953"/>
      <c r="AQ65" s="953"/>
      <c r="AR65" s="953"/>
      <c r="AS65" s="953"/>
      <c r="AT65" s="1660"/>
      <c r="AU65" s="953"/>
      <c r="AV65" s="953"/>
      <c r="AW65" s="953"/>
      <c r="AX65" s="953"/>
      <c r="AY65" s="953"/>
      <c r="AZ65" s="953"/>
      <c r="BA65" s="953"/>
      <c r="BB65" s="953"/>
      <c r="BC65" s="953"/>
      <c r="BD65" s="953"/>
      <c r="BE65" s="953"/>
    </row>
    <row r="66" spans="1:57" s="1231" customFormat="1" ht="12.6" customHeight="1">
      <c r="A66" s="521" t="s">
        <v>14</v>
      </c>
      <c r="F66" s="1375"/>
      <c r="J66" s="1375"/>
    </row>
    <row r="67" spans="1:57" s="1231" customFormat="1" ht="12.6" customHeight="1">
      <c r="A67" s="288" t="s">
        <v>81</v>
      </c>
      <c r="B67" s="1231">
        <f>+'Income Statement'!B9</f>
        <v>40.481000000000002</v>
      </c>
      <c r="C67" s="1231">
        <f>+'Income Statement'!C9</f>
        <v>44.149000000000001</v>
      </c>
      <c r="D67" s="1231">
        <f>+'Income Statement'!D9</f>
        <v>48.980000000000004</v>
      </c>
      <c r="E67" s="1231">
        <f>+'Income Statement'!E9</f>
        <v>54.117000000000004</v>
      </c>
      <c r="F67" s="1231">
        <f>+'Income Statement'!F9</f>
        <v>59.106999999999999</v>
      </c>
      <c r="G67" s="1231">
        <f>+'Income Statement'!G9</f>
        <v>63.591999999999999</v>
      </c>
      <c r="H67" s="1231">
        <f>+'Income Statement'!H9</f>
        <v>69.44</v>
      </c>
      <c r="I67" s="1231">
        <f>+'Income Statement'!I9</f>
        <v>75.221000000000004</v>
      </c>
      <c r="J67" s="1231">
        <f>+'Income Statement'!J9</f>
        <v>80.301000000000002</v>
      </c>
      <c r="K67" s="1231">
        <f>+'Income Statement'!K9</f>
        <v>85.384</v>
      </c>
      <c r="L67" s="1231">
        <f>+'Income Statement'!L9</f>
        <v>91.852000000000004</v>
      </c>
      <c r="M67" s="1231">
        <f>+'Income Statement'!M9</f>
        <v>97.048999999999978</v>
      </c>
      <c r="N67" s="1231">
        <f>+'Income Statement'!N9</f>
        <v>102.648</v>
      </c>
      <c r="O67" s="1231">
        <f>+'Income Statement'!O9</f>
        <v>107.209</v>
      </c>
      <c r="P67" s="1231">
        <f>+'Income Statement'!P9</f>
        <v>112.28200000000001</v>
      </c>
      <c r="Q67" s="1231">
        <f>+'Income Statement'!Q9</f>
        <v>118.08200000000001</v>
      </c>
      <c r="R67" s="1231">
        <f>+'Income Statement'!R9</f>
        <v>123.18900000000001</v>
      </c>
      <c r="S67" s="1231">
        <f>+'Income Statement'!S9</f>
        <v>130.25900000000001</v>
      </c>
      <c r="T67" s="1231">
        <f>+'Income Statement'!T9</f>
        <v>138.66399999999999</v>
      </c>
      <c r="U67" s="1231">
        <f>+'Income Statement'!U9</f>
        <v>149.018</v>
      </c>
      <c r="V67" s="1231">
        <f>+'Income Statement'!V9</f>
        <v>159.36799999999999</v>
      </c>
      <c r="W67" s="1231">
        <f>+'Income Statement'!W9</f>
        <v>164.34100000000001</v>
      </c>
      <c r="X67" s="1231">
        <f>+'Income Statement'!X9</f>
        <v>174.851</v>
      </c>
      <c r="Y67" s="1231">
        <f>+'Income Statement'!Y9</f>
        <v>184.631</v>
      </c>
      <c r="Z67" s="1231">
        <f>+'Income Statement'!Z9</f>
        <v>188.83900000000003</v>
      </c>
      <c r="AA67" s="1231">
        <f>+'Income Statement'!AA9</f>
        <v>195.036</v>
      </c>
      <c r="AB67" s="1231">
        <f>+'Income Statement'!AB9</f>
        <v>201.529</v>
      </c>
      <c r="AC67" s="1231">
        <f>+'Income Statement'!AC9</f>
        <v>213.30599999999998</v>
      </c>
      <c r="AD67" s="1231">
        <f>+'Income Statement'!AD9</f>
        <v>215.96099999999998</v>
      </c>
      <c r="AE67" s="1231">
        <f>+'Income Statement'!AE9</f>
        <v>221.24100000000001</v>
      </c>
      <c r="AF67" s="1231">
        <f>+'Income Statement'!AF9</f>
        <v>227.08799999999999</v>
      </c>
      <c r="AG67" s="1231">
        <f>+'Income Statement'!AG9</f>
        <v>235.73099999999999</v>
      </c>
      <c r="AH67" s="1231">
        <f>+'Income Statement'!AH9</f>
        <v>239.137</v>
      </c>
      <c r="AI67" s="1231">
        <f>+'Income Statement'!AI9</f>
        <v>247.29500000000002</v>
      </c>
      <c r="AJ67" s="1231">
        <f>+'Income Statement'!AJ9</f>
        <v>252.44</v>
      </c>
      <c r="AK67" s="1231">
        <f>+'Income Statement'!AK9</f>
        <v>260.53300000000002</v>
      </c>
      <c r="AL67" s="1231">
        <f>+'Income Statement'!AL9</f>
        <v>258.56678500000004</v>
      </c>
      <c r="AM67" s="1231">
        <f>+'Income Statement'!AM9</f>
        <v>265.53653500000001</v>
      </c>
      <c r="AN67" s="1231">
        <f>+'Income Statement'!AN9</f>
        <v>268.74702500000001</v>
      </c>
      <c r="AO67" s="1231">
        <f>+'Income Statement'!AO9</f>
        <v>277.3886</v>
      </c>
      <c r="AP67" s="1231">
        <f>+'Income Statement'!AP9</f>
        <v>275.6068478665</v>
      </c>
      <c r="AQ67" s="1231">
        <f>+'Income Statement'!AQ9</f>
        <v>283.01608489799997</v>
      </c>
      <c r="AR67" s="1231">
        <f>+'Income Statement'!AR9</f>
        <v>286.39622882750007</v>
      </c>
      <c r="AS67" s="1231">
        <f>+'Income Statement'!AS9</f>
        <v>295.59132316000006</v>
      </c>
    </row>
    <row r="68" spans="1:57" s="1231" customFormat="1" ht="12.6" customHeight="1">
      <c r="A68" s="288" t="s">
        <v>272</v>
      </c>
      <c r="B68" s="1231">
        <f>+'Income Statement'!B16</f>
        <v>4.2329999999999997</v>
      </c>
      <c r="C68" s="1231">
        <f>+'Income Statement'!C16</f>
        <v>5.1470000000000002</v>
      </c>
      <c r="D68" s="1231">
        <f>+'Income Statement'!D16</f>
        <v>7.2100000000000009</v>
      </c>
      <c r="E68" s="1231">
        <f>+'Income Statement'!E16</f>
        <v>8.113999999999999</v>
      </c>
      <c r="F68" s="1231">
        <f>+'Income Statement'!F16</f>
        <v>8.5</v>
      </c>
      <c r="G68" s="1231">
        <f>+'Income Statement'!G16</f>
        <v>9.613999999999999</v>
      </c>
      <c r="H68" s="1231">
        <f>+'Income Statement'!H16</f>
        <v>11.318</v>
      </c>
      <c r="I68" s="1231">
        <f>+'Income Statement'!I16</f>
        <v>11.424999999999999</v>
      </c>
      <c r="J68" s="1231">
        <f>+'Income Statement'!J16</f>
        <v>12.423000000000002</v>
      </c>
      <c r="K68" s="1231">
        <f>+'Income Statement'!K16</f>
        <v>13.024999999999999</v>
      </c>
      <c r="L68" s="1231">
        <f>+'Income Statement'!L16</f>
        <v>14.425999999999998</v>
      </c>
      <c r="M68" s="1231">
        <f>+'Income Statement'!M16</f>
        <v>17.506999999999998</v>
      </c>
      <c r="N68" s="1231">
        <f>+'Income Statement'!N16</f>
        <v>17.375</v>
      </c>
      <c r="O68" s="1231">
        <f>+'Income Statement'!O16</f>
        <v>17.734000000000002</v>
      </c>
      <c r="P68" s="1231">
        <f>+'Income Statement'!P16</f>
        <v>17.988999999999997</v>
      </c>
      <c r="Q68" s="1231">
        <f>+'Income Statement'!Q16</f>
        <v>18.984000000000002</v>
      </c>
      <c r="R68" s="1231">
        <f>+'Income Statement'!R16</f>
        <v>20.556999999999999</v>
      </c>
      <c r="S68" s="1231">
        <f>+'Income Statement'!S16</f>
        <v>23.818999999999999</v>
      </c>
      <c r="T68" s="1231">
        <f>+'Income Statement'!T16</f>
        <v>24.144000000000002</v>
      </c>
      <c r="U68" s="1231">
        <f>+'Income Statement'!U16</f>
        <v>26.983000000000001</v>
      </c>
      <c r="V68" s="1231">
        <f>+'Income Statement'!V16</f>
        <v>30.990000000000002</v>
      </c>
      <c r="W68" s="1231">
        <f>+'Income Statement'!W16</f>
        <v>31.138000000000002</v>
      </c>
      <c r="X68" s="1231">
        <f>+'Income Statement'!X16</f>
        <v>33.161000000000001</v>
      </c>
      <c r="Y68" s="1231">
        <f>+'Income Statement'!Y16</f>
        <v>39.759</v>
      </c>
      <c r="Z68" s="1231">
        <f>+'Income Statement'!Z16</f>
        <v>39.801000000000002</v>
      </c>
      <c r="AA68" s="1231">
        <f>+'Income Statement'!AA16</f>
        <v>37.535000000000004</v>
      </c>
      <c r="AB68" s="1231">
        <f>+'Income Statement'!AB16</f>
        <v>39.687999999999995</v>
      </c>
      <c r="AC68" s="1231">
        <f>+'Income Statement'!AC16</f>
        <v>41.447000000000003</v>
      </c>
      <c r="AD68" s="1231">
        <f>+'Income Statement'!AD16</f>
        <v>41.281000000000006</v>
      </c>
      <c r="AE68" s="1231">
        <f>+'Income Statement'!AE16</f>
        <v>40.750000000000007</v>
      </c>
      <c r="AF68" s="1231">
        <f>+'Income Statement'!AF16</f>
        <v>42.268999999999998</v>
      </c>
      <c r="AG68" s="1231">
        <f>+'Income Statement'!AG16</f>
        <v>43.233999999999995</v>
      </c>
      <c r="AH68" s="1231">
        <f>+'Income Statement'!AH16</f>
        <v>43.281000000000006</v>
      </c>
      <c r="AI68" s="1231">
        <f>+'Income Statement'!AI16</f>
        <v>44.436999999999998</v>
      </c>
      <c r="AJ68" s="1231">
        <f>+'Income Statement'!AJ16</f>
        <v>46.475999999999999</v>
      </c>
      <c r="AK68" s="1231">
        <f>+'Income Statement'!AK16</f>
        <v>45.063999999999993</v>
      </c>
      <c r="AL68" s="1231">
        <f>+'Income Statement'!AL16</f>
        <v>47.056130614875777</v>
      </c>
      <c r="AM68" s="1231">
        <f>+'Income Statement'!AM16</f>
        <v>47.980399374099072</v>
      </c>
      <c r="AN68" s="1231">
        <f>+'Income Statement'!AN16</f>
        <v>47.836970450000017</v>
      </c>
      <c r="AO68" s="1231">
        <f>+'Income Statement'!AO16</f>
        <v>47.988227800000011</v>
      </c>
      <c r="AP68" s="1231">
        <f>+'Income Statement'!AP16</f>
        <v>50.432829600047214</v>
      </c>
      <c r="AQ68" s="1231">
        <f>+'Income Statement'!AQ16</f>
        <v>51.421835015031164</v>
      </c>
      <c r="AR68" s="1231">
        <f>+'Income Statement'!AR16</f>
        <v>51.264924960122528</v>
      </c>
      <c r="AS68" s="1231">
        <f>+'Income Statement'!AS16</f>
        <v>51.432890229840027</v>
      </c>
    </row>
    <row r="69" spans="1:57" s="1231" customFormat="1" ht="12.6" customHeight="1">
      <c r="A69" s="288" t="s">
        <v>273</v>
      </c>
      <c r="B69" s="1231">
        <f>+'Income Statement'!B21</f>
        <v>25.898</v>
      </c>
      <c r="C69" s="1231">
        <f>+'Income Statement'!C21</f>
        <v>27.414999999999999</v>
      </c>
      <c r="D69" s="1231">
        <f>+'Income Statement'!D21</f>
        <v>29.165000000000003</v>
      </c>
      <c r="E69" s="1231">
        <f>+'Income Statement'!E21</f>
        <v>32.241999999999997</v>
      </c>
      <c r="F69" s="1231">
        <f>+'Income Statement'!F21</f>
        <v>38.986000000000004</v>
      </c>
      <c r="G69" s="1231">
        <f>+'Income Statement'!G21</f>
        <v>41.151000000000003</v>
      </c>
      <c r="H69" s="1231">
        <f>+'Income Statement'!H21</f>
        <v>41.842999999999996</v>
      </c>
      <c r="I69" s="1231">
        <f>+'Income Statement'!I21</f>
        <v>44.453000000000003</v>
      </c>
      <c r="J69" s="1231">
        <f>+'Income Statement'!J21</f>
        <v>49.323</v>
      </c>
      <c r="K69" s="1231">
        <f>+'Income Statement'!K21</f>
        <v>51.8</v>
      </c>
      <c r="L69" s="1231">
        <f>+'Income Statement'!L21</f>
        <v>53.177999999999997</v>
      </c>
      <c r="M69" s="1231">
        <f>+'Income Statement'!M21</f>
        <v>57.701999999999998</v>
      </c>
      <c r="N69" s="1231">
        <f>+'Income Statement'!N21</f>
        <v>55.358999999999995</v>
      </c>
      <c r="O69" s="1231">
        <f>+'Income Statement'!O21</f>
        <v>50.067999999999998</v>
      </c>
      <c r="P69" s="1231">
        <f>+'Income Statement'!P21</f>
        <v>48.239000000000004</v>
      </c>
      <c r="Q69" s="1231">
        <f>+'Income Statement'!Q21</f>
        <v>50.768999999999998</v>
      </c>
      <c r="R69" s="1231">
        <f>+'Income Statement'!R21</f>
        <v>52.338999999999999</v>
      </c>
      <c r="S69" s="1231">
        <f>+'Income Statement'!S21</f>
        <v>58.100999999999999</v>
      </c>
      <c r="T69" s="1231">
        <f>+'Income Statement'!T21</f>
        <v>60.731000000000002</v>
      </c>
      <c r="U69" s="1231">
        <f>+'Income Statement'!U21</f>
        <v>69.457999999999998</v>
      </c>
      <c r="V69" s="1231">
        <f>+'Income Statement'!V21</f>
        <v>71.504999999999995</v>
      </c>
      <c r="W69" s="1231">
        <f>+'Income Statement'!W21</f>
        <v>75.66</v>
      </c>
      <c r="X69" s="1231">
        <f>+'Income Statement'!X21</f>
        <v>74.534000000000006</v>
      </c>
      <c r="Y69" s="1231">
        <f>+'Income Statement'!Y21</f>
        <v>78.348000000000013</v>
      </c>
      <c r="Z69" s="1231">
        <f>+'Income Statement'!Z21</f>
        <v>82.796999999999997</v>
      </c>
      <c r="AA69" s="1231">
        <f>+'Income Statement'!AA21</f>
        <v>81.376999999999995</v>
      </c>
      <c r="AB69" s="1231">
        <f>+'Income Statement'!AB21</f>
        <v>78.954000000000008</v>
      </c>
      <c r="AC69" s="1231">
        <f>+'Income Statement'!AC21</f>
        <v>89</v>
      </c>
      <c r="AD69" s="1231">
        <f>+'Income Statement'!AD21</f>
        <v>84.525000000000006</v>
      </c>
      <c r="AE69" s="1231">
        <f>+'Income Statement'!AE21</f>
        <v>84.853000000000009</v>
      </c>
      <c r="AF69" s="1231">
        <f>+'Income Statement'!AF21</f>
        <v>83.141999999999996</v>
      </c>
      <c r="AG69" s="1231">
        <f>+'Income Statement'!AG21</f>
        <v>80.138000000000005</v>
      </c>
      <c r="AH69" s="1231">
        <f>+'Income Statement'!AH21</f>
        <v>85.498000000000005</v>
      </c>
      <c r="AI69" s="1231">
        <f>+'Income Statement'!AI21</f>
        <v>89.015000000000001</v>
      </c>
      <c r="AJ69" s="1231">
        <f>+'Income Statement'!AJ21</f>
        <v>82.897999999999996</v>
      </c>
      <c r="AK69" s="1231">
        <f>+'Income Statement'!AK21</f>
        <v>89.425000000000011</v>
      </c>
      <c r="AL69" s="1231">
        <f>+'Income Statement'!AL21</f>
        <v>91.15184416299978</v>
      </c>
      <c r="AM69" s="1231">
        <f>+'Income Statement'!AM21</f>
        <v>91.598078415182783</v>
      </c>
      <c r="AN69" s="1231">
        <f>+'Income Statement'!AN21</f>
        <v>84.221808721220881</v>
      </c>
      <c r="AO69" s="1231">
        <f>+'Income Statement'!AO21</f>
        <v>91.049664699454581</v>
      </c>
      <c r="AP69" s="1231">
        <f>+'Income Statement'!AP21</f>
        <v>95.780896854554101</v>
      </c>
      <c r="AQ69" s="1231">
        <f>+'Income Statement'!AQ21</f>
        <v>96.212651056019922</v>
      </c>
      <c r="AR69" s="1231">
        <f>+'Income Statement'!AR21</f>
        <v>88.320857618593791</v>
      </c>
      <c r="AS69" s="1231">
        <f>+'Income Statement'!AS21</f>
        <v>95.546545695348073</v>
      </c>
    </row>
    <row r="70" spans="1:57" s="1231" customFormat="1" ht="12.6" customHeight="1">
      <c r="A70" s="288" t="s">
        <v>274</v>
      </c>
      <c r="B70" s="1231">
        <f>+'Income Statement'!B25</f>
        <v>-6.9690000000000012</v>
      </c>
      <c r="C70" s="1231">
        <f>+'Income Statement'!C25</f>
        <v>-7.2289999999999992</v>
      </c>
      <c r="D70" s="1231">
        <f>+'Income Statement'!D25</f>
        <v>-8.982999999999997</v>
      </c>
      <c r="E70" s="1231">
        <f>+'Income Statement'!E25</f>
        <v>-9.215999999999994</v>
      </c>
      <c r="F70" s="1231">
        <f>+'Income Statement'!F25</f>
        <v>-12.899000000000008</v>
      </c>
      <c r="G70" s="1231">
        <f>+'Income Statement'!G25</f>
        <v>-13.270000000000003</v>
      </c>
      <c r="H70" s="1231">
        <f>+'Income Statement'!H25</f>
        <v>-12.161999999999992</v>
      </c>
      <c r="I70" s="1231">
        <f>+'Income Statement'!I25</f>
        <v>-10.772000000000006</v>
      </c>
      <c r="J70" s="1231">
        <f>+'Income Statement'!J25</f>
        <v>-13.214999999999989</v>
      </c>
      <c r="K70" s="1231">
        <f>+'Income Statement'!K25</f>
        <v>-10.709999999999994</v>
      </c>
      <c r="L70" s="1231">
        <f>+'Income Statement'!L25</f>
        <v>-7.703000000000003</v>
      </c>
      <c r="M70" s="1231">
        <f>+'Income Statement'!M25</f>
        <v>-11.138000000000034</v>
      </c>
      <c r="N70" s="1231">
        <f>+'Income Statement'!N25</f>
        <v>-7.7189999999999941</v>
      </c>
      <c r="O70" s="1231">
        <f>+'Income Statement'!O25</f>
        <v>5.6789999999999878</v>
      </c>
      <c r="P70" s="1231">
        <f>+'Income Statement'!P25</f>
        <v>12.414000000000001</v>
      </c>
      <c r="Q70" s="1231">
        <f>+'Income Statement'!Q25</f>
        <v>15.419000000000011</v>
      </c>
      <c r="R70" s="1231">
        <f>+'Income Statement'!R25</f>
        <v>13.887</v>
      </c>
      <c r="S70" s="1231">
        <f>+'Income Statement'!S25</f>
        <v>11.534000000000006</v>
      </c>
      <c r="T70" s="1231">
        <f>+'Income Statement'!T25</f>
        <v>13.684999999999974</v>
      </c>
      <c r="U70" s="1231">
        <f>+'Income Statement'!U25</f>
        <v>11.878999999999991</v>
      </c>
      <c r="V70" s="1231">
        <f>+'Income Statement'!V25</f>
        <v>12.455999999999989</v>
      </c>
      <c r="W70" s="1231">
        <f>+'Income Statement'!W25</f>
        <v>12.191000000000003</v>
      </c>
      <c r="X70" s="1231">
        <f>+'Income Statement'!X25</f>
        <v>23.086999999999989</v>
      </c>
      <c r="Y70" s="1231">
        <f>+'Income Statement'!Y25</f>
        <v>19.936000000000007</v>
      </c>
      <c r="Z70" s="1231">
        <f>+'Income Statement'!Z25</f>
        <v>18.14100000000002</v>
      </c>
      <c r="AA70" s="1231">
        <f>+'Income Statement'!AA25</f>
        <v>30.218000000000004</v>
      </c>
      <c r="AB70" s="1231">
        <f>+'Income Statement'!AB25</f>
        <v>36.574999999999989</v>
      </c>
      <c r="AC70" s="1231">
        <f>+'Income Statement'!AC25</f>
        <v>36.062999999999988</v>
      </c>
      <c r="AD70" s="1231">
        <f>+'Income Statement'!AD25</f>
        <v>37.007999999999981</v>
      </c>
      <c r="AE70" s="1231">
        <f>+'Income Statement'!AE25</f>
        <v>42.78400000000002</v>
      </c>
      <c r="AF70" s="1231">
        <f>+'Income Statement'!AF25</f>
        <v>44.974999999999994</v>
      </c>
      <c r="AG70" s="1231">
        <f>+'Income Statement'!AG25</f>
        <v>59.350999999999999</v>
      </c>
      <c r="AH70" s="1231">
        <f>+'Income Statement'!AH25</f>
        <v>48.676999999999992</v>
      </c>
      <c r="AI70" s="1231">
        <f>+'Income Statement'!AI25</f>
        <v>47.696000000000026</v>
      </c>
      <c r="AJ70" s="1231">
        <f>+'Income Statement'!AJ25</f>
        <v>58.912999999999982</v>
      </c>
      <c r="AK70" s="1231">
        <f>+'Income Statement'!AK25</f>
        <v>63.693000000000012</v>
      </c>
      <c r="AL70" s="1231">
        <f>+'Income Statement'!AL25</f>
        <v>54.124983671035835</v>
      </c>
      <c r="AM70" s="1231">
        <f>+'Income Statement'!AM25</f>
        <v>55.71964124690399</v>
      </c>
      <c r="AN70" s="1231">
        <f>+'Income Statement'!AN25</f>
        <v>67.959781879032619</v>
      </c>
      <c r="AO70" s="1231">
        <f>+'Income Statement'!AO25</f>
        <v>72.677410244904081</v>
      </c>
      <c r="AP70" s="1231">
        <f>+'Income Statement'!AP25</f>
        <v>59.345568302057472</v>
      </c>
      <c r="AQ70" s="1231">
        <f>+'Income Statement'!AQ25</f>
        <v>61.08561061406624</v>
      </c>
      <c r="AR70" s="1231">
        <f>+'Income Statement'!AR25</f>
        <v>74.14122648950655</v>
      </c>
      <c r="AS70" s="1231">
        <f>+'Income Statement'!AS25</f>
        <v>79.220176452652851</v>
      </c>
    </row>
    <row r="71" spans="1:57" s="1231" customFormat="1" ht="12.95" customHeight="1">
      <c r="A71" s="288" t="s">
        <v>275</v>
      </c>
      <c r="B71" s="1231">
        <f>+'Income Statement'!B39</f>
        <v>-7.0590000000000011</v>
      </c>
      <c r="C71" s="1231">
        <f>+'Income Statement'!C39</f>
        <v>-7.2259999999999991</v>
      </c>
      <c r="D71" s="1231">
        <f>+'Income Statement'!D39</f>
        <v>-9.1469999999999967</v>
      </c>
      <c r="E71" s="1231">
        <f>+'Income Statement'!E39</f>
        <v>-9.2809999999999935</v>
      </c>
      <c r="F71" s="1231">
        <f>+'Income Statement'!F39</f>
        <v>-13.361000000000008</v>
      </c>
      <c r="G71" s="1231">
        <f>+'Income Statement'!G39</f>
        <v>-14.000000000000004</v>
      </c>
      <c r="H71" s="1231">
        <f>+'Income Statement'!H39</f>
        <v>-12.024999999999991</v>
      </c>
      <c r="I71" s="1231">
        <f>+'Income Statement'!I39</f>
        <v>-10.875000000000007</v>
      </c>
      <c r="J71" s="1231">
        <f>+'Income Statement'!J39</f>
        <v>-12.618999999999989</v>
      </c>
      <c r="K71" s="1231">
        <f>+'Income Statement'!K39</f>
        <v>-9.9829999999999934</v>
      </c>
      <c r="L71" s="1231">
        <f>+'Income Statement'!L39</f>
        <v>-6.743000000000003</v>
      </c>
      <c r="M71" s="1231">
        <f>+'Income Statement'!M39</f>
        <v>-11.148000000000033</v>
      </c>
      <c r="N71" s="1231">
        <f>+'Income Statement'!N39</f>
        <v>-8.8259999999999934</v>
      </c>
      <c r="O71" s="1231">
        <f>+'Income Statement'!O39</f>
        <v>4.7209999999999877</v>
      </c>
      <c r="P71" s="1231">
        <f>+'Income Statement'!P39</f>
        <v>10.518000000000001</v>
      </c>
      <c r="Q71" s="1231">
        <f>+'Income Statement'!Q39</f>
        <v>14.381000000000011</v>
      </c>
      <c r="R71" s="1231">
        <f>+'Income Statement'!R39</f>
        <v>14.745000000000001</v>
      </c>
      <c r="S71" s="1231">
        <f>+'Income Statement'!S39</f>
        <v>10.160000000000005</v>
      </c>
      <c r="T71" s="1231">
        <f>+'Income Statement'!T39</f>
        <v>8.0959999999999752</v>
      </c>
      <c r="U71" s="1231">
        <f>+'Income Statement'!U39</f>
        <v>5.9399999999999906</v>
      </c>
      <c r="V71" s="1231">
        <f>+'Income Statement'!V39</f>
        <v>6.9649999999999892</v>
      </c>
      <c r="W71" s="1231">
        <f>+'Income Statement'!W39</f>
        <v>5.9630000000000027</v>
      </c>
      <c r="X71" s="1231">
        <f>+'Income Statement'!X39</f>
        <v>17.182999999999989</v>
      </c>
      <c r="Y71" s="1231">
        <f>+'Income Statement'!Y39</f>
        <v>14.204000000000006</v>
      </c>
      <c r="Z71" s="1231">
        <f>+'Income Statement'!Z39</f>
        <v>13.06300000000002</v>
      </c>
      <c r="AA71" s="1231">
        <f>+'Income Statement'!AA39</f>
        <v>26.266000000000005</v>
      </c>
      <c r="AB71" s="1231">
        <f>+'Income Statement'!AB39</f>
        <v>27.667999999999989</v>
      </c>
      <c r="AC71" s="1231">
        <f>+'Income Statement'!AC39</f>
        <v>30.157999999999987</v>
      </c>
      <c r="AD71" s="1231">
        <f>+'Income Statement'!AD39</f>
        <v>30.43999999999998</v>
      </c>
      <c r="AE71" s="1231">
        <f>+'Income Statement'!AE39</f>
        <v>38.16200000000002</v>
      </c>
      <c r="AF71" s="1231">
        <f>+'Income Statement'!AF39</f>
        <v>39.322999999999993</v>
      </c>
      <c r="AG71" s="1231">
        <f>+'Income Statement'!AG39</f>
        <v>50.664000000000001</v>
      </c>
      <c r="AH71" s="1231">
        <f>+'Income Statement'!AH39</f>
        <v>44.249999999999993</v>
      </c>
      <c r="AI71" s="1231">
        <f>+'Income Statement'!AI39</f>
        <v>41.437000000000026</v>
      </c>
      <c r="AJ71" s="1231">
        <f>+'Income Statement'!AJ39</f>
        <v>51.437999999999981</v>
      </c>
      <c r="AK71" s="1231">
        <f>+'Income Statement'!AK39</f>
        <v>57.305000000000014</v>
      </c>
      <c r="AL71" s="1231">
        <f>+'Income Statement'!AL39</f>
        <v>47.861983671035837</v>
      </c>
      <c r="AM71" s="1231">
        <f>+'Income Statement'!AM39</f>
        <v>46.73164124690399</v>
      </c>
      <c r="AN71" s="1231">
        <f>+'Income Statement'!AN39</f>
        <v>59.171781879032615</v>
      </c>
      <c r="AO71" s="1231">
        <f>+'Income Statement'!AO39</f>
        <v>64.089410244904087</v>
      </c>
      <c r="AP71" s="1231">
        <f>+'Income Statement'!AP39</f>
        <v>50.957568302057467</v>
      </c>
      <c r="AQ71" s="1231">
        <f>+'Income Statement'!AQ39</f>
        <v>52.897610614066238</v>
      </c>
      <c r="AR71" s="1231">
        <f>+'Income Statement'!AR39</f>
        <v>66.153226489506537</v>
      </c>
      <c r="AS71" s="1231">
        <f>+'Income Statement'!AS39</f>
        <v>71.432176452652854</v>
      </c>
    </row>
    <row r="72" spans="1:57" ht="12.95" customHeight="1"/>
    <row r="73" spans="1:57" s="1231" customFormat="1" ht="12.6" customHeight="1">
      <c r="A73" s="521" t="s">
        <v>344</v>
      </c>
    </row>
    <row r="74" spans="1:57" s="288" customFormat="1" ht="12.95" customHeight="1">
      <c r="A74" s="1712" t="s">
        <v>345</v>
      </c>
      <c r="B74" s="1713">
        <f t="shared" ref="B74:AS74" si="163">+-B23/B67</f>
        <v>1.1363355648328846E-2</v>
      </c>
      <c r="C74" s="1713">
        <f t="shared" si="163"/>
        <v>5.0057758952637664E-3</v>
      </c>
      <c r="D74" s="1713">
        <f t="shared" si="163"/>
        <v>1.9334422213148218E-2</v>
      </c>
      <c r="E74" s="1713">
        <f t="shared" si="163"/>
        <v>2.0825248997542359E-2</v>
      </c>
      <c r="F74" s="1713">
        <f t="shared" si="163"/>
        <v>2.7001877950158189E-2</v>
      </c>
      <c r="G74" s="1713">
        <f t="shared" si="163"/>
        <v>2.1732293370235252E-2</v>
      </c>
      <c r="H74" s="1713">
        <f t="shared" si="163"/>
        <v>1.673387096774193E-2</v>
      </c>
      <c r="I74" s="1713">
        <f t="shared" si="163"/>
        <v>2.1177596681777686E-2</v>
      </c>
      <c r="J74" s="1713">
        <f t="shared" si="163"/>
        <v>2.8716952466345376E-2</v>
      </c>
      <c r="K74" s="1713">
        <f t="shared" si="163"/>
        <v>3.5475030450669916E-2</v>
      </c>
      <c r="L74" s="1713">
        <f t="shared" si="163"/>
        <v>5.364063928929147E-2</v>
      </c>
      <c r="M74" s="1713">
        <f t="shared" si="163"/>
        <v>0.10728601015981619</v>
      </c>
      <c r="N74" s="1713">
        <f t="shared" si="163"/>
        <v>5.981607045436833E-3</v>
      </c>
      <c r="O74" s="1713">
        <f t="shared" si="163"/>
        <v>9.6913505396002186E-2</v>
      </c>
      <c r="P74" s="1713">
        <f t="shared" si="163"/>
        <v>7.186370032596498E-2</v>
      </c>
      <c r="Q74" s="1713">
        <f t="shared" si="163"/>
        <v>1.0196304263139179E-2</v>
      </c>
      <c r="R74" s="1713">
        <f t="shared" si="163"/>
        <v>8.6127819854045409E-3</v>
      </c>
      <c r="S74" s="1713">
        <f t="shared" si="163"/>
        <v>1.177653751372266E-2</v>
      </c>
      <c r="T74" s="1714">
        <f t="shared" si="163"/>
        <v>8.4665089713263711E-3</v>
      </c>
      <c r="U74" s="1714">
        <f t="shared" si="163"/>
        <v>1.8735991625172796E-2</v>
      </c>
      <c r="V74" s="1714">
        <f t="shared" si="163"/>
        <v>3.0187992570654083E-2</v>
      </c>
      <c r="W74" s="1714">
        <f t="shared" si="163"/>
        <v>2.8915486701431781E-2</v>
      </c>
      <c r="X74" s="1714">
        <f t="shared" si="163"/>
        <v>2.4861167508335665E-2</v>
      </c>
      <c r="Y74" s="1714">
        <f t="shared" si="163"/>
        <v>2.8370100362344348E-2</v>
      </c>
      <c r="Z74" s="1714">
        <f t="shared" si="163"/>
        <v>2.0493648028214509E-3</v>
      </c>
      <c r="AA74" s="1714">
        <f t="shared" si="163"/>
        <v>3.6454808343075128E-3</v>
      </c>
      <c r="AB74" s="1714">
        <f t="shared" si="163"/>
        <v>9.9737506760813502E-4</v>
      </c>
      <c r="AC74" s="1714">
        <f t="shared" si="163"/>
        <v>1.8986807684734609E-3</v>
      </c>
      <c r="AD74" s="1714">
        <f t="shared" si="163"/>
        <v>3.0792596811461334E-3</v>
      </c>
      <c r="AE74" s="1714">
        <f t="shared" si="163"/>
        <v>2.3774978417201152E-3</v>
      </c>
      <c r="AF74" s="1714">
        <f t="shared" si="163"/>
        <v>3.2278235750017609E-3</v>
      </c>
      <c r="AG74" s="1714">
        <f t="shared" si="163"/>
        <v>9.8544527448659706E-3</v>
      </c>
      <c r="AH74" s="1714">
        <f t="shared" si="163"/>
        <v>2.7402702216720958E-2</v>
      </c>
      <c r="AI74" s="1714">
        <f t="shared" si="163"/>
        <v>1.7582239835014859E-2</v>
      </c>
      <c r="AJ74" s="1714">
        <f t="shared" si="163"/>
        <v>3.4344794802725434E-3</v>
      </c>
      <c r="AK74" s="1714">
        <f t="shared" si="163"/>
        <v>1.2819873106285945E-3</v>
      </c>
      <c r="AL74" s="1714">
        <f t="shared" si="163"/>
        <v>2.7277285440974172E-2</v>
      </c>
      <c r="AM74" s="1714">
        <f t="shared" si="163"/>
        <v>1.8257374639614091E-2</v>
      </c>
      <c r="AN74" s="1714">
        <f t="shared" si="163"/>
        <v>5.0865679350310979E-3</v>
      </c>
      <c r="AO74" s="1714">
        <f t="shared" si="163"/>
        <v>3.006612384214779E-3</v>
      </c>
      <c r="AP74" s="1714">
        <f t="shared" si="163"/>
        <v>2.7404979442523011E-2</v>
      </c>
      <c r="AQ74" s="1714">
        <f t="shared" si="163"/>
        <v>1.8896452482294209E-2</v>
      </c>
      <c r="AR74" s="1714">
        <f t="shared" si="163"/>
        <v>6.5189405867649109E-3</v>
      </c>
      <c r="AS74" s="1714">
        <f t="shared" si="163"/>
        <v>4.5129876808931947E-3</v>
      </c>
    </row>
    <row r="75" spans="1:57" s="288" customFormat="1" ht="12.95" customHeight="1"/>
    <row r="76" spans="1:57" s="521" customFormat="1" ht="12.95" customHeight="1">
      <c r="A76" s="521" t="s">
        <v>346</v>
      </c>
      <c r="B76" s="189">
        <f t="shared" ref="B76:AJ76" si="164">B8</f>
        <v>1.036</v>
      </c>
      <c r="C76" s="189">
        <f t="shared" si="164"/>
        <v>1.085</v>
      </c>
      <c r="D76" s="189">
        <f t="shared" si="164"/>
        <v>1.1949999999999998</v>
      </c>
      <c r="E76" s="189">
        <f t="shared" si="164"/>
        <v>1.3760000000000003</v>
      </c>
      <c r="F76" s="189">
        <f t="shared" si="164"/>
        <v>1.454</v>
      </c>
      <c r="G76" s="189">
        <f t="shared" si="164"/>
        <v>1.5400000000000003</v>
      </c>
      <c r="H76" s="189">
        <f t="shared" si="164"/>
        <v>1.5859999999999999</v>
      </c>
      <c r="I76" s="189">
        <f t="shared" si="164"/>
        <v>1.6119999999999999</v>
      </c>
      <c r="J76" s="189">
        <f t="shared" si="164"/>
        <v>1.6220000000000001</v>
      </c>
      <c r="K76" s="189">
        <f t="shared" si="164"/>
        <v>1.4669999999999999</v>
      </c>
      <c r="L76" s="189">
        <f t="shared" si="164"/>
        <v>1.5150000000000003</v>
      </c>
      <c r="M76" s="189">
        <f t="shared" si="164"/>
        <v>2.2759999999999998</v>
      </c>
      <c r="N76" s="189">
        <f t="shared" si="164"/>
        <v>2.6779999999999999</v>
      </c>
      <c r="O76" s="189">
        <f t="shared" si="164"/>
        <v>2.59</v>
      </c>
      <c r="P76" s="189">
        <f t="shared" si="164"/>
        <v>2.7120000000000006</v>
      </c>
      <c r="Q76" s="189">
        <f t="shared" si="164"/>
        <v>2.6529999999999987</v>
      </c>
      <c r="R76" s="189">
        <f t="shared" si="164"/>
        <v>2.8159999999999998</v>
      </c>
      <c r="S76" s="189">
        <f t="shared" si="164"/>
        <v>3.9910000000000005</v>
      </c>
      <c r="T76" s="189">
        <f t="shared" si="164"/>
        <v>4.3159999999999989</v>
      </c>
      <c r="U76" s="189">
        <f t="shared" si="164"/>
        <v>5.0470000000000024</v>
      </c>
      <c r="V76" s="189">
        <f t="shared" si="164"/>
        <v>4.8959999999999999</v>
      </c>
      <c r="W76" s="189">
        <f t="shared" si="164"/>
        <v>5.2450000000000001</v>
      </c>
      <c r="X76" s="189">
        <f t="shared" si="164"/>
        <v>5.77</v>
      </c>
      <c r="Y76" s="189">
        <f t="shared" si="164"/>
        <v>6.2829999999999995</v>
      </c>
      <c r="Z76" s="189">
        <f t="shared" si="164"/>
        <v>6.3650000000000002</v>
      </c>
      <c r="AA76" s="189">
        <f t="shared" si="164"/>
        <v>6.2590000000000003</v>
      </c>
      <c r="AB76" s="189">
        <f t="shared" si="164"/>
        <v>6.275999999999998</v>
      </c>
      <c r="AC76" s="189">
        <f t="shared" si="164"/>
        <v>8.208000000000002</v>
      </c>
      <c r="AD76" s="189">
        <f t="shared" si="164"/>
        <v>8.2319999999999993</v>
      </c>
      <c r="AE76" s="189">
        <f t="shared" si="164"/>
        <v>7.6320000000000014</v>
      </c>
      <c r="AF76" s="189">
        <f t="shared" si="164"/>
        <v>8.57</v>
      </c>
      <c r="AG76" s="189">
        <f t="shared" si="164"/>
        <v>8.7750000000000021</v>
      </c>
      <c r="AH76" s="189">
        <f t="shared" si="164"/>
        <v>9.8539999999999992</v>
      </c>
      <c r="AI76" s="189">
        <f t="shared" si="164"/>
        <v>10.826000000000001</v>
      </c>
      <c r="AJ76" s="189">
        <f t="shared" si="164"/>
        <v>11.137</v>
      </c>
      <c r="AK76" s="189">
        <f t="shared" ref="AK76:AN76" si="165">AK77+AK78</f>
        <v>11.276617394232293</v>
      </c>
      <c r="AL76" s="189">
        <f t="shared" si="165"/>
        <v>11.242696992057521</v>
      </c>
      <c r="AM76" s="189">
        <f t="shared" si="165"/>
        <v>11.362936499465221</v>
      </c>
      <c r="AN76" s="189">
        <f t="shared" si="165"/>
        <v>11.418322666277136</v>
      </c>
      <c r="AO76" s="189">
        <f>AO77+AO78</f>
        <v>11.567403870226588</v>
      </c>
      <c r="AP76" s="189">
        <f t="shared" ref="AP76:AR76" si="166">AP77+AP78</f>
        <v>11.536665752093993</v>
      </c>
      <c r="AQ76" s="189">
        <f t="shared" si="166"/>
        <v>11.66448712458719</v>
      </c>
      <c r="AR76" s="189">
        <f t="shared" si="166"/>
        <v>11.722800097226125</v>
      </c>
      <c r="AS76" s="189">
        <f>AS77+AS78</f>
        <v>11.881430408658694</v>
      </c>
    </row>
    <row r="77" spans="1:57" s="288" customFormat="1" ht="12.95" customHeight="1">
      <c r="A77" s="1712" t="s">
        <v>347</v>
      </c>
      <c r="B77" s="531">
        <f>'Income Statement'!B85</f>
        <v>0.15100000000000002</v>
      </c>
      <c r="C77" s="531">
        <f>'Income Statement'!C85</f>
        <v>0.151</v>
      </c>
      <c r="D77" s="531">
        <f>'Income Statement'!D85</f>
        <v>0.151</v>
      </c>
      <c r="E77" s="531">
        <f>'Income Statement'!E85</f>
        <v>0.15</v>
      </c>
      <c r="F77" s="531">
        <f>'Income Statement'!F85</f>
        <v>0.151</v>
      </c>
      <c r="G77" s="531">
        <f>'Income Statement'!G85</f>
        <v>0.151</v>
      </c>
      <c r="H77" s="531">
        <f>'Income Statement'!H85</f>
        <v>0.151</v>
      </c>
      <c r="I77" s="531">
        <f>'Income Statement'!I85</f>
        <v>0.15</v>
      </c>
      <c r="J77" s="531">
        <f>'Income Statement'!J85</f>
        <v>0.151</v>
      </c>
      <c r="K77" s="531">
        <f>'Income Statement'!K85</f>
        <v>0.151</v>
      </c>
      <c r="L77" s="531">
        <f>'Income Statement'!L85</f>
        <v>0.125</v>
      </c>
      <c r="M77" s="531">
        <f>'Income Statement'!M85</f>
        <v>0.193</v>
      </c>
      <c r="N77" s="531">
        <f>'Income Statement'!N85</f>
        <v>0.57899999999999996</v>
      </c>
      <c r="O77" s="531">
        <f>'Income Statement'!O85</f>
        <v>0.57799999999999996</v>
      </c>
      <c r="P77" s="531">
        <f>'Income Statement'!P85</f>
        <v>0.57899999999999996</v>
      </c>
      <c r="Q77" s="531">
        <f>'Income Statement'!Q85</f>
        <v>0.57799999999999996</v>
      </c>
      <c r="R77" s="531">
        <f>'Income Statement'!R85</f>
        <v>0.57899999999999996</v>
      </c>
      <c r="S77" s="531">
        <f>'Income Statement'!S85</f>
        <v>1.4039999999999999</v>
      </c>
      <c r="T77" s="531">
        <f>'Income Statement'!T85</f>
        <v>1.7210000000000001</v>
      </c>
      <c r="U77" s="531">
        <f>'Income Statement'!U85</f>
        <v>2.7429999999999999</v>
      </c>
      <c r="V77" s="531">
        <f>'Income Statement'!V85</f>
        <v>2.427</v>
      </c>
      <c r="W77" s="531">
        <f>'Income Statement'!W85</f>
        <v>2.7850000000000001</v>
      </c>
      <c r="X77" s="531">
        <f>'Income Statement'!X85</f>
        <v>3.08</v>
      </c>
      <c r="Y77" s="531">
        <f>'Income Statement'!Y85</f>
        <v>3.08</v>
      </c>
      <c r="Z77" s="531">
        <f>'Income Statement'!Z85</f>
        <v>3.08</v>
      </c>
      <c r="AA77" s="531">
        <f>'Income Statement'!AA85</f>
        <v>3.073</v>
      </c>
      <c r="AB77" s="531">
        <f>'Income Statement'!AB85</f>
        <v>3.0550000000000002</v>
      </c>
      <c r="AC77" s="531">
        <f>'Income Statement'!AC85</f>
        <v>4.6509999999999998</v>
      </c>
      <c r="AD77" s="531">
        <f>'Income Statement'!AD85</f>
        <v>4.6689999999999996</v>
      </c>
      <c r="AE77" s="531">
        <f>'Income Statement'!AE85</f>
        <v>4.76</v>
      </c>
      <c r="AF77" s="531">
        <f>'Income Statement'!AF85</f>
        <v>5.0140000000000002</v>
      </c>
      <c r="AG77" s="531">
        <f>'Income Statement'!AG85</f>
        <v>5.0140000000000002</v>
      </c>
      <c r="AH77" s="531">
        <f>'Income Statement'!AH85</f>
        <v>5.8639999999999999</v>
      </c>
      <c r="AI77" s="531">
        <f>'Income Statement'!AI85</f>
        <v>6.5369999999999999</v>
      </c>
      <c r="AJ77" s="531">
        <f>'Income Statement'!AJ85</f>
        <v>6.782</v>
      </c>
      <c r="AK77" s="531">
        <f>'Income Statement'!AK85</f>
        <v>6.782</v>
      </c>
      <c r="AL77" s="531">
        <f>'Income Statement'!AL85</f>
        <v>6.782</v>
      </c>
      <c r="AM77" s="531">
        <f>'Income Statement'!AM85</f>
        <v>6.782</v>
      </c>
      <c r="AN77" s="531">
        <f>'Income Statement'!AN85</f>
        <v>6.782</v>
      </c>
      <c r="AO77" s="531">
        <f>'Income Statement'!AO85</f>
        <v>6.782</v>
      </c>
      <c r="AP77" s="531">
        <f>'Income Statement'!AP85</f>
        <v>6.782</v>
      </c>
      <c r="AQ77" s="531">
        <f>'Income Statement'!AQ85</f>
        <v>6.782</v>
      </c>
      <c r="AR77" s="531">
        <f>'Income Statement'!AR85</f>
        <v>6.782</v>
      </c>
      <c r="AS77" s="531">
        <f>'Income Statement'!AS85</f>
        <v>6.782</v>
      </c>
    </row>
    <row r="78" spans="1:57" s="288" customFormat="1" ht="12.95" customHeight="1">
      <c r="A78" s="1712" t="s">
        <v>348</v>
      </c>
      <c r="B78" s="531">
        <f t="shared" ref="B78:R78" si="167">B76-B77</f>
        <v>0.88500000000000001</v>
      </c>
      <c r="C78" s="531">
        <f t="shared" si="167"/>
        <v>0.93399999999999994</v>
      </c>
      <c r="D78" s="531">
        <f t="shared" si="167"/>
        <v>1.0439999999999998</v>
      </c>
      <c r="E78" s="531">
        <f t="shared" si="167"/>
        <v>1.2260000000000004</v>
      </c>
      <c r="F78" s="531">
        <f t="shared" si="167"/>
        <v>1.3029999999999999</v>
      </c>
      <c r="G78" s="531">
        <f t="shared" si="167"/>
        <v>1.3890000000000002</v>
      </c>
      <c r="H78" s="531">
        <f t="shared" si="167"/>
        <v>1.4349999999999998</v>
      </c>
      <c r="I78" s="531">
        <f t="shared" si="167"/>
        <v>1.462</v>
      </c>
      <c r="J78" s="531">
        <f t="shared" si="167"/>
        <v>1.4710000000000001</v>
      </c>
      <c r="K78" s="531">
        <f t="shared" si="167"/>
        <v>1.3159999999999998</v>
      </c>
      <c r="L78" s="531">
        <f t="shared" si="167"/>
        <v>1.3900000000000003</v>
      </c>
      <c r="M78" s="531">
        <f t="shared" si="167"/>
        <v>2.0829999999999997</v>
      </c>
      <c r="N78" s="531">
        <f t="shared" si="167"/>
        <v>2.0990000000000002</v>
      </c>
      <c r="O78" s="531">
        <f t="shared" si="167"/>
        <v>2.012</v>
      </c>
      <c r="P78" s="531">
        <f t="shared" si="167"/>
        <v>2.1330000000000009</v>
      </c>
      <c r="Q78" s="531">
        <f t="shared" si="167"/>
        <v>2.0749999999999988</v>
      </c>
      <c r="R78" s="531">
        <f t="shared" si="167"/>
        <v>2.2370000000000001</v>
      </c>
      <c r="S78" s="531">
        <f>S76-S77</f>
        <v>2.5870000000000006</v>
      </c>
      <c r="T78" s="531">
        <f>T76-T77</f>
        <v>2.5949999999999989</v>
      </c>
      <c r="U78" s="531">
        <f t="shared" ref="U78:AJ78" si="168">U76-U77</f>
        <v>2.3040000000000025</v>
      </c>
      <c r="V78" s="531">
        <f t="shared" si="168"/>
        <v>2.4689999999999999</v>
      </c>
      <c r="W78" s="531">
        <f t="shared" si="168"/>
        <v>2.46</v>
      </c>
      <c r="X78" s="531">
        <f t="shared" si="168"/>
        <v>2.6899999999999995</v>
      </c>
      <c r="Y78" s="531">
        <f t="shared" si="168"/>
        <v>3.2029999999999994</v>
      </c>
      <c r="Z78" s="531">
        <f t="shared" si="168"/>
        <v>3.2850000000000001</v>
      </c>
      <c r="AA78" s="531">
        <f t="shared" si="168"/>
        <v>3.1860000000000004</v>
      </c>
      <c r="AB78" s="531">
        <f t="shared" si="168"/>
        <v>3.2209999999999979</v>
      </c>
      <c r="AC78" s="531">
        <f t="shared" si="168"/>
        <v>3.5570000000000022</v>
      </c>
      <c r="AD78" s="531">
        <f t="shared" si="168"/>
        <v>3.5629999999999997</v>
      </c>
      <c r="AE78" s="531">
        <f t="shared" si="168"/>
        <v>2.8720000000000017</v>
      </c>
      <c r="AF78" s="531">
        <f t="shared" si="168"/>
        <v>3.556</v>
      </c>
      <c r="AG78" s="531">
        <f t="shared" si="168"/>
        <v>3.7610000000000019</v>
      </c>
      <c r="AH78" s="531">
        <f t="shared" si="168"/>
        <v>3.9899999999999993</v>
      </c>
      <c r="AI78" s="531">
        <f t="shared" si="168"/>
        <v>4.2890000000000006</v>
      </c>
      <c r="AJ78" s="531">
        <f t="shared" si="168"/>
        <v>4.3550000000000004</v>
      </c>
      <c r="AK78" s="531">
        <f t="shared" ref="AK78:AS78" si="169">AK67*AK81</f>
        <v>4.4946173942322938</v>
      </c>
      <c r="AL78" s="531">
        <f t="shared" si="169"/>
        <v>4.4606969920575201</v>
      </c>
      <c r="AM78" s="531">
        <f t="shared" si="169"/>
        <v>4.5809364994652206</v>
      </c>
      <c r="AN78" s="531">
        <f t="shared" si="169"/>
        <v>4.6363226662771364</v>
      </c>
      <c r="AO78" s="531">
        <f t="shared" si="169"/>
        <v>4.7854038702265891</v>
      </c>
      <c r="AP78" s="531">
        <f t="shared" si="169"/>
        <v>4.7546657520939934</v>
      </c>
      <c r="AQ78" s="531">
        <f t="shared" si="169"/>
        <v>4.8824871245871897</v>
      </c>
      <c r="AR78" s="531">
        <f t="shared" si="169"/>
        <v>4.9408000972261252</v>
      </c>
      <c r="AS78" s="531">
        <f t="shared" si="169"/>
        <v>5.0994304086586935</v>
      </c>
    </row>
    <row r="79" spans="1:57" s="521" customFormat="1" ht="12.95" customHeight="1">
      <c r="A79" s="521" t="s">
        <v>349</v>
      </c>
      <c r="B79" s="1715">
        <f t="shared" ref="B79:E81" si="170">+B76/B$67</f>
        <v>2.5592253155801485E-2</v>
      </c>
      <c r="C79" s="1715">
        <f t="shared" si="170"/>
        <v>2.4575868083082288E-2</v>
      </c>
      <c r="D79" s="1715">
        <f t="shared" si="170"/>
        <v>2.4397713352388724E-2</v>
      </c>
      <c r="E79" s="1715">
        <f t="shared" si="170"/>
        <v>2.5426390967718097E-2</v>
      </c>
      <c r="F79" s="1715">
        <f>+F76/F$67</f>
        <v>2.4599455225269427E-2</v>
      </c>
      <c r="G79" s="1715">
        <f>+G76/G$67</f>
        <v>2.4216882626745508E-2</v>
      </c>
      <c r="H79" s="1715">
        <f>+H76/H$67</f>
        <v>2.2839861751152074E-2</v>
      </c>
      <c r="I79" s="1715">
        <f t="shared" ref="I79" si="171">+I76/I$67</f>
        <v>2.143018571941346E-2</v>
      </c>
      <c r="J79" s="1715">
        <f>+J76/J$67</f>
        <v>2.0199001257767649E-2</v>
      </c>
      <c r="K79" s="1715">
        <f>+K76/K$67</f>
        <v>1.7181204909584934E-2</v>
      </c>
      <c r="L79" s="1715">
        <f>+L76/L$67</f>
        <v>1.6493925009798373E-2</v>
      </c>
      <c r="M79" s="1715">
        <f t="shared" ref="M79:N79" si="172">+M76/M$67</f>
        <v>2.3452070603509571E-2</v>
      </c>
      <c r="N79" s="1715">
        <f t="shared" si="172"/>
        <v>2.6089159067882471E-2</v>
      </c>
      <c r="O79" s="1715">
        <f>+O76/O$67</f>
        <v>2.4158419535673308E-2</v>
      </c>
      <c r="P79" s="1715">
        <f t="shared" ref="P79:Q79" si="173">+P76/P$67</f>
        <v>2.415347072549474E-2</v>
      </c>
      <c r="Q79" s="1715">
        <f t="shared" si="173"/>
        <v>2.246743788214968E-2</v>
      </c>
      <c r="R79" s="1715">
        <f>+R76/R$67</f>
        <v>2.28591838557014E-2</v>
      </c>
      <c r="S79" s="1715">
        <f t="shared" ref="S79" si="174">+S76/S$67</f>
        <v>3.0638957768753024E-2</v>
      </c>
      <c r="T79" s="1715">
        <f>T80+T81</f>
        <v>3.1125598569203251E-2</v>
      </c>
      <c r="U79" s="1715">
        <f t="shared" ref="U79:AS79" si="175">U80+U81</f>
        <v>3.3868391737910869E-2</v>
      </c>
      <c r="V79" s="1715">
        <f t="shared" si="175"/>
        <v>3.0721349329852918E-2</v>
      </c>
      <c r="W79" s="1715">
        <f t="shared" si="175"/>
        <v>3.1915346748528972E-2</v>
      </c>
      <c r="X79" s="1715">
        <f t="shared" si="175"/>
        <v>3.2999525310121187E-2</v>
      </c>
      <c r="Y79" s="1715">
        <f t="shared" si="175"/>
        <v>3.4030038292594419E-2</v>
      </c>
      <c r="Z79" s="1715">
        <f t="shared" si="175"/>
        <v>3.3705961162683554E-2</v>
      </c>
      <c r="AA79" s="1715">
        <f t="shared" si="175"/>
        <v>3.2091511310732374E-2</v>
      </c>
      <c r="AB79" s="1715">
        <f t="shared" si="175"/>
        <v>3.1141920021436113E-2</v>
      </c>
      <c r="AC79" s="1715">
        <f t="shared" si="175"/>
        <v>3.8479930241062152E-2</v>
      </c>
      <c r="AD79" s="1715">
        <f t="shared" si="175"/>
        <v>3.8117993526608968E-2</v>
      </c>
      <c r="AE79" s="1715">
        <f t="shared" si="175"/>
        <v>3.4496318494311638E-2</v>
      </c>
      <c r="AF79" s="1715">
        <f t="shared" si="175"/>
        <v>3.7738673994222503E-2</v>
      </c>
      <c r="AG79" s="1715">
        <f t="shared" si="175"/>
        <v>3.7224633162375773E-2</v>
      </c>
      <c r="AH79" s="1715">
        <f t="shared" si="175"/>
        <v>4.1206505057770224E-2</v>
      </c>
      <c r="AI79" s="1715">
        <f t="shared" si="175"/>
        <v>4.3777674437412803E-2</v>
      </c>
      <c r="AJ79" s="1715">
        <f t="shared" si="175"/>
        <v>4.4117414038979563E-2</v>
      </c>
      <c r="AK79" s="1715">
        <f t="shared" si="175"/>
        <v>4.3282875467723067E-2</v>
      </c>
      <c r="AL79" s="1715">
        <f t="shared" si="175"/>
        <v>4.3480824468840877E-2</v>
      </c>
      <c r="AM79" s="1715">
        <f t="shared" si="175"/>
        <v>4.2792365651171956E-2</v>
      </c>
      <c r="AN79" s="1715">
        <f t="shared" si="175"/>
        <v>4.2487252338057085E-2</v>
      </c>
      <c r="AO79" s="1715">
        <f t="shared" si="175"/>
        <v>4.1701078812274875E-2</v>
      </c>
      <c r="AP79" s="1715">
        <f t="shared" si="175"/>
        <v>4.1859140443717094E-2</v>
      </c>
      <c r="AQ79" s="1715">
        <f t="shared" si="175"/>
        <v>4.1214926454767098E-2</v>
      </c>
      <c r="AR79" s="1715">
        <f t="shared" si="175"/>
        <v>4.0932103558831812E-2</v>
      </c>
      <c r="AS79" s="1715">
        <f t="shared" si="175"/>
        <v>4.0195464067216261E-2</v>
      </c>
      <c r="AT79" s="1716"/>
    </row>
    <row r="80" spans="1:57" s="288" customFormat="1" ht="12.95" customHeight="1">
      <c r="A80" s="1712" t="s">
        <v>350</v>
      </c>
      <c r="B80" s="1713">
        <f t="shared" si="170"/>
        <v>3.7301450062992517E-3</v>
      </c>
      <c r="C80" s="1713">
        <f t="shared" si="170"/>
        <v>3.420236018935876E-3</v>
      </c>
      <c r="D80" s="1713">
        <f t="shared" si="170"/>
        <v>3.0828909759085337E-3</v>
      </c>
      <c r="E80" s="1713">
        <f t="shared" si="170"/>
        <v>2.7717722711901988E-3</v>
      </c>
      <c r="F80" s="1713">
        <f>+F77/F$67</f>
        <v>2.5546889539310065E-3</v>
      </c>
      <c r="G80" s="1713">
        <f t="shared" ref="G80:I81" si="176">+G77/G$67</f>
        <v>2.3745125172977733E-3</v>
      </c>
      <c r="H80" s="1713">
        <f t="shared" si="176"/>
        <v>2.1745391705069125E-3</v>
      </c>
      <c r="I80" s="1713">
        <f t="shared" si="176"/>
        <v>1.9941239813349994E-3</v>
      </c>
      <c r="J80" s="1713">
        <f>+J77/J$67</f>
        <v>1.8804249013088254E-3</v>
      </c>
      <c r="K80" s="1713">
        <f t="shared" ref="K80:AS81" si="177">+K77/K$67</f>
        <v>1.7684812142790217E-3</v>
      </c>
      <c r="L80" s="1713">
        <f t="shared" si="177"/>
        <v>1.3608849017985455E-3</v>
      </c>
      <c r="M80" s="1713">
        <f t="shared" si="177"/>
        <v>1.9886861276262511E-3</v>
      </c>
      <c r="N80" s="1713">
        <f t="shared" si="177"/>
        <v>5.6406359597848954E-3</v>
      </c>
      <c r="O80" s="1713">
        <f t="shared" si="177"/>
        <v>5.3913384137525763E-3</v>
      </c>
      <c r="P80" s="1713">
        <f t="shared" si="177"/>
        <v>5.1566591261288531E-3</v>
      </c>
      <c r="Q80" s="1713">
        <f t="shared" si="177"/>
        <v>4.8949035416066796E-3</v>
      </c>
      <c r="R80" s="1713">
        <f t="shared" si="177"/>
        <v>4.700094976012468E-3</v>
      </c>
      <c r="S80" s="1713">
        <f t="shared" si="177"/>
        <v>1.0778525860017348E-2</v>
      </c>
      <c r="T80" s="1713">
        <f t="shared" si="177"/>
        <v>1.2411296371084062E-2</v>
      </c>
      <c r="U80" s="1713">
        <f t="shared" si="177"/>
        <v>1.8407172287911527E-2</v>
      </c>
      <c r="V80" s="1713">
        <f t="shared" si="177"/>
        <v>1.5228904171477336E-2</v>
      </c>
      <c r="W80" s="1713">
        <f t="shared" si="177"/>
        <v>1.6946471057131211E-2</v>
      </c>
      <c r="X80" s="1713">
        <f t="shared" si="177"/>
        <v>1.7614997912508364E-2</v>
      </c>
      <c r="Y80" s="1713">
        <f t="shared" si="177"/>
        <v>1.6681922320737039E-2</v>
      </c>
      <c r="Z80" s="1713">
        <f t="shared" si="177"/>
        <v>1.631019016198984E-2</v>
      </c>
      <c r="AA80" s="1713">
        <f t="shared" si="177"/>
        <v>1.5756065546873397E-2</v>
      </c>
      <c r="AB80" s="1713">
        <f t="shared" si="177"/>
        <v>1.515910861464107E-2</v>
      </c>
      <c r="AC80" s="1713">
        <f t="shared" si="177"/>
        <v>2.1804356183135965E-2</v>
      </c>
      <c r="AD80" s="1713">
        <f t="shared" si="177"/>
        <v>2.1619644287626007E-2</v>
      </c>
      <c r="AE80" s="1713">
        <f t="shared" si="177"/>
        <v>2.1514999480204841E-2</v>
      </c>
      <c r="AF80" s="1713">
        <f t="shared" si="177"/>
        <v>2.2079546255196224E-2</v>
      </c>
      <c r="AG80" s="1713">
        <f t="shared" si="177"/>
        <v>2.1270006914661205E-2</v>
      </c>
      <c r="AH80" s="1713">
        <f t="shared" si="177"/>
        <v>2.4521508591309582E-2</v>
      </c>
      <c r="AI80" s="1713">
        <f t="shared" si="177"/>
        <v>2.6434016053701045E-2</v>
      </c>
      <c r="AJ80" s="1713">
        <f t="shared" si="177"/>
        <v>2.686578989066709E-2</v>
      </c>
      <c r="AK80" s="1713">
        <f t="shared" si="177"/>
        <v>2.603125131941059E-2</v>
      </c>
      <c r="AL80" s="1713">
        <f t="shared" si="177"/>
        <v>2.6229200320528404E-2</v>
      </c>
      <c r="AM80" s="1713">
        <f t="shared" si="177"/>
        <v>2.5540741502859482E-2</v>
      </c>
      <c r="AN80" s="1713">
        <f t="shared" si="177"/>
        <v>2.5235628189744612E-2</v>
      </c>
      <c r="AO80" s="1713">
        <f t="shared" si="177"/>
        <v>2.4449454663962398E-2</v>
      </c>
      <c r="AP80" s="1713">
        <f t="shared" si="177"/>
        <v>2.4607516295404617E-2</v>
      </c>
      <c r="AQ80" s="1713">
        <f t="shared" si="177"/>
        <v>2.3963302306454621E-2</v>
      </c>
      <c r="AR80" s="1713">
        <f t="shared" si="177"/>
        <v>2.3680479410519338E-2</v>
      </c>
      <c r="AS80" s="1713">
        <f t="shared" si="177"/>
        <v>2.294383991890379E-2</v>
      </c>
      <c r="AT80" s="1717"/>
    </row>
    <row r="81" spans="1:46" s="288" customFormat="1" ht="12.95" customHeight="1">
      <c r="A81" s="1712" t="s">
        <v>351</v>
      </c>
      <c r="B81" s="1713">
        <f t="shared" si="170"/>
        <v>2.1862108149502235E-2</v>
      </c>
      <c r="C81" s="1713">
        <f t="shared" si="170"/>
        <v>2.1155632064146411E-2</v>
      </c>
      <c r="D81" s="1713">
        <f t="shared" si="170"/>
        <v>2.1314822376480191E-2</v>
      </c>
      <c r="E81" s="1713">
        <f t="shared" si="170"/>
        <v>2.2654618696527899E-2</v>
      </c>
      <c r="F81" s="1713">
        <f>+F78/F$67</f>
        <v>2.2044766271338421E-2</v>
      </c>
      <c r="G81" s="1713">
        <f t="shared" si="176"/>
        <v>2.1842370109447732E-2</v>
      </c>
      <c r="H81" s="1713">
        <f t="shared" si="176"/>
        <v>2.066532258064516E-2</v>
      </c>
      <c r="I81" s="1713">
        <f t="shared" si="176"/>
        <v>1.943606173807846E-2</v>
      </c>
      <c r="J81" s="1713">
        <f>+J78/J$67</f>
        <v>1.8318576356458824E-2</v>
      </c>
      <c r="K81" s="1713">
        <f t="shared" si="177"/>
        <v>1.541272369530591E-2</v>
      </c>
      <c r="L81" s="1713">
        <f t="shared" si="177"/>
        <v>1.5133040107999828E-2</v>
      </c>
      <c r="M81" s="1713">
        <f t="shared" si="177"/>
        <v>2.1463384475883317E-2</v>
      </c>
      <c r="N81" s="1713">
        <f t="shared" si="177"/>
        <v>2.0448523108097579E-2</v>
      </c>
      <c r="O81" s="1713">
        <f t="shared" si="177"/>
        <v>1.8767081121920735E-2</v>
      </c>
      <c r="P81" s="1713">
        <f t="shared" si="177"/>
        <v>1.8996811599365889E-2</v>
      </c>
      <c r="Q81" s="1713">
        <f t="shared" si="177"/>
        <v>1.7572534340543001E-2</v>
      </c>
      <c r="R81" s="1713">
        <f t="shared" si="177"/>
        <v>1.8159088879688933E-2</v>
      </c>
      <c r="S81" s="1713">
        <f t="shared" si="177"/>
        <v>1.9860431908735675E-2</v>
      </c>
      <c r="T81" s="1713">
        <f t="shared" si="177"/>
        <v>1.871430219811919E-2</v>
      </c>
      <c r="U81" s="1713">
        <f t="shared" si="177"/>
        <v>1.5461219449999345E-2</v>
      </c>
      <c r="V81" s="1713">
        <f t="shared" si="177"/>
        <v>1.5492445158375584E-2</v>
      </c>
      <c r="W81" s="1713">
        <f t="shared" si="177"/>
        <v>1.4968875691397763E-2</v>
      </c>
      <c r="X81" s="1713">
        <f t="shared" si="177"/>
        <v>1.5384527397612821E-2</v>
      </c>
      <c r="Y81" s="1713">
        <f t="shared" si="177"/>
        <v>1.7348115971857377E-2</v>
      </c>
      <c r="Z81" s="1713">
        <f t="shared" si="177"/>
        <v>1.739577100069371E-2</v>
      </c>
      <c r="AA81" s="1713">
        <f t="shared" si="177"/>
        <v>1.633544576385898E-2</v>
      </c>
      <c r="AB81" s="1713">
        <f t="shared" si="177"/>
        <v>1.5982811406795042E-2</v>
      </c>
      <c r="AC81" s="1713">
        <f t="shared" si="177"/>
        <v>1.6675574057926183E-2</v>
      </c>
      <c r="AD81" s="1713">
        <f t="shared" si="177"/>
        <v>1.6498349238982964E-2</v>
      </c>
      <c r="AE81" s="1713">
        <f t="shared" si="177"/>
        <v>1.2981319014106795E-2</v>
      </c>
      <c r="AF81" s="1713">
        <f t="shared" si="177"/>
        <v>1.565912773902628E-2</v>
      </c>
      <c r="AG81" s="1713">
        <f t="shared" si="177"/>
        <v>1.5954626247714564E-2</v>
      </c>
      <c r="AH81" s="1713">
        <f t="shared" si="177"/>
        <v>1.6684996466460645E-2</v>
      </c>
      <c r="AI81" s="1713">
        <f t="shared" si="177"/>
        <v>1.7343658383711762E-2</v>
      </c>
      <c r="AJ81" s="1713">
        <f t="shared" si="177"/>
        <v>1.7251624148312474E-2</v>
      </c>
      <c r="AK81" s="1718">
        <f t="shared" ref="AK81:AS81" si="178">AJ81</f>
        <v>1.7251624148312474E-2</v>
      </c>
      <c r="AL81" s="1718">
        <f t="shared" si="178"/>
        <v>1.7251624148312474E-2</v>
      </c>
      <c r="AM81" s="1718">
        <f t="shared" si="178"/>
        <v>1.7251624148312474E-2</v>
      </c>
      <c r="AN81" s="1718">
        <f t="shared" si="178"/>
        <v>1.7251624148312474E-2</v>
      </c>
      <c r="AO81" s="1718">
        <f t="shared" si="178"/>
        <v>1.7251624148312474E-2</v>
      </c>
      <c r="AP81" s="1718">
        <f t="shared" si="178"/>
        <v>1.7251624148312474E-2</v>
      </c>
      <c r="AQ81" s="1718">
        <f t="shared" si="178"/>
        <v>1.7251624148312474E-2</v>
      </c>
      <c r="AR81" s="1718">
        <f t="shared" si="178"/>
        <v>1.7251624148312474E-2</v>
      </c>
      <c r="AS81" s="1718">
        <f t="shared" si="178"/>
        <v>1.7251624148312474E-2</v>
      </c>
      <c r="AT81" s="1717"/>
    </row>
    <row r="82" spans="1:46" s="288" customFormat="1" ht="12.95" customHeight="1">
      <c r="A82" s="45" t="s">
        <v>130</v>
      </c>
    </row>
    <row r="83" spans="1:46" s="288" customFormat="1" ht="12.95" customHeight="1"/>
    <row r="84" spans="1:46" s="288" customFormat="1" ht="12.95" customHeight="1"/>
    <row r="85" spans="1:46" s="288" customFormat="1" ht="12.95" customHeight="1"/>
    <row r="86" spans="1:46" s="288" customFormat="1" ht="12.95" customHeight="1"/>
    <row r="87" spans="1:46" s="288" customFormat="1" ht="12.95" customHeight="1"/>
    <row r="88" spans="1:46" s="288" customFormat="1" ht="12.95" customHeight="1"/>
    <row r="89" spans="1:46" s="288" customFormat="1" ht="12.95" customHeight="1"/>
    <row r="90" spans="1:46" s="288" customFormat="1" ht="12.95" customHeight="1"/>
    <row r="91" spans="1:46" s="288" customFormat="1" ht="12.95" customHeight="1"/>
    <row r="92" spans="1:46" s="288" customFormat="1" ht="12.95" customHeight="1"/>
    <row r="93" spans="1:46" s="288" customFormat="1" ht="12.95" customHeight="1"/>
    <row r="94" spans="1:46" s="288" customFormat="1" ht="12.95" customHeight="1"/>
    <row r="95" spans="1:46" s="288" customFormat="1" ht="12.95" customHeight="1"/>
    <row r="96" spans="1:46" s="288" customFormat="1" ht="12.95" customHeight="1"/>
    <row r="97" ht="12.95" customHeight="1"/>
    <row r="98" ht="12.95" customHeight="1"/>
    <row r="99" ht="12.95" customHeight="1"/>
    <row r="100" ht="12.95" customHeight="1"/>
  </sheetData>
  <mergeCells count="16">
    <mergeCell ref="BK3:BN3"/>
    <mergeCell ref="BO3:BR3"/>
    <mergeCell ref="BS3:BV3"/>
    <mergeCell ref="BW3:BZ3"/>
    <mergeCell ref="Z3:AC3"/>
    <mergeCell ref="AD3:AG3"/>
    <mergeCell ref="AH3:AK3"/>
    <mergeCell ref="AL3:AO3"/>
    <mergeCell ref="AP3:AS3"/>
    <mergeCell ref="BG3:BJ3"/>
    <mergeCell ref="V3:Y3"/>
    <mergeCell ref="B3:E3"/>
    <mergeCell ref="F3:I3"/>
    <mergeCell ref="J3:M3"/>
    <mergeCell ref="N3:Q3"/>
    <mergeCell ref="R3:U3"/>
  </mergeCells>
  <pageMargins left="0.7" right="0.7" top="0.75" bottom="0.75" header="0.3" footer="0.3"/>
  <pageSetup scale="55"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vt:lpstr>
      <vt:lpstr>Income Statement</vt:lpstr>
      <vt:lpstr>Revenue Build</vt:lpstr>
      <vt:lpstr>Balance Sheet</vt:lpstr>
      <vt:lpstr>Cash Flow</vt:lpstr>
      <vt:lpstr>BS</vt:lpstr>
      <vt:lpstr>CF</vt:lpstr>
      <vt:lpstr>IS</vt:lpstr>
      <vt:lpstr>'Balance Sheet'!Print_Area</vt:lpstr>
      <vt:lpstr>'Cash Flow'!Print_Area</vt:lpstr>
      <vt:lpstr>'Income Statement'!Print_Area</vt:lpstr>
      <vt:lpstr>'Revenue Build'!Print_Area</vt:lpstr>
      <vt:lpstr>REV</vt:lpstr>
    </vt:vector>
  </TitlesOfParts>
  <Company>Wells Fargo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Unger, David</dc:creator>
  <cp:lastModifiedBy>Yuuji Anderson</cp:lastModifiedBy>
  <dcterms:created xsi:type="dcterms:W3CDTF">2026-02-23T16:52:19Z</dcterms:created>
  <dcterms:modified xsi:type="dcterms:W3CDTF">2026-03-12T22:49:19Z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1bb3d6-6588-4f45-8c90-d60eacca64f6_Enabled">
    <vt:lpwstr>true</vt:lpwstr>
  </property>
  <property fmtid="{D5CDD505-2E9C-101B-9397-08002B2CF9AE}" pid="3" name="MSIP_Label_a21bb3d6-6588-4f45-8c90-d60eacca64f6_SetDate">
    <vt:lpwstr>2026-02-23T16:53:54Z</vt:lpwstr>
  </property>
  <property fmtid="{D5CDD505-2E9C-101B-9397-08002B2CF9AE}" pid="4" name="MSIP_Label_a21bb3d6-6588-4f45-8c90-d60eacca64f6_Method">
    <vt:lpwstr>Privileged</vt:lpwstr>
  </property>
  <property fmtid="{D5CDD505-2E9C-101B-9397-08002B2CF9AE}" pid="5" name="MSIP_Label_a21bb3d6-6588-4f45-8c90-d60eacca64f6_Name">
    <vt:lpwstr>Proprietary External</vt:lpwstr>
  </property>
  <property fmtid="{D5CDD505-2E9C-101B-9397-08002B2CF9AE}" pid="6" name="MSIP_Label_a21bb3d6-6588-4f45-8c90-d60eacca64f6_SiteId">
    <vt:lpwstr>e122af3c-4c68-4e49-9c52-4ae1e25e91ae</vt:lpwstr>
  </property>
  <property fmtid="{D5CDD505-2E9C-101B-9397-08002B2CF9AE}" pid="7" name="MSIP_Label_a21bb3d6-6588-4f45-8c90-d60eacca64f6_ActionId">
    <vt:lpwstr>9a3ba28d-735d-403e-a256-9b96989d2f9f</vt:lpwstr>
  </property>
  <property fmtid="{D5CDD505-2E9C-101B-9397-08002B2CF9AE}" pid="8" name="MSIP_Label_a21bb3d6-6588-4f45-8c90-d60eacca64f6_ContentBits">
    <vt:lpwstr>0</vt:lpwstr>
  </property>
  <property fmtid="{D5CDD505-2E9C-101B-9397-08002B2CF9AE}" pid="9" name="MSIP_Label_a21bb3d6-6588-4f45-8c90-d60eacca64f6_Tag">
    <vt:lpwstr>10, 0, 1, 1</vt:lpwstr>
  </property>
</Properties>
</file>